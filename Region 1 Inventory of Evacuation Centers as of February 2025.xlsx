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LOCOS NORTE" sheetId="1" r:id="rId4"/>
    <sheet state="visible" name="ILOCOS SUR" sheetId="2" r:id="rId5"/>
    <sheet state="visible" name="PANGASINAN" sheetId="3" r:id="rId6"/>
    <sheet state="visible" name="LA UNION" sheetId="4" r:id="rId7"/>
    <sheet state="hidden" name="Copy of PANGASINAN" sheetId="5" r:id="rId8"/>
  </sheets>
  <definedNames/>
  <calcPr/>
  <extLst>
    <ext uri="GoogleSheetsCustomDataVersion2">
      <go:sheetsCustomData xmlns:go="http://customooxmlschemas.google.com/" r:id="rId9" roundtripDataChecksum="HhG/N0TU12ciHRJdvpwFLNxfkl/5e7IirXEASHxtRmw="/>
    </ext>
  </extLst>
</workbook>
</file>

<file path=xl/sharedStrings.xml><?xml version="1.0" encoding="utf-8"?>
<sst xmlns="http://schemas.openxmlformats.org/spreadsheetml/2006/main" count="42760" uniqueCount="7145">
  <si>
    <t>#</t>
  </si>
  <si>
    <r>
      <rPr>
        <rFont val="Arial"/>
        <b/>
        <color rgb="FF000000"/>
        <sz val="11.0"/>
      </rPr>
      <t xml:space="preserve">NAME OF EVACUATION CENTER
</t>
    </r>
    <r>
      <rPr>
        <rFont val="Arial"/>
        <b/>
        <i/>
        <color rgb="FF000000"/>
        <sz val="11.0"/>
      </rPr>
      <t>(Text)</t>
    </r>
  </si>
  <si>
    <r>
      <rPr>
        <rFont val="Arial"/>
        <b/>
        <color rgb="FF000000"/>
        <sz val="11.0"/>
      </rPr>
      <t xml:space="preserve">LOCATION
</t>
    </r>
    <r>
      <rPr>
        <rFont val="Arial"/>
        <b/>
        <i/>
        <color rgb="FF000000"/>
        <sz val="11.0"/>
      </rPr>
      <t>(Text)</t>
    </r>
  </si>
  <si>
    <t>Vulnerability</t>
  </si>
  <si>
    <r>
      <rPr>
        <rFont val="Arial"/>
        <b/>
        <color rgb="FF000000"/>
        <sz val="11.0"/>
      </rPr>
      <t xml:space="preserve">FLOOR AREA (IN SQ. MTR)
</t>
    </r>
    <r>
      <rPr>
        <rFont val="Arial"/>
        <b/>
        <i/>
        <color rgb="FF000000"/>
        <sz val="11.0"/>
      </rPr>
      <t>(Decimal, xxx.xx)</t>
    </r>
  </si>
  <si>
    <t>TOTAL CAPACITY</t>
  </si>
  <si>
    <t>NO. OF COMFORT ROOM /S</t>
  </si>
  <si>
    <t>SOURCE OF WATER</t>
  </si>
  <si>
    <r>
      <rPr>
        <rFont val="Arial"/>
        <b/>
        <color rgb="FF000000"/>
        <sz val="11.0"/>
      </rPr>
      <t xml:space="preserve">TOTAL STORAGE CAPACITY OF NUMBER OF FAMILY FOOD PACKS
</t>
    </r>
    <r>
      <rPr>
        <rFont val="Arial"/>
        <b/>
        <i/>
        <color rgb="FF000000"/>
        <sz val="11.0"/>
      </rPr>
      <t>(Number)</t>
    </r>
  </si>
  <si>
    <t>USED AS COVID-19 FACILITY</t>
  </si>
  <si>
    <t>HUMAN-INDUCED HAZARD (Fire, Terrorism, etc)</t>
  </si>
  <si>
    <t>NATURAL HAZARD
(Earthquake, Typhoon, Flood, Liquefaction, etc)</t>
  </si>
  <si>
    <t>Others</t>
  </si>
  <si>
    <r>
      <rPr>
        <rFont val="Arial"/>
        <b/>
        <color rgb="FF000000"/>
        <sz val="11.0"/>
      </rPr>
      <t xml:space="preserve">FAMILY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</si>
  <si>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INDIVIDUAL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</si>
  <si>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FEMALE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</si>
  <si>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MALE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</si>
  <si>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COMMON CR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</si>
  <si>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POTABLE
</t>
    </r>
    <r>
      <rPr>
        <rFont val="Arial"/>
        <b/>
        <i/>
        <color rgb="FF000000"/>
        <sz val="11.0"/>
      </rPr>
      <t>(Text, Ex. Deep well)</t>
    </r>
  </si>
  <si>
    <r>
      <rPr>
        <rFont val="Arial"/>
        <b/>
        <color rgb="FF000000"/>
        <sz val="11.0"/>
      </rPr>
      <t xml:space="preserve">NON-POTABLE
</t>
    </r>
    <r>
      <rPr>
        <rFont val="Arial"/>
        <b/>
        <i/>
        <color rgb="FF000000"/>
        <sz val="11.0"/>
      </rPr>
      <t>(Text, Ex. River)</t>
    </r>
  </si>
  <si>
    <r>
      <rPr>
        <rFont val="Arial"/>
        <b/>
        <color rgb="FF000000"/>
        <sz val="11.0"/>
      </rPr>
      <t xml:space="preserve">YES/NO
</t>
    </r>
    <r>
      <rPr>
        <rFont val="Arial"/>
        <b/>
        <i/>
        <color rgb="FF000000"/>
        <sz val="11.0"/>
      </rPr>
      <t>(Dropdown)</t>
    </r>
  </si>
  <si>
    <r>
      <rPr>
        <rFont val="Arial"/>
        <b/>
        <color rgb="FF000000"/>
        <sz val="11.0"/>
      </rPr>
      <t xml:space="preserve">TOTAL ISOLATION BED CAPACITY (IF USED AS COVID-19 FACILITY)
</t>
    </r>
    <r>
      <rPr>
        <rFont val="Arial"/>
        <b/>
        <i/>
        <color rgb="FF000000"/>
        <sz val="11.0"/>
      </rPr>
      <t>(Number)</t>
    </r>
  </si>
  <si>
    <t>PROVINCE OF ILOCOS NORTE</t>
  </si>
  <si>
    <t>Bahay Pag-asa</t>
  </si>
  <si>
    <t>Barangay Cabungaan, Laoag City</t>
  </si>
  <si>
    <t>Fire</t>
  </si>
  <si>
    <t>Earthquake, Flood</t>
  </si>
  <si>
    <t>Deep Well</t>
  </si>
  <si>
    <t>-</t>
  </si>
  <si>
    <t>NO</t>
  </si>
  <si>
    <t>Centennial Arena</t>
  </si>
  <si>
    <t>Laoag City, Ilocos Norte</t>
  </si>
  <si>
    <t>INWD</t>
  </si>
  <si>
    <t>ADAMS</t>
  </si>
  <si>
    <t>Adams National High School (ANHS)</t>
  </si>
  <si>
    <t>Poblacion 3, Adams, IN</t>
  </si>
  <si>
    <t xml:space="preserve">Fire </t>
  </si>
  <si>
    <t xml:space="preserve">Earthquake </t>
  </si>
  <si>
    <t>Potable</t>
  </si>
  <si>
    <t>(not set)</t>
  </si>
  <si>
    <t>Adams Central Elementary School (ACES)</t>
  </si>
  <si>
    <t>Pob. 1, Adams, IN</t>
  </si>
  <si>
    <t>BACARRA</t>
  </si>
  <si>
    <t>Municipal Evacuation Center</t>
  </si>
  <si>
    <t>Brgy.01- Sta. Rita, Bacarra</t>
  </si>
  <si>
    <t>Earthquake</t>
  </si>
  <si>
    <t>none</t>
  </si>
  <si>
    <t>Yes</t>
  </si>
  <si>
    <t>Bacarra Central Elementary School</t>
  </si>
  <si>
    <t>Brgy 01- Sta. Rita, Bacarra</t>
  </si>
  <si>
    <t>Primewater</t>
  </si>
  <si>
    <t>Special Education Center</t>
  </si>
  <si>
    <t>no</t>
  </si>
  <si>
    <t>Bacarra National Comprehensive High School</t>
  </si>
  <si>
    <t>BADOC</t>
  </si>
  <si>
    <t>BADOC EVACUATION CENTER</t>
  </si>
  <si>
    <t>Brgy. Lacuben, Badoc, Ilocos Norte</t>
  </si>
  <si>
    <t>Earthquake, Typhoon</t>
  </si>
  <si>
    <t>PRIME WATER</t>
  </si>
  <si>
    <t>NONE</t>
  </si>
  <si>
    <t>MUNICIPAL HALL ANNEX</t>
  </si>
  <si>
    <t>Brgy. Garreta, Badoc, Ilocos Norte</t>
  </si>
  <si>
    <t>BANNA</t>
  </si>
  <si>
    <t>Regional Evacuation Center</t>
  </si>
  <si>
    <t>Brgy. 4 Marcos, Banna, Ilocos Norte</t>
  </si>
  <si>
    <t>yes</t>
  </si>
  <si>
    <t>YES</t>
  </si>
  <si>
    <t>Banna Cultural Center</t>
  </si>
  <si>
    <t>Multi-Purpose Hall</t>
  </si>
  <si>
    <t>Banna Central Elem. Sch.</t>
  </si>
  <si>
    <t>Brgy Marcos Hall</t>
  </si>
  <si>
    <t>Banna Academy</t>
  </si>
  <si>
    <t>Brgy. 1 Valenciano, Banna, Ilocos Norte</t>
  </si>
  <si>
    <t>Barangay Valenciano Hall</t>
  </si>
  <si>
    <t>Banna NHS</t>
  </si>
  <si>
    <t>#2 Hilario, Banna, Ilocos Norte</t>
  </si>
  <si>
    <t>Barangay Hilario Hall</t>
  </si>
  <si>
    <t>#3 Lorenzo Banna, Ilocos Norte</t>
  </si>
  <si>
    <t>Barangay Lorenzo Hall</t>
  </si>
  <si>
    <t>Nagpatayan Elem. Sch.</t>
  </si>
  <si>
    <t>#5 Nagpatayan, Banna, Ilocos Norte</t>
  </si>
  <si>
    <t>Barangay Nagpatayan Hall</t>
  </si>
  <si>
    <t>Deep well</t>
  </si>
  <si>
    <t>river</t>
  </si>
  <si>
    <t>Bangsar Elem. Sch.</t>
  </si>
  <si>
    <t>#6 Bangsar, Banna, Ilocos Norte</t>
  </si>
  <si>
    <t>Barangay Bangsar Hall</t>
  </si>
  <si>
    <t>Imelda Elem. Sch.</t>
  </si>
  <si>
    <t>#7 Imelda, Banna, Ilocos Norte</t>
  </si>
  <si>
    <t>Barangay Imelda</t>
  </si>
  <si>
    <t>Bomitog Elem. Sch.</t>
  </si>
  <si>
    <t>#8 Bomitog, Banna, Ilocos Norte</t>
  </si>
  <si>
    <t>Barangay Bomitog Hall</t>
  </si>
  <si>
    <t>Quiaoit Elem. Sch.</t>
  </si>
  <si>
    <t>#9 Binacag, Banna, Ilocos Norte</t>
  </si>
  <si>
    <t>Barangay Binacag Hall</t>
  </si>
  <si>
    <t>Macayepyep Elem. Sch.</t>
  </si>
  <si>
    <t>#10 Macayepyep, Banna, Ilocos Norte</t>
  </si>
  <si>
    <t>Barangay Macayepyep Hall</t>
  </si>
  <si>
    <t>Catagtaguen Elem. Sch.</t>
  </si>
  <si>
    <t>#11 Catagtaguen, Banna, Ilocos Norte</t>
  </si>
  <si>
    <t>Catagtaguen NHS</t>
  </si>
  <si>
    <t>Barangay Catagtaguen Hall</t>
  </si>
  <si>
    <t>Lading Elem. Sch.</t>
  </si>
  <si>
    <t>#12 Balioeg, Banna, Ilocos Norte</t>
  </si>
  <si>
    <t>Barangay Balioeg Hall</t>
  </si>
  <si>
    <t>Caestebanan Elem. Sch.</t>
  </si>
  <si>
    <t>#13 Caestebanan, Banna, Ilocos Norte</t>
  </si>
  <si>
    <t>Caestebanan NHS</t>
  </si>
  <si>
    <t>#14 Sinamar, Banna, Ilocos Norte</t>
  </si>
  <si>
    <t>Barangay Caestebanan Hall</t>
  </si>
  <si>
    <t>Sinamar Elem. Sch.</t>
  </si>
  <si>
    <t>Barangay Sinamar Hall</t>
  </si>
  <si>
    <t>Valdez Elem. Sch.</t>
  </si>
  <si>
    <t>#15 Valdez, Banna, Ilocos Norte</t>
  </si>
  <si>
    <t>Barangay Valdez Hall</t>
  </si>
  <si>
    <t>Bugasi Elem. Sch.</t>
  </si>
  <si>
    <t>#16 Bugasi, Banna, Ilocos Norte</t>
  </si>
  <si>
    <t>Barangay Bugasi Hall</t>
  </si>
  <si>
    <t>Tabtabagan Elem. Sch.</t>
  </si>
  <si>
    <t>#17 Tabtabagan, Banna, Ilocos Norte</t>
  </si>
  <si>
    <t>Barangay Tabtabagan Hall</t>
  </si>
  <si>
    <t>Caribquib Elem. Sch.</t>
  </si>
  <si>
    <t>#18 Caribquib, Banna, Ilocos Norte</t>
  </si>
  <si>
    <t>Earthquake, Landslide</t>
  </si>
  <si>
    <t>Caribquib NHS</t>
  </si>
  <si>
    <t>Barangay Caribquib</t>
  </si>
  <si>
    <t>Barbarangay Elem. Sch.</t>
  </si>
  <si>
    <t>#19 Barbarangay, Banna, Ilocos Norte</t>
  </si>
  <si>
    <t>Barangay Barbarangay Hall</t>
  </si>
  <si>
    <t>Crispina Elem. Sch.</t>
  </si>
  <si>
    <t>#20 Crispina, Banna, Ilocos Norte</t>
  </si>
  <si>
    <t>Barangay Crispina</t>
  </si>
  <si>
    <t>BANGUI</t>
  </si>
  <si>
    <t>Bangui National High School</t>
  </si>
  <si>
    <t>Brgy. San Lorenzo, Bangui, Ilocos Norte</t>
  </si>
  <si>
    <t>Groundshaking, Liquefaction</t>
  </si>
  <si>
    <t>Deep Well/BWD</t>
  </si>
  <si>
    <t>None</t>
  </si>
  <si>
    <t>Lanao Multi-purpose Building</t>
  </si>
  <si>
    <t>Brgy. Lanao, Bangui, Bangui, Ilocos Norte</t>
  </si>
  <si>
    <t>Groundshaking, Flood</t>
  </si>
  <si>
    <t>Bangui Water District</t>
  </si>
  <si>
    <t>River</t>
  </si>
  <si>
    <t>Malasin Multi-purpose Building</t>
  </si>
  <si>
    <t>Brgy. Malasin, Bangui, Bangui, Ilocos Norte</t>
  </si>
  <si>
    <t>Groundshaking</t>
  </si>
  <si>
    <t>Nagblagan Multi-purpose Building</t>
  </si>
  <si>
    <t>Brgy. Nagbalagan, Bangui, Bangui, Ilocos Norte</t>
  </si>
  <si>
    <t>Bacsil Multi-purpose Building</t>
  </si>
  <si>
    <t>Brgy. Bacsil, Bangui, Bangui, Ilocos Norte</t>
  </si>
  <si>
    <t>San Lorenzo Multi-purpose Building</t>
  </si>
  <si>
    <t>Abaca Multi-purpose Building</t>
  </si>
  <si>
    <t>Brgy. Abaca, Bangui, Ilocos Norte</t>
  </si>
  <si>
    <t>Groundshaking, Liquefaction, Flood</t>
  </si>
  <si>
    <t>Masikil Multi-purpose Building</t>
  </si>
  <si>
    <t>Brgy. Masikil, Bangui, Ilocos Norte</t>
  </si>
  <si>
    <t>Manayon Multi-purpose Building</t>
  </si>
  <si>
    <t>Brgy. Manayon, Bangui, Ilocos Norte</t>
  </si>
  <si>
    <t>Groundshaking, Earthquake-induced Landslide</t>
  </si>
  <si>
    <t>Banban Multi-purpose Building</t>
  </si>
  <si>
    <t>Brgy. Banban, Bangui, Ilocos Norte</t>
  </si>
  <si>
    <t>Abgat Potable WS</t>
  </si>
  <si>
    <t>Utol Multi-purpose Building</t>
  </si>
  <si>
    <t>Brgy. Utol, Bangui, Ilocos Norte</t>
  </si>
  <si>
    <t>Taguiporo Multi-purpose Building</t>
  </si>
  <si>
    <t>Brgy. Taguiporo, Bangui, Ilocos Norte</t>
  </si>
  <si>
    <t>Groundshaking, Liquefaction, Tsunami</t>
  </si>
  <si>
    <t>Baruyen Multi-purpose Building</t>
  </si>
  <si>
    <t>Brgy. Baruyen, Bangui, Ilocos Norte</t>
  </si>
  <si>
    <t>Dadaor Multi-purpose Building</t>
  </si>
  <si>
    <t>Brgy. Dadaor, Bangui, Ilocos Norte</t>
  </si>
  <si>
    <t>Spring</t>
  </si>
  <si>
    <t>Payac Multi-purpose Building</t>
  </si>
  <si>
    <t>Brgy. Payac, Bangui, Ilocos Norte</t>
  </si>
  <si>
    <t>Groundshaking, Earthquake-induced Landslide, Rain-induced Landslide</t>
  </si>
  <si>
    <t>IFI Church</t>
  </si>
  <si>
    <t>Roman Catholic Church</t>
  </si>
  <si>
    <t>Brgy. San Lorenzo, Bangui</t>
  </si>
  <si>
    <t>CITY OF BATAC</t>
  </si>
  <si>
    <t>Batac City Hall, Imelda Cultural Center</t>
  </si>
  <si>
    <t>Brgy. 1S Valdez, City of Batac, I.N</t>
  </si>
  <si>
    <t>Water Station, Prime Water, Deep Well</t>
  </si>
  <si>
    <t>City Evacuation Center</t>
  </si>
  <si>
    <t>Brgy. 16N Quiling Norte, City of Batac, I.N</t>
  </si>
  <si>
    <t>Batac City Public Market Office</t>
  </si>
  <si>
    <t>Brgy. 35 Billoca, City of Batac, I.N</t>
  </si>
  <si>
    <t>Baragay Ricarte Community Center and Day Care Center</t>
  </si>
  <si>
    <t>Brgy. 1-N Ricarte, City of Batac, I.N</t>
  </si>
  <si>
    <t>Earthquake, Typhoon, Flood</t>
  </si>
  <si>
    <t>Prime Water, Deep Well</t>
  </si>
  <si>
    <t>Baragay Valdez Community Center and Day Care Center</t>
  </si>
  <si>
    <t>Brgy. 1-S Valdez, City of Batac, I.N</t>
  </si>
  <si>
    <t>Mariano Marcos Memorial Elementary School</t>
  </si>
  <si>
    <t>Baragay Ablan Community Center and Day Care Center</t>
  </si>
  <si>
    <t>Brgy. 2 Ablan, City of Batac, I.N</t>
  </si>
  <si>
    <t>Baragay Cangrunaan Community Center and Day Care Center</t>
  </si>
  <si>
    <t>Brgy. 3 Cangrunaan, City of Batac, I.N</t>
  </si>
  <si>
    <t>Bul-lilising Day Care Center</t>
  </si>
  <si>
    <t>Baragay Nalupta Community Center and Day Care Center</t>
  </si>
  <si>
    <t>Brgy. 4 Nalupta, City of Batac, I.N</t>
  </si>
  <si>
    <t>Hilario Valdez Memorial Elementary School</t>
  </si>
  <si>
    <t>Brgy. 4 Nalupta, City of Batac, I.N.</t>
  </si>
  <si>
    <t>Baragay Cal-laguip Community Center and Day Care Center</t>
  </si>
  <si>
    <t>Brgy. 5 Cal-laguip, City of Batac, I.N.</t>
  </si>
  <si>
    <t>Baragay San Julian Community Center and Day Care Center</t>
  </si>
  <si>
    <t>Brgy. 6 San Julian, City of Batac, I.N.</t>
  </si>
  <si>
    <t>Baragay Caunayan Community Center and Day Care Center</t>
  </si>
  <si>
    <t>Brgy. 7 Caunayan, City of Batac, I.N.</t>
  </si>
  <si>
    <t>Baragay Acosta Community Center and Day Care Center</t>
  </si>
  <si>
    <t>Brgy. 8 Acosta, City of Batac, I.N.</t>
  </si>
  <si>
    <t>Catalino Acosta Memorial Elementary School</t>
  </si>
  <si>
    <t>Aglipay Mausoleum</t>
  </si>
  <si>
    <t>Brgy. 9 Aglipay, City of Batac, I.N.</t>
  </si>
  <si>
    <t>Baragay Lacub Community Center and Day Care Center</t>
  </si>
  <si>
    <t>Brgy. 10-N Lacub, City of Batac, I.N.</t>
  </si>
  <si>
    <t>Baragay Barani Community Center and Day Care Center</t>
  </si>
  <si>
    <t>Brgy. 10-S Barani, City of Batac, I.N.</t>
  </si>
  <si>
    <t>Baragay Ben-Agan Community Center and Day Care Center</t>
  </si>
  <si>
    <t>Brgy. 11 Ben-agan , City of Batac, I.N.</t>
  </si>
  <si>
    <t>Baragay Palpalicong Community Center and Day Care Center</t>
  </si>
  <si>
    <t>Brgy. 12 Palpalicong , City of Batac, I.N.</t>
  </si>
  <si>
    <t>Baragay Baay Community Center and Day Care Center</t>
  </si>
  <si>
    <t>Brgy. 13 Baay, City of Batac, I.N.</t>
  </si>
  <si>
    <t>Sitio Uno Day Care Center</t>
  </si>
  <si>
    <t>Baragay Baligat Community Center and Day Care Center</t>
  </si>
  <si>
    <t>Brgy. 15 Baligat, City of Batac, I.N.</t>
  </si>
  <si>
    <t>Baligat Elementary School</t>
  </si>
  <si>
    <t>Baragay Quiling Norte Community Center and Day Care Center</t>
  </si>
  <si>
    <t>Brgy. 16-N Quiling Norte, City of Batac, I.N.</t>
  </si>
  <si>
    <t>Baragay Quiling Sur Community Center and Day Care Center</t>
  </si>
  <si>
    <t>Brgy. 16-S Quiling Sur, City of Batac, I.N.</t>
  </si>
  <si>
    <t>Quiling Sur Elementary School</t>
  </si>
  <si>
    <t>Brgy. 16-S Quiling Sur, City of Batac</t>
  </si>
  <si>
    <t>Baragay Colo Community Center and Day Care Center</t>
  </si>
  <si>
    <t>Brgy. 20-N Colo, City of Batac</t>
  </si>
  <si>
    <t>Colo-Mabaleng Elementary School</t>
  </si>
  <si>
    <t>Brgy. 20-N Colo, City of Batac, I. N.</t>
  </si>
  <si>
    <t>Baragay Quiom Community Center and Day Care Center</t>
  </si>
  <si>
    <t>Brgy. 21 Quiom, City of Batac, I. N.</t>
  </si>
  <si>
    <t>Quiom-Maipalig Elementary School</t>
  </si>
  <si>
    <t>Baragay Maipalig Community Center and Day Care Center</t>
  </si>
  <si>
    <t>Brgy. 22 Maipalig, City of Batac, I. N.</t>
  </si>
  <si>
    <t>Baragay Camguidan Community Center and Day Care Center</t>
  </si>
  <si>
    <t>Brgy. 25-N Camguidan, City of Batac, I. N.</t>
  </si>
  <si>
    <t>Payao Elementary School</t>
  </si>
  <si>
    <t>Brgy. 25-S Payao, City of Batac, I.N</t>
  </si>
  <si>
    <t>City of Batac National High School - Payao</t>
  </si>
  <si>
    <t>Baragay Parangopong Community Center and Day Care Center</t>
  </si>
  <si>
    <t>Brgy. 26 Parangopong, City of Batac, I.N</t>
  </si>
  <si>
    <t>Baragay Naguirangan Community Center</t>
  </si>
  <si>
    <t>Brgy. 27-W Naguirangan, City of Batac, I.N</t>
  </si>
  <si>
    <t>Baragay Naguirangan Day Care Center</t>
  </si>
  <si>
    <t>Baragay San Mateo Community Center and Day Care Center</t>
  </si>
  <si>
    <t>Brgy. 28 San Mateo, City of Batac, I.N</t>
  </si>
  <si>
    <t>Crispina Marcos Valdez National High School</t>
  </si>
  <si>
    <t>Benigno Macadaeg Elementary School</t>
  </si>
  <si>
    <t>Baragay Baoa East Community Center and Day Care Center</t>
  </si>
  <si>
    <t>Brgy. 30-E Baoa East, City of Batac, I.N</t>
  </si>
  <si>
    <t>Baoa East Elementary Schhol</t>
  </si>
  <si>
    <t>Brgy. 30-E Baoa East, City of Batac, I.N.</t>
  </si>
  <si>
    <t>Baragay Baoa West Community Center and Day Care Center</t>
  </si>
  <si>
    <t>Brgy. 30-W Baoa West, City of Batac, I.N.</t>
  </si>
  <si>
    <t>Baoa West Elementary School</t>
  </si>
  <si>
    <t>Brgy. 30-W Baoa West, City of Batac, I. N.</t>
  </si>
  <si>
    <t>Baragay Camandingan Community Center and Day Care Center</t>
  </si>
  <si>
    <t>Brgy. 31 Camandingan City of Batac, I. N.</t>
  </si>
  <si>
    <t>Camandingan Elementary School</t>
  </si>
  <si>
    <t>Brgy. 31 Camandingan, City of Batac, I.N.</t>
  </si>
  <si>
    <t>Baragay Palongpong Community Center and Day Care Center</t>
  </si>
  <si>
    <t>Brgy. 32 Palongpong, City of Batac, I.N.</t>
  </si>
  <si>
    <t>Palongpong Elementary School</t>
  </si>
  <si>
    <t>Baragay Nagbacalan Community Center and Day Care Center</t>
  </si>
  <si>
    <t>Brgy. 33-N Nagbacalan, City of Batac, I.N.</t>
  </si>
  <si>
    <t>Nagbacalan Elementary School</t>
  </si>
  <si>
    <t>Baragay Rayuray Community Center and Day Care Center</t>
  </si>
  <si>
    <t>Brgy. 33-S Rayuray, City of Batac, I. N.</t>
  </si>
  <si>
    <t>Rayuray Elementary School</t>
  </si>
  <si>
    <t>Baragay Dariwdiw Community Center and Day Care Center</t>
  </si>
  <si>
    <t>Brgy. 34 Dariwdiw, City of Batac, I.N.</t>
  </si>
  <si>
    <t>Dariwdiw Elementary School</t>
  </si>
  <si>
    <t>Baragay Bil-loca Community Center and Day Care Center</t>
  </si>
  <si>
    <t>Bil-loca Elementary School</t>
  </si>
  <si>
    <t>BURGOS</t>
  </si>
  <si>
    <t>Municipal Auditorium</t>
  </si>
  <si>
    <t>Poblacion, Burgos, Ilocos Norte</t>
  </si>
  <si>
    <t xml:space="preserve">Earthquake,Typoon </t>
  </si>
  <si>
    <t>Water Station, Spring</t>
  </si>
  <si>
    <t>Municipal Hall</t>
  </si>
  <si>
    <t>Agaga Elementary School</t>
  </si>
  <si>
    <t>Agaga, Burgos, Ilocos Norte</t>
  </si>
  <si>
    <t>Bliss Primary School</t>
  </si>
  <si>
    <t>Buduan, Burgos, Ilocos Norte</t>
  </si>
  <si>
    <t>Burgos Central Elementary School</t>
  </si>
  <si>
    <t>Ablan Community School</t>
  </si>
  <si>
    <t>Ablan, Burgos, Ilocos Norte</t>
  </si>
  <si>
    <t>Bayog Elementary School</t>
  </si>
  <si>
    <t>Bayog, Burgos, Ilocos Norte</t>
  </si>
  <si>
    <t>Bobon Elementary School</t>
  </si>
  <si>
    <t>Bobon, Burgos, Ilocos Norte</t>
  </si>
  <si>
    <t>Water Station, Deep Well</t>
  </si>
  <si>
    <t>Nagsurot Elementary School</t>
  </si>
  <si>
    <t>Nagsurot, Burgos, Ilocos Norte</t>
  </si>
  <si>
    <t>Paayas Elementary Scool</t>
  </si>
  <si>
    <t>Paayas, Burgos, Ilocos Norte</t>
  </si>
  <si>
    <t>Saoit Elementary School</t>
  </si>
  <si>
    <t>Saoit, Burgos, Ilocos Norte</t>
  </si>
  <si>
    <t>Tanap Elementary School</t>
  </si>
  <si>
    <t>Tanap, Burgos, Ilocos Norte</t>
  </si>
  <si>
    <t>Burgos Agro-Industrial School</t>
  </si>
  <si>
    <t>Paayas Day Care Center</t>
  </si>
  <si>
    <t>Bobon Day Care Center</t>
  </si>
  <si>
    <t>Bayog Day Care Center</t>
  </si>
  <si>
    <t>Ablan Day Care Center</t>
  </si>
  <si>
    <t>Pagali Day Care Center</t>
  </si>
  <si>
    <t>Pagali, Burgos, Ilocos Norte</t>
  </si>
  <si>
    <t>Saoit Day Care Center</t>
  </si>
  <si>
    <t>Poblacion Day Care Center</t>
  </si>
  <si>
    <t>Buduan Day Care Center</t>
  </si>
  <si>
    <t>Nagsurot Day Care Center</t>
  </si>
  <si>
    <t xml:space="preserve">CARASI </t>
  </si>
  <si>
    <t>CARASI CIVIC CENTER</t>
  </si>
  <si>
    <t>Brgy. 1 Barbaquezo</t>
  </si>
  <si>
    <t>spring</t>
  </si>
  <si>
    <t>Earthquake, typhoon</t>
  </si>
  <si>
    <t>Virbira Brgy. Hall</t>
  </si>
  <si>
    <t>Brgy. 2 Virbira</t>
  </si>
  <si>
    <t>Angset Tribal Hall</t>
  </si>
  <si>
    <t>Brgy. 3 Angset</t>
  </si>
  <si>
    <t>CURRIMAO</t>
  </si>
  <si>
    <t>Tapao-tigue Evacuation Center</t>
  </si>
  <si>
    <t>Barangay Tapao-tigue, Currimao, Ilocos Norte</t>
  </si>
  <si>
    <t>Deep well/Water Station</t>
  </si>
  <si>
    <t>Salugan Evacuation Center</t>
  </si>
  <si>
    <t>Barangay Salugan, Currimao, Ilocos Norte</t>
  </si>
  <si>
    <t>No</t>
  </si>
  <si>
    <t>Comcomloong Evacuation Center</t>
  </si>
  <si>
    <t>Barangay Comcomloong, Currimao, Ilocos Norte</t>
  </si>
  <si>
    <t>E-Go Mega Complex</t>
  </si>
  <si>
    <t>Barangay Poblacion 1, Currimao, Ilocos Norte</t>
  </si>
  <si>
    <t>20-25</t>
  </si>
  <si>
    <t>Mothering Center</t>
  </si>
  <si>
    <t>Tapao-tigue Animal Shelter</t>
  </si>
  <si>
    <t>DINGRAS</t>
  </si>
  <si>
    <t>1. Municipal Evacuation Center</t>
  </si>
  <si>
    <t>Brgy. Madamba</t>
  </si>
  <si>
    <t>2. Municipal Civic Center</t>
  </si>
  <si>
    <t>3. Dingras Central Elem. School</t>
  </si>
  <si>
    <t>Brgy. Guerrero</t>
  </si>
  <si>
    <t>4. Bacsil Elem. School</t>
  </si>
  <si>
    <t>Brgy. Bacsil</t>
  </si>
  <si>
    <t>Earthquake, Typhoon, Flood, Landslide</t>
  </si>
  <si>
    <t>5. Bagut Elem. School</t>
  </si>
  <si>
    <t>Brgy. Bagut</t>
  </si>
  <si>
    <t>6. Baresbes Elem. School</t>
  </si>
  <si>
    <t>Brgy. Baresbes</t>
  </si>
  <si>
    <t>7. Barong Elem. School</t>
  </si>
  <si>
    <t>Brgy. Barong</t>
  </si>
  <si>
    <t>8. Barong High School</t>
  </si>
  <si>
    <t>9. Saludares-Cali Elem. School</t>
  </si>
  <si>
    <t>Brgy. Cali</t>
  </si>
  <si>
    <t>10. Capasan Elem. School</t>
  </si>
  <si>
    <t>Brgy. Capasan</t>
  </si>
  <si>
    <t>11. Elizabeth-Lanas Elem. School</t>
  </si>
  <si>
    <t>Brgy. Lanas</t>
  </si>
  <si>
    <t>12. Espiritu Elem. School</t>
  </si>
  <si>
    <t>Brgy. Espiritu</t>
  </si>
  <si>
    <t>13. Hilaria Salvatierra Elem. Sch.</t>
  </si>
  <si>
    <t>Brgy. Foz</t>
  </si>
  <si>
    <t>14. Francisco Elem. School</t>
  </si>
  <si>
    <t>Brgy. Francisco</t>
  </si>
  <si>
    <t>15. Mandaloque MPP</t>
  </si>
  <si>
    <t>Brgy. Mandaloque</t>
  </si>
  <si>
    <t>16. Medina-Parado Elem. School</t>
  </si>
  <si>
    <t>Brgy. Parado</t>
  </si>
  <si>
    <t>17. Peralta Elem. School</t>
  </si>
  <si>
    <t>Brgy. Peralta</t>
  </si>
  <si>
    <t>18. San Esteban Elem. School</t>
  </si>
  <si>
    <t>Brgy. Esteban</t>
  </si>
  <si>
    <t>19. San Marcelino Elem. School</t>
  </si>
  <si>
    <t>Brgy. San Marcelino</t>
  </si>
  <si>
    <t>20. San Marcelino Nat'l. High Sch.</t>
  </si>
  <si>
    <t>21. San Marcos Elem. School</t>
  </si>
  <si>
    <t>Brgy. San Marcos</t>
  </si>
  <si>
    <t>22. San Esteban High School</t>
  </si>
  <si>
    <t>Brgy. San Esteban</t>
  </si>
  <si>
    <t>23. Suyo Elem. School</t>
  </si>
  <si>
    <t>Brgy. Suyo</t>
  </si>
  <si>
    <t>24. Suyo Nat'l. High School</t>
  </si>
  <si>
    <t>25. Lt. Edgar Foz Memorial National High Scool</t>
  </si>
  <si>
    <t>Brgy. Sulquiano</t>
  </si>
  <si>
    <t>25. VerElementary School</t>
  </si>
  <si>
    <t>Brgy. Ver</t>
  </si>
  <si>
    <t>DUMALNEG</t>
  </si>
  <si>
    <t>MUNICIPAL EVACUATION CENTER</t>
  </si>
  <si>
    <t>Brgy. Kalaw, Dumalneg, Ilocos Norte</t>
  </si>
  <si>
    <t>SPRING</t>
  </si>
  <si>
    <t>RIVER</t>
  </si>
  <si>
    <t>LAOAG CITY</t>
  </si>
  <si>
    <t>BALATONG INTEGRATED SCHOOL</t>
  </si>
  <si>
    <t>Brgy 40, Balatong, Laoag City</t>
  </si>
  <si>
    <t>N/A</t>
  </si>
  <si>
    <t>ILOCOS NORTE NATIONAL HIGH SCHOOL</t>
  </si>
  <si>
    <t>Brgy 4, San Guillermo, Laoag City</t>
  </si>
  <si>
    <t>SHAMROCK ELEMENTARY SCHOOL</t>
  </si>
  <si>
    <t>Brgy 7-B, Nra. Sra. De Natividad, Laoag City</t>
  </si>
  <si>
    <t>A. P. SANTOS ELEMENTARY SCHOOL</t>
  </si>
  <si>
    <t>Brgy 2, Sta, Joaquina, Laoag City</t>
  </si>
  <si>
    <t>EULALIO F. SIAZON MEMORIAL ELEMENTARY SCHOOL</t>
  </si>
  <si>
    <t>Brgy 33-B, La Paz Proper, Laoag City</t>
  </si>
  <si>
    <t>LAOAG CENTRAL ELEMENTARY</t>
  </si>
  <si>
    <t>Brgy. 11, Sta. Balbina, Laoag City</t>
  </si>
  <si>
    <t>R.B. ABLAN ELEMENTARY SCHOOL</t>
  </si>
  <si>
    <t>Brgy 19, Sta. Marcela</t>
  </si>
  <si>
    <t>PLARIDEL ELEMENTARY SCHOOL</t>
  </si>
  <si>
    <t>Brgy 28, San Bernabe, Laoag City</t>
  </si>
  <si>
    <t>CABEZA ELEMENTARY SCHOOL</t>
  </si>
  <si>
    <t>Brgy. 48-A, Cabungaan North</t>
  </si>
  <si>
    <t>BUTTONG ELEMENTARY SCHOOL</t>
  </si>
  <si>
    <t>Brgy 50, Buttong, Laoag City</t>
  </si>
  <si>
    <t>LAOAG CITY EVACUATION CENTER 1</t>
  </si>
  <si>
    <t>Brgy 1 EF Siazon Rd. Laoag City (Motorpool)</t>
  </si>
  <si>
    <t>LAOAG CITY EVACUATION CENTER 2</t>
  </si>
  <si>
    <t>Brgy. 48-A, Cabungaan North, Laoag City</t>
  </si>
  <si>
    <t>MARCOS</t>
  </si>
  <si>
    <t>NEW MUNICIPAL EVACUATION CENTER</t>
  </si>
  <si>
    <t>Poblacion, Brgy. Lydia</t>
  </si>
  <si>
    <t>deep well</t>
  </si>
  <si>
    <t>CACAFEAN HEALTH CENTER</t>
  </si>
  <si>
    <t>Sitio Uno, Brgy. Cacafean</t>
  </si>
  <si>
    <t>DAQUIOAG MULTIPUTPOSE HALL</t>
  </si>
  <si>
    <t>Sitio Magdalena, Brgy. Daquioag</t>
  </si>
  <si>
    <t>commercial water system</t>
  </si>
  <si>
    <t>ELIZABETH MULTIPURPOSE BUILDING</t>
  </si>
  <si>
    <t>Sitio Liwliwa, Brgy. Elizabeth</t>
  </si>
  <si>
    <t>ESCODA MULTIPURPOSE BUILDING</t>
  </si>
  <si>
    <t>Sitio Balbalay, Brgy. Escoda</t>
  </si>
  <si>
    <t>FERDINAND MULTIPURPOSE HALL</t>
  </si>
  <si>
    <t>Sitio Nasaldet, Brgy. Ferdinand</t>
  </si>
  <si>
    <t>FORTUNA MULTIPURPOSE HALL</t>
  </si>
  <si>
    <t>Sitio Cabaritan, Brgy. Fortuna</t>
  </si>
  <si>
    <t>IMELDA MULTIPURPOSE BUILDING</t>
  </si>
  <si>
    <t>Sitio Bongbong, Brgy. Imelda, Marcos</t>
  </si>
  <si>
    <t xml:space="preserve">LYDIA MULTIPURPOSE BUILDING </t>
  </si>
  <si>
    <t>Sitio Calumbuyan, Brgy. Lydia</t>
  </si>
  <si>
    <t>MABUTI MULTIPURPOSE BUILDING</t>
  </si>
  <si>
    <t>Sitio Lubong, Brgy. Mabuti, Marcos</t>
  </si>
  <si>
    <t>FORTUNA ELEMENTARY SCHOOL (Multipurpose Hall)</t>
  </si>
  <si>
    <t>Brgy. , Marcos, Ilocos Norte</t>
  </si>
  <si>
    <t>DEEP WELL</t>
  </si>
  <si>
    <t>FORTUNA MULTIPURPOSE HALL (Barangay Hall)</t>
  </si>
  <si>
    <t>Brgy. Fortuna, Marcos, Ilocos Norte</t>
  </si>
  <si>
    <t>ESCODA ELEMENTARY SCHOOL (Multipurpose Hall)</t>
  </si>
  <si>
    <t>Brgy. Escoda, Marcos, Ilocos Norte</t>
  </si>
  <si>
    <t>PACIFICO MULTIPURPOSE HALL</t>
  </si>
  <si>
    <t>Sitio Hermano, Brgy. Pacifico</t>
  </si>
  <si>
    <t>SANTIAGO MULTIPURPOSE BUILDING</t>
  </si>
  <si>
    <t>Sitio San Laureano, Brgy. Santiago</t>
  </si>
  <si>
    <t>TABUCBUC MULTIPURPOSE BUILDING</t>
  </si>
  <si>
    <t>Sitio Rang-ay, Brgy. Tabucbuc</t>
  </si>
  <si>
    <t>VALDEZ COVERED COURT</t>
  </si>
  <si>
    <t>Sitio Filipinas, Brgy. Valdez</t>
  </si>
  <si>
    <t>NUEVA ERA</t>
  </si>
  <si>
    <t>PEOPLES CENTER</t>
  </si>
  <si>
    <t>Brgy. Poblacion, Nueva Era, Ilocos Norte</t>
  </si>
  <si>
    <t>Typhoon</t>
  </si>
  <si>
    <t>SPRING/DEEPWELL</t>
  </si>
  <si>
    <t>BARIKIR PC</t>
  </si>
  <si>
    <t>Brgy. Barikir, Nueva Era, Ilocos Norte</t>
  </si>
  <si>
    <t>ACNAM PC</t>
  </si>
  <si>
    <t>Brgy. Acnam, Nueva Era, Ilocos Norte</t>
  </si>
  <si>
    <t>Typhoon, Flood</t>
  </si>
  <si>
    <t>CARAY PC</t>
  </si>
  <si>
    <t>Brgy. Caray, Nueva Era, Ilocos Norte</t>
  </si>
  <si>
    <t>CABITTAURAN PC</t>
  </si>
  <si>
    <t>Brgy. Cabittauran, Nueva Era, Ilocos Norte</t>
  </si>
  <si>
    <t>STO. NINO PC</t>
  </si>
  <si>
    <t>Brgy. Sto. Niño, Nueva Era, Ilocos Norte</t>
  </si>
  <si>
    <t>NAGUILIAN PC</t>
  </si>
  <si>
    <t>Brgy. Naguilian, Nueva Era, Ilocos Norte</t>
  </si>
  <si>
    <t>GARNADEN PC</t>
  </si>
  <si>
    <t>Brgy. Garnaden, Nueva Era, Ilocos Norte</t>
  </si>
  <si>
    <t>BUGAYONG PC</t>
  </si>
  <si>
    <t>Brgy. Bugayong, Nueva Era, Ilocos Norte</t>
  </si>
  <si>
    <t>UGUIS PC</t>
  </si>
  <si>
    <t>Brgy. Uguis, Nueva Era, Ilocos Norte</t>
  </si>
  <si>
    <t>BARANGOBONG PC</t>
  </si>
  <si>
    <t>Brgy. Barangobong, Nueva Era, Ilocos Norte</t>
  </si>
  <si>
    <t>PAGUDPUD</t>
  </si>
  <si>
    <t>Barangay Tarrag, Pagudpud, Ilocos Norte</t>
  </si>
  <si>
    <t>Water District, deep well refilling station</t>
  </si>
  <si>
    <t>Balaoi Multi-purpose Building</t>
  </si>
  <si>
    <t>Barangay Balaoi, Pagudpud, Ilocos Norte</t>
  </si>
  <si>
    <t>Barangay water system, deep well, Spring</t>
  </si>
  <si>
    <t>Burayoc Multi-purpose Building</t>
  </si>
  <si>
    <t>Barangay Burayoc, Pagudpud, Ilocos Norte</t>
  </si>
  <si>
    <t>Cooperative water system, spring, deep well</t>
  </si>
  <si>
    <t>Caunayan Multi-purpose Building</t>
  </si>
  <si>
    <t>Barangay Caunayan, Pagudpud, Ilocos Norte</t>
  </si>
  <si>
    <t>Caparispisan Multi-purpose Building</t>
  </si>
  <si>
    <t>Barangay Caparispisan, Pagudpud, Ilocos Norte</t>
  </si>
  <si>
    <t>Saud Multi-purpose Building</t>
  </si>
  <si>
    <t>Barangay Saud, Pagudpud, Ilocos Norte</t>
  </si>
  <si>
    <t>Aggasi Elementary School</t>
  </si>
  <si>
    <t>Barangay Aggasi, Pagudpud, Ilocos Norte</t>
  </si>
  <si>
    <t>Luzong Elementary School</t>
  </si>
  <si>
    <t>Barangay Baduang, Pagudpud, Ilocos Norte</t>
  </si>
  <si>
    <t>Luzong National High School</t>
  </si>
  <si>
    <t>Balaoi Elementary School</t>
  </si>
  <si>
    <t>Dampig Elementary School</t>
  </si>
  <si>
    <t>Barangay Dampig, Pagudpud, Ilocos Norte</t>
  </si>
  <si>
    <t>Pancian Elementary School</t>
  </si>
  <si>
    <t>Barangay Pancian, Pagudpud, Ilocos Norte</t>
  </si>
  <si>
    <t>Pasaleng Elementary School</t>
  </si>
  <si>
    <t>Barangay Pasaleng, Pagudpud Ilocos Norte</t>
  </si>
  <si>
    <t>Pasaleng National High School</t>
  </si>
  <si>
    <t>Subec Elementary School</t>
  </si>
  <si>
    <t>Barangay Subec, Pagudpud, Ilocos Norte</t>
  </si>
  <si>
    <t>North Luzon Renewable Energy Corporation</t>
  </si>
  <si>
    <t xml:space="preserve">PAOAY </t>
  </si>
  <si>
    <t>PAOAY CIVIC CENTER</t>
  </si>
  <si>
    <t>Veronica Paoay, Ilocos Nrte</t>
  </si>
  <si>
    <t>Mineral Water, Supplied</t>
  </si>
  <si>
    <t>NAWASA</t>
  </si>
  <si>
    <t>Evangelista Elementary School</t>
  </si>
  <si>
    <t>Brgy Paratong, Paoay, Ilocos Norte</t>
  </si>
  <si>
    <t>No data</t>
  </si>
  <si>
    <t>Pasil Elementary School</t>
  </si>
  <si>
    <t>Brgy. Pasil, Paoay, Ilocos Norte</t>
  </si>
  <si>
    <t>Paoay Central Elementary School</t>
  </si>
  <si>
    <t>Brgy. Veronica, Paoay, Ilocos Norte</t>
  </si>
  <si>
    <t>Bacsil Elementary School</t>
  </si>
  <si>
    <t>Brgy Bacsil, Paoay, Ilocos Norte</t>
  </si>
  <si>
    <t>Suba Elementary School</t>
  </si>
  <si>
    <t>Brgy. Suba, Paoay, Ilocos Norte</t>
  </si>
  <si>
    <t>Brgy. Nagbacalan, Paoay, Ilocos Norte</t>
  </si>
  <si>
    <t>Nalasin Barangay Hall</t>
  </si>
  <si>
    <t>Brgy. Nalasin, Paoay, Ilocos Norte</t>
  </si>
  <si>
    <t>Malaguip Elementary School</t>
  </si>
  <si>
    <t>Brgy. Masintoc, Paoay, Ilocos Norte</t>
  </si>
  <si>
    <t>Malaguip High School</t>
  </si>
  <si>
    <t>San Agustin Barangay Hall</t>
  </si>
  <si>
    <t>Brgy. San Agustin, Paoay, Ilocos Norte</t>
  </si>
  <si>
    <t>Pasil Barangay Hall</t>
  </si>
  <si>
    <t>Pasil Day Care Center</t>
  </si>
  <si>
    <t>Nagbacalan High School</t>
  </si>
  <si>
    <t>Monte Elementary School</t>
  </si>
  <si>
    <t>Brgy. Monte, Paoay, Ilocos Norte</t>
  </si>
  <si>
    <t>Callaguip Evacuation Center (9 Buildings)</t>
  </si>
  <si>
    <t>Brgy. Callaguip, Paoay, Ilocos Norte</t>
  </si>
  <si>
    <t>Church of Latter Day Saints (Callaguip)</t>
  </si>
  <si>
    <t>PASUQUIN</t>
  </si>
  <si>
    <t>.</t>
  </si>
  <si>
    <t>MUNICIPAL EVAC CENTER</t>
  </si>
  <si>
    <t>Earthquake,Tsunami, Typhoon</t>
  </si>
  <si>
    <t>PASUQUIN INFIRMARY</t>
  </si>
  <si>
    <t>Brgy. 18 San Isidro</t>
  </si>
  <si>
    <t>Non-potable</t>
  </si>
  <si>
    <t>CENTRAL ELEMENTARY SCHOOL</t>
  </si>
  <si>
    <t>Brgy. Poblacion 1</t>
  </si>
  <si>
    <t>EAST CENTRAL ELEMENTARY</t>
  </si>
  <si>
    <t>GABALDON ELEMENTARY SCHOOL</t>
  </si>
  <si>
    <t>Brgy. 13 Naglicuan</t>
  </si>
  <si>
    <t>BINSANG ELEMENTARY SCHOOL</t>
  </si>
  <si>
    <t>Brgy. 14 Binsang</t>
  </si>
  <si>
    <t>DAVILA NATIONAL HIGH SCHOOL</t>
  </si>
  <si>
    <t>Brgy. 5 Davila</t>
  </si>
  <si>
    <t>NAGABUNGAN ELEMENTARY SCHOOL</t>
  </si>
  <si>
    <t>DAVILA ELEMENTARY SCHOOL</t>
  </si>
  <si>
    <t>CABABAAN ELEMENTARY SCHOOL</t>
  </si>
  <si>
    <t>Brgy. 9 Susugaen</t>
  </si>
  <si>
    <t>PIDDIG</t>
  </si>
  <si>
    <t>Gaki</t>
  </si>
  <si>
    <t>Brgy 2</t>
  </si>
  <si>
    <t>Ilocos Norte Water District</t>
  </si>
  <si>
    <t>Cabaroan Evacuation Center</t>
  </si>
  <si>
    <t>Brgy. 1</t>
  </si>
  <si>
    <t>Mangitayag Evacuation Center</t>
  </si>
  <si>
    <t>Brgy. 5</t>
  </si>
  <si>
    <t>Deepwell</t>
  </si>
  <si>
    <t>Maab-abaca Evacuation Center</t>
  </si>
  <si>
    <t>Brgy. 12</t>
  </si>
  <si>
    <t>Barangay 1 - Barangay Hall</t>
  </si>
  <si>
    <t>Piddig South Central Elem. School</t>
  </si>
  <si>
    <t>Piddig Central School</t>
  </si>
  <si>
    <t>Barangay 2 - Barangay Hall</t>
  </si>
  <si>
    <t>Brgy. 2</t>
  </si>
  <si>
    <t>Barangay 3 - Barangay Hall</t>
  </si>
  <si>
    <t>Brgy. 3</t>
  </si>
  <si>
    <t>Barangay 4 - Barangay Hall</t>
  </si>
  <si>
    <t>Brgy. 4</t>
  </si>
  <si>
    <t>Barangay 5 - Barangay Hall</t>
  </si>
  <si>
    <t>Barangay 6 - Barangay Hall</t>
  </si>
  <si>
    <t>Brgy. 6</t>
  </si>
  <si>
    <t>Piddig National High School</t>
  </si>
  <si>
    <t>Barangay 7 - Barangay Hall</t>
  </si>
  <si>
    <t>Brgy. 7</t>
  </si>
  <si>
    <t>Barangay 8 - Barangay Hall</t>
  </si>
  <si>
    <t>Brgy. 8</t>
  </si>
  <si>
    <t>Tangaoan Elementary School</t>
  </si>
  <si>
    <t>Barangay 9 - Barangay Hall</t>
  </si>
  <si>
    <t>Brgy. 9</t>
  </si>
  <si>
    <t>Ab-abut Elementary School</t>
  </si>
  <si>
    <t>Barangay 10 - Barangay Hall</t>
  </si>
  <si>
    <t>Barangay 11 - Barangay Hall</t>
  </si>
  <si>
    <t>Brgy. 11</t>
  </si>
  <si>
    <t>LaganditElementary School</t>
  </si>
  <si>
    <t>Barangay 12 - Barangay Hall</t>
  </si>
  <si>
    <t>Maab-abaca Primary School</t>
  </si>
  <si>
    <t>Barangay 13 - Barangay Hall</t>
  </si>
  <si>
    <t>Brgy. 13</t>
  </si>
  <si>
    <t>Libnaoan Elementary School</t>
  </si>
  <si>
    <t>Barangay 14 - Barangay Hall</t>
  </si>
  <si>
    <t>Brgy. 14</t>
  </si>
  <si>
    <t>Calambeg Elementary School</t>
  </si>
  <si>
    <t>Barangay 15 - Barangay Hall</t>
  </si>
  <si>
    <t>Brgy. 15</t>
  </si>
  <si>
    <t>Maruaya Primary School</t>
  </si>
  <si>
    <t>Barangay 16 - Barangay Hall</t>
  </si>
  <si>
    <t>Brgy. 16</t>
  </si>
  <si>
    <t>Gayamat Primary School</t>
  </si>
  <si>
    <t>Barangay 17 - Barangay Hall</t>
  </si>
  <si>
    <t>Brgy. 17</t>
  </si>
  <si>
    <t>Dupitac Elementary School</t>
  </si>
  <si>
    <t>Barangay 18 - Barangay Hall</t>
  </si>
  <si>
    <t>Brgy. 18</t>
  </si>
  <si>
    <t>Estancia Elementary School</t>
  </si>
  <si>
    <t>Barangay 19 - Barangay Hall</t>
  </si>
  <si>
    <t>Brgy. 19</t>
  </si>
  <si>
    <t>Abucay Elementary School</t>
  </si>
  <si>
    <t>Barangay 20 - Barangay Hall</t>
  </si>
  <si>
    <t>Brgy. 20</t>
  </si>
  <si>
    <t>Barangay 21 - Barangay Hall</t>
  </si>
  <si>
    <t>Brgy. 21</t>
  </si>
  <si>
    <t>Santa Maria Elementary School</t>
  </si>
  <si>
    <t>Barangay 22 - Barangay Hall</t>
  </si>
  <si>
    <t>Brgy. 22</t>
  </si>
  <si>
    <t>Boyboy Elementary School</t>
  </si>
  <si>
    <t>Barangay 23 - Barangay Hall</t>
  </si>
  <si>
    <t>Brgy. 23</t>
  </si>
  <si>
    <t>San Antonio Elementary School</t>
  </si>
  <si>
    <t>Roosevelt National High School</t>
  </si>
  <si>
    <t>Brgy. 02 Anao,</t>
  </si>
  <si>
    <t>Saint Anne Academy</t>
  </si>
  <si>
    <t>PINILI</t>
  </si>
  <si>
    <t>PINILI EVACUATION CENTER</t>
  </si>
  <si>
    <t>Brgy. Valbuena, Pinili, IN</t>
  </si>
  <si>
    <t>Typhoon, Earthquake</t>
  </si>
  <si>
    <t>Mun. Water System</t>
  </si>
  <si>
    <t>Pinili Amphitheater</t>
  </si>
  <si>
    <t>Pinili Guesthouse</t>
  </si>
  <si>
    <t>Tartarabang Multipurpose Hall</t>
  </si>
  <si>
    <t>Brgy. Tartarabang, Pinili, IN</t>
  </si>
  <si>
    <t>COVID-19</t>
  </si>
  <si>
    <t>Capandanan Multipurpose Hall</t>
  </si>
  <si>
    <t>Brgy. Capandanan,Pinili, IN</t>
  </si>
  <si>
    <t>Typhoon, Earthquake, Flood</t>
  </si>
  <si>
    <t>Apatut-Lubong Multipurpose Hall</t>
  </si>
  <si>
    <t>Brgy. Apatut-Lubong, Pinili, IN</t>
  </si>
  <si>
    <t>Grass Fire</t>
  </si>
  <si>
    <t>Typhoon, Earthquake, Tsunami</t>
  </si>
  <si>
    <t>Prime Water</t>
  </si>
  <si>
    <t>Badio Multipurpose Hall</t>
  </si>
  <si>
    <t>Brgy. Badio, Pinili, IN</t>
  </si>
  <si>
    <t>Dalayap Multipurpose Hall</t>
  </si>
  <si>
    <t>Brgy. Dalayap, Pinili, IN</t>
  </si>
  <si>
    <t>Sacritan Multipurpose Hall</t>
  </si>
  <si>
    <t>Brgy. Sacritan, Pinili, IN</t>
  </si>
  <si>
    <t>Pugaoan Multipurpose Hall</t>
  </si>
  <si>
    <t>Brgy. Pugaoan, Pinili, IN</t>
  </si>
  <si>
    <t>Aglipay Multipurpose Hall</t>
  </si>
  <si>
    <t>Brgy. Aglipay, Pinili, IN</t>
  </si>
  <si>
    <t>Lumbaan-Bicbica Multipurpose Hall</t>
  </si>
  <si>
    <t>Brgy. Lumbaan-Bicbica, Pinili, IN</t>
  </si>
  <si>
    <t>Don Mariano Marcos Memorial School</t>
  </si>
  <si>
    <t>Brgy. Pagdilao, Pinilli, IN</t>
  </si>
  <si>
    <t>Darat Elementary School</t>
  </si>
  <si>
    <t>Brgy. Darat, Pinili, IN</t>
  </si>
  <si>
    <t>Pinili National High School</t>
  </si>
  <si>
    <t>Brgy. Darat, Pinilli, IN</t>
  </si>
  <si>
    <t>Nagtrigoan Elementary School</t>
  </si>
  <si>
    <t>Brgy. Nagtrigoan, Pinili, IN</t>
  </si>
  <si>
    <t>Typhoon, Earthquake, Nagtrigoan</t>
  </si>
  <si>
    <t>Puzol Elementary School</t>
  </si>
  <si>
    <t>Brgy. Puzol, Pinili, IN</t>
  </si>
  <si>
    <t>Upon Primary School</t>
  </si>
  <si>
    <t>Brgy. Upon, Pinili, IN</t>
  </si>
  <si>
    <t>Puritac-Dalayap Elemantary School</t>
  </si>
  <si>
    <t>Brgy. Puritac, Pinili, IN</t>
  </si>
  <si>
    <t>Gulpeng Elementary School</t>
  </si>
  <si>
    <t>Brgy. Gulpeng, Pinili, IN</t>
  </si>
  <si>
    <t>Bulbulala Primary School</t>
  </si>
  <si>
    <t>Brgy. Bulbulala, Pinili, IN</t>
  </si>
  <si>
    <t>Salanap Elementary School</t>
  </si>
  <si>
    <t>Brgy. Salanap, Pinili, IN</t>
  </si>
  <si>
    <t>Barbar Elementary School</t>
  </si>
  <si>
    <t>Brgy. Barbar, Pinili, IN</t>
  </si>
  <si>
    <t>Pugaoan-Bungro Elementary School</t>
  </si>
  <si>
    <t>Sto. Tomas Elementary School</t>
  </si>
  <si>
    <t>Brgy. Sto. Tomas, Pinili, IN</t>
  </si>
  <si>
    <t>Typhoon, Earthquake, Landslide</t>
  </si>
  <si>
    <t>Cabaroan Elementary School</t>
  </si>
  <si>
    <t>Brgy. Cabaroan, Pinili, IN</t>
  </si>
  <si>
    <t>Buanga Primary School</t>
  </si>
  <si>
    <t>Brgy. Buanga, Pinili, IN</t>
  </si>
  <si>
    <t>Liliputen Elementary School</t>
  </si>
  <si>
    <t>Brgy. Liliputen, Pinili, IN</t>
  </si>
  <si>
    <t>Barangay Day Care Centers</t>
  </si>
  <si>
    <t>All 27 Day Care Centers</t>
  </si>
  <si>
    <t>Prime Water, Deepwell</t>
  </si>
  <si>
    <t>Pagdilao</t>
  </si>
  <si>
    <t>Valbuena</t>
  </si>
  <si>
    <t>Puritac</t>
  </si>
  <si>
    <t xml:space="preserve">Salanap  </t>
  </si>
  <si>
    <t xml:space="preserve">Tartarabang  </t>
  </si>
  <si>
    <t xml:space="preserve">Sacritan  </t>
  </si>
  <si>
    <t xml:space="preserve">Sto. Tomas  </t>
  </si>
  <si>
    <t xml:space="preserve">Darat  </t>
  </si>
  <si>
    <t xml:space="preserve">Buanga  </t>
  </si>
  <si>
    <t xml:space="preserve">Nagtrigoan  </t>
  </si>
  <si>
    <t>SAN NICOLAS</t>
  </si>
  <si>
    <t>San Francisco Day Care Center</t>
  </si>
  <si>
    <t>Brgy. 1 San Francisco</t>
  </si>
  <si>
    <t>SNWD</t>
  </si>
  <si>
    <t>San Francisco Multi-Purpose Hall</t>
  </si>
  <si>
    <t>San Francisco Covered Court</t>
  </si>
  <si>
    <t>San Baltazar Day Care Center</t>
  </si>
  <si>
    <t>Brgy. 2 San Baltazar</t>
  </si>
  <si>
    <t>San Baltazar Multi-Purpose Hall</t>
  </si>
  <si>
    <t>San Baltazar Covered Court</t>
  </si>
  <si>
    <t>San Ildefonso Day Care Center</t>
  </si>
  <si>
    <t>Brgy. 3 San Ildefonso</t>
  </si>
  <si>
    <t>San Ildefonso Multi-Purpose Hall</t>
  </si>
  <si>
    <t>San Ildefonso Covered Court</t>
  </si>
  <si>
    <t>San Nicolas Municipal Hall</t>
  </si>
  <si>
    <t>San Nicolas Elementary School</t>
  </si>
  <si>
    <t>F.E.M Mini Cultural Center</t>
  </si>
  <si>
    <t>San Bartolome Day Care Center</t>
  </si>
  <si>
    <t>Brgy. 4 San Bartolome</t>
  </si>
  <si>
    <t>San Bartolome Multi-Purpose Hall</t>
  </si>
  <si>
    <t>San Bartolome Covered Court</t>
  </si>
  <si>
    <t>San Silvestre Day Care Center</t>
  </si>
  <si>
    <t>Brgy. 5 San Silvestre</t>
  </si>
  <si>
    <t>San Silvestre Multi-Purpose Hall</t>
  </si>
  <si>
    <t>San Juan Bautista Day Care Center</t>
  </si>
  <si>
    <t>Brgy. 6 San Juan Bautista</t>
  </si>
  <si>
    <t>San Juan Bautista Multi-Purpose Hall</t>
  </si>
  <si>
    <t>San Juan Bautista Covered Court</t>
  </si>
  <si>
    <t>Filipinas East Elementary School and Covered Court</t>
  </si>
  <si>
    <t>San Miguel Day Care Center</t>
  </si>
  <si>
    <t>Brgy. 7 San Miguel</t>
  </si>
  <si>
    <t>San Miguel Multi-Purpose Hall</t>
  </si>
  <si>
    <t>San Miguel Covered Court</t>
  </si>
  <si>
    <t>Filipinas West Elementary School and Covered Court</t>
  </si>
  <si>
    <t>San Rufino Day Care Center</t>
  </si>
  <si>
    <t>Brgy. 8 San Rufino</t>
  </si>
  <si>
    <t>San Rufino Multi-Purpose Hall</t>
  </si>
  <si>
    <t>San Lucas Day Care Center</t>
  </si>
  <si>
    <t>Brgy. 9 San Lucas</t>
  </si>
  <si>
    <t>San Lucas Multi-Purpose Hall</t>
  </si>
  <si>
    <t>San Paulo Day Care Center</t>
  </si>
  <si>
    <t>Brgy. 10 San Paulo</t>
  </si>
  <si>
    <t>San Paulo Day Multi-Purpose Hall</t>
  </si>
  <si>
    <t>San Fernando Day Care Center</t>
  </si>
  <si>
    <t>Brgy. 11 San Fernando</t>
  </si>
  <si>
    <t>San Fernando Multi-Purpose Hall</t>
  </si>
  <si>
    <t>San Cayetano Day Care Center</t>
  </si>
  <si>
    <t>Brgy. 12 San Cayetano</t>
  </si>
  <si>
    <t>San Cayetano Multi-Purpose Hall</t>
  </si>
  <si>
    <t>San Eugenio Day Care Center</t>
  </si>
  <si>
    <t>Brgy. 13 San Eugenio</t>
  </si>
  <si>
    <t>San Eugenio Multi-Purpose Hall</t>
  </si>
  <si>
    <t>San Gregorio Day Care Center</t>
  </si>
  <si>
    <t>Brgy. 14 San Gregorio</t>
  </si>
  <si>
    <t>San Gregorio Multi-Purpose Hall</t>
  </si>
  <si>
    <t>SNWD, Deep well</t>
  </si>
  <si>
    <t>Eladio V. Barangan Mem. Elementary School and Covered Court</t>
  </si>
  <si>
    <t>San Jose Day Care Center</t>
  </si>
  <si>
    <t>Brgy. 15 San Jose</t>
  </si>
  <si>
    <t>San Jose Multi-Purpose Hall</t>
  </si>
  <si>
    <t>San Jose Covered Court</t>
  </si>
  <si>
    <t>San Marcos Day Care Center</t>
  </si>
  <si>
    <t>Brgy. 16 San Marcos</t>
  </si>
  <si>
    <t>San Marcos Day Multi-Purpose Hall</t>
  </si>
  <si>
    <t>Cayetano Bumanglag Elementary School and Covered Court</t>
  </si>
  <si>
    <t>San Marcos Covered Court</t>
  </si>
  <si>
    <t>ESLF- Multi Purpose building</t>
  </si>
  <si>
    <t>Sta. Asuncion Day Care Center</t>
  </si>
  <si>
    <t>Brgy. 17 Sta. Asuncion</t>
  </si>
  <si>
    <t>Sta. Asuncion Multi-Purpose Hall</t>
  </si>
  <si>
    <t>Sta. Asuncion Covered Court</t>
  </si>
  <si>
    <t>Asuncion Elementary School</t>
  </si>
  <si>
    <t>San Pedro Day Care Center</t>
  </si>
  <si>
    <t>Brgy. 18 San Pedro</t>
  </si>
  <si>
    <t>San Pedro Multi-Purpose Hall</t>
  </si>
  <si>
    <t>Bingao Elementary School and Covered Court</t>
  </si>
  <si>
    <t>Bingao National High School School and Covered Court</t>
  </si>
  <si>
    <t>San Lorenzo Day Care Center</t>
  </si>
  <si>
    <t>Brgy. 19 San Lorenzo</t>
  </si>
  <si>
    <t>San Lorenzo Multi-Purpose Hall</t>
  </si>
  <si>
    <t>San Lorenzo Covered Court</t>
  </si>
  <si>
    <t>National Child Development Center</t>
  </si>
  <si>
    <t>San Pablo Day Care Center</t>
  </si>
  <si>
    <t>Brgy. 20 San Pablo</t>
  </si>
  <si>
    <t>San Pablo Multi-Purpose Hall</t>
  </si>
  <si>
    <t>San Agustin Day Care Center</t>
  </si>
  <si>
    <t>Brgy. 21 San Agustin</t>
  </si>
  <si>
    <t>San Agustin Multi-Purpose Hall</t>
  </si>
  <si>
    <t>San Agustin Covered Court Sitio 1</t>
  </si>
  <si>
    <t>San Agustin Covered Court Sitio 5</t>
  </si>
  <si>
    <t>San Guillermo Day Care Center</t>
  </si>
  <si>
    <t>Brgy. 22 San Guillermo</t>
  </si>
  <si>
    <t>San Guillermo Multi-Purpose Hall</t>
  </si>
  <si>
    <t>San Guillermo Covered Court</t>
  </si>
  <si>
    <t>Catuguing Elementary School and Covered Court</t>
  </si>
  <si>
    <t>Sta. Cecilia Day Care Center</t>
  </si>
  <si>
    <t>Brgy. 23 Sta. Cecilia</t>
  </si>
  <si>
    <t>Sta. Cecilia Multi-Purpose Hall</t>
  </si>
  <si>
    <t>Sta. Cecilia Covered Court</t>
  </si>
  <si>
    <t>Barabar Elementary School and Covered Court</t>
  </si>
  <si>
    <t>Sta. Monica Day Care Center</t>
  </si>
  <si>
    <t>Brgy. 24 Sta. Monica</t>
  </si>
  <si>
    <t>Sta. Monica Multi-Purpose Hall</t>
  </si>
  <si>
    <t>Pasion Barangan Elementary School and Covered Court</t>
  </si>
  <si>
    <t>San Nicolas National High School School and Covered Court</t>
  </si>
  <si>
    <t xml:space="preserve">SARRAT </t>
  </si>
  <si>
    <t>Sarrat Presidencia</t>
  </si>
  <si>
    <t>Brgy. 2 San Agustin</t>
  </si>
  <si>
    <t>Sarrat Water District</t>
  </si>
  <si>
    <t>Sarrat Central School</t>
  </si>
  <si>
    <t>Brgy. 6 San Leandro</t>
  </si>
  <si>
    <t>Sarrat National High School</t>
  </si>
  <si>
    <t>Brgy. 4 San Francisco</t>
  </si>
  <si>
    <t>Sta. Rosa National High School</t>
  </si>
  <si>
    <t>Brgy. 11 Sta. Rosa</t>
  </si>
  <si>
    <t>Sarrat Civic Center</t>
  </si>
  <si>
    <t>Brgy. 5 San Vicente</t>
  </si>
  <si>
    <t>Earthquake, Typhoon, Landslide</t>
  </si>
  <si>
    <t>Patad Elementary School</t>
  </si>
  <si>
    <t>Brgy. 7 San Manuel</t>
  </si>
  <si>
    <t>Brgy. 9 San Lorenzo</t>
  </si>
  <si>
    <t>San Bernabe Elementary School</t>
  </si>
  <si>
    <t>Brgy. 12 San Bernabe</t>
  </si>
  <si>
    <t>San Pedro Elementary School</t>
  </si>
  <si>
    <t>Brgy. 13 San Pedro</t>
  </si>
  <si>
    <t>Pandan Integrated School</t>
  </si>
  <si>
    <t>Brgy. 14 San Juan</t>
  </si>
  <si>
    <t>Ruiz Elementary School</t>
  </si>
  <si>
    <t>Brgy. 17 San Felipe</t>
  </si>
  <si>
    <t>Golgol Elementary School</t>
  </si>
  <si>
    <t>Brgy. 20 San Jose</t>
  </si>
  <si>
    <t>Golgol Rural Waterworks</t>
  </si>
  <si>
    <t>Sagpatan Elementary School</t>
  </si>
  <si>
    <t>Brgy. 22 San Cristobal</t>
  </si>
  <si>
    <t>Sarrat Water District/Deepwell</t>
  </si>
  <si>
    <t>Cabuloan Elementary School</t>
  </si>
  <si>
    <t>Brgy. 21 San Marcos</t>
  </si>
  <si>
    <t>Binaratan Elementary School</t>
  </si>
  <si>
    <t>Brgy. 24 San Roque</t>
  </si>
  <si>
    <t>San Andres Elementary School</t>
  </si>
  <si>
    <t>Brgy. 23 San Andres</t>
  </si>
  <si>
    <t>Sarrat North Central Elementary School</t>
  </si>
  <si>
    <t>Sta Rosa Elementary School</t>
  </si>
  <si>
    <t>Brgy. 11 Sta Rosa</t>
  </si>
  <si>
    <t>Parang Elementary School</t>
  </si>
  <si>
    <t>SOLSONA</t>
  </si>
  <si>
    <t>Brgy. Santiago, Solsona, IN</t>
  </si>
  <si>
    <t>Flooding, Earthquake, Typhoon, Liquefaction</t>
  </si>
  <si>
    <t>INWAD</t>
  </si>
  <si>
    <t>Solsona Civic Center</t>
  </si>
  <si>
    <t>Brgy. Juan, Solsona, Ilocos Norte</t>
  </si>
  <si>
    <t>Ilocos Norte Water District (INWAD)</t>
  </si>
  <si>
    <t>Municipal Hall (Eulogio Function Hall)</t>
  </si>
  <si>
    <t>Brgy. Laureta, Solsona, IN</t>
  </si>
  <si>
    <t>Mun. Health Office</t>
  </si>
  <si>
    <t>Multi-purpose Hall</t>
  </si>
  <si>
    <t>Brgy. Juan, Solosna, Ilocos Norte</t>
  </si>
  <si>
    <t>Executive House</t>
  </si>
  <si>
    <t>Senior Citizen Building</t>
  </si>
  <si>
    <t>Solsona Elementary School</t>
  </si>
  <si>
    <t>Gabaldon Elementary School</t>
  </si>
  <si>
    <t>Ablan Memorial Academy</t>
  </si>
  <si>
    <t>Aguitap Barangay Hall &amp; Day Care Center</t>
  </si>
  <si>
    <t>Brgy. Aguitap, Solsona, Ilocos Norte</t>
  </si>
  <si>
    <t>Bagbag Barangay Hall &amp; Day Care Center</t>
  </si>
  <si>
    <t>Brgy. Bagbag, Solsona, Ilocos Norte</t>
  </si>
  <si>
    <t>Bagbag Elem School</t>
  </si>
  <si>
    <t>Bagbag National High School</t>
  </si>
  <si>
    <t>Bagbago Barangay Hall &amp; Day Care Center</t>
  </si>
  <si>
    <t>Brgy. Bagbago, Solsona, Ilocos Norte</t>
  </si>
  <si>
    <t>Bagbago-Puttao Elem School</t>
  </si>
  <si>
    <t>Barcelona – Aguitap Elem School</t>
  </si>
  <si>
    <t>Brgy. Barcelona, Solsona, Ilocos Norte</t>
  </si>
  <si>
    <t>Barcelona Barangay Hall &amp; Day Care Center</t>
  </si>
  <si>
    <t>Bubuos Barangay Hall &amp; Day Care Center</t>
  </si>
  <si>
    <t>Brgy. Bubuos, Solsona, Ilocos Norte</t>
  </si>
  <si>
    <t>Capurictan Barangay Hall &amp; Day Care Center</t>
  </si>
  <si>
    <t>Brgy. Capurictan, Solsona, Ilocos Norte</t>
  </si>
  <si>
    <t>Flooding, Earthquake, Landslide, Typhoon, Liquefaction</t>
  </si>
  <si>
    <t>Catangraran Elem School</t>
  </si>
  <si>
    <t>Brgy. Catangraran, Solsona, Ilocos Norte</t>
  </si>
  <si>
    <t>Catangraran Barangay Hall &amp; Day Care Center</t>
  </si>
  <si>
    <t>Darasdas Barangay Hall &amp; Day Care Center</t>
  </si>
  <si>
    <t>Brgy. Darasdas, Solsona, Ilocos Norte</t>
  </si>
  <si>
    <t>Darasdas Elem School</t>
  </si>
  <si>
    <t>Juan Barangay Hall</t>
  </si>
  <si>
    <t>Laureta Barangay Hall</t>
  </si>
  <si>
    <t>Brgy. Laureta, Solsona, Ilocos Norte</t>
  </si>
  <si>
    <t>Lipay Barangay Hall &amp; Day Care Center</t>
  </si>
  <si>
    <t>Brgy. Lipay, Solsona, Ilocos Norte</t>
  </si>
  <si>
    <t>Lipay Elem School</t>
  </si>
  <si>
    <t>Maananteng Barangay Hall &amp; Day Care Center</t>
  </si>
  <si>
    <t>Brgy. Maananteng, Solsona, Ilocos Norte</t>
  </si>
  <si>
    <t>Maananteng Elem School</t>
  </si>
  <si>
    <t>Manalpac Barangay Hall &amp; Day Care Center</t>
  </si>
  <si>
    <t>Brgy. Manalpac, Solsona, Ilocos Norte</t>
  </si>
  <si>
    <t>Manalpac-Mariquet Elem School.</t>
  </si>
  <si>
    <t>Brgy. Mariquet, Solsona, Ilocos Norte</t>
  </si>
  <si>
    <t>Mariquet Barangay Hall &amp; Day Care Center</t>
  </si>
  <si>
    <t>Nagpatpatan Barangay Hall &amp; Day Care Center</t>
  </si>
  <si>
    <t>Brgy. Nagpatpatan, Solsona, Ilocos Norte</t>
  </si>
  <si>
    <t>Nagpatpatan Elem School</t>
  </si>
  <si>
    <t>Nalasin Barangay Hall &amp; Day Care Center</t>
  </si>
  <si>
    <t>Brgy. Nalasin, Solsona, Ilocos Norte</t>
  </si>
  <si>
    <t>Puttao Barangay Hall &amp; Day Care Center</t>
  </si>
  <si>
    <t>Brgy. Puttao, Solsona, Ilocos Norte</t>
  </si>
  <si>
    <t>San Juan Barangay Hall &amp; Day Care Center</t>
  </si>
  <si>
    <t>Brgy. San Juan, Solsona, Ilocos Norte</t>
  </si>
  <si>
    <t>San Juan Elem School</t>
  </si>
  <si>
    <t>San Julian Barangay Hall &amp; Day Care Center</t>
  </si>
  <si>
    <t>Brgy. San Julian, Solsona, Ilocos Norte</t>
  </si>
  <si>
    <t>Santiago Barangay Hall &amp; Day Care Center</t>
  </si>
  <si>
    <t>Brgy. Santiago, Solsona, Ilocos Norte</t>
  </si>
  <si>
    <t>Santiago Elem School</t>
  </si>
  <si>
    <t>Solsona National High School</t>
  </si>
  <si>
    <t>Sta. Ana Barangay Hall &amp; Day Care Center</t>
  </si>
  <si>
    <t>Brgy. Sta Ana, Solsona, Ilocos Norte</t>
  </si>
  <si>
    <t>Sta. Ana Elementary School</t>
  </si>
  <si>
    <t>Brgy. Sta. Ana, Solsona, Ilocos Norte</t>
  </si>
  <si>
    <t>Talugtog Barangay Hall &amp; Day Care Center</t>
  </si>
  <si>
    <t>Brgy. Talugtog, Solsona, Ilocos Norte</t>
  </si>
  <si>
    <t>Talugtog Elementary School</t>
  </si>
  <si>
    <t>Talugtog National High School</t>
  </si>
  <si>
    <t>VINTAR</t>
  </si>
  <si>
    <t>Balay ti Ili</t>
  </si>
  <si>
    <t>Brgy. 2, Vintar, Ilocos Norte</t>
  </si>
  <si>
    <t>Women Center</t>
  </si>
  <si>
    <t>Public Auditorium</t>
  </si>
  <si>
    <t>La Presidencia</t>
  </si>
  <si>
    <t>Puericulture Center</t>
  </si>
  <si>
    <t>Rural Health Unit</t>
  </si>
  <si>
    <t>Abkir Elementary School</t>
  </si>
  <si>
    <t>Brgy. 18, Vintar, Ilocos Norte</t>
  </si>
  <si>
    <t>Soil Erosion, Earthquake, Typhoon, Flood</t>
  </si>
  <si>
    <t>DEEPWELL</t>
  </si>
  <si>
    <t>Alejo Malasig Elementary School</t>
  </si>
  <si>
    <t>Brgy. 7, Vintar, Ilocos Norte</t>
  </si>
  <si>
    <t>Alsem Elementary School</t>
  </si>
  <si>
    <t>Brgy. 24, Vintar, Ilocos Norte</t>
  </si>
  <si>
    <t>Bago Elementary School</t>
  </si>
  <si>
    <t>Brgy. 28, Vintar, Ilocos Norte</t>
  </si>
  <si>
    <t>WATER SYSTEM</t>
  </si>
  <si>
    <t>Bulbulala Pre School</t>
  </si>
  <si>
    <t>Brgy. 11, Vintar, Ilocos Norte</t>
  </si>
  <si>
    <t>Cabangaran Elementary School</t>
  </si>
  <si>
    <t>Brgy. 32, Vintar, Ilocos Norte</t>
  </si>
  <si>
    <t>CabayoElementary School</t>
  </si>
  <si>
    <t>Brgy. 33, Vintar, Ilocos Norte</t>
  </si>
  <si>
    <t>Cabisuculan-Columbia Elementary School</t>
  </si>
  <si>
    <t>Brgy. 20 , Vintar, Ilocos Norte</t>
  </si>
  <si>
    <t>Canaam Elementary School</t>
  </si>
  <si>
    <t>Brgy. 26 , Vintar, Ilocos Norte</t>
  </si>
  <si>
    <t>Columbia Pre School</t>
  </si>
  <si>
    <t>Brgy. 19, Vintar, Ilocos Norte</t>
  </si>
  <si>
    <t>Danao Elementary School</t>
  </si>
  <si>
    <t>Brgy. 31, Vintar, Ilocos Norte</t>
  </si>
  <si>
    <t>Dasar Elementary School</t>
  </si>
  <si>
    <t>Brgy. 34, Vintar, Ilocos Norte</t>
  </si>
  <si>
    <t>Dimamaga Elementary School</t>
  </si>
  <si>
    <t>Dipilat Elementary School</t>
  </si>
  <si>
    <t>Brgy. 23, Vintar, Ilocos Norte</t>
  </si>
  <si>
    <t>Esperanza Elementary School</t>
  </si>
  <si>
    <t>Brgy. 27, Vintar, Ilocos Norte</t>
  </si>
  <si>
    <t>Ester Elementary School</t>
  </si>
  <si>
    <t>Brgy. 14, Vintar, Ilocos Norte</t>
  </si>
  <si>
    <t>Florentino Camaquin Integrated School</t>
  </si>
  <si>
    <t>Brgy. 4 , Vintar, Ilocos Norte</t>
  </si>
  <si>
    <t>Gubang Elementary School</t>
  </si>
  <si>
    <t>Isic-Isic Elementary School</t>
  </si>
  <si>
    <t>Lipay Elementary School</t>
  </si>
  <si>
    <t>Brgy. 29, Vintar, Ilocos Norte</t>
  </si>
  <si>
    <t>Lubnac Elementary School</t>
  </si>
  <si>
    <t>Brgy. 9, Vintar, Ilocos Norte</t>
  </si>
  <si>
    <t>Mabanbanag Pre School</t>
  </si>
  <si>
    <t>Brgy. 13, Vintar, Ilocos Norte</t>
  </si>
  <si>
    <t>Magabobo Elementary School</t>
  </si>
  <si>
    <t>Brgy. 16, Vintar, Ilocos Norte</t>
  </si>
  <si>
    <t>Malampa Elementary School</t>
  </si>
  <si>
    <t>Brgy. 21, Vintar, Ilocos Norte</t>
  </si>
  <si>
    <t>Manarang Elementary School</t>
  </si>
  <si>
    <t>Brgy. 22, Vintar, Ilocos Norte</t>
  </si>
  <si>
    <t>Margaay Pre School</t>
  </si>
  <si>
    <t>Brgy. 8, Vintar, Ilocos Norte</t>
  </si>
  <si>
    <t>Masadsaduel Elementary School</t>
  </si>
  <si>
    <t>Namoroc-Mabanbanag Elementary School</t>
  </si>
  <si>
    <t>Brgy. 12, Vintar, Ilocos Norte</t>
  </si>
  <si>
    <t>Pallas Integrated School</t>
  </si>
  <si>
    <t>Parparoroc Elementary School</t>
  </si>
  <si>
    <t>Brgy. 10, Vintar, Ilocos Norte</t>
  </si>
  <si>
    <t>Parut Elementary School</t>
  </si>
  <si>
    <t>Brgy. 6, Vintar, Ilocos Norte</t>
  </si>
  <si>
    <t>Sagpat Elementary School</t>
  </si>
  <si>
    <t>Salpad Integrated School</t>
  </si>
  <si>
    <t>Brgy. 17, Vintar, Ilocos Norte</t>
  </si>
  <si>
    <t>Salsalamagui Elementary School</t>
  </si>
  <si>
    <t>Saricao Elementary School</t>
  </si>
  <si>
    <t>Brgy. 30, Vintar, Ilocos Norte</t>
  </si>
  <si>
    <t>Tamdagan Elementary School</t>
  </si>
  <si>
    <t>Brgy. 25, Vintar, Ilocos Norte</t>
  </si>
  <si>
    <t>Tungel Elementary School</t>
  </si>
  <si>
    <t>Vintar Central Elementary School</t>
  </si>
  <si>
    <t>Visaya Elementary School</t>
  </si>
  <si>
    <t>Brgy. 15, Vintar, Ilocos Norte</t>
  </si>
  <si>
    <t>NAME OF EVACUATION CENTER</t>
  </si>
  <si>
    <t>LOCATION</t>
  </si>
  <si>
    <r>
      <rPr>
        <rFont val="Arial"/>
        <b/>
        <color rgb="FF000000"/>
        <sz val="11.0"/>
      </rPr>
      <t xml:space="preserve">FLOOR AREA (IN SQ. MTR)
</t>
    </r>
    <r>
      <rPr>
        <rFont val="Arial"/>
        <b/>
        <color rgb="FF000000"/>
        <sz val="11.0"/>
      </rPr>
      <t>(Decimal, xxx.xx)</t>
    </r>
  </si>
  <si>
    <r>
      <rPr>
        <rFont val="Arial"/>
        <b/>
        <color rgb="FF000000"/>
        <sz val="11.0"/>
      </rPr>
      <t xml:space="preserve">TOTAL STORAGE CAPACITY OF NUMBER OF FAMILY FOOD PACKS
</t>
    </r>
    <r>
      <rPr>
        <rFont val="Arial"/>
        <b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</si>
  <si>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FAMILY
</t>
    </r>
    <r>
      <rPr>
        <rFont val="Arial"/>
        <b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</si>
  <si>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INDIVIDUAL
</t>
    </r>
    <r>
      <rPr>
        <rFont val="Arial"/>
        <b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</si>
  <si>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FEMALE
</t>
    </r>
    <r>
      <rPr>
        <rFont val="Arial"/>
        <b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</si>
  <si>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MALE
</t>
    </r>
    <r>
      <rPr>
        <rFont val="Arial"/>
        <b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</si>
  <si>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COMMON CR
</t>
    </r>
    <r>
      <rPr>
        <rFont val="Arial"/>
        <b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</si>
  <si>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POTABLE
</t>
    </r>
    <r>
      <rPr>
        <rFont val="Arial"/>
        <b/>
        <color rgb="FF000000"/>
        <sz val="11.0"/>
      </rPr>
      <t>(Text, Ex. Deep well)</t>
    </r>
  </si>
  <si>
    <r>
      <rPr>
        <rFont val="Arial"/>
        <b/>
        <color rgb="FF000000"/>
        <sz val="11.0"/>
      </rPr>
      <t xml:space="preserve">NON-POTABLE
</t>
    </r>
    <r>
      <rPr>
        <rFont val="Arial"/>
        <b/>
        <color rgb="FF000000"/>
        <sz val="11.0"/>
      </rPr>
      <t>(Text, Ex. River)</t>
    </r>
  </si>
  <si>
    <r>
      <rPr>
        <rFont val="Arial"/>
        <b/>
        <color rgb="FF000000"/>
        <sz val="11.0"/>
      </rPr>
      <t xml:space="preserve">YES/NO
</t>
    </r>
    <r>
      <rPr>
        <rFont val="Arial"/>
        <b/>
        <color rgb="FF000000"/>
        <sz val="11.0"/>
      </rPr>
      <t>(Dropdown)</t>
    </r>
  </si>
  <si>
    <r>
      <rPr>
        <rFont val="Arial"/>
        <b/>
        <color rgb="FF000000"/>
        <sz val="11.0"/>
      </rPr>
      <t xml:space="preserve">TOTAL ISOLATION BED CAPACITY (IF USED AS COVID-19 FACILITY)
</t>
    </r>
    <r>
      <rPr>
        <rFont val="Arial"/>
        <b/>
        <color rgb="FF000000"/>
        <sz val="11.0"/>
      </rPr>
      <t>(Number)</t>
    </r>
  </si>
  <si>
    <t>PROVINCE OF ILOCOS SUR</t>
  </si>
  <si>
    <t>Provincial Capitol Evacuation Center</t>
  </si>
  <si>
    <t>Provincial Capitol, Vigan City, Ilocos Sur</t>
  </si>
  <si>
    <t>Quirino Stadium Evacuation Center</t>
  </si>
  <si>
    <t>Quirino Stadium, Bantay, Ilocos Sur</t>
  </si>
  <si>
    <t>Alilem</t>
  </si>
  <si>
    <t>Alilem Central School</t>
  </si>
  <si>
    <t>Alilem daya, Alilem Ilocos Sur</t>
  </si>
  <si>
    <t>Biohazard</t>
  </si>
  <si>
    <t>2500 SQ meter</t>
  </si>
  <si>
    <t>Water System</t>
  </si>
  <si>
    <t>Alilem Municipal Evacuation Center</t>
  </si>
  <si>
    <t>945 SQ meters</t>
  </si>
  <si>
    <t>Dalawa Elementary School</t>
  </si>
  <si>
    <t>Dalawa,Alilem,Ilocos Sur</t>
  </si>
  <si>
    <t>920 SQ meters</t>
  </si>
  <si>
    <t>Anaao Elementary School</t>
  </si>
  <si>
    <t>Anaao,Alilem,Ilocos Sur</t>
  </si>
  <si>
    <t>850 SQ meters</t>
  </si>
  <si>
    <t>Apaya Elementary School</t>
  </si>
  <si>
    <t>Apaya, Alilem,Ilocos Sur</t>
  </si>
  <si>
    <t>800 SQ meters</t>
  </si>
  <si>
    <t>Apang Elementary School</t>
  </si>
  <si>
    <t>Apang,Alilem,Ilocos Sur</t>
  </si>
  <si>
    <t>Amilongan Elementary School</t>
  </si>
  <si>
    <t>Amilongan,Alilem,Ilocos Sur</t>
  </si>
  <si>
    <t>Batbato Elementary School</t>
  </si>
  <si>
    <t>Batbato,Alilem,Ilocos Sur</t>
  </si>
  <si>
    <t>900 SQ meters</t>
  </si>
  <si>
    <t>Daddaay Elementary School</t>
  </si>
  <si>
    <t>Daddaay,Alilem,Ilocos Sur</t>
  </si>
  <si>
    <t>650 SQ meters</t>
  </si>
  <si>
    <t>Kiat Elementary School</t>
  </si>
  <si>
    <t>Kiat,Alilem,Ilocos Sur</t>
  </si>
  <si>
    <t>600 SQ meters</t>
  </si>
  <si>
    <t>BANAYOYO</t>
  </si>
  <si>
    <t>Banayoyo Municipal Hall</t>
  </si>
  <si>
    <t>Poblacion, Banayoyo, Ilocos Sur</t>
  </si>
  <si>
    <t>Maximum of 100 individuals</t>
  </si>
  <si>
    <t>Purified Water from Refilling Station</t>
  </si>
  <si>
    <t>Ground Water (Deep Well)</t>
  </si>
  <si>
    <t>Maximum of 200 individuals</t>
  </si>
  <si>
    <t>Municipal Covered Court</t>
  </si>
  <si>
    <t>Maximum of 500 individuals</t>
  </si>
  <si>
    <t>Banayoyo Central School</t>
  </si>
  <si>
    <t xml:space="preserve">Max. of 35 individuals </t>
  </si>
  <si>
    <t>Poblacion Barangay Hall</t>
  </si>
  <si>
    <t xml:space="preserve">Max. of 30 individuals </t>
  </si>
  <si>
    <t>Our Lady of Lourdes Parish Court</t>
  </si>
  <si>
    <t>Maximum of 150 individuals</t>
  </si>
  <si>
    <t>Bagbagotot Barangay Hall</t>
  </si>
  <si>
    <t>Bagbagotot, Banayoyo, Ilocos Sur</t>
  </si>
  <si>
    <t xml:space="preserve">Max. of 50 individuals </t>
  </si>
  <si>
    <t>Bagbagotot Primary School</t>
  </si>
  <si>
    <t xml:space="preserve">Max. of 75 individuals </t>
  </si>
  <si>
    <t>Banbanaal Barangay Hall</t>
  </si>
  <si>
    <t>Banbanaal, Banayoyo, Ilocos Sur</t>
  </si>
  <si>
    <t>Max. of 100 individuals</t>
  </si>
  <si>
    <t>Banlo Elementary School</t>
  </si>
  <si>
    <t xml:space="preserve">Max. of 300 individuals </t>
  </si>
  <si>
    <t>Bisangol Barangay Hall</t>
  </si>
  <si>
    <t>Bisangol, Banayoyo, Ilocos Sur</t>
  </si>
  <si>
    <t>Cadanglaan Barangay Hall</t>
  </si>
  <si>
    <t>Cadanglaan, Banayoyo, Ilocos Sur</t>
  </si>
  <si>
    <t>Casilagan Norte Barangay Hall</t>
  </si>
  <si>
    <t>Casilagan Norte, Banayoyo, Ilocos Sur</t>
  </si>
  <si>
    <t>Casilagan Sur Barangay Hall</t>
  </si>
  <si>
    <t>Casilagan Sur, Banayoyo, Ilocos Sur</t>
  </si>
  <si>
    <t xml:space="preserve">Max. of 150 individuals </t>
  </si>
  <si>
    <t>Casilagan Elementary School</t>
  </si>
  <si>
    <t>Elefante Barangay Hall</t>
  </si>
  <si>
    <t>Elefante, Banayoyo, Ilocos Sur</t>
  </si>
  <si>
    <t>Guardia Barangay Hall</t>
  </si>
  <si>
    <t>Guardia, Banayoyo, Ilocos Sur</t>
  </si>
  <si>
    <t>Lintic Barangay Hall</t>
  </si>
  <si>
    <t>Lintic , Banayoyo, Ilocos Sur</t>
  </si>
  <si>
    <t>Lopez Child Development Center</t>
  </si>
  <si>
    <t>Lopez , Banayoyo, Ilocos Sur</t>
  </si>
  <si>
    <t xml:space="preserve">Max. of 400 individuals </t>
  </si>
  <si>
    <t>Montero Barangay Hall</t>
  </si>
  <si>
    <t>Montero, Banayoyo, Ilocos Sur</t>
  </si>
  <si>
    <t xml:space="preserve">Max. of 100 individuals </t>
  </si>
  <si>
    <t>Montero Elementary School</t>
  </si>
  <si>
    <t>Naguimba Barangay Hall</t>
  </si>
  <si>
    <t>Naguimba, Banayoyo, Ilocos Sur</t>
  </si>
  <si>
    <t>Naguimba Elementary School</t>
  </si>
  <si>
    <t>Bay-asan Elementary School</t>
  </si>
  <si>
    <t>Pila Barangay Hall</t>
  </si>
  <si>
    <t>Pila, Banayoyo, Ilocos Sur</t>
  </si>
  <si>
    <t>Naguimba Covered Court</t>
  </si>
  <si>
    <t xml:space="preserve">Max. of 200 individuals </t>
  </si>
  <si>
    <t>Pila Covered Court</t>
  </si>
  <si>
    <t>Bantay</t>
  </si>
  <si>
    <t xml:space="preserve">Bantay Arcade 
(Municipal Evacuation Center)
</t>
  </si>
  <si>
    <t>Municipality of Bantay, Brgy. V, Bantay, Ilocos Sur</t>
  </si>
  <si>
    <t>2 &amp; 1 PWD</t>
  </si>
  <si>
    <t>Electric Pump</t>
  </si>
  <si>
    <t>---</t>
  </si>
  <si>
    <t>Day Care Center</t>
  </si>
  <si>
    <t>Aggay, Bantay, Ilocos Sur</t>
  </si>
  <si>
    <t>30 sq.m</t>
  </si>
  <si>
    <t>n/a</t>
  </si>
  <si>
    <t>Nawasa</t>
  </si>
  <si>
    <t>Brgy. Multi-Purpose Hall</t>
  </si>
  <si>
    <t>An-annam, Bantay, Ilocos Sur</t>
  </si>
  <si>
    <t>4 m x 9.50 m</t>
  </si>
  <si>
    <t>Barangay Health Center</t>
  </si>
  <si>
    <t>5m x 5m</t>
  </si>
  <si>
    <t>4m x 9.50 m</t>
  </si>
  <si>
    <t>electric pump</t>
  </si>
  <si>
    <t>Balaleng, Bantay, Ilocos Sur</t>
  </si>
  <si>
    <t>30 sq.m (2 floors)</t>
  </si>
  <si>
    <t>Nawasa (MVWD)</t>
  </si>
  <si>
    <t>27 sq.m</t>
  </si>
  <si>
    <t>Banaoang, Bantay, Ilocos Sur</t>
  </si>
  <si>
    <t>8 m x 4 m</t>
  </si>
  <si>
    <t>4m x4 m</t>
  </si>
  <si>
    <t>Banaoang Day Care Center</t>
  </si>
  <si>
    <t>4m x 4m</t>
  </si>
  <si>
    <t>Barangay I, Bantay, Ilocos Sur</t>
  </si>
  <si>
    <t>deepwell</t>
  </si>
  <si>
    <t>Barangay II, Bantay, Ilocos Sur</t>
  </si>
  <si>
    <t>6m x 7m</t>
  </si>
  <si>
    <t>Electric</t>
  </si>
  <si>
    <t>EP Hall</t>
  </si>
  <si>
    <t>Barangay III,Bantay, Ilocos Sur</t>
  </si>
  <si>
    <t>50 sq.m</t>
  </si>
  <si>
    <t>Barangay IV, Bantay, Ilocos Sur</t>
  </si>
  <si>
    <t>Barangay multi-Purpose Hall</t>
  </si>
  <si>
    <t>Barangay V, Bantay, Ilocos Sur</t>
  </si>
  <si>
    <t>30 sq. m.</t>
  </si>
  <si>
    <t>Barangay VI, Bantay, Ilocos Sur</t>
  </si>
  <si>
    <t>3 m x 4 m</t>
  </si>
  <si>
    <t>Day care center</t>
  </si>
  <si>
    <t>3 m x 3 m</t>
  </si>
  <si>
    <t>Barangay Hall</t>
  </si>
  <si>
    <t>Bulag, Bantay, Ilocos Sur</t>
  </si>
  <si>
    <t>50 sq.m. (2 floors)</t>
  </si>
  <si>
    <t>Barangay Health Station</t>
  </si>
  <si>
    <t>Buquig, Bantay, Ilocos Sur</t>
  </si>
  <si>
    <t>51.48 sqm.</t>
  </si>
  <si>
    <t>Cabalanggan, Bantay, Ilocos Sur</t>
  </si>
  <si>
    <t>6.8 m x 2.5 m</t>
  </si>
  <si>
    <t>5.35 m x 3.5 m</t>
  </si>
  <si>
    <t>Brgy chapel</t>
  </si>
  <si>
    <t>9.3 m x 10.5 m</t>
  </si>
  <si>
    <t>Cabaroan, Bantay, Ilocos Sur</t>
  </si>
  <si>
    <t>9 m x 11 m</t>
  </si>
  <si>
    <t>6 m x 8 m</t>
  </si>
  <si>
    <t>Cabusligan, Bantay, Ilocos Sur</t>
  </si>
  <si>
    <t>Capangdanan, Bantay, Ilocos Sur</t>
  </si>
  <si>
    <t>Guimod Evacuation Center</t>
  </si>
  <si>
    <t>Guimod, Bantay, Ilocos Sur</t>
  </si>
  <si>
    <t>Electric pump</t>
  </si>
  <si>
    <t>Brgy. Health Center</t>
  </si>
  <si>
    <t>9 m x 9 m</t>
  </si>
  <si>
    <t>Lingsat, Bantay, Ilocos Sur</t>
  </si>
  <si>
    <t>Malingeb, Bantay, Ilocos Sur</t>
  </si>
  <si>
    <t>50.8 sqm</t>
  </si>
  <si>
    <t>10.29 sqm</t>
  </si>
  <si>
    <t>25.89 sqm</t>
  </si>
  <si>
    <t>Mira, Bantay, Ilocos Sur</t>
  </si>
  <si>
    <t>5m x 6m</t>
  </si>
  <si>
    <t>5m x 8m</t>
  </si>
  <si>
    <t>3m x 5m</t>
  </si>
  <si>
    <t>Naguiddayan, Bantay, Ilocos Sur</t>
  </si>
  <si>
    <t>Ora, Bantay, Ilocos Sur</t>
  </si>
  <si>
    <t>44 sqm</t>
  </si>
  <si>
    <t>Purified Water</t>
  </si>
  <si>
    <t>Deep Well Water Pump</t>
  </si>
  <si>
    <t>39 sqm</t>
  </si>
  <si>
    <t>Paing, Bantay, Ilocos Sur</t>
  </si>
  <si>
    <t>13.0 m x 5.5 m</t>
  </si>
  <si>
    <t>90-100</t>
  </si>
  <si>
    <t>MVWD</t>
  </si>
  <si>
    <t>Puspus, Bantay, Ilocos Sur</t>
  </si>
  <si>
    <t>Quimmarayan, Bantay, Ilocos Sur</t>
  </si>
  <si>
    <t>8×7</t>
  </si>
  <si>
    <t>on going</t>
  </si>
  <si>
    <t>water pump</t>
  </si>
  <si>
    <t>7×6</t>
  </si>
  <si>
    <t>On going</t>
  </si>
  <si>
    <t>Water pump</t>
  </si>
  <si>
    <t>Barangay Hall (new)</t>
  </si>
  <si>
    <t>Sagneb, Bantay, Ilocos Sur</t>
  </si>
  <si>
    <t>5.50 m x 7.50 m</t>
  </si>
  <si>
    <t>Barangay Hall (old)</t>
  </si>
  <si>
    <t>4mx5m</t>
  </si>
  <si>
    <t>5.50 m x7.50 m</t>
  </si>
  <si>
    <t>Barangay Hall &amp; Health Station</t>
  </si>
  <si>
    <t>Sagpat, Bantay, Ilocos Sur</t>
  </si>
  <si>
    <t>8mX8m</t>
  </si>
  <si>
    <t>MINERAL</t>
  </si>
  <si>
    <t>8m x 8m</t>
  </si>
  <si>
    <t>San Isidro, Bantay, Ilocos Sur</t>
  </si>
  <si>
    <t>25 sqm.</t>
  </si>
  <si>
    <t>40 sqm</t>
  </si>
  <si>
    <t>San Julian, Bantay, Ilocos Sur</t>
  </si>
  <si>
    <t>4m x 5 m</t>
  </si>
  <si>
    <t>San Mariano, Bantay, Ilocos Sur</t>
  </si>
  <si>
    <t>6m x 11m</t>
  </si>
  <si>
    <t>Solar Water</t>
  </si>
  <si>
    <t>Spring Water</t>
  </si>
  <si>
    <t>3.50m x 7.50m</t>
  </si>
  <si>
    <t>5m x 7m</t>
  </si>
  <si>
    <t>Sinabaan, Bantay, Ilocos Sur</t>
  </si>
  <si>
    <t>10 m x 10 m</t>
  </si>
  <si>
    <t>Taguiporo, Bantay, Ilocos Sur</t>
  </si>
  <si>
    <t>30 sqm</t>
  </si>
  <si>
    <t>50sq</t>
  </si>
  <si>
    <t>Taleb, Bantay, Ilocos Sur</t>
  </si>
  <si>
    <t>12m x 6m</t>
  </si>
  <si>
    <t>7m x 8m</t>
  </si>
  <si>
    <t>Tay-ac, Bantay, Ilocos Sur</t>
  </si>
  <si>
    <t>80 sqm</t>
  </si>
  <si>
    <t>Nawasa/ Spring Water</t>
  </si>
  <si>
    <t>49 sqm</t>
  </si>
  <si>
    <t>36 sqm</t>
  </si>
  <si>
    <t>Burgos</t>
  </si>
  <si>
    <t>DA Building</t>
  </si>
  <si>
    <t>Pob. Norte, Burgos,I.S.</t>
  </si>
  <si>
    <t>not set</t>
  </si>
  <si>
    <t>OTOP Center</t>
  </si>
  <si>
    <t>Civic Center</t>
  </si>
  <si>
    <t>ABC Hall</t>
  </si>
  <si>
    <t>Brgy. Multi-Purpose Building</t>
  </si>
  <si>
    <t>Ambugat, Burgos, BIS</t>
  </si>
  <si>
    <t>Balugang  Covered Court</t>
  </si>
  <si>
    <t>Balugang, Burgos, IS</t>
  </si>
  <si>
    <t>Earthquake, Flood, Typhoon</t>
  </si>
  <si>
    <t>level 3</t>
  </si>
  <si>
    <t>deep well/ground</t>
  </si>
  <si>
    <t>Bangbangar, Burgos, IS</t>
  </si>
  <si>
    <t xml:space="preserve">Earthquake, Typhoon </t>
  </si>
  <si>
    <t>Solar/Electric Water</t>
  </si>
  <si>
    <t>Bessang Covered Court</t>
  </si>
  <si>
    <t>Bessang, Burgos, IS</t>
  </si>
  <si>
    <t>Covered court</t>
  </si>
  <si>
    <t>Cabcaburao, Burgos, IS</t>
  </si>
  <si>
    <t>Earthqiake, Flood, Fire</t>
  </si>
  <si>
    <t>refilling station</t>
  </si>
  <si>
    <t>Cadacad, Burgos, IS</t>
  </si>
  <si>
    <t>earthquake, landslide, typhoon</t>
  </si>
  <si>
    <t xml:space="preserve">water system </t>
  </si>
  <si>
    <t>Callitong, Burgos, IS</t>
  </si>
  <si>
    <t>Earthquake, Flood, Lanslide</t>
  </si>
  <si>
    <t>Water syste</t>
  </si>
  <si>
    <t>Dayanki, Burgos, IS</t>
  </si>
  <si>
    <t>Earthquake, flood, landslide</t>
  </si>
  <si>
    <t xml:space="preserve">Deep well </t>
  </si>
  <si>
    <t>Dirdirig, Burgos, IS</t>
  </si>
  <si>
    <t>Earthquake, Flood, Landslide</t>
  </si>
  <si>
    <t>water system</t>
  </si>
  <si>
    <t>Lesseb, Burgos, IS</t>
  </si>
  <si>
    <t>Earthquake, Flood, Lansdslide</t>
  </si>
  <si>
    <t>Lubing, Burgos, IS</t>
  </si>
  <si>
    <t>Earthquake, Landslide, Flood, Typhoon</t>
  </si>
  <si>
    <t>Lucaban, Burgos, IS</t>
  </si>
  <si>
    <t>Landslide, Flood</t>
  </si>
  <si>
    <t>Luna, Burgos, IS</t>
  </si>
  <si>
    <t>brgy. Multi-Purpose Building/ Post Harvest Facility</t>
  </si>
  <si>
    <t>Macaoayan, Burgos, IS</t>
  </si>
  <si>
    <t>600, 300</t>
  </si>
  <si>
    <t>10,20</t>
  </si>
  <si>
    <t>Water System, Electric Pump</t>
  </si>
  <si>
    <t xml:space="preserve">none </t>
  </si>
  <si>
    <t>Mambug, Burgos, IS</t>
  </si>
  <si>
    <t>Earthquake,Typhoon</t>
  </si>
  <si>
    <t>Manaboc, Burgos, IS</t>
  </si>
  <si>
    <t>Brgy. Multi-Purpose Building/Bessang Covered Court</t>
  </si>
  <si>
    <t>Mapanit, Burgos, IS</t>
  </si>
  <si>
    <t>Nagpanaoan, Burgos, IS</t>
  </si>
  <si>
    <t>earthquake, typhoon, flood</t>
  </si>
  <si>
    <t>purified water</t>
  </si>
  <si>
    <t>deep well/electric pump</t>
  </si>
  <si>
    <t>Brgy.Multi-Purpose Building</t>
  </si>
  <si>
    <t>Paduros, Burgos, IS</t>
  </si>
  <si>
    <t>earthquake,flood,landslide tyohoon</t>
  </si>
  <si>
    <t xml:space="preserve"> deep well</t>
  </si>
  <si>
    <t>Patac, Burgos, IS</t>
  </si>
  <si>
    <t>earthquake, flood</t>
  </si>
  <si>
    <t>earthquake, flood,typhoon</t>
  </si>
  <si>
    <t>n?a</t>
  </si>
  <si>
    <t>Barangay Multi-Purpose Hall</t>
  </si>
  <si>
    <t>Pob. Sur, Burgos, Ilocos Sur</t>
  </si>
  <si>
    <t>Sabangan-Pingan, BIS</t>
  </si>
  <si>
    <t>earthquake, flood, landslide, typhoon</t>
  </si>
  <si>
    <t>spring water</t>
  </si>
  <si>
    <t>Subadi Norte, Burgos, IS</t>
  </si>
  <si>
    <t>earthquake, flood, typhoon</t>
  </si>
  <si>
    <t>Refilling Station</t>
  </si>
  <si>
    <t>Ground water, deep well</t>
  </si>
  <si>
    <t>Subadi Sur, Burgos, IS</t>
  </si>
  <si>
    <t>earthquake, typhoon, landslide</t>
  </si>
  <si>
    <t>Taliao, Burgos, IS</t>
  </si>
  <si>
    <t>Candon</t>
  </si>
  <si>
    <t>ALLANGIGAN 1ST  BARANGAY HALL</t>
  </si>
  <si>
    <t>ALLANGIGAN 1ST, CANDON CITY, ILOCOS SUR</t>
  </si>
  <si>
    <t>EARTHQUAKE, FLOOD</t>
  </si>
  <si>
    <t>CANDON CITY WATER DISTRICT</t>
  </si>
  <si>
    <t>ALLANGIGAN 2ND BARANGAY HALL</t>
  </si>
  <si>
    <t>ALLANGIGAN 2ND, CANDON CITY, ILOCOS SUR</t>
  </si>
  <si>
    <t>EARTHQUAKE</t>
  </si>
  <si>
    <t>AMGUID BARANGAY HALL</t>
  </si>
  <si>
    <t>CALAOA-AN, CANDON CITY, ILOCOS SUR</t>
  </si>
  <si>
    <t>AYUDANTE BARANGAY HALL</t>
  </si>
  <si>
    <t>AYUDANTE, CANDON CITY, ILOCOS SUR</t>
  </si>
  <si>
    <t>BAGANI CAMPO BARANGAY HALL</t>
  </si>
  <si>
    <t>BAGANI CAMPO, CANDON CITY, ILOCOS SUR</t>
  </si>
  <si>
    <t>BAGANI GABOR BARANGAY HALL</t>
  </si>
  <si>
    <t>BAGANI GABOR, CANDON CITY, ILOCOS SUR</t>
  </si>
  <si>
    <t>BAGANI TOCGO BARANGAY HALL</t>
  </si>
  <si>
    <t>BAGANI TOCGO, CANDON CITY, ILOCOS SUR</t>
  </si>
  <si>
    <t>BAGANI UBBOG BARANGAY HALL</t>
  </si>
  <si>
    <t>BAGANI UBBOG, CANDON CITY, ILOCOS SUR</t>
  </si>
  <si>
    <t>BAGAR BARANGAY HALL</t>
  </si>
  <si>
    <t>BAGAR, CANDON CITY, ILOCOS SUR</t>
  </si>
  <si>
    <t>BALINGAOAN  BARANGAY HALL</t>
  </si>
  <si>
    <t>BALINGAOAN, CANDON CITY, ILOCOS SUR</t>
  </si>
  <si>
    <t>ELECTRIC PUMP/DEEP WELL</t>
  </si>
  <si>
    <t>BUGNAY BARANGAY HALL</t>
  </si>
  <si>
    <t>BUGNAY, CANDON CITY, ILOCOS SUR</t>
  </si>
  <si>
    <t>CALAOAAN BARANGAY HALL</t>
  </si>
  <si>
    <t>CALAOAAN, CANDON CITY, ILOCOS SUR</t>
  </si>
  <si>
    <t>CALONGBUYAN MULTIPURPOSE HALL</t>
  </si>
  <si>
    <t>CALONGBUYAN, CANDON CITY, ILOCOS SUR</t>
  </si>
  <si>
    <t>CATERMAN BARANGAY HALL</t>
  </si>
  <si>
    <t>CATERMAN, CANDON CITY, ILOCOS SUR</t>
  </si>
  <si>
    <t>CUBCUBBUOT BARANGAY HALL</t>
  </si>
  <si>
    <t xml:space="preserve">CUBCUBBUOT, CANDON CITY, ILOCOS </t>
  </si>
  <si>
    <t>DARAPIDAP BARANGAY HALL</t>
  </si>
  <si>
    <t>DARAPIDAP, CANDON CITY, ILOCOS SUR</t>
  </si>
  <si>
    <t>EARTHQUAKE, STORM SURGE</t>
  </si>
  <si>
    <t>LANGLANGCA 1ST BARANGAY HALL</t>
  </si>
  <si>
    <t>LANGLANGCA 1ST, CANDON CITY, ILOCOS SUR</t>
  </si>
  <si>
    <t>LANGLANGCA 2ND BARANGAY HALL</t>
  </si>
  <si>
    <t>LANGLANGCA 2ND, CANDON CITY, ILOCOS SUR</t>
  </si>
  <si>
    <t>OAIG-DAYA BARANGAY HALL</t>
  </si>
  <si>
    <t>OAIG-DAYA, CANDON CITY, ILOCOS SUR</t>
  </si>
  <si>
    <t>PALACAPAC BARANGAY HALL</t>
  </si>
  <si>
    <t>PALACAPAC, CANDON CITY, ILOCOS SUR</t>
  </si>
  <si>
    <t>PARAS BARANGAY HALL</t>
  </si>
  <si>
    <t>PARAS, CANDON CITY, ILOCOS SUR</t>
  </si>
  <si>
    <t>PARIOC 1ST BARANGAY HALL</t>
  </si>
  <si>
    <t>PARIOC 1ST, CANDON CITY, ILOCOS SUR</t>
  </si>
  <si>
    <t>PARIOC 2ND BARANGAY HALL</t>
  </si>
  <si>
    <t>PARIOC 2ND, CANDON CITY, ILOCOS SUR</t>
  </si>
  <si>
    <t>PATPATA 1ST BARANGAY HALL</t>
  </si>
  <si>
    <t>PATPATA 1ST, CANDON CITY, ILOCOS SUR</t>
  </si>
  <si>
    <t>PATPATA 2ND BARANGAY HALL</t>
  </si>
  <si>
    <t>PATPATA 2ND,  CANDON CITY, ILOCOS SUR</t>
  </si>
  <si>
    <t>PAYPAYAD BARANGAY HALL</t>
  </si>
  <si>
    <t>PAYPAYAD, CANDON CITY, ILOCOS SUR</t>
  </si>
  <si>
    <t>SALVADOR 1ST BARANGAY HALL</t>
  </si>
  <si>
    <t>SALVADOR 1ST, CANDON CITY, ILOCOS SUR</t>
  </si>
  <si>
    <t>SALVADOR 2ND BARANGAY HALL</t>
  </si>
  <si>
    <t>SALVADOR 2ND, CANDON CITY, ILOCOS SUR</t>
  </si>
  <si>
    <t>SAN AGUSTIN BARANGAY HALL</t>
  </si>
  <si>
    <t>SAN AGUSTIN,  CANDON CITY, ILOCOS SUR</t>
  </si>
  <si>
    <t>SAN ANDRES BARANGAY HALL</t>
  </si>
  <si>
    <t>SAN ANDRES,  CANDON CITY, ILOCOS SUR</t>
  </si>
  <si>
    <t>SAN ANTONIO BARANGAY HALL</t>
  </si>
  <si>
    <t>SAN ANTONIO,  CANDON CITY, ILOCOS SUR</t>
  </si>
  <si>
    <t>SAN ISIDRO BARANGAY HALL</t>
  </si>
  <si>
    <t>SAN ISIDRO,  CANDON CITY, ILOCOS SUR</t>
  </si>
  <si>
    <t>SAN JOSE BARANGAY HALL</t>
  </si>
  <si>
    <t>SAN JOSE,  CANDON CITY, ILOCOS SUR</t>
  </si>
  <si>
    <t>SAN JUAN BARANGAY HALL</t>
  </si>
  <si>
    <t>SAN JUAN,  CANDON CITY, ILOCOS SUR</t>
  </si>
  <si>
    <t>SAN NICOLAS BARANGAY HALL</t>
  </si>
  <si>
    <t>SAN NICOLAS,  CANDON CITY, ILOCOS SUR</t>
  </si>
  <si>
    <t>SAN PEDRO BARANGAY HALL</t>
  </si>
  <si>
    <t>SAN PEDRO,  CANDON CITY, ILOCOS SUR</t>
  </si>
  <si>
    <t>SANTO TOMAS BARANGAY HALL</t>
  </si>
  <si>
    <t>SANTO TOMAS,  CANDON CITY, ILOCOS SUR</t>
  </si>
  <si>
    <t>TABLAC BARANGAY HALL</t>
  </si>
  <si>
    <t>TABLAC,  CANDON CITY, ILOCOS SUR</t>
  </si>
  <si>
    <t>TABLAC FARMERS MULTIPURPOSE HALL</t>
  </si>
  <si>
    <t>TALOGTOG BARANGAY HALL</t>
  </si>
  <si>
    <t>TALOGTOG,  CANDON CITY, ILOCOS SUR</t>
  </si>
  <si>
    <t>TAMURONG 1ST BARANGAY HALL</t>
  </si>
  <si>
    <t>TAMURONG 1ST,  CANDON CITY, ILOCOS SUR</t>
  </si>
  <si>
    <t>TAMURONG 2ND BARANGAY HALL</t>
  </si>
  <si>
    <t>TAMURONG 2ND,  CANDON CITY, ILOCOS SUR</t>
  </si>
  <si>
    <t>VILLARICA MULTIPURPOSE HAL</t>
  </si>
  <si>
    <t>VILLARICA,  CANDON CITY, ILOCOS SUR</t>
  </si>
  <si>
    <t>CALAOAAN EVACUATION CENTER</t>
  </si>
  <si>
    <t>CANDON CIVIC CENTER</t>
  </si>
  <si>
    <t>CANDON CITY ARENA</t>
  </si>
  <si>
    <t>BAGANI CAMPO,  CANDON CITY, ILOCOS SUR</t>
  </si>
  <si>
    <t>Caoayan</t>
  </si>
  <si>
    <t>Caoayan Evacuation Center</t>
  </si>
  <si>
    <t>Don Dimas Querubin</t>
  </si>
  <si>
    <t>Caoayan Municipal Hall</t>
  </si>
  <si>
    <t>NSCC</t>
  </si>
  <si>
    <t>Don Alejandro Quirolgico</t>
  </si>
  <si>
    <t>Caoayan Central School</t>
  </si>
  <si>
    <t>Don Lorenzo Querubin</t>
  </si>
  <si>
    <t>Baggoc-Pantay Quitiquit Elem Sch</t>
  </si>
  <si>
    <t>Baggoc</t>
  </si>
  <si>
    <t>Caoayan National High School</t>
  </si>
  <si>
    <t>Pandan</t>
  </si>
  <si>
    <t>Cervantes</t>
  </si>
  <si>
    <t>Municipal Gymnasium</t>
  </si>
  <si>
    <t>Rosario, Cervantes, Ilocos Sur</t>
  </si>
  <si>
    <t>1,648 sq. M</t>
  </si>
  <si>
    <t>Lepanto Hall</t>
  </si>
  <si>
    <t>96 sq. M</t>
  </si>
  <si>
    <t>Balay Silangan</t>
  </si>
  <si>
    <t>108 sq. M</t>
  </si>
  <si>
    <t>Barangay Hall of Aluling</t>
  </si>
  <si>
    <t>Aluling, Cervantes, Ilocos Sur</t>
  </si>
  <si>
    <t>144 sq. M</t>
  </si>
  <si>
    <t>Barangay Hall of Comillas North</t>
  </si>
  <si>
    <t>Comillas North, Cervantes, Ilocos Sur</t>
  </si>
  <si>
    <t>180 sq. M</t>
  </si>
  <si>
    <t>Barangay Hall of Comillas Sourh</t>
  </si>
  <si>
    <t>Comillas South, Cervantes, Ilocos Sur</t>
  </si>
  <si>
    <t>216 sq. M</t>
  </si>
  <si>
    <t>Barangay Hall of Concepcion</t>
  </si>
  <si>
    <t>Concepcion, Cervantes, Ilocos Sur</t>
  </si>
  <si>
    <t>Barangay Hall of Dinwede East</t>
  </si>
  <si>
    <t>Dinwede East, Cervantes, Ilocos Sur</t>
  </si>
  <si>
    <t>160.5 sq. M</t>
  </si>
  <si>
    <t>Barangay Hall of Dinwede West</t>
  </si>
  <si>
    <t>Dinwede West, Cervantes, Ilocos Sur</t>
  </si>
  <si>
    <t>112 sq. M</t>
  </si>
  <si>
    <t>Barangay Hall of Libang</t>
  </si>
  <si>
    <t>Libang, Cervantes, Ilocos Sur</t>
  </si>
  <si>
    <t>126 sq. M</t>
  </si>
  <si>
    <t>Barangay Hall of Malaya</t>
  </si>
  <si>
    <t>Malaya, Cervantes, Ilocos Sur</t>
  </si>
  <si>
    <t>102 sq. M</t>
  </si>
  <si>
    <t>Barangay Hall of Pilipil</t>
  </si>
  <si>
    <t>Pilipil, Cervantes, Ilocos Sur</t>
  </si>
  <si>
    <t>150 sq. M</t>
  </si>
  <si>
    <t>Barangay Hall of Remedios</t>
  </si>
  <si>
    <t>Remedios, Cervantes, Ilocos Sur</t>
  </si>
  <si>
    <t>Barangay Hall of Rosario</t>
  </si>
  <si>
    <t>Barangay Hall of San Juan</t>
  </si>
  <si>
    <t>San Juan, Cervantes, Ilocos Sur</t>
  </si>
  <si>
    <t>Barangay Hall of San Luis</t>
  </si>
  <si>
    <t>San Luis, Cervantes, Ilocos Sur</t>
  </si>
  <si>
    <t>Galimuyod</t>
  </si>
  <si>
    <t>Galimuyod Evacuation Center</t>
  </si>
  <si>
    <t>Poblacion, beside RHU bldg.</t>
  </si>
  <si>
    <t>water refilling stations</t>
  </si>
  <si>
    <t>water system, water district</t>
  </si>
  <si>
    <t>Municipal Hall Lobby &amp; Function Room</t>
  </si>
  <si>
    <t>Municipal Hall, Poblacion</t>
  </si>
  <si>
    <t>in front of Municipal Hall</t>
  </si>
  <si>
    <t>Galimuyod Central School</t>
  </si>
  <si>
    <t>along nat'l road, Calongbuyan</t>
  </si>
  <si>
    <t>Abaya Barangay Hall</t>
  </si>
  <si>
    <t>Abaya</t>
  </si>
  <si>
    <t>deep well, water system, water refilling stations</t>
  </si>
  <si>
    <t>deep well, water system</t>
  </si>
  <si>
    <t>Abaya Covered Court</t>
  </si>
  <si>
    <t>Baracbac Barangay Hall</t>
  </si>
  <si>
    <t>Baracbac</t>
  </si>
  <si>
    <t>Baracbac Primary School</t>
  </si>
  <si>
    <t>Bidbiday Barangay Hall</t>
  </si>
  <si>
    <t>Bidbiday</t>
  </si>
  <si>
    <t>Bidbiday Covered Court</t>
  </si>
  <si>
    <t>Bidbiday Elementary School</t>
  </si>
  <si>
    <t>Bitong Barangay Hall</t>
  </si>
  <si>
    <t>Bitong</t>
  </si>
  <si>
    <t>Bitong Covered Court</t>
  </si>
  <si>
    <t>Bitong Elementary School</t>
  </si>
  <si>
    <t>Borobor Barangay Hall</t>
  </si>
  <si>
    <t>Borobor</t>
  </si>
  <si>
    <t>Borobor Covered Court</t>
  </si>
  <si>
    <t>Calimugtong Barangay Hall</t>
  </si>
  <si>
    <t>Calimugtong</t>
  </si>
  <si>
    <t>Calimugtong Covered Court</t>
  </si>
  <si>
    <t>Calimugtong Elementary School</t>
  </si>
  <si>
    <t>Calongbuyan Barangay Hall</t>
  </si>
  <si>
    <t>Calongbuyan</t>
  </si>
  <si>
    <t>Calongbuyan Covered Court</t>
  </si>
  <si>
    <t>Calumbaya Barangay Hall</t>
  </si>
  <si>
    <t>Calumbaya</t>
  </si>
  <si>
    <t>Calumbaya Covered Court</t>
  </si>
  <si>
    <t>Daldagan Barangay Hall</t>
  </si>
  <si>
    <t>Daldagan</t>
  </si>
  <si>
    <t>Daldagan Covered Court</t>
  </si>
  <si>
    <t>Kilang Barangay Hall</t>
  </si>
  <si>
    <t>Kilang</t>
  </si>
  <si>
    <t>Kilang Covered Court</t>
  </si>
  <si>
    <t>Kilang Primary School</t>
  </si>
  <si>
    <t>Legaspi Barangay Hall</t>
  </si>
  <si>
    <t>Legaspi</t>
  </si>
  <si>
    <t>Mabayag Barangay Hall</t>
  </si>
  <si>
    <t>along national road, Mabayag</t>
  </si>
  <si>
    <t>Mabayag Covered Court</t>
  </si>
  <si>
    <t>Mabayag</t>
  </si>
  <si>
    <t>Matanubong Barangay Hall</t>
  </si>
  <si>
    <t>Matanubong</t>
  </si>
  <si>
    <t>Matanubong Covered Court</t>
  </si>
  <si>
    <t>McKinley Barangay Hall</t>
  </si>
  <si>
    <t>McKinley</t>
  </si>
  <si>
    <t>McKinley Covered Court</t>
  </si>
  <si>
    <t>McKinley Primary School</t>
  </si>
  <si>
    <t>Nagsingcaoan Barangay Hall</t>
  </si>
  <si>
    <t>along national road, Nagsingcaoan</t>
  </si>
  <si>
    <t>Nagsingcaoan Covered Court</t>
  </si>
  <si>
    <t>Oaig Daya Barangay Hall</t>
  </si>
  <si>
    <t>Oaig Daya</t>
  </si>
  <si>
    <t>Oaig Daya Covered Court</t>
  </si>
  <si>
    <t>Pagangpang Barangay Hall</t>
  </si>
  <si>
    <t>Pagangpang</t>
  </si>
  <si>
    <t>Pagangpang Elementary School</t>
  </si>
  <si>
    <t>Pagangpang National High School</t>
  </si>
  <si>
    <t>Patac Barangay Hall</t>
  </si>
  <si>
    <t>along national road, Patac</t>
  </si>
  <si>
    <t>Patac Covered Court</t>
  </si>
  <si>
    <t>Patac Elementary School</t>
  </si>
  <si>
    <t>Poblacion</t>
  </si>
  <si>
    <t>Poblacion Covered Court</t>
  </si>
  <si>
    <t>Rubio Barangay Hall</t>
  </si>
  <si>
    <t>Rubio</t>
  </si>
  <si>
    <t>Rubio Covered Court</t>
  </si>
  <si>
    <t>Sabangan Bato Barangay Hall</t>
  </si>
  <si>
    <t>Sabangan Bato</t>
  </si>
  <si>
    <t>Sabangan Bato Covered Court</t>
  </si>
  <si>
    <t>Sacaang Barangay Hall</t>
  </si>
  <si>
    <t>Sacaang</t>
  </si>
  <si>
    <t>Sacaang Covered Court</t>
  </si>
  <si>
    <t>San Vicente Barangay Hall</t>
  </si>
  <si>
    <t>San Vicente</t>
  </si>
  <si>
    <t>San Vicente Covered Court</t>
  </si>
  <si>
    <t>Sapang Barangay Hall</t>
  </si>
  <si>
    <t>Sapang</t>
  </si>
  <si>
    <t>Sapang Covered Court</t>
  </si>
  <si>
    <t>Gregorio Del Pilar</t>
  </si>
  <si>
    <t>Alfonso Elementary School</t>
  </si>
  <si>
    <t>Barangay Alfonso</t>
  </si>
  <si>
    <t>Alfonso Barangay Hall and Covered Court</t>
  </si>
  <si>
    <t>Tangaoan Day Care Center</t>
  </si>
  <si>
    <t>Sitio Tangaoan, Barangay Alfonso</t>
  </si>
  <si>
    <t>Bussot Primary School</t>
  </si>
  <si>
    <t>Barangay Bussot</t>
  </si>
  <si>
    <t>Bussot Barangay Hall</t>
  </si>
  <si>
    <t>Bussot Covered Court</t>
  </si>
  <si>
    <t>Concepcion Elementary School</t>
  </si>
  <si>
    <t>Barangay Concepcion</t>
  </si>
  <si>
    <t>Our Lady of Parish Church</t>
  </si>
  <si>
    <t>Concepcion Barangay Hall</t>
  </si>
  <si>
    <t>Barangay Concepcion Covered Court</t>
  </si>
  <si>
    <t>Concepcion Adventist Academy</t>
  </si>
  <si>
    <t>Dapdappig Barangay Hall</t>
  </si>
  <si>
    <t>Barangay Dapdappig</t>
  </si>
  <si>
    <t>Dapdappig Primary School</t>
  </si>
  <si>
    <t>Matue Barangay Hall and Covered Court</t>
  </si>
  <si>
    <t>Barangay Matue</t>
  </si>
  <si>
    <t>Butarag Primary School</t>
  </si>
  <si>
    <t>Sitio Butarag, Barangay Matue</t>
  </si>
  <si>
    <t>Poblacion Sur Barangay Hall and Covered Court</t>
  </si>
  <si>
    <t>Barangay Poblacion Sur</t>
  </si>
  <si>
    <t>Ul-oling Elementary School</t>
  </si>
  <si>
    <t>Sitio Ul-oling, Barangay Poblacion Sur</t>
  </si>
  <si>
    <t>Poblacion Norte Barangay Hall and Covered Court</t>
  </si>
  <si>
    <t>Barangay Poblacion Norte</t>
  </si>
  <si>
    <t>Gregorio del Pilar National High School</t>
  </si>
  <si>
    <t>Poblacion Norte Day Care Center</t>
  </si>
  <si>
    <t>Gregorio del Pilar Municipal Quarantine Facility</t>
  </si>
  <si>
    <t>Sitio San Bonifacio, Barangay Poblacion Norte</t>
  </si>
  <si>
    <t>Gregorio del Pilar Evacuation Center</t>
  </si>
  <si>
    <t>Gregorio del Pilar Central School</t>
  </si>
  <si>
    <t>2nd and 3rd floor, Rural Health Unit</t>
  </si>
  <si>
    <t>Farmers Hall</t>
  </si>
  <si>
    <t>Lidlidda</t>
  </si>
  <si>
    <t>Salsaliwa Building</t>
  </si>
  <si>
    <t>Suysuyan, Lidlidda, Ilocos Sur</t>
  </si>
  <si>
    <t>/</t>
  </si>
  <si>
    <t>Lidlidda North Central School</t>
  </si>
  <si>
    <t>Poblacion Norte, Lidlidda, Ilocos Sur</t>
  </si>
  <si>
    <t>Max. Cap.-150</t>
  </si>
  <si>
    <t>Lidlidda South Central School</t>
  </si>
  <si>
    <t>Poblacion Sur, Lidlidda, Ilocos Sur</t>
  </si>
  <si>
    <t>Max. Cap.-90</t>
  </si>
  <si>
    <t>Lidlidda National High School</t>
  </si>
  <si>
    <t>Max. Cap.-120</t>
  </si>
  <si>
    <t>Tay-ac Elementary School</t>
  </si>
  <si>
    <t>Tay-ac, Lidlidda, Ilocos Sur</t>
  </si>
  <si>
    <t>Banucal Elementary School</t>
  </si>
  <si>
    <t>Banucal, Lidlidda, Ilocos Sur</t>
  </si>
  <si>
    <t>Max. Cap. – 90</t>
  </si>
  <si>
    <t>Walin Evacuation Center</t>
  </si>
  <si>
    <t>Bequi-Walin, Lidlidda, Ilocos Sur</t>
  </si>
  <si>
    <t>Max. Cap. – 150</t>
  </si>
  <si>
    <t>Municipal Quarantine Facility</t>
  </si>
  <si>
    <t>Max. Cap. – 15</t>
  </si>
  <si>
    <t>San Vicente Daycare Center / Brgy Isolation Unit</t>
  </si>
  <si>
    <t>San Vicente, Lidlidda, Ilocos Sur</t>
  </si>
  <si>
    <t>Max Cap- 5</t>
  </si>
  <si>
    <t>Calungbuyan Daycare Center/ Brgy Isolation Unit</t>
  </si>
  <si>
    <t>Calungbuyan, Lidlidda, Ilocos Sur</t>
  </si>
  <si>
    <t>Max Cap-3</t>
  </si>
  <si>
    <t>Magsingal</t>
  </si>
  <si>
    <t>MAGSINGAL EVACUATION CENTER</t>
  </si>
  <si>
    <t>STA. MONICA, MAGSINGAL, ILOCOS SUR</t>
  </si>
  <si>
    <t>MAGSINGAL WATER DISTRICT</t>
  </si>
  <si>
    <t>Ground Water</t>
  </si>
  <si>
    <t>Cabugao</t>
  </si>
  <si>
    <t>CABUGAO EVACUATION CENTER</t>
  </si>
  <si>
    <t>BONIFACIO, CABUGAO, ILOCOS SUR</t>
  </si>
  <si>
    <t>DEEP WELL / FAUCET</t>
  </si>
  <si>
    <t>ALINAAY BARANGAY HALL</t>
  </si>
  <si>
    <t>ALINAAY, CABUGAO, ILOCOS SUR</t>
  </si>
  <si>
    <t>LOCAL WATER WORKS</t>
  </si>
  <si>
    <t>ARAGAN BARANGAY HALL</t>
  </si>
  <si>
    <t>ARAGAN, CABUGAO, ILOCOS SUR</t>
  </si>
  <si>
    <t>ARNAP BARANGAY HALL</t>
  </si>
  <si>
    <t>ARNAP, CABUGAO, ILOCOS SUR</t>
  </si>
  <si>
    <t>BACLIG BARANGAY HALL</t>
  </si>
  <si>
    <t>BACLIG, CABUGAO, ILOCOS SUR</t>
  </si>
  <si>
    <t>BATO BARANGAY HALL</t>
  </si>
  <si>
    <t>BATO, CABUGAO, ILOCOS SUR</t>
  </si>
  <si>
    <t>BONIFACIO BARANGAY HALL</t>
  </si>
  <si>
    <t>BUNGRO BARANGAY HALL</t>
  </si>
  <si>
    <t>BUNGRO, CABUGAO, ILOCOS SUR</t>
  </si>
  <si>
    <t>CACADIRAN BARANGAY HALL</t>
  </si>
  <si>
    <t>CACADIRAN, CABUGAO, ILOCOS SUR</t>
  </si>
  <si>
    <t>CAELLAYAN BARANGAY HALL</t>
  </si>
  <si>
    <t>CAELLAYAN, CABUGAO, ILOCOS SUR</t>
  </si>
  <si>
    <t>CARUSIPAN BARANGAY HALL</t>
  </si>
  <si>
    <t>CARUSIPAN, CABUGAO, ILOCOS SUR</t>
  </si>
  <si>
    <t>CATUCDAAN BARANGAY HALL</t>
  </si>
  <si>
    <t>CATUCDAAN, CABUGAO, ILOCOS SUR</t>
  </si>
  <si>
    <t>CUANCABAL BARANGAY HALL</t>
  </si>
  <si>
    <t>CUANCABAL, CABUGAO, ILOCOS SUR</t>
  </si>
  <si>
    <t>CUANTACLA BARANGAY HALL</t>
  </si>
  <si>
    <t>CUANTACLA, CABUGAO, ILOCOS SUR</t>
  </si>
  <si>
    <t>DACLAPAN BARANGAY HALL</t>
  </si>
  <si>
    <t>DACLAPAN, CABUGAO, ILOCOS SUR</t>
  </si>
  <si>
    <t>Earthquake, Typhoon, Tsunami</t>
  </si>
  <si>
    <t>DARDARAT BARANGAY HALL</t>
  </si>
  <si>
    <t>DARDARAT, CABUGAO, ILOCOS SUR</t>
  </si>
  <si>
    <t>LIPIT BARANGAY HALL</t>
  </si>
  <si>
    <t>LIPIT, CABUGAO, ILOCOS SUR</t>
  </si>
  <si>
    <t>MARADODON BARANGAY HALL</t>
  </si>
  <si>
    <t>MARADODON, CABUGAO, ILOCOS SUR</t>
  </si>
  <si>
    <t>MARGAAY BARANGAY HALL</t>
  </si>
  <si>
    <t>MARGAAY, CABUGAO, ILOCOS SUR</t>
  </si>
  <si>
    <t>NAGSANTAAN BARANGAY HALL</t>
  </si>
  <si>
    <t>NAGSANTAAN, CABUGAO, ILOCOS SUR</t>
  </si>
  <si>
    <t>NAGSINCAOAN BARANGAY HALL</t>
  </si>
  <si>
    <t>NAGSINCAOAN, CABUGAO, ILOCOS SUR</t>
  </si>
  <si>
    <t>NAMRUANGAN BARANGAY HALL</t>
  </si>
  <si>
    <t>NAMRUANGAN, CABUGAO, ILOCOS SUR</t>
  </si>
  <si>
    <t>PILA BARANGAY HALL</t>
  </si>
  <si>
    <t>PILA, CABUGAO, ILOCOS SUR</t>
  </si>
  <si>
    <t>PUG-OS BARANGAY HALL</t>
  </si>
  <si>
    <t>PUG-OS, CABUGAO, ILOCOS SUR</t>
  </si>
  <si>
    <t>QUEZON BARANGAY HALL</t>
  </si>
  <si>
    <t>QUEZON, CABUGAO, ILOCOS SUR</t>
  </si>
  <si>
    <t>REPPAAC BARANGAY HALL</t>
  </si>
  <si>
    <t>REPPAAC, CABUGAO, ILOCOS SUR</t>
  </si>
  <si>
    <t>RIZAL BARANGAY HALL</t>
  </si>
  <si>
    <t>RIZAL, CABUGAO, ILOCOS SUR</t>
  </si>
  <si>
    <t>SABANG BARANGAY HALL</t>
  </si>
  <si>
    <t>SABANG, CABUGAO, ILOCOS SUR</t>
  </si>
  <si>
    <t>SAGAYADEN BARANGAY HALL</t>
  </si>
  <si>
    <t>SAGAYADEN, CABUGAO, ILOCOS SUR</t>
  </si>
  <si>
    <t>SALAPASAP BARANGAY HALL</t>
  </si>
  <si>
    <t>SALAPASAP, CABUGAO, ILOCOS SUR</t>
  </si>
  <si>
    <t xml:space="preserve">SALOMAGUE BARANGAY HALL </t>
  </si>
  <si>
    <t>SALOMAGUE, CABUGAO, ILOCOS SUR</t>
  </si>
  <si>
    <t>SISIM BARANGAY HALL</t>
  </si>
  <si>
    <t>SISIM, CABUGAO, ILOCOS SUR</t>
  </si>
  <si>
    <t>TUROD BARANGAY HALL</t>
  </si>
  <si>
    <t>TUROD, CABUGAO, ILOCOS SUR</t>
  </si>
  <si>
    <t>TUROD-PATAC BARANGAY HALL</t>
  </si>
  <si>
    <t>TUROD-PATAC, CABUGAO, ILOCOS SUR</t>
  </si>
  <si>
    <t>CABUGAO NORTH CENTRAL SCHOOL</t>
  </si>
  <si>
    <t>CABUGAO SOUTH CENTRAL SCHOOL</t>
  </si>
  <si>
    <t>CABUGAO INSTITUTE</t>
  </si>
  <si>
    <t>ARNAP ELEMENTARY SCHOOL</t>
  </si>
  <si>
    <t>BUNGRO ELEMENTARY SCHOOL</t>
  </si>
  <si>
    <t>CAELLAYAN ELEMENTARY SCHOOL</t>
  </si>
  <si>
    <t>CARUSIPAN PRIMARY SCHOOL</t>
  </si>
  <si>
    <t>CATUCDAAN ELEMENTARY SCHOOL</t>
  </si>
  <si>
    <t>CUANTACLA-SAGSAGAT ELEMENTARY SCHOOL</t>
  </si>
  <si>
    <t>DACLAPAN ELEMENTARY SCHOOL</t>
  </si>
  <si>
    <t>DARDARAT ELEMENTARY SCHOOL</t>
  </si>
  <si>
    <t>LIPIT ELEMENTARY SCHOOL</t>
  </si>
  <si>
    <t>MARADODON ELEMENTARY SCHOOL</t>
  </si>
  <si>
    <t>NAGSANTAAN PRIMARY SCHOOL</t>
  </si>
  <si>
    <t>NAGSINCAOAN ELEMENTARY SCHOOL</t>
  </si>
  <si>
    <t>NAMRUANGAN ELEMENTARY SCHOOL</t>
  </si>
  <si>
    <t>PILA ELEMENTARY SCHOOL</t>
  </si>
  <si>
    <t>PUG-OS ELEMENTARY SCHOOL</t>
  </si>
  <si>
    <t>REPPAAC ELEMENTARY SCHOOL</t>
  </si>
  <si>
    <t>SABANG ELEMENTARY SCHOOL</t>
  </si>
  <si>
    <t>Earthquake, Typhoon, Tsunami, Storm Surge</t>
  </si>
  <si>
    <t>SAGAYADEN ELEMENTARY SCHOOL</t>
  </si>
  <si>
    <t>SALAPASAP ELEMENTARY SCHOOL</t>
  </si>
  <si>
    <t>SALOMAGUE ELEMENTARY SCHOOL</t>
  </si>
  <si>
    <t>SISIM ELEMENTARY SCHOOL</t>
  </si>
  <si>
    <t>TUROD ELEMENTARY SCHOOL</t>
  </si>
  <si>
    <t>CABUGAO NATIONAL HIGH SCHOOL</t>
  </si>
  <si>
    <t>LIPIT NATIONAL HIGH SCHOOL</t>
  </si>
  <si>
    <t>SISIM NATIONAL HIGH SCHOOL</t>
  </si>
  <si>
    <t>PUG-OS NATIONAL HIGH SCHOOL</t>
  </si>
  <si>
    <t>PUG-OS CABUGAO, ILOCOS SUR</t>
  </si>
  <si>
    <t>Nagbukel</t>
  </si>
  <si>
    <t>Balaweg, Nagbukel, Ilocos Sur</t>
  </si>
  <si>
    <t>Bantugo-Mission Integrated School</t>
  </si>
  <si>
    <t>Bantugo, Nagbukel, Ilocos Sur</t>
  </si>
  <si>
    <t>Nagbukel Central School</t>
  </si>
  <si>
    <t>Pob. West, Nagbukel, Ilocos Sur</t>
  </si>
  <si>
    <t>Nagbukel National High School</t>
  </si>
  <si>
    <t>Pob. East, Nagbukel, Ilocos Sur</t>
  </si>
  <si>
    <t>Nagbukel Watsan</t>
  </si>
  <si>
    <t>Nagbukel Gymnasium</t>
  </si>
  <si>
    <t>Narvacan</t>
  </si>
  <si>
    <t>Narvacan Evacuation Center</t>
  </si>
  <si>
    <t>Sta. Lucia, Narvacan, ILocos Sur</t>
  </si>
  <si>
    <t>720 sqm</t>
  </si>
  <si>
    <t>Narvacan Water District, Deep Well</t>
  </si>
  <si>
    <t>Narvacan Municipal Hall</t>
  </si>
  <si>
    <t>Sta. Lucia, Narvacan, Ilocos Sur</t>
  </si>
  <si>
    <t>Narvacan Water District</t>
  </si>
  <si>
    <t>Abuor Barangay Hall</t>
  </si>
  <si>
    <t>Abuor, Narvacan, Ilocos Sur</t>
  </si>
  <si>
    <t>Ambulugan Barangay Hall</t>
  </si>
  <si>
    <t>Ambulugan, Narvacan, Ilocos Sur</t>
  </si>
  <si>
    <t>Aquib Barangay Hall</t>
  </si>
  <si>
    <t>Aquib, Narvacan, Ilocos Sur</t>
  </si>
  <si>
    <t>Bantay Abot Barangay Hall</t>
  </si>
  <si>
    <t>Bantay-Abot, Narvacan, Ilocos Sur</t>
  </si>
  <si>
    <t>Banglayan Barangay Hall</t>
  </si>
  <si>
    <t>Banglayan, Narvacan, Ilocos Sur</t>
  </si>
  <si>
    <t>Bulanos Barangay Hall</t>
  </si>
  <si>
    <t>Bulanos, Narvacan, Ilocos Sur</t>
  </si>
  <si>
    <t>Cadacad Barangay Hall</t>
  </si>
  <si>
    <t>Cadacad, Narvacan, Ilocos Sur</t>
  </si>
  <si>
    <t>Cagayungan Barangay Hall</t>
  </si>
  <si>
    <t>Cagayungan, Narvacan, Ilocos Sur</t>
  </si>
  <si>
    <t>Camarao Barangay Hall</t>
  </si>
  <si>
    <t>Camarao,Narvacan, Ilocos Sur</t>
  </si>
  <si>
    <t>Casilagan Barangay Hall</t>
  </si>
  <si>
    <t>Casilagan,Narvacan, Ilocos Sur</t>
  </si>
  <si>
    <t>Codoog Barangay Hall</t>
  </si>
  <si>
    <t>Codoog, Narvacan, Ilocos Sur</t>
  </si>
  <si>
    <t>Dasay Barangay Hall</t>
  </si>
  <si>
    <t>Dasay, Narvacan, Ilocos Sur</t>
  </si>
  <si>
    <t>Dinalaoan Barangay Hall</t>
  </si>
  <si>
    <t>inalaoan, Narvacan, Ilocos Sur</t>
  </si>
  <si>
    <t>Estancia Barangay Hall</t>
  </si>
  <si>
    <t>Estancia, Narvacan, Ilocos Sur</t>
  </si>
  <si>
    <t>Lanipao Barangay Hall</t>
  </si>
  <si>
    <t>Lanipao,Narvacan, Ilocos Sur</t>
  </si>
  <si>
    <t>Lungog Barangay Hall</t>
  </si>
  <si>
    <t>Lungog, Narvacan, Ilocos Sur</t>
  </si>
  <si>
    <t>Margaay Barangay Hall</t>
  </si>
  <si>
    <t>Margaay, Narvacan, Ilocos Sur</t>
  </si>
  <si>
    <t>Marozo Barangay Hall</t>
  </si>
  <si>
    <t>Marozo, Narvacan, Ilocos Sur</t>
  </si>
  <si>
    <t>Nanguneg Barangay Hall</t>
  </si>
  <si>
    <t>Nanguneg, Narvacan, Ilocos Sur</t>
  </si>
  <si>
    <t>Orence Barangay Hall</t>
  </si>
  <si>
    <t>Orence, Narvacan, Ilocos Sur</t>
  </si>
  <si>
    <t>Pantoc Barangay Hall</t>
  </si>
  <si>
    <t>Pantoc, Narvacan, Ilocos Sur</t>
  </si>
  <si>
    <t>Paratong Barangay Hall</t>
  </si>
  <si>
    <t>Paratong, Narvacan, Ilocos Sur</t>
  </si>
  <si>
    <t>Parparia Barangay Hall</t>
  </si>
  <si>
    <t>Parparia, Narvacan, Ilocos Sur</t>
  </si>
  <si>
    <t>Quinarayan Barangay Hall</t>
  </si>
  <si>
    <t>Quinarayan, Narvacan, Ilocos Sur</t>
  </si>
  <si>
    <t>Rivadavia Barangay Hall</t>
  </si>
  <si>
    <t>Rivadavia, Narvacan, Ilocos Sur</t>
  </si>
  <si>
    <t>San Antonio Barangay Hall</t>
  </si>
  <si>
    <t>San Antonio, Narvacan, Ilocos Sur</t>
  </si>
  <si>
    <t>Sarmingan Barangay Hall</t>
  </si>
  <si>
    <t>Sarmingan, Narvacan, Ilocos Sur</t>
  </si>
  <si>
    <t>Sta. Lucia Barangay Hall</t>
  </si>
  <si>
    <t>San Jose Barangay Hall</t>
  </si>
  <si>
    <t>San Jose, Narvacan, Ilocos Sur</t>
  </si>
  <si>
    <t>San Pablo Barangay Hall</t>
  </si>
  <si>
    <t>San Pablo, Narvacan, Ilocos Sur</t>
  </si>
  <si>
    <t>Sulvec Barangay Hall</t>
  </si>
  <si>
    <t>Sulvec, Narvacan, Ilocos Sur</t>
  </si>
  <si>
    <t>San Pedro Barangay Hall</t>
  </si>
  <si>
    <t>San Pero, Narvacan, Ilocos Sur</t>
  </si>
  <si>
    <t>Sucoc Barangay Hall</t>
  </si>
  <si>
    <t>Sucoc, Narvacan, Ilocos Sur</t>
  </si>
  <si>
    <t>Turod Barangay Hall</t>
  </si>
  <si>
    <t>Turod, Narvacan, Ilocos Sur</t>
  </si>
  <si>
    <t xml:space="preserve">Narvacan North Central School </t>
  </si>
  <si>
    <t>Quirino</t>
  </si>
  <si>
    <t>Poblacion, Quirino, Ilocos Sur</t>
  </si>
  <si>
    <t>Quirino Central School</t>
  </si>
  <si>
    <t>Quirino National High School</t>
  </si>
  <si>
    <t>Saoil Primary School</t>
  </si>
  <si>
    <t>Saoil, Poblacion, Quirino, Ilocos Sur</t>
  </si>
  <si>
    <t>Dagman Sitio Hall</t>
  </si>
  <si>
    <t>Dagman, Poblacion, Quirino, Ilocos Sur</t>
  </si>
  <si>
    <t>Dagman Primary School</t>
  </si>
  <si>
    <t>Nasuco Sitio Hall</t>
  </si>
  <si>
    <t>Nasuco, Suagayan, Quirino, Ilocos Sur</t>
  </si>
  <si>
    <t>Lugacan Sitio Hall</t>
  </si>
  <si>
    <t>Lugacan, Suagayan, Quirino, Ilocos Sur</t>
  </si>
  <si>
    <t>Suagayan Elementary School</t>
  </si>
  <si>
    <t>Suagayan Day Care Center</t>
  </si>
  <si>
    <t>Baybayatin Primary School</t>
  </si>
  <si>
    <t>Baybayatin, Suagayan, Quirino, Ilocos Sur</t>
  </si>
  <si>
    <t>Baybayatin Sitio Hall</t>
  </si>
  <si>
    <t>Namitpit Elementary School</t>
  </si>
  <si>
    <t>Namitpit, Quirino, Ilocos Sur</t>
  </si>
  <si>
    <t>Namitpit Barangay Hall</t>
  </si>
  <si>
    <t>Namitpit Day Care Center</t>
  </si>
  <si>
    <t>Bucnit Primary School</t>
  </si>
  <si>
    <t>Bucnit, Namitpit, Quirino, Ilocos Sur</t>
  </si>
  <si>
    <t>Bucnit Day Care Center</t>
  </si>
  <si>
    <t>Patungcaleo Elementary School</t>
  </si>
  <si>
    <t>Patungcaleo, Quirino, Ilocos Sur</t>
  </si>
  <si>
    <t>Patungcaleo Barangay Hall</t>
  </si>
  <si>
    <t>Cabaroan Day Care Center</t>
  </si>
  <si>
    <t>Cabaroan, Patungcaleo, Quirino, Ilocos Sur</t>
  </si>
  <si>
    <t>Madapoy Day Care Center</t>
  </si>
  <si>
    <t>Madapoy, Patungcaleo, Quirino, Ilocos Sur</t>
  </si>
  <si>
    <t>Patiacan Elementary School</t>
  </si>
  <si>
    <t>Patiacan, Quirino, Ilocos Sur</t>
  </si>
  <si>
    <t>Patiacan Barangay Hall</t>
  </si>
  <si>
    <t>Inuman Sitio Hall</t>
  </si>
  <si>
    <t>Inuman, Patiacan, Quirino, Ilocos Sur</t>
  </si>
  <si>
    <t>Patiacan Day Care Center</t>
  </si>
  <si>
    <t>Bab-asig Primary School</t>
  </si>
  <si>
    <t>Bab-asig, Patiacan, Quirino, Ilocos Sur</t>
  </si>
  <si>
    <t>Bab-asig Day Care Center</t>
  </si>
  <si>
    <t>Lamag Elementary School</t>
  </si>
  <si>
    <t>Lamag, Quirino, Ilocos Sur</t>
  </si>
  <si>
    <t>Lamag Day Care Center</t>
  </si>
  <si>
    <t>Lamag Barangay Hall</t>
  </si>
  <si>
    <t>Banoen Barangay Hall</t>
  </si>
  <si>
    <t>Banoen, Quirino, Ilocos Sur</t>
  </si>
  <si>
    <t>Banoen Primary School</t>
  </si>
  <si>
    <t>Banoen Day Care Center</t>
  </si>
  <si>
    <t>Malideg Elementary School</t>
  </si>
  <si>
    <t>Ninggawa, Malideg, Quirino, Ilocos Sur</t>
  </si>
  <si>
    <t>Ninggawa Day Care Center</t>
  </si>
  <si>
    <t>Malideg Barangay Hall</t>
  </si>
  <si>
    <t>Iteb, Malideg, Quirino, Ilocos Sur</t>
  </si>
  <si>
    <t>Iteb Primary School</t>
  </si>
  <si>
    <t>Iteb Day Care Center</t>
  </si>
  <si>
    <t>Cayus Primary School</t>
  </si>
  <si>
    <t>Cayus, Quirino, Ilocos Sur</t>
  </si>
  <si>
    <t>Cayus Day Care Center</t>
  </si>
  <si>
    <t>Salcedo</t>
  </si>
  <si>
    <t>Poblacion Sur, Salcedo, Ilocos Sur</t>
  </si>
  <si>
    <t>218.27 sq.m</t>
  </si>
  <si>
    <t>- Deep Well
- Candon City Water District</t>
  </si>
  <si>
    <t>Bulala Leguey Elem.  School</t>
  </si>
  <si>
    <t>Bulala Leguey, Salcedo, Ilocos Sur</t>
  </si>
  <si>
    <t>8 x 7 sq m</t>
  </si>
  <si>
    <t>Spring water</t>
  </si>
  <si>
    <t>Pias Elem. School</t>
  </si>
  <si>
    <t>Pias,  Salcedo, Ilocos Sur</t>
  </si>
  <si>
    <t>Ubbog Elelm School</t>
  </si>
  <si>
    <t>Ubbog, Salcedo, Ilocos Sur</t>
  </si>
  <si>
    <t>San Emilio</t>
  </si>
  <si>
    <t>Cabaroan Covered Court</t>
  </si>
  <si>
    <t>Cabaroan Proper, SE, IS</t>
  </si>
  <si>
    <t>Biologocal Hazard</t>
  </si>
  <si>
    <t>Water Refilling Station</t>
  </si>
  <si>
    <t>San Emilio West Central School</t>
  </si>
  <si>
    <t>Cabaroan Brgy Hall</t>
  </si>
  <si>
    <t>Lancuas Brgy Hall w/ Covered Court</t>
  </si>
  <si>
    <t>Baclayen, Lancuas, SE, IS</t>
  </si>
  <si>
    <t>Lancuas Elementary School</t>
  </si>
  <si>
    <t>Tiagan Brgy Hall</t>
  </si>
  <si>
    <t>Tiagan, SE, IS</t>
  </si>
  <si>
    <t>San Emilio East Central School</t>
  </si>
  <si>
    <t>Old Poblacion, Tiagan, SE, IS</t>
  </si>
  <si>
    <t>San Emilio National High School</t>
  </si>
  <si>
    <t>Cangao Sitio Hall</t>
  </si>
  <si>
    <t>Cangao, Tiagan, SE, IS</t>
  </si>
  <si>
    <t>Cangao Elementary School</t>
  </si>
  <si>
    <t>Paltoc Farmers Hall</t>
  </si>
  <si>
    <t>Paltoc, SE, IS</t>
  </si>
  <si>
    <t>Patoc covered Court</t>
  </si>
  <si>
    <t>Paltoc Elementary School</t>
  </si>
  <si>
    <t>Kalumsing Integrated School</t>
  </si>
  <si>
    <t>Kalumsing, SE, IS</t>
  </si>
  <si>
    <t>Kalumsing brgyhall with couvered court</t>
  </si>
  <si>
    <t>kalumsing BHS building</t>
  </si>
  <si>
    <t>Sibsibbu Elementary School</t>
  </si>
  <si>
    <t>Sibsibbu , SE, IS</t>
  </si>
  <si>
    <t>Sibsibbu Brgy hall</t>
  </si>
  <si>
    <t>Matibuey Elementary School</t>
  </si>
  <si>
    <t>Matibuey Proper, SE, IS</t>
  </si>
  <si>
    <t>Masiosioay Elementary School</t>
  </si>
  <si>
    <t>Masiosioay, Matibuey, SE, IS</t>
  </si>
  <si>
    <t>Lidaoan Elementary School</t>
  </si>
  <si>
    <t>Lidaoan, Matibuey, SE, IS</t>
  </si>
  <si>
    <t>Matibuey Brgy Hall</t>
  </si>
  <si>
    <t>Matibuey Sitio hall</t>
  </si>
  <si>
    <t>Masiosioay Sitio hall</t>
  </si>
  <si>
    <t>Burayoc Evacuation Center</t>
  </si>
  <si>
    <t>San Esteban</t>
  </si>
  <si>
    <t>San Esteban Evacuation Center</t>
  </si>
  <si>
    <t>Villa Quirino, San Esteban, Ilocos Sur</t>
  </si>
  <si>
    <t>REFILLING STATION/DEEP WELL</t>
  </si>
  <si>
    <t>Apatot Farmers Multi-Purpose Building</t>
  </si>
  <si>
    <t>Apatot, San Esteban, Ilocos Sur</t>
  </si>
  <si>
    <t>Senate President Ernesto M. Maceda Farmers Civic Center</t>
  </si>
  <si>
    <t>Poblacion, San Esteban, Ilocos Sur</t>
  </si>
  <si>
    <t>San Ildefonso</t>
  </si>
  <si>
    <t>SAN ILDEFONSO MUNICIPAL EVACUATION AREA</t>
  </si>
  <si>
    <t>POB. EAST, SAN ILDEFONSO, ILOCOS SUR</t>
  </si>
  <si>
    <t>Biological Hazard</t>
  </si>
  <si>
    <t>JETMATIC PUMP/WATER REFILLING STATION</t>
  </si>
  <si>
    <t>SAGSAGAT ELEMENTARY SCHOOL</t>
  </si>
  <si>
    <t>SAGSAGAT, SAN ILDEFONSO, ILOCOS SUR</t>
  </si>
  <si>
    <t>SAN ILDEFONSO CENTRAL SCHOOL</t>
  </si>
  <si>
    <t>BUNGRO, SAN ILDEFONSO, ILOCOS SUR</t>
  </si>
  <si>
    <t>BELEN NATIONAL HIGH SCHOOL</t>
  </si>
  <si>
    <t>BELEN, SAN ILDEFONSO, ILOCOS SUR</t>
  </si>
  <si>
    <t>BUSIING ELEMENTARY SCHOOL</t>
  </si>
  <si>
    <t>BUSIING NORTE, SAN ILDEFONSO, ILOCOS SUR</t>
  </si>
  <si>
    <t xml:space="preserve"> BRGY.  ARNAPMULTIPURPOSE HALL</t>
  </si>
  <si>
    <t>ARNAP, SAN ILDEFONSO, ILOCOS SUR</t>
  </si>
  <si>
    <t>BRGY. BELEN MULTIPURPOSE HALL</t>
  </si>
  <si>
    <t>BRGY. BUNGRO MULTIPURPOSE HALL</t>
  </si>
  <si>
    <t>BRGY. BUSIING SUR MULTIPURPOSE HALL</t>
  </si>
  <si>
    <t>BUSIING SUR, SAN ILDEFONSO, ILOCOS SUR</t>
  </si>
  <si>
    <t>BRGY.  BUSIING NORTE MULTIPURPOSE HALL</t>
  </si>
  <si>
    <t>BRGY. GONGOGONG MULTIPURPOSE HALL</t>
  </si>
  <si>
    <t>GONGONGONG, SAN ILDEFONSO, ILOCOS SUR</t>
  </si>
  <si>
    <t>BRGY. DONGALO MULTIPURPOSE HALL</t>
  </si>
  <si>
    <t>DONGALO, SAN ILDEFONSO, ILOCOS SUR</t>
  </si>
  <si>
    <t>BRGY. IBOY MULTIPURPOSE HALL</t>
  </si>
  <si>
    <t>IBOY, SAN ILDEFONSO, ILOCOS SUR</t>
  </si>
  <si>
    <t>BRGY. POBLACION WEST MULTIPURPOSE HALL</t>
  </si>
  <si>
    <t>POBLACION WEST, SAN ILDEFONSO, ILOCOS SUR</t>
  </si>
  <si>
    <t>BRGY. POBLACION EAST MULTIPURPOSE HALL</t>
  </si>
  <si>
    <t>POBLACION EAST, SAN ILDEFONSO, ILOCOS SUR</t>
  </si>
  <si>
    <t>BRGY. SAGSAGAT MULTIPURPOSE HALL</t>
  </si>
  <si>
    <t>BRGY. SAGNEB MULTIPURPOSE HALL</t>
  </si>
  <si>
    <t>SAGNEB, SAN ILDEFONSO, ILOCOS SUR</t>
  </si>
  <si>
    <t>BRGY. KINAMANTIRISAN MULTIPURPOSE HALL</t>
  </si>
  <si>
    <t xml:space="preserve"> KINAMANTIRISAN, SAN ILDEFONSO, ILOCOS SUR</t>
  </si>
  <si>
    <t>BRGY. OTOL PATAC MULTIPURPOSE HALL</t>
  </si>
  <si>
    <t>OTOL PATAC, SAN ILDEFONSO,ILOCOS SUR</t>
  </si>
  <si>
    <t>BAHET BRGY. MULTIPURPOSE HALL</t>
  </si>
  <si>
    <t>BAHET, SAN ILDEFONSO, ILOCOS SUR</t>
  </si>
  <si>
    <t>BUNGRO DAY CARE CENTER</t>
  </si>
  <si>
    <t>SAGSAGAT DAY CARE CENTER</t>
  </si>
  <si>
    <t>POBLACION WEST DAY CARE CENTER</t>
  </si>
  <si>
    <t>BUSIING DAY CARE CENTER</t>
  </si>
  <si>
    <t>IBOY DAY CARE CENTER</t>
  </si>
  <si>
    <t>OTOL PATAC DAY CARE CENTER</t>
  </si>
  <si>
    <t>BELEN DAY CARE CENTER</t>
  </si>
  <si>
    <t>San Juan</t>
  </si>
  <si>
    <t>San Juan Evacuation Center</t>
  </si>
  <si>
    <t>Bannuar, San Juan</t>
  </si>
  <si>
    <t>760 sq.m.</t>
  </si>
  <si>
    <t>Cabanglutan Evacuation Center</t>
  </si>
  <si>
    <t>Cabanglutan, San Juan</t>
  </si>
  <si>
    <t>143 sq. m.</t>
  </si>
  <si>
    <t>SAN VICENTE EVACUATION CENTER</t>
  </si>
  <si>
    <t>POBLACION, SAN VICENTE, ILOCOS SUR</t>
  </si>
  <si>
    <t>FIRE</t>
  </si>
  <si>
    <t>Earthquake, Typhoon, Liquefaction</t>
  </si>
  <si>
    <t>(notset)</t>
  </si>
  <si>
    <t>METRO VIGAN WATER DISTRICT</t>
  </si>
  <si>
    <t>BANTAOAY BARANGAY HALL</t>
  </si>
  <si>
    <t>BANTAOAY, SAN VICENTE, ILOCOS SUR</t>
  </si>
  <si>
    <t>65.52 sqm</t>
  </si>
  <si>
    <t>BANTAOAY CHAPEL</t>
  </si>
  <si>
    <t>69.93 sqm</t>
  </si>
  <si>
    <t>BANTAOAY CHILD DEVELOPMENT CENTER</t>
  </si>
  <si>
    <t>47.4 sqm</t>
  </si>
  <si>
    <t>BAYUBAY NORTE BARANGAY HALL</t>
  </si>
  <si>
    <t>BAYUBAY NORTE, SAN VICENTE, ILOCOS SUR</t>
  </si>
  <si>
    <t>106.86 sqm</t>
  </si>
  <si>
    <t>BAYUBAY NORTE CHILD DEVELOPMENT CENTER</t>
  </si>
  <si>
    <t>BAYUBAY SUR, SAN VICENTE, ILOCOS SUR</t>
  </si>
  <si>
    <t>33.6 sqm</t>
  </si>
  <si>
    <t>BAYUBAY SUR BARANGAY HALL</t>
  </si>
  <si>
    <t>67.55 sqm</t>
  </si>
  <si>
    <t>SALIN TUBIG</t>
  </si>
  <si>
    <t>LUBONG BARANGAY HALL</t>
  </si>
  <si>
    <t>LUBONG, SAN VICENTE, ILOCOS SUR</t>
  </si>
  <si>
    <t>69.6 sqm</t>
  </si>
  <si>
    <t>LUBONG CHILD DEVELOPMENT CENTER</t>
  </si>
  <si>
    <t>66 sqm</t>
  </si>
  <si>
    <t>LUBONG CHAPEL</t>
  </si>
  <si>
    <t>94.5 sqm</t>
  </si>
  <si>
    <t>LUBONG BARAGAY HEALTH CENTER</t>
  </si>
  <si>
    <t>POBLACION BARANGAY HALL</t>
  </si>
  <si>
    <t>96 sqm</t>
  </si>
  <si>
    <t>POBLACION CHILD DEVELOPMENT CENTER</t>
  </si>
  <si>
    <t>78 sqm</t>
  </si>
  <si>
    <t>RIC HALL</t>
  </si>
  <si>
    <t>63 sqm</t>
  </si>
  <si>
    <t>PUDOC CENTRO BARANGAY HALL</t>
  </si>
  <si>
    <t>PUDOC, SAN VICENTE, ILOCOS SUR</t>
  </si>
  <si>
    <t>Earthquake, Typhoon, Liquefaction, Tsunami</t>
  </si>
  <si>
    <t>100sqm</t>
  </si>
  <si>
    <t>PUDOC CENTRO CHAPEL</t>
  </si>
  <si>
    <t>PUDOC CENTRO, SAN VICENTE, ILOCOS SUR</t>
  </si>
  <si>
    <t>54.32 sqm</t>
  </si>
  <si>
    <t>PUDOC EVACUATION CENTER</t>
  </si>
  <si>
    <t>43 sqm</t>
  </si>
  <si>
    <t>ST. ISIDRO LABRADOR CHAPEL</t>
  </si>
  <si>
    <t>PUDOC SUR, SAN VICENTE, ILOCOS SUR</t>
  </si>
  <si>
    <t>102.6 sqm</t>
  </si>
  <si>
    <t>PUDOC BARANGAY HEALTH CENTER</t>
  </si>
  <si>
    <t>PUDOC NORTE, SAN VICENTE, ILOCOS SUR</t>
  </si>
  <si>
    <t>67.5 sqm</t>
  </si>
  <si>
    <t>PUDOC NORTE CHAPEL</t>
  </si>
  <si>
    <t>NAGTUPACAN CHAPEL</t>
  </si>
  <si>
    <t>NAGTUPACAN, PUDOC, SAN VICENTE, ILOCOS SUR</t>
  </si>
  <si>
    <t>91.2 sqm</t>
  </si>
  <si>
    <t>SAN SEBASTIAN CHILD DEVELOPMENT CENTER 1</t>
  </si>
  <si>
    <t>SAN SEBASTIAN, SAN VICENTE, ILOCOS SUR</t>
  </si>
  <si>
    <t>60 aqm</t>
  </si>
  <si>
    <t>SAN SEBASTIAN CHILD DEVELOPMENT CENTER 2</t>
  </si>
  <si>
    <t>60 sqm</t>
  </si>
  <si>
    <t>ERMITA-MINDORO CHILD DEVELOPMENT CENTER</t>
  </si>
  <si>
    <t>SENIOR CITIZENS' HALL</t>
  </si>
  <si>
    <t>78.75 sqm</t>
  </si>
  <si>
    <t>SAN SEBASTIAN BARANGAY HALL</t>
  </si>
  <si>
    <t>Santa</t>
  </si>
  <si>
    <t>Mun Main Building</t>
  </si>
  <si>
    <t>Santa, Ilocos Sur</t>
  </si>
  <si>
    <t>Sangguniang Bayan Building</t>
  </si>
  <si>
    <t>Magsaysay, Santa</t>
  </si>
  <si>
    <t>Balay Taripato</t>
  </si>
  <si>
    <t>Quezon, Santa</t>
  </si>
  <si>
    <t>Rural Health Unit of Santa</t>
  </si>
  <si>
    <t>Marcos Distrct, Santa</t>
  </si>
  <si>
    <t>Santa Parish Church</t>
  </si>
  <si>
    <t>Knights of Columbus Center</t>
  </si>
  <si>
    <t>Tomato Paste Plant</t>
  </si>
  <si>
    <t>Mabilbila Sur, Santa</t>
  </si>
  <si>
    <t>Santa Cultural Center</t>
  </si>
  <si>
    <t>Santa Evacuation Center</t>
  </si>
  <si>
    <t>336m</t>
  </si>
  <si>
    <t>Santa National High School</t>
  </si>
  <si>
    <t>Labut Sur, Santa</t>
  </si>
  <si>
    <t>Banaoang Community School</t>
  </si>
  <si>
    <t>Banaoang, Santa</t>
  </si>
  <si>
    <t>507.48 m</t>
  </si>
  <si>
    <t>Sta. Catalina</t>
  </si>
  <si>
    <t>Poblacion, Sta. Catalina</t>
  </si>
  <si>
    <t>Metro Vigan Water District</t>
  </si>
  <si>
    <t>Rabara Hall</t>
  </si>
  <si>
    <t>Pangada-Cabaoan Elem School</t>
  </si>
  <si>
    <t>Pangada, Sta. Catalina</t>
  </si>
  <si>
    <t>Sta. Catalina Central School</t>
  </si>
  <si>
    <t>Cabittaogan Elementary School</t>
  </si>
  <si>
    <t>Cabittaogan, Sta. Catalina</t>
  </si>
  <si>
    <t>Cabittaogan Nat. High School</t>
  </si>
  <si>
    <t>Bernardo P Ragasa Elementary School</t>
  </si>
  <si>
    <t>Tamorong, Sta. Catalina</t>
  </si>
  <si>
    <t>Sta. Catalina High School</t>
  </si>
  <si>
    <t>Cabuloan, Sta. Catalina</t>
  </si>
  <si>
    <t>RHU</t>
  </si>
  <si>
    <t>SC Center</t>
  </si>
  <si>
    <t>Sta. Cruz</t>
  </si>
  <si>
    <t>STA. CRUZ TOURISM AND TRADE CENTER</t>
  </si>
  <si>
    <t>Near Municipal Hall, Popularidad St., Poblacion Weste</t>
  </si>
  <si>
    <t>Sta. Cruz Central School</t>
  </si>
  <si>
    <t>Poblacion Sur, Sta. Cruz, Ilocos Sur</t>
  </si>
  <si>
    <t>Villa Garcia Barangay Hall</t>
  </si>
  <si>
    <t>Along National Highway, Villa Garcia, Sta. Cruz Ilocos Sur</t>
  </si>
  <si>
    <t>Amarao Elementary School</t>
  </si>
  <si>
    <t>Amarao, Sta. Cruz, Ilocos Sur</t>
  </si>
  <si>
    <t>Babayoan Elementary School</t>
  </si>
  <si>
    <t>Babayoan, Sta. Cruz, Ilocos Sur</t>
  </si>
  <si>
    <t>Besalan Elementary School</t>
  </si>
  <si>
    <t>Besalan, Sta. Cruz, Ilocos Sur</t>
  </si>
  <si>
    <t>Calaoaan Elementary School</t>
  </si>
  <si>
    <t>Calaoaan, Sta Cruz, Ilocos Sur</t>
  </si>
  <si>
    <t>Caparian Elementary School</t>
  </si>
  <si>
    <t>Caparian, Sta Cruz, Ilocos Sur</t>
  </si>
  <si>
    <t>Dili Elementary School</t>
  </si>
  <si>
    <t>Along National Highway, Dili, Sta Cruz, Ilocos Sur</t>
  </si>
  <si>
    <t>Lantag Elementary School</t>
  </si>
  <si>
    <t>Lantag, Sta Cruz, Ilocos Sur</t>
  </si>
  <si>
    <t>Nagtenga Elementary School</t>
  </si>
  <si>
    <t>Nagtenga, Sta Cruz, Ilocos Sur</t>
  </si>
  <si>
    <t>Pattiqui/Gabor Sur Elementary School</t>
  </si>
  <si>
    <t>Pattiqui, Sta Cruz, Ilocos Sur</t>
  </si>
  <si>
    <t>Pilar Elementary School</t>
  </si>
  <si>
    <t>Pilar, Sta Cruz, Ilocos Sur</t>
  </si>
  <si>
    <t>Pinipin Elementary School</t>
  </si>
  <si>
    <t>Pinipin, Sta Cruz, Ilocos Sur</t>
  </si>
  <si>
    <t>Sagat Elementary School</t>
  </si>
  <si>
    <t>Along the Highway, Sagat, Sta Cruz, Ilocos Sur</t>
  </si>
  <si>
    <t>San Jose Elementary School</t>
  </si>
  <si>
    <t>San Jose, Sta Cruz, Ilocos Sur</t>
  </si>
  <si>
    <t>Sevilla Elementary School</t>
  </si>
  <si>
    <t>Sevilla, Sta Cruz, Ilocos Sur</t>
  </si>
  <si>
    <t>Sidaoen Elementary School</t>
  </si>
  <si>
    <t>Sidaoen, Sta Cruz, Ilocos Sur</t>
  </si>
  <si>
    <t>Villa Hermosa Elementary School</t>
  </si>
  <si>
    <t>Villa Hermosa, Sta Cruz, Ilocos Sur</t>
  </si>
  <si>
    <t>Pantar Elementary School</t>
  </si>
  <si>
    <t>Sta Lucia</t>
  </si>
  <si>
    <t>GOV. TITONG SINGSON MEMORIAL AUDITORIUM</t>
  </si>
  <si>
    <t>BARANGOBONG, STA. LUCIA, ILOCOS SUR</t>
  </si>
  <si>
    <t>ELECTRIC WATER PUMP PURIFIED WATER</t>
  </si>
  <si>
    <t>Y</t>
  </si>
  <si>
    <t>MUNICIPAL HALL</t>
  </si>
  <si>
    <t>ANGKILENG,STA. LUCIA, ILOCOS SUR</t>
  </si>
  <si>
    <t>BRIGADES HALL</t>
  </si>
  <si>
    <t>BAO-AS EVACUATION CENTER</t>
  </si>
  <si>
    <t>BAO-AS, STA. LUCIA, ILOCOS SUR</t>
  </si>
  <si>
    <t>STA. LUCIA NORTH CENTRAL SCHOOL</t>
  </si>
  <si>
    <t>DEEP WELL LEVEL 1</t>
  </si>
  <si>
    <t>STA. LUCIA SOUTH CENTRAL SCHOOL</t>
  </si>
  <si>
    <t>BURGOS, STA. LUCIA, ILOCOS SUR</t>
  </si>
  <si>
    <t>STA. LUCIA CATHOLIC SCHOOL</t>
  </si>
  <si>
    <t>AYUSAN, STA. LUCIA, ILOCOS SUR</t>
  </si>
  <si>
    <t>N</t>
  </si>
  <si>
    <t>STA. LUCIA INSTITUE BUILDING</t>
  </si>
  <si>
    <t>BARANGAY MULTI-PURPOSE HALL/BLDG.</t>
  </si>
  <si>
    <t>BARANGAY MULTI-PURPOSE HALL/ BLDG.</t>
  </si>
  <si>
    <t>CONCONIG EAST, STA. LUCIA, ILOCOS SUR</t>
  </si>
  <si>
    <t>CONCONIG EAST ELEMENTARY SCHOOL</t>
  </si>
  <si>
    <t>DEEPWELL LEVEL 1</t>
  </si>
  <si>
    <t>ANTERO P. HERMOSURA ELEM. SCHOOL</t>
  </si>
  <si>
    <t>CONCONIG WEST, STA. LUCIA, ILOCOS SUR</t>
  </si>
  <si>
    <t>PALALI SUR, STA. LUCIA, ILOCOS SUR</t>
  </si>
  <si>
    <t>BULICLIC, ELEM. SCHOOL</t>
  </si>
  <si>
    <t>BULICLIC, STA. LUCIA, ILOCOS SUR</t>
  </si>
  <si>
    <t>SABUANAN, STA. LUCIA, ILOCOS SUR</t>
  </si>
  <si>
    <t>SABUANAN ELEM. SCHOOL</t>
  </si>
  <si>
    <t>PALALI ELEMENTARY SCHOOL</t>
  </si>
  <si>
    <t>TEODORO HERNAEZ NATIONAL HIGH SCHOOL</t>
  </si>
  <si>
    <t>DAMCUAG, STA. LUCIA, ILOCOS SUR</t>
  </si>
  <si>
    <t>LUBA, STA. LUCIA, ILOCOS SUR</t>
  </si>
  <si>
    <t>NAMATICAN MULTI PURPOSE HALL/BLDG</t>
  </si>
  <si>
    <t>NAMATICAN, STA. LUCIA, ILOCOS SUR</t>
  </si>
  <si>
    <t>LUBA ELEM. SCHOOL COVERED COURT</t>
  </si>
  <si>
    <t>DAMACUAG ELEMENTARY SCHOOL</t>
  </si>
  <si>
    <t>DAMACUAG, STA. LUCA, ILOCOS SUR</t>
  </si>
  <si>
    <t>PALALI NORTE MULTI-PURPOSE HALL BUILDING</t>
  </si>
  <si>
    <t>PALALI NORTE, STA. LUCIA, ILOCOS SUR</t>
  </si>
  <si>
    <t>NAGTABLAAN ELEMENTARY SCHOOL</t>
  </si>
  <si>
    <t>NAGTABLAAN, STA. LUCIA, ILOCOS SUR</t>
  </si>
  <si>
    <t>ELECTRIC WATER PUMP</t>
  </si>
  <si>
    <t>BARANGAY MULTI-PURPOSE HALL</t>
  </si>
  <si>
    <t>GENERATOR WATER PUMP</t>
  </si>
  <si>
    <t>SAN PEDRO, STA. LUCIA, ILOCOS SUR</t>
  </si>
  <si>
    <t>PILA WEST, STA. LUCIA, ILOCOS SUR</t>
  </si>
  <si>
    <t>PILA EAST, STA. LUCIA, ILOCOS SUR</t>
  </si>
  <si>
    <t>SAPANG, STA. LUCIA, ILOCOS SUR</t>
  </si>
  <si>
    <t>ALINCAOEG, STA. LUCIA, ILOCOS SUR</t>
  </si>
  <si>
    <t>BANBANABA, STA. LUCIA, ILOCOS SUR</t>
  </si>
  <si>
    <t>Sta. Maria</t>
  </si>
  <si>
    <t>STA. MARIA MUNICIPAL EVACUATION CENTER</t>
  </si>
  <si>
    <t>POBLACION SUR, STA. MARIA, ILOCOS SUR</t>
  </si>
  <si>
    <t>STA. MARIA CHURCH</t>
  </si>
  <si>
    <t>ISPSC MAIN CAMPUS</t>
  </si>
  <si>
    <t>DANUMAN WEST, STA. MARIA, ILOCOS SUR</t>
  </si>
  <si>
    <t>Ag-agrao</t>
  </si>
  <si>
    <t>Ampuagan</t>
  </si>
  <si>
    <t>Baballasioan</t>
  </si>
  <si>
    <t>Baliw Daya</t>
  </si>
  <si>
    <t>Baliw Laud</t>
  </si>
  <si>
    <t>Bia-o</t>
  </si>
  <si>
    <t>Butir</t>
  </si>
  <si>
    <t>Cabaroan</t>
  </si>
  <si>
    <t>Danuman East</t>
  </si>
  <si>
    <t>Danuman West</t>
  </si>
  <si>
    <t>Dunglayan</t>
  </si>
  <si>
    <t>Gusing</t>
  </si>
  <si>
    <t>Langaoan</t>
  </si>
  <si>
    <t>Laslasong Norte</t>
  </si>
  <si>
    <t>Laslasong Sur</t>
  </si>
  <si>
    <t>Laslasong West</t>
  </si>
  <si>
    <t>Lesseb</t>
  </si>
  <si>
    <t>Lingsat</t>
  </si>
  <si>
    <t>Lubong</t>
  </si>
  <si>
    <t>Maynganay Norte</t>
  </si>
  <si>
    <t>Maynganay Sur</t>
  </si>
  <si>
    <t>Nagsayaoan</t>
  </si>
  <si>
    <t>Nagtupacan</t>
  </si>
  <si>
    <t>Nalvo</t>
  </si>
  <si>
    <t>Pacang</t>
  </si>
  <si>
    <t>Penned</t>
  </si>
  <si>
    <t>Poblacion Norte</t>
  </si>
  <si>
    <t xml:space="preserve">Poblacion Sur </t>
  </si>
  <si>
    <t>Silag</t>
  </si>
  <si>
    <t>Sumagui</t>
  </si>
  <si>
    <t>Suso</t>
  </si>
  <si>
    <t>Tangaoan</t>
  </si>
  <si>
    <t>Tinaan</t>
  </si>
  <si>
    <t>Santiago</t>
  </si>
  <si>
    <t>Santiago Evacuation Center</t>
  </si>
  <si>
    <t>Poblacion Sur</t>
  </si>
  <si>
    <t>WATER REFILLING</t>
  </si>
  <si>
    <t>Mambug Evacuaton Center</t>
  </si>
  <si>
    <t>Mambug</t>
  </si>
  <si>
    <t>Santiago North Central School</t>
  </si>
  <si>
    <t>Santiago South Central School</t>
  </si>
  <si>
    <t>Santiago Sports Complex/plaza</t>
  </si>
  <si>
    <t>earthquake, Typhoon, Flood</t>
  </si>
  <si>
    <t>Butol Elementary School</t>
  </si>
  <si>
    <t>Butol</t>
  </si>
  <si>
    <t xml:space="preserve">Dan-ar Integrated School </t>
  </si>
  <si>
    <t xml:space="preserve">Dan-ar </t>
  </si>
  <si>
    <t>Olo-Olo Elementary School</t>
  </si>
  <si>
    <t>Olo-Olo Sur</t>
  </si>
  <si>
    <t>Sabangan Elementary School</t>
  </si>
  <si>
    <t>Sabangan</t>
  </si>
  <si>
    <t>Salincub Elementary School</t>
  </si>
  <si>
    <t>Salincub</t>
  </si>
  <si>
    <t>Ambucao Elementary School</t>
  </si>
  <si>
    <t>Ambucao</t>
  </si>
  <si>
    <t>San Roque Elementary School</t>
  </si>
  <si>
    <t>San Roque</t>
  </si>
  <si>
    <t>Gabao Elementary School</t>
  </si>
  <si>
    <t>Gabao</t>
  </si>
  <si>
    <t>Caburao Elementary School</t>
  </si>
  <si>
    <t>Caburao</t>
  </si>
  <si>
    <t>Al-aludig Barangay Hall</t>
  </si>
  <si>
    <t>Al-Aludig</t>
  </si>
  <si>
    <t>Ambucao Barangay Hall</t>
  </si>
  <si>
    <t>Baybayabas Barangay Hall</t>
  </si>
  <si>
    <t>Baybayabas</t>
  </si>
  <si>
    <t>Bigbiga Barangay Hall</t>
  </si>
  <si>
    <t>Bigbiga</t>
  </si>
  <si>
    <t>Bulbulala Barangay Hall</t>
  </si>
  <si>
    <t>Bulbulala</t>
  </si>
  <si>
    <t>Busel-Busel Barangay Hall</t>
  </si>
  <si>
    <t>Busel-Busel</t>
  </si>
  <si>
    <t>Butol Barangay Hall</t>
  </si>
  <si>
    <t>Caburao Barangay Hall</t>
  </si>
  <si>
    <t>Dan-ar Barangay Hall</t>
  </si>
  <si>
    <t>Dan-ar</t>
  </si>
  <si>
    <t>Gabao Barangay Hall</t>
  </si>
  <si>
    <t>Guinabang Barangay Hall</t>
  </si>
  <si>
    <t>Guinabang</t>
  </si>
  <si>
    <t>Imus Barangay Hall</t>
  </si>
  <si>
    <t>Imus</t>
  </si>
  <si>
    <t>Lang-ayan Barangay Hall</t>
  </si>
  <si>
    <t>Lang-ayan</t>
  </si>
  <si>
    <t>Mambug Barangay Hall</t>
  </si>
  <si>
    <t>Nalasin</t>
  </si>
  <si>
    <t>Olo-Olo Norte Barangay Hall</t>
  </si>
  <si>
    <t>Olo-Olo Norte</t>
  </si>
  <si>
    <t>Olo-Olo Sur Barangay Hall</t>
  </si>
  <si>
    <t>Poblacion Norte Barangay Hall</t>
  </si>
  <si>
    <t>Poblacion Sur Barangay Hall</t>
  </si>
  <si>
    <t>Sabangan Barangay Hall</t>
  </si>
  <si>
    <t>Salincub Barangay Hall</t>
  </si>
  <si>
    <t>San Jose</t>
  </si>
  <si>
    <t>San Roque Barangay Hall</t>
  </si>
  <si>
    <t>Ubbog Barangay Hall</t>
  </si>
  <si>
    <t>Ubbog</t>
  </si>
  <si>
    <t>Suyo</t>
  </si>
  <si>
    <t>Suyo Evacuation Center</t>
  </si>
  <si>
    <t>Uso</t>
  </si>
  <si>
    <t>1 (PWD CR)</t>
  </si>
  <si>
    <t>Training Center</t>
  </si>
  <si>
    <t>Human Resource Building</t>
  </si>
  <si>
    <t>1 CR per room (8 rooms)</t>
  </si>
  <si>
    <t>Elementary School</t>
  </si>
  <si>
    <t xml:space="preserve">Baringcucurong </t>
  </si>
  <si>
    <t>Day Care</t>
  </si>
  <si>
    <t>Sitio Kimpatubbog, Brgy Poblacion</t>
  </si>
  <si>
    <t>Sitio Bito, Brgy. Poblacion</t>
  </si>
  <si>
    <t>Urzadan</t>
  </si>
  <si>
    <t xml:space="preserve">Barangay Hall </t>
  </si>
  <si>
    <t>Sitio Lubnac</t>
  </si>
  <si>
    <t>Patoc-ao</t>
  </si>
  <si>
    <t>Sitio Hall</t>
  </si>
  <si>
    <t>Sitio Ida</t>
  </si>
  <si>
    <t xml:space="preserve">Old Barangay Hall </t>
  </si>
  <si>
    <t>New Elementary School</t>
  </si>
  <si>
    <t>Sitio Batiangan</t>
  </si>
  <si>
    <t>Suyo Proper</t>
  </si>
  <si>
    <t>Sitio Kinapian</t>
  </si>
  <si>
    <t>Man-Atong</t>
  </si>
  <si>
    <t>Butac</t>
  </si>
  <si>
    <t>Sto. Domingo</t>
  </si>
  <si>
    <t>Binalayangan Brgy. Hall</t>
  </si>
  <si>
    <t>Brgy Binlayangan</t>
  </si>
  <si>
    <t>Binongan Brgy. Hall</t>
  </si>
  <si>
    <t>Brgy Binongan</t>
  </si>
  <si>
    <t>Borobor Brgy. Hall</t>
  </si>
  <si>
    <t>Brgy Borobor</t>
  </si>
  <si>
    <t>Cabaritan Brgy. Hall</t>
  </si>
  <si>
    <t>Brgy Cabaritan</t>
  </si>
  <si>
    <t>Cabigbigaan Brgy. Hall</t>
  </si>
  <si>
    <t>Brgy Cabigbigaan</t>
  </si>
  <si>
    <t>Calautit Brgy Hall</t>
  </si>
  <si>
    <t>Brgy Calautit</t>
  </si>
  <si>
    <t>Calay-ab Brgy Hall</t>
  </si>
  <si>
    <t>Brgy Calay-ab</t>
  </si>
  <si>
    <t>Camestizoan Brgy Hall</t>
  </si>
  <si>
    <t>Brgy Camestizoan</t>
  </si>
  <si>
    <t>Casili Brgy. Hall</t>
  </si>
  <si>
    <t>Brgy Casili</t>
  </si>
  <si>
    <t>Flora Brgy. Hall</t>
  </si>
  <si>
    <t>Brgy Flora</t>
  </si>
  <si>
    <t>Lagatit Brgy. Hall</t>
  </si>
  <si>
    <t>Brgy Lagatit</t>
  </si>
  <si>
    <t>Lao-ingen Brgy Hall</t>
  </si>
  <si>
    <t>Brgy Lao-ingen</t>
  </si>
  <si>
    <t>Lussoc Bgy. Hall</t>
  </si>
  <si>
    <t>Brgy Lussoc</t>
  </si>
  <si>
    <t>Nagbettedan Brgy. Hall</t>
  </si>
  <si>
    <t>Brgy Nagbettedan</t>
  </si>
  <si>
    <t>Naglaoa-an Brgy. Hall</t>
  </si>
  <si>
    <t>Brgy Naglaoa-an</t>
  </si>
  <si>
    <t>Nalasin Brgy. Hall</t>
  </si>
  <si>
    <t>Brgy Nalasin</t>
  </si>
  <si>
    <t>Nambaran Brgy. Hall</t>
  </si>
  <si>
    <t>Brgy Nambaran</t>
  </si>
  <si>
    <t>Nanerman Brgy Hall</t>
  </si>
  <si>
    <t>Brgy Nanerman</t>
  </si>
  <si>
    <t>Napo Brgy. Hall</t>
  </si>
  <si>
    <t>Bgy Napo</t>
  </si>
  <si>
    <t>Padu Chico Brgy Hall</t>
  </si>
  <si>
    <t>Brgy Padu Chico</t>
  </si>
  <si>
    <t>Padu Grande Brgy. Hall</t>
  </si>
  <si>
    <t>Brgy Padu Grande</t>
  </si>
  <si>
    <t>Paguraper Brgy. Hall</t>
  </si>
  <si>
    <t>Brgy Paguraper</t>
  </si>
  <si>
    <t>Panay Brgy Hall</t>
  </si>
  <si>
    <t>Brgy Panay</t>
  </si>
  <si>
    <t>Pangpangdan Brgy Hall</t>
  </si>
  <si>
    <t>Brgy Pangpangdan</t>
  </si>
  <si>
    <t>Parada Brgy Hall</t>
  </si>
  <si>
    <t>Brgy Prada</t>
  </si>
  <si>
    <t>Paras Brgy Hall</t>
  </si>
  <si>
    <t>Brgy Paras</t>
  </si>
  <si>
    <t>Poblacion Brgy Hall</t>
  </si>
  <si>
    <t>Brgy Poblacion</t>
  </si>
  <si>
    <t>Puerta Real Brgy Hall</t>
  </si>
  <si>
    <t>Brgy Puerta Real</t>
  </si>
  <si>
    <t>Pussuac Brgy Hall</t>
  </si>
  <si>
    <t>Brgy Pussuac</t>
  </si>
  <si>
    <t>Quimmarayan Brgy Hall</t>
  </si>
  <si>
    <t>Brgy Quimmarayan</t>
  </si>
  <si>
    <t>San Pablo Brgy Hall</t>
  </si>
  <si>
    <t>Brgy San Pablo</t>
  </si>
  <si>
    <t>Sta. Cruz Brgy Hall</t>
  </si>
  <si>
    <t>Brgy Sta. Cruz</t>
  </si>
  <si>
    <t>Sived Brgy Hall</t>
  </si>
  <si>
    <t>Brgy Sived</t>
  </si>
  <si>
    <t>Suksukit Brgy Hall</t>
  </si>
  <si>
    <t>Brgy Suksukit</t>
  </si>
  <si>
    <t>Vacunero Brgy Hall</t>
  </si>
  <si>
    <t>Brgy. Vacunero</t>
  </si>
  <si>
    <t>Binalayangan Elem School</t>
  </si>
  <si>
    <t>Brgy Binalayangan</t>
  </si>
  <si>
    <t>Cabaritan Elem School</t>
  </si>
  <si>
    <t>Cabigbigaan Elem School</t>
  </si>
  <si>
    <t>Nagtupacan Elem School</t>
  </si>
  <si>
    <t>Calay-ab Elem School</t>
  </si>
  <si>
    <t>Flora Elem School</t>
  </si>
  <si>
    <t>Lagatit Elem School</t>
  </si>
  <si>
    <t>Lao-Ingen Elem School</t>
  </si>
  <si>
    <t>Lussoc Elem. School</t>
  </si>
  <si>
    <t>Lussoc National High School</t>
  </si>
  <si>
    <t>Nambaran Elem School</t>
  </si>
  <si>
    <t>Nagbettedan Elem. School</t>
  </si>
  <si>
    <t>Naglaoa-an Elem School</t>
  </si>
  <si>
    <t>Naglaoa-an National High School</t>
  </si>
  <si>
    <t>Padu Chico Elem. School</t>
  </si>
  <si>
    <t>Paras-Parada Elem School</t>
  </si>
  <si>
    <t>South Central School</t>
  </si>
  <si>
    <t>Rabanal Elem School</t>
  </si>
  <si>
    <t>Quimmarayan Elem School</t>
  </si>
  <si>
    <t>North Central School</t>
  </si>
  <si>
    <t>Sto. Tomas Elem School</t>
  </si>
  <si>
    <t>Brgy Sto. Tomas</t>
  </si>
  <si>
    <t>People's Coliseum</t>
  </si>
  <si>
    <t>RHU and Tourism Lodge</t>
  </si>
  <si>
    <t>Productivity Center</t>
  </si>
  <si>
    <t>Brgy Parada</t>
  </si>
  <si>
    <t>Senior Citizen center</t>
  </si>
  <si>
    <t>Brgy. Poblacion</t>
  </si>
  <si>
    <t>Sived Elem School</t>
  </si>
  <si>
    <t>Sigay</t>
  </si>
  <si>
    <t>Abaccan Elementary School</t>
  </si>
  <si>
    <t>Abaccan, Sigay, I. Sur</t>
  </si>
  <si>
    <t>Farmers Building</t>
  </si>
  <si>
    <t>Mabileg Primary School</t>
  </si>
  <si>
    <t>Mabileg, Sigay, I. Sur</t>
  </si>
  <si>
    <t>Mabileg Child Development Center</t>
  </si>
  <si>
    <t>Matallucod Primary School</t>
  </si>
  <si>
    <t>Matallucod, Sigay, I. Sur</t>
  </si>
  <si>
    <t>Sigay Covered Court</t>
  </si>
  <si>
    <t>Poblacion, Sigay, I. Sur</t>
  </si>
  <si>
    <t>Poblacion Child Development Center</t>
  </si>
  <si>
    <t>Poblacion Evacuation Center</t>
  </si>
  <si>
    <t>San Elias Elementary School</t>
  </si>
  <si>
    <t>San Elias, Sigay, I. Sur</t>
  </si>
  <si>
    <t>San Elias Child Development Center</t>
  </si>
  <si>
    <t>Sigay Central School</t>
  </si>
  <si>
    <t>San Ramon, Sigay, I. Sur</t>
  </si>
  <si>
    <t>San Ramon Child Development Center</t>
  </si>
  <si>
    <t>Sto.Rosario Elem. School</t>
  </si>
  <si>
    <t>Sto. Rosario, Sigay, I. Sur</t>
  </si>
  <si>
    <t>Namatingan Multi-Purpose Hall</t>
  </si>
  <si>
    <t>Napatnay Child Development Center</t>
  </si>
  <si>
    <t>Sinait</t>
  </si>
  <si>
    <t>Sinait National High School</t>
  </si>
  <si>
    <t>Brgy. Ricudo, Sinait, I. Sur</t>
  </si>
  <si>
    <t>Earthquake, Typhoon, Flood, Tsunami</t>
  </si>
  <si>
    <t>80 sq. mtr/room</t>
  </si>
  <si>
    <t>1/flr</t>
  </si>
  <si>
    <t>Sinait Water District</t>
  </si>
  <si>
    <t>Binacud Integrated School</t>
  </si>
  <si>
    <t>Brgy. Binacud, Sinait, I. Sur</t>
  </si>
  <si>
    <t>Sinait West Central School</t>
  </si>
  <si>
    <t>Brgy. Macabiag, Sinait, I. Sur</t>
  </si>
  <si>
    <t>1/room</t>
  </si>
  <si>
    <t>Sinait East Central School</t>
  </si>
  <si>
    <t>Brgy. Rang-ay, Sinait, I. Sur</t>
  </si>
  <si>
    <t>Curtin Primary School</t>
  </si>
  <si>
    <t>Brgy. Curtin, Sinait, I. Sur</t>
  </si>
  <si>
    <t>Electric Pump/Deep Well</t>
  </si>
  <si>
    <t>Barikir Primary School</t>
  </si>
  <si>
    <t>Brgy. Barikir, Sinait, I. Sur</t>
  </si>
  <si>
    <t>Baracbac Elementary School</t>
  </si>
  <si>
    <t>Brgy. Baracbac, Sinait, I. Sur</t>
  </si>
  <si>
    <t>Cabarambanan Elementary School</t>
  </si>
  <si>
    <t>Brgy. Cabarambanan, Sinait, I. Sur</t>
  </si>
  <si>
    <t>Cadanglaan Elementary School</t>
  </si>
  <si>
    <t>Brgy. Cadanglaan, Sinait, I. Sur</t>
  </si>
  <si>
    <t>Brgy. Water System</t>
  </si>
  <si>
    <t>Dadalaquiten Elementary School</t>
  </si>
  <si>
    <t>Brgy. Dadalaquiten Sur, Sinait, I. Sur</t>
  </si>
  <si>
    <t>Earthquake, Typhoon, Tsunami, Liquefaction</t>
  </si>
  <si>
    <t>DLY Mem. Elementary School</t>
  </si>
  <si>
    <t>Brgy. DLY (Pug-os), Sinait, I. Sur</t>
  </si>
  <si>
    <t>Katipunan Elementary School</t>
  </si>
  <si>
    <t>Brgy. Katipunan, Sinait, I. Sur</t>
  </si>
  <si>
    <t>Earthquake, Typhoon, Tsunami, Liquefaction, Flood</t>
  </si>
  <si>
    <t>Marnay Elementary School</t>
  </si>
  <si>
    <t>Brgy. Marnay, Sinait, I. Sur</t>
  </si>
  <si>
    <t>Masadag Elementary School</t>
  </si>
  <si>
    <t>Brgy. Masadag, Sinait, I. Sur</t>
  </si>
  <si>
    <t>Brgy. Sabangan, Sinait, I. Sur</t>
  </si>
  <si>
    <t>Sapriana Elementary School</t>
  </si>
  <si>
    <t>Brgy. Sapriana, Sinait, I. Sur</t>
  </si>
  <si>
    <t>Sta. Cruz Elementary School</t>
  </si>
  <si>
    <t>Brgy. Sta. Cruz, Sinait, I. Sur</t>
  </si>
  <si>
    <t>Teppeng Elementary School</t>
  </si>
  <si>
    <t>Brgy. Teppeng, Sinait, I. Sur</t>
  </si>
  <si>
    <t>Farmers Hall 1 &amp; 2</t>
  </si>
  <si>
    <t>1/hall</t>
  </si>
  <si>
    <t>Sports Complex</t>
  </si>
  <si>
    <t>Brgy. Baliw Multipurpose Hall</t>
  </si>
  <si>
    <t>Brgy. Baliw, Sinait, I. Sur</t>
  </si>
  <si>
    <t>76 sq. mtr</t>
  </si>
  <si>
    <t>Brgy. Ballaigui Multipurpose Hall</t>
  </si>
  <si>
    <t>Brgy. Ballaigui, Sinait, I. Sur</t>
  </si>
  <si>
    <t>Brgy. Baracbac Multipurpose Hall</t>
  </si>
  <si>
    <t>Brgy. Barikir Multipurpose Hall</t>
  </si>
  <si>
    <t>Brgy. Battog Multipurpose Hall</t>
  </si>
  <si>
    <t>Brgy. Battog, Sinait, I. Sur</t>
  </si>
  <si>
    <t>Brgy. Binacud Multipurpose Hall</t>
  </si>
  <si>
    <t>Brgy. Cabarambanan Multipurpose Hall</t>
  </si>
  <si>
    <t>Brgy. Cabulalaan Multipurpose Hall</t>
  </si>
  <si>
    <t>Brgy. Cabulalaan, Sinait, I. Sur</t>
  </si>
  <si>
    <t>Brgy. Cadanglaan Multipurpose Hall</t>
  </si>
  <si>
    <t>Brgy. Calanutian Multipurpose Hall</t>
  </si>
  <si>
    <t>Brgy. Calanutian, Sinait, I. Sur</t>
  </si>
  <si>
    <t>Brgy. Calingayan Multipurpose Hall</t>
  </si>
  <si>
    <t>Brgy. Calingayan, Sinait, I. Sur</t>
  </si>
  <si>
    <t>Brgy. Curtin Multipurpose Hall</t>
  </si>
  <si>
    <t>Brgy. DLY (Pug-os) Multipurpose Hall</t>
  </si>
  <si>
    <t>Brgy. Dadalaquiten Norte Multipurpose Hall</t>
  </si>
  <si>
    <t>Brgy. Dadalaquiten Norte, Sinait, I. Sur</t>
  </si>
  <si>
    <t>Brgy. Duyayyat Multipurpose Hall</t>
  </si>
  <si>
    <t>Brgy. Duyayyat, Sinait, I. Sur</t>
  </si>
  <si>
    <t>Brgy. Jordan Multipurpose Hall</t>
  </si>
  <si>
    <t>Brgy. Jordan, Sinait, I. Sur</t>
  </si>
  <si>
    <t>Brgy. Katipunan Multipurpose Hall</t>
  </si>
  <si>
    <t>Brgy. Macabiag Multipurpose Hall</t>
  </si>
  <si>
    <t>Earthquake, Typhoon, Tsunami, Flood</t>
  </si>
  <si>
    <t>Brgy. Magsaysay Multipurpose Hall</t>
  </si>
  <si>
    <t>Brgy. Magsaysay, Sinait, I. Sur</t>
  </si>
  <si>
    <t>Earthquake, Typhoon, Tsunami, liquefaction</t>
  </si>
  <si>
    <t>Brgy. Marnay Multipurpose Hall</t>
  </si>
  <si>
    <t>Brgy. Masadag Multipurpose Hall</t>
  </si>
  <si>
    <t>Brgy. Nagbalioartian Multipurpose Hall</t>
  </si>
  <si>
    <t>Brgy. Nagbalioartian, Sinait, I. Sur</t>
  </si>
  <si>
    <t>Brgy. Nagcullooban Multipurpose Hall</t>
  </si>
  <si>
    <t>Brgy. Nagcullooban, Sinait, I. Sur</t>
  </si>
  <si>
    <t>Brgy. Nagongburan Multipurpose Hall</t>
  </si>
  <si>
    <t>Brgy. Nagongburan, Sinait, I. Sur</t>
  </si>
  <si>
    <t>Brgy. Namnama Multipurpose Hall</t>
  </si>
  <si>
    <t>Brgy. Namnama, Sinait, I. Sur</t>
  </si>
  <si>
    <t>Brgy. Pacis Multipurpose Hall</t>
  </si>
  <si>
    <t>Brgy. Pacis, Sinait, I. Sur</t>
  </si>
  <si>
    <t>Brgy. Paratong Multipurpose Hall</t>
  </si>
  <si>
    <t>Brgy. Paratong, Sinait, I. Sur</t>
  </si>
  <si>
    <t>Brgy. Quibit-quibit Multipurpose Hall</t>
  </si>
  <si>
    <t>Brgy. Quibit-quibit, Sinait, I. Sur</t>
  </si>
  <si>
    <t>Brgy. Quimallogong Multipurpose Hall</t>
  </si>
  <si>
    <t>Brgy. Quimallogong, Sinait, I. Sur</t>
  </si>
  <si>
    <t>Brgy. Ricudo Multipurpose Hall</t>
  </si>
  <si>
    <t>Brgy. Sallacapo Multipurpose Hall</t>
  </si>
  <si>
    <t>Brgy. Sallacapo, Sinait, I. Sur</t>
  </si>
  <si>
    <t>Brgy. Sta. Cruz Multipurpose Hall</t>
  </si>
  <si>
    <t>Brgy. Sapriana Multipurpose Hall</t>
  </si>
  <si>
    <t>Brgy. Tapao Multipurpose Hall</t>
  </si>
  <si>
    <t>Brgy. Tapao, Sinait, I. Sur</t>
  </si>
  <si>
    <t>Brgy. Tappeng Multipurpose Hall</t>
  </si>
  <si>
    <t>Brgy. Tubigay Multipurpose Hall</t>
  </si>
  <si>
    <t>Brgy. Tubigay, Sinait, I. Sur</t>
  </si>
  <si>
    <t>Brgy. Ubbog Multipurpose Hall</t>
  </si>
  <si>
    <t>Brgy. Ubbog, Sinait, I. Sur</t>
  </si>
  <si>
    <t>Brgy. Baracbac Covered Court</t>
  </si>
  <si>
    <t>512 sq. mtr</t>
  </si>
  <si>
    <t>Brgy. Battog Covered Court</t>
  </si>
  <si>
    <t>Brgy. Binacud Covered Court</t>
  </si>
  <si>
    <t>Brgy. Cabarambanan Covered Court</t>
  </si>
  <si>
    <t>Brgy. Cabulalaan Covered Court</t>
  </si>
  <si>
    <t>Brgy. Cadanglaan Covered Court</t>
  </si>
  <si>
    <t>Brgy. Calanutian Covered Court</t>
  </si>
  <si>
    <t>Brgy. DLY (Pug-os) Covered Court</t>
  </si>
  <si>
    <t>Brgy. Dadalaquiten Norte Covered Court</t>
  </si>
  <si>
    <t>Brgy. Jordan Covered Court</t>
  </si>
  <si>
    <t>Brgy. Katipunan Covered Court</t>
  </si>
  <si>
    <t>Brgy. Macabiag Covered Court</t>
  </si>
  <si>
    <t>Brgy. Magsaysay Covered Court</t>
  </si>
  <si>
    <t>Brgy. Masadag Covered Court</t>
  </si>
  <si>
    <t>Brgy. Nagcullooban Covered Court</t>
  </si>
  <si>
    <t>Brgy. Nagongburan Covered Court</t>
  </si>
  <si>
    <t>Brgy. Paratong Covered Court</t>
  </si>
  <si>
    <t>Brgy. Quimmallogong Covered Court</t>
  </si>
  <si>
    <t>Brgy. Quimmallogong, Sinait, I. Sur</t>
  </si>
  <si>
    <t>Brgy. Rang-ay Covered Court</t>
  </si>
  <si>
    <t>Brgy. Sapriana Covered Court</t>
  </si>
  <si>
    <t>Brgy. Tapao Covered Court</t>
  </si>
  <si>
    <t>Brgy. Teppeng Covered Court</t>
  </si>
  <si>
    <t>Brgy. Ubbog Covered Court</t>
  </si>
  <si>
    <t>Sugpon</t>
  </si>
  <si>
    <t>Sugpon National High School</t>
  </si>
  <si>
    <t>Balbalayang Sugpon Ilocos Sur</t>
  </si>
  <si>
    <t>Saint Anthony of Padua</t>
  </si>
  <si>
    <t>Banga Elementary School</t>
  </si>
  <si>
    <t>Banga Sugpon Ilocos Sur</t>
  </si>
  <si>
    <t>Danac Health Station</t>
  </si>
  <si>
    <t>Danac Sugpon Ilocos Sur</t>
  </si>
  <si>
    <t>Calipayan Elementary School</t>
  </si>
  <si>
    <t>Pangotan Sugpon Ilocos Sur</t>
  </si>
  <si>
    <t>Tagudin</t>
  </si>
  <si>
    <t>Tagudin Evacuation Center - PAGCOR</t>
  </si>
  <si>
    <t>Barangay Cabulanglangan, Tagudin, Ilocos Sur</t>
  </si>
  <si>
    <t>Potable Water System Level III</t>
  </si>
  <si>
    <t>Tagudin Regional Evacuation Center</t>
  </si>
  <si>
    <t>Bucao East, Tagudin, Ilocos Sur</t>
  </si>
  <si>
    <t>Cabulanglangan, Tagudin, Ilocos Sur</t>
  </si>
  <si>
    <t>Saint Augustines School</t>
  </si>
  <si>
    <t>Rizal, Tagudin, Ilocos Sur</t>
  </si>
  <si>
    <t>Potable Water System Level II</t>
  </si>
  <si>
    <t>Tagudin National High School</t>
  </si>
  <si>
    <t>Quirino, Tagudin, Ilocos Sur</t>
  </si>
  <si>
    <t>ISPSC Tagudin Campus</t>
  </si>
  <si>
    <t>Ag-aguman Elementary School</t>
  </si>
  <si>
    <t>Ag-aguman, Tagudin, Ilocos Sur</t>
  </si>
  <si>
    <t>Ambalayat Integrated School</t>
  </si>
  <si>
    <t xml:space="preserve">Ambalayat, Tagudin, Ilocos Sur </t>
  </si>
  <si>
    <t>Electricity</t>
  </si>
  <si>
    <t>Baracbac Community School</t>
  </si>
  <si>
    <t>Baracbac, Tagudin, Ilocos Sur</t>
  </si>
  <si>
    <t>Becques Elementary School</t>
  </si>
  <si>
    <t>Becques, Tagudin, Ilocos Sur</t>
  </si>
  <si>
    <t>Bimmanga Community School</t>
  </si>
  <si>
    <t>Bimmanga, Tagudin, Ilocos Sur</t>
  </si>
  <si>
    <t>Bio Elementary School</t>
  </si>
  <si>
    <t>Bio, Tagudin, Ilocos Sur</t>
  </si>
  <si>
    <t>Bitalag Elementary School</t>
  </si>
  <si>
    <t>Bitalag, Tagudin, Ilocos Sur</t>
  </si>
  <si>
    <t>Cabugbugan Community School</t>
  </si>
  <si>
    <t>Cabugbugan, Tagudin, Ilocos Sur</t>
  </si>
  <si>
    <t>Cabulanglangan Elementary School</t>
  </si>
  <si>
    <t>Garitan Integrated School</t>
  </si>
  <si>
    <t>Garitan, Tagudin, Ilocos Sur</t>
  </si>
  <si>
    <t>Las-ud Elementary School</t>
  </si>
  <si>
    <t>Las-ud, Tagudin, Ilocos Sur</t>
  </si>
  <si>
    <t>LIbtong Integrated School</t>
  </si>
  <si>
    <t>Libtong, Tagudin, Ilocos Sur</t>
  </si>
  <si>
    <t>Pacac Elementart Shool</t>
  </si>
  <si>
    <t>Pacac, Tagudin, Ilocos Sur</t>
  </si>
  <si>
    <t>Pallogan Elementary School</t>
  </si>
  <si>
    <t>Pallogan, Tagudiin, Ilocos Sur</t>
  </si>
  <si>
    <t>Pudoc East Elementary School</t>
  </si>
  <si>
    <t>Pudoc East, Tagudin, Ilocos Sur</t>
  </si>
  <si>
    <t>Pudoc West Elementary School</t>
  </si>
  <si>
    <t>Pudoc West, Tagudin, Ilocos Sur</t>
  </si>
  <si>
    <t>San Miguel Elementary School</t>
  </si>
  <si>
    <t>San Miguel, Tagudin, Ilocos Sur</t>
  </si>
  <si>
    <t>San Pedro Community School</t>
  </si>
  <si>
    <t>Dardarat, Tagudin, Ilocos Sur</t>
  </si>
  <si>
    <t>Tagudin Integrated School</t>
  </si>
  <si>
    <t>Del Pilar, Tagudin, Ilocos Sur</t>
  </si>
  <si>
    <t>Tallaoen Elementary School</t>
  </si>
  <si>
    <t>Tallaoen, Tagudin, Ilocos Sur</t>
  </si>
  <si>
    <t>Tampugo-Borono Elementary School</t>
  </si>
  <si>
    <t>Borono, Tagudin, Ilocos Sur</t>
  </si>
  <si>
    <t>Vigan City</t>
  </si>
  <si>
    <t>Vigan Regional Evacuation Center</t>
  </si>
  <si>
    <t>Ayusan Sur, Vigan City</t>
  </si>
  <si>
    <t>NA</t>
  </si>
  <si>
    <t>Vigan City Hall</t>
  </si>
  <si>
    <t>Barangay I, Vigan City</t>
  </si>
  <si>
    <t>Vigan Culture and Trade Center</t>
  </si>
  <si>
    <t>Vigan Convention Center</t>
  </si>
  <si>
    <t>Barangay VIII, Vigan City</t>
  </si>
  <si>
    <t>Vigan Conservation Complex</t>
  </si>
  <si>
    <t>San Julian Sur, Vigan City</t>
  </si>
  <si>
    <t>Ayusan Norte Evacuation Center</t>
  </si>
  <si>
    <t>Ayusan Norte, Vigan City</t>
  </si>
  <si>
    <t>Beddeng Laud Evacuation Center</t>
  </si>
  <si>
    <t>Beddeng Laud, Vigan City</t>
  </si>
  <si>
    <t>Not Set</t>
  </si>
  <si>
    <t>Burgos Memorial School West</t>
  </si>
  <si>
    <t>Barangay IV, Vigan City</t>
  </si>
  <si>
    <t>Burgos Memorial School East</t>
  </si>
  <si>
    <t>Barangay III, Vigan City</t>
  </si>
  <si>
    <t>Vigan Central School</t>
  </si>
  <si>
    <t>Barangay IX, Vigan City</t>
  </si>
  <si>
    <t>Jose Singson Elementary School</t>
  </si>
  <si>
    <t>Pantay Daya, Vigan City</t>
  </si>
  <si>
    <t>Pantay Elementary School</t>
  </si>
  <si>
    <t>Pantay Laud, Vigan City</t>
  </si>
  <si>
    <t>Ayusan - Paoa Elementary School</t>
  </si>
  <si>
    <t>Paoa, Vigan City</t>
  </si>
  <si>
    <t>Bulala - Paratong Elementary School</t>
  </si>
  <si>
    <t>Paratong, Vigan City</t>
  </si>
  <si>
    <t>Mindoro Elementary School</t>
  </si>
  <si>
    <t>Mindoro, Vigan City</t>
  </si>
  <si>
    <t>Evaristo "Titong" Singson Elementary School</t>
  </si>
  <si>
    <t>San Pedro, Vigan City</t>
  </si>
  <si>
    <t>Salindeg, Pong-ol, Barraca Elementary School</t>
  </si>
  <si>
    <t>Salindeg, Vigan City</t>
  </si>
  <si>
    <t>Tamag Elementary School</t>
  </si>
  <si>
    <t>Tamag, Vigan City</t>
  </si>
  <si>
    <t>San Julian Elementary School</t>
  </si>
  <si>
    <t>San Julian Norte, Vigan City</t>
  </si>
  <si>
    <t>Nagsangalan Elementary School</t>
  </si>
  <si>
    <t>Nagsangalan, Vigan City</t>
  </si>
  <si>
    <t>Camangaan Elementary School</t>
  </si>
  <si>
    <t>Camangaan, Vigan City</t>
  </si>
  <si>
    <t>Cabaroan - Cabalangegan Elementary School</t>
  </si>
  <si>
    <t>Cabaroan Daya,Vigan City</t>
  </si>
  <si>
    <t>Rugsuanan - Puroc Elementary School</t>
  </si>
  <si>
    <t>Rugsuanan, Vigan City</t>
  </si>
  <si>
    <t>Raois Elementary School</t>
  </si>
  <si>
    <t>Raois, Vigan City</t>
  </si>
  <si>
    <t>Vigan National High School East</t>
  </si>
  <si>
    <t>Vigan National High School West</t>
  </si>
  <si>
    <t>Ilocos Sur National High School</t>
  </si>
  <si>
    <t>Barangay VII, Vigan City</t>
  </si>
  <si>
    <t>No.</t>
  </si>
  <si>
    <t xml:space="preserve">NAME OF EVACUATION CENTER
</t>
  </si>
  <si>
    <t xml:space="preserve">LOCATION
</t>
  </si>
  <si>
    <r>
      <rPr>
        <rFont val="Arial"/>
        <b/>
        <color rgb="FF000000"/>
        <sz val="11.0"/>
      </rPr>
      <t xml:space="preserve">FLOOR AREA (IN SQ. MTR)
</t>
    </r>
    <r>
      <rPr>
        <rFont val="Arial"/>
        <b/>
        <i/>
        <color rgb="FF000000"/>
        <sz val="11.0"/>
      </rPr>
      <t>(Decimal, xxx.xx)</t>
    </r>
  </si>
  <si>
    <r>
      <rPr>
        <rFont val="Arial"/>
        <b/>
        <color rgb="FF000000"/>
        <sz val="11.0"/>
      </rPr>
      <t xml:space="preserve">TOTAL STORAGE CAPACITY OF NUMBER OF FAMILY FOOD PACKS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</si>
  <si>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FAMILY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</si>
  <si>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INDIVIDUAL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</si>
  <si>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FEMALE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</si>
  <si>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MALE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</si>
  <si>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COMMON CR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</si>
  <si>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POTABLE
</t>
    </r>
    <r>
      <rPr>
        <rFont val="Arial"/>
        <b/>
        <i/>
        <color rgb="FF000000"/>
        <sz val="11.0"/>
      </rPr>
      <t>(Text, Ex. Deep well)</t>
    </r>
  </si>
  <si>
    <r>
      <rPr>
        <rFont val="Arial"/>
        <b/>
        <color rgb="FF000000"/>
        <sz val="11.0"/>
      </rPr>
      <t xml:space="preserve">NON-POTABLE
</t>
    </r>
    <r>
      <rPr>
        <rFont val="Arial"/>
        <b/>
        <i/>
        <color rgb="FF000000"/>
        <sz val="11.0"/>
      </rPr>
      <t>(Text, Ex. River)</t>
    </r>
  </si>
  <si>
    <r>
      <rPr>
        <rFont val="Arial"/>
        <b/>
        <color rgb="FF000000"/>
        <sz val="11.0"/>
      </rPr>
      <t xml:space="preserve">YES/NO
</t>
    </r>
    <r>
      <rPr>
        <rFont val="Arial"/>
        <b/>
        <i/>
        <color rgb="FF000000"/>
        <sz val="11.0"/>
      </rPr>
      <t>(Dropdown)</t>
    </r>
  </si>
  <si>
    <r>
      <rPr>
        <rFont val="Arial"/>
        <b/>
        <color rgb="FF000000"/>
        <sz val="11.0"/>
      </rPr>
      <t xml:space="preserve">TOTAL ISOLATION BED CAPACITY (IF USED AS COVID-19 FACILITY)
</t>
    </r>
    <r>
      <rPr>
        <rFont val="Arial"/>
        <b/>
        <i/>
        <color rgb="FF000000"/>
        <sz val="11.0"/>
      </rPr>
      <t>(Number)</t>
    </r>
  </si>
  <si>
    <t>PROVINCE OF PANGASINAN</t>
  </si>
  <si>
    <t xml:space="preserve">Pangasinan Evacuation Center </t>
  </si>
  <si>
    <t>Solis Street, Poblacion, Lingayen, Pangasinan</t>
  </si>
  <si>
    <t>803.6 sqm</t>
  </si>
  <si>
    <t>Water Purifying Station</t>
  </si>
  <si>
    <t>Agno</t>
  </si>
  <si>
    <t>AGNO MDRRM Evacuation and Civic Center</t>
  </si>
  <si>
    <t>Poblacion East, Agno, Pangasinan</t>
  </si>
  <si>
    <t>fire</t>
  </si>
  <si>
    <t>earthquake, typhoon</t>
  </si>
  <si>
    <t>Aguilar</t>
  </si>
  <si>
    <t>Aguilar Multi-Purpose and Evacuation Center</t>
  </si>
  <si>
    <t>Poblacion, Aguilar, Pangasinan</t>
  </si>
  <si>
    <t>1244 sqm</t>
  </si>
  <si>
    <t>Alaminos City</t>
  </si>
  <si>
    <t>Don Leopoldo Sison Convention Center</t>
  </si>
  <si>
    <t>Quezon Ave.Brgy. Poblacion</t>
  </si>
  <si>
    <t>Fire, Bombing</t>
  </si>
  <si>
    <t>Earthquake-Induced Landslide, Typhoon, Flood,Drought,Ground Shaking</t>
  </si>
  <si>
    <t>600sqm</t>
  </si>
  <si>
    <t>ALaminos City Multi-Purpose Evacuation Bldg.</t>
  </si>
  <si>
    <t>Alasiga St. Brgy. Tangcarang</t>
  </si>
  <si>
    <t>250sqm</t>
  </si>
  <si>
    <t>LIGTAS COVID 19 Isolation Center (former Alaminos City Training Center</t>
  </si>
  <si>
    <t>Brgy. Bolaney ALaminos City</t>
  </si>
  <si>
    <t>200sqm</t>
  </si>
  <si>
    <t>Plaza Enrique Braganza</t>
  </si>
  <si>
    <t>San Jose Drive.Brgy. Poblacion</t>
  </si>
  <si>
    <t>288sqm</t>
  </si>
  <si>
    <t>Plaza  Marcelo Ochave</t>
  </si>
  <si>
    <t>Almasiga St. Brgy. Tangcarang</t>
  </si>
  <si>
    <t>Ground Shaking, Typhoon, Flood</t>
  </si>
  <si>
    <t>180sqm</t>
  </si>
  <si>
    <t>Alaminos City Sports Complex</t>
  </si>
  <si>
    <t>320sqm</t>
  </si>
  <si>
    <t>Brgy. Hall/Covered Court</t>
  </si>
  <si>
    <t>Main Street Brgy. Amandiego</t>
  </si>
  <si>
    <t>Ground Shaking, Typhoon, Flood, Liquefaction,Drought</t>
  </si>
  <si>
    <t>300 sqm</t>
  </si>
  <si>
    <t>171 sqm</t>
  </si>
  <si>
    <t>Amandiego Elementary School</t>
  </si>
  <si>
    <t>266sqm</t>
  </si>
  <si>
    <t>Auditorium</t>
  </si>
  <si>
    <t>National Road Brgy. Alos</t>
  </si>
  <si>
    <t>Drought, Ground Shaking, Typhoon</t>
  </si>
  <si>
    <t>Roman Catholic Chapel</t>
  </si>
  <si>
    <t>100 sqm</t>
  </si>
  <si>
    <t>Alos Elementary School</t>
  </si>
  <si>
    <t>266 sqm</t>
  </si>
  <si>
    <t>Alos National High School</t>
  </si>
  <si>
    <t>351 sqm</t>
  </si>
  <si>
    <t>Amangbangan Elementary School</t>
  </si>
  <si>
    <t>Amangbangan Brgy. Road</t>
  </si>
  <si>
    <t>Drought, Liquefaction,Ground Shaking,Typhoon</t>
  </si>
  <si>
    <t>Zone III Brgy. Amangbangan</t>
  </si>
  <si>
    <t>250 sqm</t>
  </si>
  <si>
    <t>Health Center</t>
  </si>
  <si>
    <t>Zone II Brgy. Amangbangan</t>
  </si>
  <si>
    <t>Balangobong Elementary School</t>
  </si>
  <si>
    <t>Balangobong East</t>
  </si>
  <si>
    <t>LIquefaction,GroundShaking,Typhoon</t>
  </si>
  <si>
    <t>Brgy. Auditorium</t>
  </si>
  <si>
    <t>Barangay Chapel</t>
  </si>
  <si>
    <t>Balangobong West</t>
  </si>
  <si>
    <t>150 sqm</t>
  </si>
  <si>
    <t>50 sqm</t>
  </si>
  <si>
    <t>SK Building</t>
  </si>
  <si>
    <t>Centro Road Brgy. Balayang</t>
  </si>
  <si>
    <t>Rain Induced Landslide,Drought,Earthquake Induced Landslide,Ground Shaking,Typhoon</t>
  </si>
  <si>
    <t>Balayang Elementary School</t>
  </si>
  <si>
    <t>Balayang Day Care Center</t>
  </si>
  <si>
    <t>Covered Court</t>
  </si>
  <si>
    <t>300m sqm</t>
  </si>
  <si>
    <t>Baptist Church</t>
  </si>
  <si>
    <t>115 sqm</t>
  </si>
  <si>
    <t>Ramon Mendez Residence</t>
  </si>
  <si>
    <t>Sitio Putrido Brgy. Balayang</t>
  </si>
  <si>
    <t>Agbayani Road Brgy Baleyadaan</t>
  </si>
  <si>
    <t>Flood,,Storm Surge,Drought,Liquefaction,Ground Shaking,Tsunami,Typhoon</t>
  </si>
  <si>
    <t>200 sqm</t>
  </si>
  <si>
    <t>Basketball Court</t>
  </si>
  <si>
    <t>170 sqm</t>
  </si>
  <si>
    <t>Baleyadaan Elementary School</t>
  </si>
  <si>
    <t>Rasing-Razote Rd. Brgy Baleyadaan</t>
  </si>
  <si>
    <t>Bisocol Elementary School</t>
  </si>
  <si>
    <t>J. Basobas St. Brgy. Bisocol</t>
  </si>
  <si>
    <t>Flood,LIquefaction,Ground Shaking,Typhoon</t>
  </si>
  <si>
    <t>Main Road Brgy. Bisocol</t>
  </si>
  <si>
    <t>National Road Brgy. Bolaney</t>
  </si>
  <si>
    <t>Bolaney Elementary School</t>
  </si>
  <si>
    <t>Bayanihan Center</t>
  </si>
  <si>
    <t>Barangay Hall/Covered Court</t>
  </si>
  <si>
    <t>Rizal Avenue Brgy. Bued</t>
  </si>
  <si>
    <t>Flood,Storm Surge,Drought,Liquefaction,Ground Shaking,Tsunami,Typhoon</t>
  </si>
  <si>
    <t>Bued Elementary School</t>
  </si>
  <si>
    <t>National Road Brgy. Bued</t>
  </si>
  <si>
    <t>Ragudos St. Brgy. Cabatuan</t>
  </si>
  <si>
    <t>Cabatuan Elementary School</t>
  </si>
  <si>
    <t>Rendon St. Brgy. Cabatuan</t>
  </si>
  <si>
    <t>Rabanillo St. Brgy Cabatuan</t>
  </si>
  <si>
    <t>110 sqm</t>
  </si>
  <si>
    <t>Centro Main Road Brgy. Cayucay</t>
  </si>
  <si>
    <t>Storm Surge,Drought,Liquefaction,Ground Shaking,Tsunami,Typhoon</t>
  </si>
  <si>
    <t>Cayucay Elementary School</t>
  </si>
  <si>
    <t>Cayucay National High School</t>
  </si>
  <si>
    <t>Brgy. Road Main Brgy. Dulacac</t>
  </si>
  <si>
    <t>Flood,Rain Induced Landslide,Earthquake Induced Landslide,Ground Shaking,Typhoon</t>
  </si>
  <si>
    <t>Dulacac Elementary School</t>
  </si>
  <si>
    <t>Barangay Hall (Old &amp; New)</t>
  </si>
  <si>
    <t>National Road Brgy. Inerangan</t>
  </si>
  <si>
    <t>Drought,Liquefaction,Ground Shaking, Typhoon</t>
  </si>
  <si>
    <t>Inerangan Elementary School</t>
  </si>
  <si>
    <t>Inerangan National High School</t>
  </si>
  <si>
    <t>Calicdan Street Brgy. Inerangan</t>
  </si>
  <si>
    <t>Landoc Brgy. Road</t>
  </si>
  <si>
    <t>Landoc Elementary School</t>
  </si>
  <si>
    <t>Zone 4 Brgy. Linmansangan</t>
  </si>
  <si>
    <t>Rain Induced Landslide,Earthquake Induced Landslide,Ground Shaking, Typhoon</t>
  </si>
  <si>
    <t>Linmansangan Elementary School</t>
  </si>
  <si>
    <t>Health Clinic</t>
  </si>
  <si>
    <t>Brgy. Linmansangan Road</t>
  </si>
  <si>
    <t>Lucap Elementary School</t>
  </si>
  <si>
    <t>Zone III Brgy. Lucap</t>
  </si>
  <si>
    <t xml:space="preserve">Fire, Bombing </t>
  </si>
  <si>
    <t>Centro Main Road Brgy. Lucap</t>
  </si>
  <si>
    <t>Maawi Elementary School</t>
  </si>
  <si>
    <t>Brgy. Maawi Main Road</t>
  </si>
  <si>
    <t>Ground Shaking, Typhoon</t>
  </si>
  <si>
    <t>Brgy. Macatiw Main Road</t>
  </si>
  <si>
    <t>Maliga Elementary School</t>
  </si>
  <si>
    <t>Palpalatoc Road Brgy Macatiw</t>
  </si>
  <si>
    <t>Zone I, Centro Brgy. Mona</t>
  </si>
  <si>
    <t>Flood,Strom Surge,Drought,LIquefaction,Ground Shaking, Typhoon</t>
  </si>
  <si>
    <t>Mona Elementary School</t>
  </si>
  <si>
    <t>Patricio Road Brgy. Magsaysay</t>
  </si>
  <si>
    <t>Flood,Drought,Ground Shaking,Typhoon</t>
  </si>
  <si>
    <t>75 sqm</t>
  </si>
  <si>
    <t>Magsaysay Elementary School</t>
  </si>
  <si>
    <t>Marcos Ave. Nat'l Road Brgy. Palamis</t>
  </si>
  <si>
    <t>Flood,Liquefaction,Ground Shaking, Typhoon</t>
  </si>
  <si>
    <t>Palamis Elementary School</t>
  </si>
  <si>
    <t>Tolentino St. Brgy. Palamis</t>
  </si>
  <si>
    <t>National Road Brgy. Pandan</t>
  </si>
  <si>
    <t>Rain Induced Landslide,Storm Surge,Drought,Earthquake Induced Landslide, Liquefaction,Tsunami, Typhoon</t>
  </si>
  <si>
    <t>Pandan Elementary School</t>
  </si>
  <si>
    <t>Brgy. Road, Main Pangapisan</t>
  </si>
  <si>
    <t>Pangapisan Elementary School</t>
  </si>
  <si>
    <t>Zone I Brgy. Pangapisan</t>
  </si>
  <si>
    <t>Alaminos City Central School</t>
  </si>
  <si>
    <t>San Jose Drive Brgy. Poblacion</t>
  </si>
  <si>
    <t>437 sqm</t>
  </si>
  <si>
    <t>Sabaro, Brgy. Poblacion</t>
  </si>
  <si>
    <t>Centro Brgy. Pocal-Pocal</t>
  </si>
  <si>
    <t>Flood,Ground Shaking,Typhoon</t>
  </si>
  <si>
    <t>Pocal-Pocal Elementary School</t>
  </si>
  <si>
    <t>Eastwest St.</t>
  </si>
  <si>
    <t>Barangay Hall (Old)</t>
  </si>
  <si>
    <t>Centro Brgy Polo</t>
  </si>
  <si>
    <t>Fllod,,Drought,LIquefaction,Ground Shaking, Typhoon</t>
  </si>
  <si>
    <t>Flood,,Drought,LIquefaction,Ground Shaking, Typhoon</t>
  </si>
  <si>
    <t>Mangas Chapel</t>
  </si>
  <si>
    <t>Sitio Mangas</t>
  </si>
  <si>
    <t>Polo Elementary School</t>
  </si>
  <si>
    <t>Polo National High School</t>
  </si>
  <si>
    <t>Kamangaan St. Brgy. Polo</t>
  </si>
  <si>
    <t>Multi-Purpose Building</t>
  </si>
  <si>
    <t>National Road Brgy Pogo</t>
  </si>
  <si>
    <t>Flood, Drought,LIquefaction,Ground Sahking,Typhoon</t>
  </si>
  <si>
    <t>Brgy. Quibuar Main Road</t>
  </si>
  <si>
    <t>Quibuar Elementary School</t>
  </si>
  <si>
    <t>Guillermo St. Brgy Quibuar</t>
  </si>
  <si>
    <t>Brgy. Chapel</t>
  </si>
  <si>
    <t>Ancheta Road Brgy. Quibuar</t>
  </si>
  <si>
    <t>Zone II Brgy. Sabangan</t>
  </si>
  <si>
    <t>Zacarias St. Brgy. Sabangan</t>
  </si>
  <si>
    <t>Zone III Brgy. San Antonio</t>
  </si>
  <si>
    <t>Flood,Drought,Liquefaction,Ground Shaking,Tsunami,Typhoon</t>
  </si>
  <si>
    <t>Barangay Auditorium</t>
  </si>
  <si>
    <t>Zone I Brgy. San Antonio</t>
  </si>
  <si>
    <t>Centro Brgy. San Jose</t>
  </si>
  <si>
    <t>Flood,Drought,Liquefaction,Ground Shaking,Typhoon</t>
  </si>
  <si>
    <t>Sison St. Brgy San Roque</t>
  </si>
  <si>
    <t>Main Road Brgy. San Roque</t>
  </si>
  <si>
    <t>E. Humilde St. Brgy. San Roque</t>
  </si>
  <si>
    <t>National Road Brgy. San Vicente</t>
  </si>
  <si>
    <t>San Vicente Elementary School</t>
  </si>
  <si>
    <t>Zone III National Rd. Brgy. San Vicente</t>
  </si>
  <si>
    <t>San Vicente National High School</t>
  </si>
  <si>
    <t>Zone II Burigis Brgy. San Vicente</t>
  </si>
  <si>
    <t>Brgy. Sta. Maria Main Road</t>
  </si>
  <si>
    <t>Sta. Maria Elementary School</t>
  </si>
  <si>
    <t>National Road Brgy. Tanaytay</t>
  </si>
  <si>
    <t>Liquefaction,GroundShaking,Typhoon</t>
  </si>
  <si>
    <t>150 sqm.</t>
  </si>
  <si>
    <t>Popantay Elementary School</t>
  </si>
  <si>
    <t>Popantay St. Brgy Tanaytay</t>
  </si>
  <si>
    <t>Sta. Isabel Chapel</t>
  </si>
  <si>
    <t>Brgy. Tangcarang Main Road</t>
  </si>
  <si>
    <t>Tangcarang Elementary School</t>
  </si>
  <si>
    <t>Sto. Niño Chapel</t>
  </si>
  <si>
    <t>Dinmayat St. Brgy. Tangcarang</t>
  </si>
  <si>
    <t>Zone II Brgy. Tawin-Tawin</t>
  </si>
  <si>
    <t>Drought,LIquefaction,Ground Shaking, Typhoon</t>
  </si>
  <si>
    <t>Zone III Brgy. Tawin-Tawin</t>
  </si>
  <si>
    <t>Ildefonso Quimson Community High School</t>
  </si>
  <si>
    <t>Brgy Tawin-Tawin Main Road</t>
  </si>
  <si>
    <t>Zone III Brgy. Telbang</t>
  </si>
  <si>
    <t>Storm Surge,Liquefaction,Ground Shaking,Tsunami,Typhoon</t>
  </si>
  <si>
    <t>Telbang Elelementary School</t>
  </si>
  <si>
    <t>Telbang National High School</t>
  </si>
  <si>
    <t>Centro Brgy. Victoria</t>
  </si>
  <si>
    <t>Victoria Elementary School</t>
  </si>
  <si>
    <t>Zone I Brgy. Victoria</t>
  </si>
  <si>
    <t>Alcala</t>
  </si>
  <si>
    <t>Alcala Public Auditorium</t>
  </si>
  <si>
    <t>Brgy. Poblacion East</t>
  </si>
  <si>
    <t>1, 496 sq.meters</t>
  </si>
  <si>
    <t>Tap Water</t>
  </si>
  <si>
    <t>Alcala Municipal Hall</t>
  </si>
  <si>
    <t>928 sq.meters</t>
  </si>
  <si>
    <t>Alcala Training Center</t>
  </si>
  <si>
    <t>850 sqm</t>
  </si>
  <si>
    <t>Alcala Police Station</t>
  </si>
  <si>
    <t>490 sq.meters</t>
  </si>
  <si>
    <t>Legislative Building</t>
  </si>
  <si>
    <t>1, 126 sq.meters</t>
  </si>
  <si>
    <t>Municipal Library</t>
  </si>
  <si>
    <t>161 sq.meters</t>
  </si>
  <si>
    <t>National Children Development Center</t>
  </si>
  <si>
    <t>128 sq.meters</t>
  </si>
  <si>
    <t>Anulid Barangay Hall</t>
  </si>
  <si>
    <t>Brgy. Anulid</t>
  </si>
  <si>
    <t>85 sq.meters</t>
  </si>
  <si>
    <t>Anulid Elementary School</t>
  </si>
  <si>
    <t>1,064 sq.meters</t>
  </si>
  <si>
    <t>Atainan Barangay Hall</t>
  </si>
  <si>
    <t>Brgy. Atainan</t>
  </si>
  <si>
    <t>90 sq.meters</t>
  </si>
  <si>
    <t>Atainan Elementary School</t>
  </si>
  <si>
    <t>Bersamin Barangay Hall</t>
  </si>
  <si>
    <t>Brgy. Bersamin</t>
  </si>
  <si>
    <t>50 sq.meters</t>
  </si>
  <si>
    <t>Bersamin Elementary School</t>
  </si>
  <si>
    <t>1,288 sq.meters</t>
  </si>
  <si>
    <t>Bersamin Agro Industrial National HS</t>
  </si>
  <si>
    <t>493 sq.meters</t>
  </si>
  <si>
    <t>Canarvacanan Barangay Hall</t>
  </si>
  <si>
    <t>Brgy. Canarvacanan</t>
  </si>
  <si>
    <t>Canarvacanan National High School</t>
  </si>
  <si>
    <t>1, 200 sq.meters</t>
  </si>
  <si>
    <t>Carangalaan Barangay Hall</t>
  </si>
  <si>
    <t>Brgy. Caranglaaan</t>
  </si>
  <si>
    <t>56 sq.meters</t>
  </si>
  <si>
    <t>Curareng Barangay Hall</t>
  </si>
  <si>
    <t>Brgy. Curareng</t>
  </si>
  <si>
    <t>75 sq.meters</t>
  </si>
  <si>
    <t>Gualsic Barangay Hall</t>
  </si>
  <si>
    <t>Brgy. Gualsic</t>
  </si>
  <si>
    <t>Gualsic Integrated School</t>
  </si>
  <si>
    <t>560 sq.meters</t>
  </si>
  <si>
    <t>Kisikis Barangay Hall</t>
  </si>
  <si>
    <t>Brgy. Kisiskis</t>
  </si>
  <si>
    <t>120 sq.meters</t>
  </si>
  <si>
    <t>Laoac Barangay Hall</t>
  </si>
  <si>
    <t>Brgy. Laoac</t>
  </si>
  <si>
    <t>Laoac Elementary School</t>
  </si>
  <si>
    <t>1,120 sq.meters</t>
  </si>
  <si>
    <t>Macayo Integrated School</t>
  </si>
  <si>
    <t>Brgy.Macayo</t>
  </si>
  <si>
    <t>952 sq.meters</t>
  </si>
  <si>
    <t>Macayo Barangay Hall</t>
  </si>
  <si>
    <t>Brgy. Macayo</t>
  </si>
  <si>
    <t>Pindangan Centro Barangay Hall</t>
  </si>
  <si>
    <t>Brgy. Pindangan Centro</t>
  </si>
  <si>
    <t>98 sq.meters</t>
  </si>
  <si>
    <t>Pindangan East Elementary School</t>
  </si>
  <si>
    <t>Brgy. Pindangan East</t>
  </si>
  <si>
    <t>672 sq.meters</t>
  </si>
  <si>
    <t>Pindangan East Barangay Hall</t>
  </si>
  <si>
    <t>Pindangan West Elementary School</t>
  </si>
  <si>
    <t>Brgy. Pindangan West</t>
  </si>
  <si>
    <t>840 sq.meters</t>
  </si>
  <si>
    <t>Pindangan National High School</t>
  </si>
  <si>
    <t>1,300 sq.meters</t>
  </si>
  <si>
    <t>Pindangan West Barangay Hall</t>
  </si>
  <si>
    <t>Poblacion East Barangay Hall</t>
  </si>
  <si>
    <t>152 sq.meters</t>
  </si>
  <si>
    <t>Alcala Central School</t>
  </si>
  <si>
    <t>1,960 sq.meters</t>
  </si>
  <si>
    <t>Poblacion West Barangay Hall</t>
  </si>
  <si>
    <t>Brgy. Poblacion West</t>
  </si>
  <si>
    <t>San Juan Elementary School</t>
  </si>
  <si>
    <t>Brgy. San Juan</t>
  </si>
  <si>
    <t>San Juan Barangay Hall</t>
  </si>
  <si>
    <t>San Nicolas Barangay Hall</t>
  </si>
  <si>
    <t>Brgy. San Nicolas</t>
  </si>
  <si>
    <t>100 sq.meters</t>
  </si>
  <si>
    <t>San Pedro Apartado National High School</t>
  </si>
  <si>
    <t>Brgy. San Pedro Apartado</t>
  </si>
  <si>
    <t>1,104 sq.meters</t>
  </si>
  <si>
    <t>San Pedro Apartado Barangay Hall</t>
  </si>
  <si>
    <t>Guinawedan Elementary</t>
  </si>
  <si>
    <t>Brgy.San Pedro Apartado</t>
  </si>
  <si>
    <t>510 sq.meters</t>
  </si>
  <si>
    <t>San Pedro Apartado E.S</t>
  </si>
  <si>
    <t>448 sq.meters</t>
  </si>
  <si>
    <t>San Pedro Ili Elementary School</t>
  </si>
  <si>
    <t>Brgy. San Pedro Ili</t>
  </si>
  <si>
    <t>Arboleda National High School</t>
  </si>
  <si>
    <t>1,500 sq.meters</t>
  </si>
  <si>
    <t>San Pedro Ili Barangay Hall</t>
  </si>
  <si>
    <t>Brgy. San Vicente</t>
  </si>
  <si>
    <t>Cipriano P. Primicias National High School</t>
  </si>
  <si>
    <t>2,443 sq.meters</t>
  </si>
  <si>
    <t>Brgy.San Vicente</t>
  </si>
  <si>
    <t>80 sq.meters</t>
  </si>
  <si>
    <t>Vacante Elementary School</t>
  </si>
  <si>
    <t>Brgy.Vacante</t>
  </si>
  <si>
    <t>784 sq.meters</t>
  </si>
  <si>
    <t>Vacante Barangay Hall</t>
  </si>
  <si>
    <t>Anda</t>
  </si>
  <si>
    <t>Anda Training Center</t>
  </si>
  <si>
    <t>Poblacion, Anda, Pangasinan</t>
  </si>
  <si>
    <t>Purified Mineral Water</t>
  </si>
  <si>
    <t>Roxas, Anda, Pangasinan</t>
  </si>
  <si>
    <t>Early Childhood Care and Development Center</t>
  </si>
  <si>
    <t>Awag Barangay Buildings and Gymnasium</t>
  </si>
  <si>
    <t>Awag, Anda, Pangasinan</t>
  </si>
  <si>
    <t>Awile Barangay Buildings and Gymnasium</t>
  </si>
  <si>
    <t>Awile, Anda, Pangasinan</t>
  </si>
  <si>
    <t>Batiarao Barangay Buildings and Gymnasium</t>
  </si>
  <si>
    <t>Batiarao, Anda, Pangasinan</t>
  </si>
  <si>
    <t>Cabungan Barangay Buildings and Gymnasium</t>
  </si>
  <si>
    <t>Cabungan, Anda, Pangasinan</t>
  </si>
  <si>
    <t>Carot Barangay Buildings and Gymnasium</t>
  </si>
  <si>
    <t>Carot, Anda, Pangasinan</t>
  </si>
  <si>
    <t>Dolaoan Barangay Buildings and Gymnasium</t>
  </si>
  <si>
    <t>Dolaoan, Anda, Pangasinan</t>
  </si>
  <si>
    <t>Imbo Barangay Buildings and Gymnasium</t>
  </si>
  <si>
    <t>Imbo, Anda, Pangasinan</t>
  </si>
  <si>
    <t>Macaleeng Barangay Buildings and Gymnasium</t>
  </si>
  <si>
    <t>Macaleeng, Anda, Pangasinan</t>
  </si>
  <si>
    <t>Macandocandong Barangay Buildings and Gymnasium</t>
  </si>
  <si>
    <t>Macandocandong, Anda, Pangasinan</t>
  </si>
  <si>
    <t>Mal-Ong Barangay Buildings and Gymnasium</t>
  </si>
  <si>
    <t>Mal-Ong, Anda, Pangasinan</t>
  </si>
  <si>
    <t>Namagbagan Barangay Buildings and Gymnasium</t>
  </si>
  <si>
    <t>Namagbagan, Anda, Pangasinan</t>
  </si>
  <si>
    <t>Poblacion Barangay Buildings and Gymnasium</t>
  </si>
  <si>
    <t>Roxas Barangay Buildings and Gymnasium</t>
  </si>
  <si>
    <t>Sablig Barangay Buildings and Gymnasium</t>
  </si>
  <si>
    <t>Sablig, Anda, Pangasinan</t>
  </si>
  <si>
    <t>San Jose Barangay Buildings and Gymnasium</t>
  </si>
  <si>
    <t>San Jose, Anda, Pangasinan</t>
  </si>
  <si>
    <t>Siapar Barangay Buildings and Gymnasium</t>
  </si>
  <si>
    <t>Siapar, Anda, Pangasinan</t>
  </si>
  <si>
    <t>Tondol Barangay Buildings and Gymnasium</t>
  </si>
  <si>
    <t>Tondol, Anda, Pangasinan</t>
  </si>
  <si>
    <t>Toritori Barangay Buildings and Gymnasium</t>
  </si>
  <si>
    <t>Toritori, Anda, Pangasinan</t>
  </si>
  <si>
    <t>Anda Central Integrated School</t>
  </si>
  <si>
    <t>Anda National High School</t>
  </si>
  <si>
    <t>Aruab Elementary School</t>
  </si>
  <si>
    <t>Awag Integrated School</t>
  </si>
  <si>
    <t>Awile Elementary School</t>
  </si>
  <si>
    <t>Batiarao Elementary School</t>
  </si>
  <si>
    <t>Cabungan Elementary School</t>
  </si>
  <si>
    <t>Cabungan National High School</t>
  </si>
  <si>
    <t>Carot National High School</t>
  </si>
  <si>
    <t>Dolaoan Elementary School</t>
  </si>
  <si>
    <t>Imbo Elementary School</t>
  </si>
  <si>
    <t>Macaleeng Elementary School</t>
  </si>
  <si>
    <t>Macaleeng National High School</t>
  </si>
  <si>
    <t>Macandocandong Elementary School</t>
  </si>
  <si>
    <t>Mal-ong Elementary School</t>
  </si>
  <si>
    <t>Namagbagan Elementary School</t>
  </si>
  <si>
    <t>Sablig Elementary School</t>
  </si>
  <si>
    <t>San Jose National High School</t>
  </si>
  <si>
    <t>Siapar Integrated School</t>
  </si>
  <si>
    <t>Tondol Elementary School</t>
  </si>
  <si>
    <t>Tondol National High School</t>
  </si>
  <si>
    <t>Toritori Elementary School</t>
  </si>
  <si>
    <t>Asingan</t>
  </si>
  <si>
    <t>Hon. Francisco A. Sapigao Memorial Sports Center</t>
  </si>
  <si>
    <t>Poblacion East, Asingan</t>
  </si>
  <si>
    <t>AWD</t>
  </si>
  <si>
    <t>Narciso R. Ramos Elem. Schoold SPED Center</t>
  </si>
  <si>
    <t>Poblacion West, Asingan</t>
  </si>
  <si>
    <t>Calepaan Community School</t>
  </si>
  <si>
    <t>Calepaan , Asingan</t>
  </si>
  <si>
    <t>Carosucan East Elem. School</t>
  </si>
  <si>
    <t>Carosucan Norte, Asingan</t>
  </si>
  <si>
    <t>Carosucan Norte Elem. School</t>
  </si>
  <si>
    <t>Carosucan Sur Elementary School</t>
  </si>
  <si>
    <t>Carosucan Sur, Asingan</t>
  </si>
  <si>
    <t>Domanpot Community School</t>
  </si>
  <si>
    <t>Domanpot, Asingan</t>
  </si>
  <si>
    <t>Teofilo Gante Elem. School</t>
  </si>
  <si>
    <t>Sanchez, Asingan</t>
  </si>
  <si>
    <t>Sanchez-Cabalitian Elem. School</t>
  </si>
  <si>
    <t>Cabalitian, Asingan</t>
  </si>
  <si>
    <t>Sobol Elementary School</t>
  </si>
  <si>
    <t>Sobol, Asingan</t>
  </si>
  <si>
    <t>TWD</t>
  </si>
  <si>
    <t>Asingan North Central School</t>
  </si>
  <si>
    <t>Dupac, Asingan</t>
  </si>
  <si>
    <t>Ariston-Bantog Elem. School</t>
  </si>
  <si>
    <t>Bantog, Asingan</t>
  </si>
  <si>
    <t>BWD</t>
  </si>
  <si>
    <t>Ariston Este Elem. School</t>
  </si>
  <si>
    <t>Ariston East, Asingan</t>
  </si>
  <si>
    <t>Bobonan Elem. School</t>
  </si>
  <si>
    <t>Bobonan, Asingan</t>
  </si>
  <si>
    <t>Don H. Velasco Community School</t>
  </si>
  <si>
    <t>Coldit, Asingan</t>
  </si>
  <si>
    <t>Don T. Bauzon Elem. School</t>
  </si>
  <si>
    <t>Macalong, Asingan</t>
  </si>
  <si>
    <t>Palaris Elem. School</t>
  </si>
  <si>
    <t>Palaris, Asingan</t>
  </si>
  <si>
    <t>San Vicente Este Elem. School</t>
  </si>
  <si>
    <t>San Vicente East, Asingan</t>
  </si>
  <si>
    <t>San Vicente West Integrated School</t>
  </si>
  <si>
    <t>San Vicente West, Asingan</t>
  </si>
  <si>
    <t>Toboy Elem. School</t>
  </si>
  <si>
    <t>Toboy, Asingan</t>
  </si>
  <si>
    <t>Balungao</t>
  </si>
  <si>
    <t>Balungao Municipal  Evacuation Center</t>
  </si>
  <si>
    <t>Flood, Landslide, and Earthquake</t>
  </si>
  <si>
    <t>Mayor Jose Peralta Sr. Hall</t>
  </si>
  <si>
    <t>Barangay Hall and Day Care Center</t>
  </si>
  <si>
    <t>Barangay Hall and Cabaruan Day Care Center</t>
  </si>
  <si>
    <t>Cabaruan Esmeralda</t>
  </si>
  <si>
    <t>Cadampayan Day Care Center</t>
  </si>
  <si>
    <t>Cadampayan Esmeralda</t>
  </si>
  <si>
    <t>Mabini</t>
  </si>
  <si>
    <t>Mauban</t>
  </si>
  <si>
    <t>San Andres</t>
  </si>
  <si>
    <t>San Aurelio II</t>
  </si>
  <si>
    <t>San Joaquin</t>
  </si>
  <si>
    <t>San Leon</t>
  </si>
  <si>
    <t>San Marcelino</t>
  </si>
  <si>
    <t>San Raymundo</t>
  </si>
  <si>
    <t>Pugaro</t>
  </si>
  <si>
    <t>San Aurelio III</t>
  </si>
  <si>
    <t>San Aurelio I</t>
  </si>
  <si>
    <t>KitaKita</t>
  </si>
  <si>
    <t>San Julian</t>
  </si>
  <si>
    <t>San Miguel</t>
  </si>
  <si>
    <t>Angayan Norte</t>
  </si>
  <si>
    <t>Angayan Sur</t>
  </si>
  <si>
    <t>Sitio Proper, Rajal</t>
  </si>
  <si>
    <t>Sitio Bsgong, Rajal</t>
  </si>
  <si>
    <t>Capulaan</t>
  </si>
  <si>
    <t>Basista</t>
  </si>
  <si>
    <t>ANAMBONGAN HEALTH CENTR</t>
  </si>
  <si>
    <t>ANAMBONGAN</t>
  </si>
  <si>
    <t>200 sq m.</t>
  </si>
  <si>
    <t>TAPWATER</t>
  </si>
  <si>
    <t>ANAMBONGAN GYMNASIUM</t>
  </si>
  <si>
    <t>1500 sq m.</t>
  </si>
  <si>
    <t>BAYOYONG HEALTH CENTER</t>
  </si>
  <si>
    <t>BAYOYONG</t>
  </si>
  <si>
    <t>200 sq.m</t>
  </si>
  <si>
    <t>BAYOYONG GYMNASIUM</t>
  </si>
  <si>
    <t>1600 sq m.</t>
  </si>
  <si>
    <t>CABELDATAN HEALTH CENTER</t>
  </si>
  <si>
    <t>CABELDATAN</t>
  </si>
  <si>
    <t>CABELDATAN GYMNASIUM</t>
  </si>
  <si>
    <t>DUMPAY NATIONAL HIGH SCHOOL</t>
  </si>
  <si>
    <t>DUMPAY</t>
  </si>
  <si>
    <t>DUMPAY GYMNASIUM</t>
  </si>
  <si>
    <t xml:space="preserve">MALIMPEC HEALTH CENTER </t>
  </si>
  <si>
    <t>MALIMPEC</t>
  </si>
  <si>
    <t>150 sq m.</t>
  </si>
  <si>
    <t>MALIMPEC GYMNASIUM</t>
  </si>
  <si>
    <t>MAPOLOPOLO HEALTH CENTER</t>
  </si>
  <si>
    <t>MAPOLOPOLO</t>
  </si>
  <si>
    <t>MAPOLOPOLO GYMNASIUM</t>
  </si>
  <si>
    <t>NALNERAN HEALTH CENTER</t>
  </si>
  <si>
    <t>NALNERAN</t>
  </si>
  <si>
    <t>120 sq m.</t>
  </si>
  <si>
    <t>NALNERAN GYMNASIUM</t>
  </si>
  <si>
    <t>NAVATAT HEALTH CENTER</t>
  </si>
  <si>
    <t>NAVATAT</t>
  </si>
  <si>
    <t>NAVATAT GYMNASIUM</t>
  </si>
  <si>
    <t>OBONG HEALTH CENTER</t>
  </si>
  <si>
    <t>OBONG</t>
  </si>
  <si>
    <t>1300 sq m.</t>
  </si>
  <si>
    <t>OBONG GYNASIUM</t>
  </si>
  <si>
    <t>OSMENA HEALTH CENTER</t>
  </si>
  <si>
    <t>OSMENA</t>
  </si>
  <si>
    <t>200 sq m</t>
  </si>
  <si>
    <t>PALMAHEALTH CENTER</t>
  </si>
  <si>
    <t>PALMA</t>
  </si>
  <si>
    <t>PALMA GYMNASIUM</t>
  </si>
  <si>
    <t>PATACBO HEALTH CENTER</t>
  </si>
  <si>
    <t>PATACBO</t>
  </si>
  <si>
    <t>300 sq m.</t>
  </si>
  <si>
    <t>PATACBO GYMNASIUM</t>
  </si>
  <si>
    <t>POBLACION HEALTH CETER</t>
  </si>
  <si>
    <t>POBLACION</t>
  </si>
  <si>
    <t>POBLACION GYNASIUM</t>
  </si>
  <si>
    <t>2500 sq m.</t>
  </si>
  <si>
    <t>Bani</t>
  </si>
  <si>
    <t>Barangay Hall ( Old )</t>
  </si>
  <si>
    <t>Ambabaay, Bani, pangasinan</t>
  </si>
  <si>
    <t>9x8 sq.m</t>
  </si>
  <si>
    <t>Bani Water District</t>
  </si>
  <si>
    <t>100 packs</t>
  </si>
  <si>
    <t>Barangay Hall ( New )</t>
  </si>
  <si>
    <t>8x8 sq.m</t>
  </si>
  <si>
    <t>Aporao Barangay Hall</t>
  </si>
  <si>
    <t>Aporao, Bani Pangasinan</t>
  </si>
  <si>
    <t>8x3 sq.m</t>
  </si>
  <si>
    <t>Barangay Aporao Chapel</t>
  </si>
  <si>
    <t>Aporao Day Care Center</t>
  </si>
  <si>
    <t>Arwas Municipal Evacuation Center</t>
  </si>
  <si>
    <t>Arwas, Bani Pangasinan</t>
  </si>
  <si>
    <t>1470 sq.m</t>
  </si>
  <si>
    <t>1000 packs</t>
  </si>
  <si>
    <t>Arwas Barangay Hall</t>
  </si>
  <si>
    <t>8x10 sq. m</t>
  </si>
  <si>
    <t>Arwas Elementary School</t>
  </si>
  <si>
    <t>8x7 sq.m.</t>
  </si>
  <si>
    <t>Ballag Day Care Center</t>
  </si>
  <si>
    <t>Ballag, Bani Pangasinan</t>
  </si>
  <si>
    <t>Ballag Barangay Hall</t>
  </si>
  <si>
    <t>7x8 sq. m.</t>
  </si>
  <si>
    <t>Ballag Chapel</t>
  </si>
  <si>
    <t>14x8 sq.m.</t>
  </si>
  <si>
    <t>Banog Norte Elementary School</t>
  </si>
  <si>
    <t>Banog Norte, Bani Pangasinan</t>
  </si>
  <si>
    <t>7 x 8 sq.m</t>
  </si>
  <si>
    <t>Banog Norte Barangay Hall(New)</t>
  </si>
  <si>
    <t>8x 8 sq.m</t>
  </si>
  <si>
    <t>Banog Norte Old Barangay Hall</t>
  </si>
  <si>
    <t>Banog Sur Day Care Center</t>
  </si>
  <si>
    <t>Banog Sur, Bani Pangasinan</t>
  </si>
  <si>
    <t>7x10 sq. m.</t>
  </si>
  <si>
    <t>Banog Sur Barangay Hall</t>
  </si>
  <si>
    <t>7x10 sq. m</t>
  </si>
  <si>
    <t>Banog Sur Chapel</t>
  </si>
  <si>
    <t>Calabeng, Bani Pangasinan</t>
  </si>
  <si>
    <t>Calabeng Elementary School</t>
  </si>
  <si>
    <t>8 x7 sq.m</t>
  </si>
  <si>
    <t>Calabeng Barangay Hall</t>
  </si>
  <si>
    <t>Centro Toma, Bani Pangasinan</t>
  </si>
  <si>
    <t>8 x 8 sq.m</t>
  </si>
  <si>
    <t>Centro Toma Barangay Hall</t>
  </si>
  <si>
    <t>6.5x 9 sq.m</t>
  </si>
  <si>
    <t>Centro Toma Day Care Center</t>
  </si>
  <si>
    <t>Centro Toma Old Barangay Hall (Senior Citizens Building)</t>
  </si>
  <si>
    <t>Colayo, Bani Pangasinan</t>
  </si>
  <si>
    <t>Colayo Day Care Center</t>
  </si>
  <si>
    <t>Colayo Barangay Hall</t>
  </si>
  <si>
    <t>Dacap Norte Day Care Center</t>
  </si>
  <si>
    <t>Dacap Norte Bani, Pangasinan</t>
  </si>
  <si>
    <t>Dacap Norte Elementary School</t>
  </si>
  <si>
    <t>Dacap Sur Old Barangay Hall</t>
  </si>
  <si>
    <t>Dacap Sur, Bani Pangasinan</t>
  </si>
  <si>
    <t>Dacap Sur Barangay Hall</t>
  </si>
  <si>
    <t>13x8.5 sq.m</t>
  </si>
  <si>
    <t>Dacap Sur Day Care Center (Olanen)</t>
  </si>
  <si>
    <t>Garrita Barangay Hall</t>
  </si>
  <si>
    <t>Garrita, Bani Pangasinan</t>
  </si>
  <si>
    <t>Garrita Day Care Center</t>
  </si>
  <si>
    <t>Luac Day Care Center</t>
  </si>
  <si>
    <t>Luac, Bani Pangasinan</t>
  </si>
  <si>
    <t>Luac Barangay Hall</t>
  </si>
  <si>
    <t>Macabit Old Barangay Hall</t>
  </si>
  <si>
    <t>Macabit, Bani Pangasinan</t>
  </si>
  <si>
    <t>Macabit Barangay Hall</t>
  </si>
  <si>
    <t>Masidem Day Care Center</t>
  </si>
  <si>
    <t>Masidem, Bani Pangasinan</t>
  </si>
  <si>
    <t>Masidem Barangay Hall</t>
  </si>
  <si>
    <t>Immaculate Concepcion Parish</t>
  </si>
  <si>
    <t>Poblacion, Bani, Pangasinan</t>
  </si>
  <si>
    <t>7x7 sq.m.</t>
  </si>
  <si>
    <t>Iglesia Filipina Indipendiente</t>
  </si>
  <si>
    <t>588 sq.m</t>
  </si>
  <si>
    <t>3000 packs</t>
  </si>
  <si>
    <t>Quinaoayanan Day Care Center</t>
  </si>
  <si>
    <t>Quinaoayanan Bani Pangasinan</t>
  </si>
  <si>
    <t>Quinaoayanan Barangay Hall</t>
  </si>
  <si>
    <t>Ranao Barangay Hall</t>
  </si>
  <si>
    <t>Ranao Bani, Pangasinan</t>
  </si>
  <si>
    <t>Ranao Day Care Center</t>
  </si>
  <si>
    <t>Ranao Old Barangay Hall</t>
  </si>
  <si>
    <t>Ranom Iloco Barangay Hall</t>
  </si>
  <si>
    <t>Ranom Iloco, Bani Pangasinan</t>
  </si>
  <si>
    <t>Ranom Iloco Day Care Center</t>
  </si>
  <si>
    <t>San Jose, Bani Pangasinan</t>
  </si>
  <si>
    <t>San Miguel, Bani Pangasinan</t>
  </si>
  <si>
    <t>San Miguel Barangay Hall</t>
  </si>
  <si>
    <t>San Simon Old Barangay Hall</t>
  </si>
  <si>
    <t>San Simon, Bani Pangasinan</t>
  </si>
  <si>
    <t>San Simon day Care Center</t>
  </si>
  <si>
    <t>San Simon Brgy. Hall</t>
  </si>
  <si>
    <t>San Vicente, Bani Pangasinan</t>
  </si>
  <si>
    <t>San Vicente Day Care Center</t>
  </si>
  <si>
    <t>Tiep Barangay Hall</t>
  </si>
  <si>
    <t>Tiep Bani Pangasinan</t>
  </si>
  <si>
    <t>6x7 sq.m.</t>
  </si>
  <si>
    <t>Tiep Day Care Center</t>
  </si>
  <si>
    <t>Tiep Old Barangay Hall</t>
  </si>
  <si>
    <t>Tipor Day Care Center</t>
  </si>
  <si>
    <t>Tipor, Bani Pangasinan</t>
  </si>
  <si>
    <t>Tipor Barangay Hall</t>
  </si>
  <si>
    <t>Tugui Grande Day Care Center</t>
  </si>
  <si>
    <t>Tugui Grande, Bani Pangasinan</t>
  </si>
  <si>
    <t>Tugui Grande Barangay Hall</t>
  </si>
  <si>
    <t>8x9 sq.m.</t>
  </si>
  <si>
    <t>Tugui Norte Day Care Center</t>
  </si>
  <si>
    <t>Tugui Norte, Bani Pangasinan</t>
  </si>
  <si>
    <t>Tugui Norte Barangay Hall</t>
  </si>
  <si>
    <t>Bautista</t>
  </si>
  <si>
    <t>BAUTISTA GYMNASIUM</t>
  </si>
  <si>
    <t>BARANGAY POBLACION EAST, BAUTISTA</t>
  </si>
  <si>
    <t>Earthquake (Ground Shaking, Liquefaction, ) Typhoon</t>
  </si>
  <si>
    <t>1,450 sq. mtrs</t>
  </si>
  <si>
    <t>BAYWAD</t>
  </si>
  <si>
    <t>DIAZ EVACUATION CENTER</t>
  </si>
  <si>
    <t>SITIO CUARENTA, BARANGAY DIAZ, BAUTISTA</t>
  </si>
  <si>
    <t>1,400 sq.mtrs</t>
  </si>
  <si>
    <t>BAYWAD, Deep Well</t>
  </si>
  <si>
    <t>POPONTO EVACUATION CENTER</t>
  </si>
  <si>
    <t>BARANGAY POPONTO, BAUTISTA</t>
  </si>
  <si>
    <t>1,700 sq.mtrs</t>
  </si>
  <si>
    <t>VACANTE EVACUATION CENTER</t>
  </si>
  <si>
    <t>BARANGAY VACANTE, BAUTISTA</t>
  </si>
  <si>
    <t>700 sq.mtrs.</t>
  </si>
  <si>
    <t>Bayambang</t>
  </si>
  <si>
    <t>SAN GABRIEL 1ST EVACUATION CENTER</t>
  </si>
  <si>
    <t>BRGY. SAN GABRIEL 1ST, BAYAMBANG, PANGASINAN</t>
  </si>
  <si>
    <t>Typhoon, flood</t>
  </si>
  <si>
    <t>TAP WATER</t>
  </si>
  <si>
    <t>LOCAL WATER UTILITY</t>
  </si>
  <si>
    <t>PUGO EVACUATION CENTER</t>
  </si>
  <si>
    <t>BRGY. PUGO BAYAMBANG PANGASINAN</t>
  </si>
  <si>
    <t>WATER TANK</t>
  </si>
  <si>
    <t>WAWA EVACUATION CENTER</t>
  </si>
  <si>
    <t>BRGY. WAWA BAYAMBANG PANGASINAN</t>
  </si>
  <si>
    <t>SAN GABRIEL 2ND EVACUATION CENTER</t>
  </si>
  <si>
    <t>BRGY. SAN GABRIEL BAYAMBANG PANGASINAN</t>
  </si>
  <si>
    <t>WATER PUMP</t>
  </si>
  <si>
    <t>ITON EVACUATION CENTER</t>
  </si>
  <si>
    <t>BRGY. ITON BAYAMBANG PANGASINAN</t>
  </si>
  <si>
    <t>PARAGOS EVACUTION CENTER</t>
  </si>
  <si>
    <t>BRGY. PARAGOS BAYAMBANG PANGASINAN</t>
  </si>
  <si>
    <t>MANAMBONG SUR EVACUATION CENTER</t>
  </si>
  <si>
    <t>BRGY. MANAMBONG SUR BAYAMBANG PANGASINAN</t>
  </si>
  <si>
    <t>MANAMBONG PARTE EVACUATION CENTER</t>
  </si>
  <si>
    <t>BRGY. MANAMBONG PARTE BAYAMBANG PANGASINAN</t>
  </si>
  <si>
    <t>PANTOL EVACUATION CENTER</t>
  </si>
  <si>
    <t>BRGY. PANTOL BAYAMBANG PANGASINAN</t>
  </si>
  <si>
    <t>Binmaley</t>
  </si>
  <si>
    <t>Binmaley Manpower Development and Training Center</t>
  </si>
  <si>
    <t>Poblacion, Binmaley, Pangasinan</t>
  </si>
  <si>
    <t>539.85 sq. m</t>
  </si>
  <si>
    <t>PAMANA WATER</t>
  </si>
  <si>
    <t>Brgy. Balagan Multi-purpose Gym</t>
  </si>
  <si>
    <t>Balagan, Binmaley, Pangasinan</t>
  </si>
  <si>
    <t>481 sq. m</t>
  </si>
  <si>
    <t>Brgy. Baybay Lopez Multi-purpose Gym</t>
  </si>
  <si>
    <t>Baybay Lopez, Binmaley, Pangasinan</t>
  </si>
  <si>
    <t>390.6 sq. m</t>
  </si>
  <si>
    <t>Buenlag E/S Multi-purpose Gym</t>
  </si>
  <si>
    <t>Buenlag, Binmaley, Pangasinan</t>
  </si>
  <si>
    <t>510 sq. m</t>
  </si>
  <si>
    <t>Brgy. Balogo Multi-purpose Gym</t>
  </si>
  <si>
    <t>Balogo, Binmaley, Pangasinan</t>
  </si>
  <si>
    <t>370 sq. m</t>
  </si>
  <si>
    <t>Brgy. Calit Multi-purpose Gym</t>
  </si>
  <si>
    <t>Calit, Binmaley, Pangasinan</t>
  </si>
  <si>
    <t>563.58 sq. m</t>
  </si>
  <si>
    <t>Camaley E/S Multi-purpose Gym</t>
  </si>
  <si>
    <t>Camaley, Binmaley, Pangasinan</t>
  </si>
  <si>
    <t>519 sq. m</t>
  </si>
  <si>
    <t>Brgy. Dulag Multi-purpose Gym</t>
  </si>
  <si>
    <t>Dulag, Binmaley, Pangasinan</t>
  </si>
  <si>
    <t>689.15 sq. m</t>
  </si>
  <si>
    <t>Brgy. Malindong Multi-purpose Gym</t>
  </si>
  <si>
    <t>Malindong, Binmaley, Pangasinan</t>
  </si>
  <si>
    <t>373 sq. m 3</t>
  </si>
  <si>
    <t>Brgy. Tombor Multi-purpose Gym</t>
  </si>
  <si>
    <t>Tombor, Binmaley, Pangasinan</t>
  </si>
  <si>
    <t>429 sq. m</t>
  </si>
  <si>
    <t>Brgy. Pallas Multi-purpose Gym</t>
  </si>
  <si>
    <t>Pallas, Binmaley, Pangasinan</t>
  </si>
  <si>
    <t>375 sq. m</t>
  </si>
  <si>
    <t>Brgy. Sta. Rosa Multi-purpose Gym</t>
  </si>
  <si>
    <t>Sta. Rosa, Binmaley, Pangasinan</t>
  </si>
  <si>
    <t>334 sq. m</t>
  </si>
  <si>
    <t>Brgy. Parayao Multi-purpose Gym</t>
  </si>
  <si>
    <t>Parayao, Binmaley, Pangasinan</t>
  </si>
  <si>
    <t>408 sq. m</t>
  </si>
  <si>
    <t>Brgy. San Isidro Norte  Multi-purpose Gym</t>
  </si>
  <si>
    <t>San Isidro Norte, Binmaley, Pangasinan</t>
  </si>
  <si>
    <t>452 sq. m</t>
  </si>
  <si>
    <t>Caloocan Sur E/S Multi-purpose Gym</t>
  </si>
  <si>
    <t>Caloocan Sur, Binmaley, Pangasinan</t>
  </si>
  <si>
    <t>527 sq. m</t>
  </si>
  <si>
    <t>Lomboy E/S Multi-purpose Gym</t>
  </si>
  <si>
    <t>Lomboy, Binmaley, Pangasinan</t>
  </si>
  <si>
    <t>529.54 sq. m</t>
  </si>
  <si>
    <t>Brgy. Basing Multi-purpose Gym</t>
  </si>
  <si>
    <t>Basing, Binmaley, Pangasinan</t>
  </si>
  <si>
    <t>421.21 sq. m</t>
  </si>
  <si>
    <t>Nagpalangan E/S Multi-purpose Gym</t>
  </si>
  <si>
    <t>Nagpalangan, Binmaley, Pangasinan</t>
  </si>
  <si>
    <t>580 sq.m</t>
  </si>
  <si>
    <t>Gayaman E/S Multi-purpose Gym</t>
  </si>
  <si>
    <t>Gayaman, Binmaley, Pangasinan</t>
  </si>
  <si>
    <t>344.88 sq.m</t>
  </si>
  <si>
    <t>Brgy. Linoc Multi-purpose Gym</t>
  </si>
  <si>
    <t>Linoc, Binmaley, Pangasinan</t>
  </si>
  <si>
    <t>336 sq.m</t>
  </si>
  <si>
    <t>Caloocan Norte E/S Multi-purpose Gym</t>
  </si>
  <si>
    <t>Caloocan Norte, Binmaley, Pangasinan</t>
  </si>
  <si>
    <t>2665 sq. m</t>
  </si>
  <si>
    <t>Brgy. Salapingao Multi-purpose Gym</t>
  </si>
  <si>
    <t>Salapingao, Binmaley, Pangasinan</t>
  </si>
  <si>
    <t>424 sq.m</t>
  </si>
  <si>
    <t>Brgy. San Isidro Sur Multi-purpose Gym</t>
  </si>
  <si>
    <t>San Isidro Sur, Binmaley, Pangasinan</t>
  </si>
  <si>
    <t>140.80 sq.m</t>
  </si>
  <si>
    <t>Canaoalan E/S Multi-purpose Gym C</t>
  </si>
  <si>
    <t>Canaoalan Binmaley, Pangasinan</t>
  </si>
  <si>
    <t>523.60 sq.m</t>
  </si>
  <si>
    <t>Gayaman Evacuation/Multi-purpose Gym</t>
  </si>
  <si>
    <t>528 sq.m</t>
  </si>
  <si>
    <t>Amancoro Evacuation/Multi-purpose Gym</t>
  </si>
  <si>
    <t>Amancoro Binmaley,Pangasinan</t>
  </si>
  <si>
    <t>Manat Evacuation/Multi-purpose Gym</t>
  </si>
  <si>
    <t>Manat, Binmaley Pangasinan</t>
  </si>
  <si>
    <t>Papagueyan Evacuation Center/Multipurpose Gym</t>
  </si>
  <si>
    <t>Papagueyan, Binmaley, Pangasinan</t>
  </si>
  <si>
    <t>Caloocan Dupo E/S Multi-Purpose Gym</t>
  </si>
  <si>
    <t>Caloocan Dupo, Binmaley, Pangasinan</t>
  </si>
  <si>
    <t>140 sq.m</t>
  </si>
  <si>
    <t>BINMALEY Evacuation Center</t>
  </si>
  <si>
    <t>2539.85 sq. m</t>
  </si>
  <si>
    <t>Naguilayan Multi-Purpose Gym</t>
  </si>
  <si>
    <t>Naguilayan, Binmaley, Pangasinan</t>
  </si>
  <si>
    <t>PAGCOR Evacuation Center</t>
  </si>
  <si>
    <t>Binalonan</t>
  </si>
  <si>
    <t>BINALONAN EVACUATION CENTER</t>
  </si>
  <si>
    <t>Canarvacanan, Binalonan, Pangasinan</t>
  </si>
  <si>
    <t>378 sqm</t>
  </si>
  <si>
    <t>1(PWD)</t>
  </si>
  <si>
    <t>Domestic Water</t>
  </si>
  <si>
    <t>Bolinao</t>
  </si>
  <si>
    <t>Brgy. Concordia, Bolinao, Pangasinan</t>
  </si>
  <si>
    <t>BOLINAO WATER SYSTEM</t>
  </si>
  <si>
    <t>St. James The Great Parish Church</t>
  </si>
  <si>
    <t>Brgy. Germinal, Bolinao, Pangasinan</t>
  </si>
  <si>
    <t>Bolinao Integrated School (All School Buildings)</t>
  </si>
  <si>
    <t>Señor Santiago Learning School</t>
  </si>
  <si>
    <t>Ex Vice-Mayor Elias Quisay Business Establishment</t>
  </si>
  <si>
    <t>Brgy. Liwa-Liwa, Bolinao, Pangasinan</t>
  </si>
  <si>
    <t>Luciente 1.0 Elementary School</t>
  </si>
  <si>
    <t>Brgy. Luciente 1.0, Bolinao, Pangasinan</t>
  </si>
  <si>
    <t>Ex Vice-Mayor Elias Quisay Open Space (for Tsunami)</t>
  </si>
  <si>
    <t>Typhoon, Tsunami</t>
  </si>
  <si>
    <t>Bugallon</t>
  </si>
  <si>
    <t>Bugallon Evacuation Center</t>
  </si>
  <si>
    <t>Brgy Poblacion, Bugallon, Pangasinan</t>
  </si>
  <si>
    <t>Typhoon, Flood, Earthquake</t>
  </si>
  <si>
    <t>PAMANA WATER SYSTEM / PURIFYING WATER STATION</t>
  </si>
  <si>
    <t>Asinan Elem School</t>
  </si>
  <si>
    <t>Brgy Asinan, Bugallon, Pangasinan</t>
  </si>
  <si>
    <t>no data</t>
  </si>
  <si>
    <t>Bacabac Elementary School</t>
  </si>
  <si>
    <t>Brgy Bacabac, Bugallon, Pangasinan</t>
  </si>
  <si>
    <t>RIver</t>
  </si>
  <si>
    <t>Banaga Covered Court</t>
  </si>
  <si>
    <t>Brgy Banaga, Bugallon, Pangasinan</t>
  </si>
  <si>
    <t>Bolaoen Elem School , Multi Purpose Bldg</t>
  </si>
  <si>
    <t>Brgy Bolaoen, Bugallon, Pangasinan</t>
  </si>
  <si>
    <t>Multi Purpose Bldg</t>
  </si>
  <si>
    <t>Brgy Hall</t>
  </si>
  <si>
    <t>Brgy Buenlag, Bugallon, Pangasinan</t>
  </si>
  <si>
    <t>Brgy Cabayaoasan, Bugallon, Pangasinan</t>
  </si>
  <si>
    <t>Brgy Cayanga, Bugallon, Pangasinan</t>
  </si>
  <si>
    <t>Typhoon, Flashflood, Earthquake</t>
  </si>
  <si>
    <t>Brgy Gueset, Bugallon, Pangasinan</t>
  </si>
  <si>
    <t>Gueset Elemtary School</t>
  </si>
  <si>
    <t>Hacienda Elementary School</t>
  </si>
  <si>
    <t>Brgy Hacienda, Bugallon, Pangasinan</t>
  </si>
  <si>
    <t>Laguit  Centro Elementary School</t>
  </si>
  <si>
    <t>Brgy Laguit  Centro, Bugallon, Pangasinan</t>
  </si>
  <si>
    <t>Laguit Padilla Elementary School</t>
  </si>
  <si>
    <t xml:space="preserve">Magtaking Gym </t>
  </si>
  <si>
    <t>Brgy Magtaking, Bugallon, Pangasinan</t>
  </si>
  <si>
    <t>Brgy Pangascasan, Bugallon, Pangasinan</t>
  </si>
  <si>
    <t>Brgy Pantal, Bugallon, Pangasinan</t>
  </si>
  <si>
    <t>Prof Amado Espino Sr Gymnasium</t>
  </si>
  <si>
    <t>Torres Elem School</t>
  </si>
  <si>
    <t>BIS Elementary School</t>
  </si>
  <si>
    <t>FOLDING BED/MATRESS AS NEEDED</t>
  </si>
  <si>
    <t>Multi Purpose Gym</t>
  </si>
  <si>
    <t>Brgy Polong, Bugallon, Pangasinan</t>
  </si>
  <si>
    <t>Student Center/Vocational Tech Bldg</t>
  </si>
  <si>
    <t>Brgy Portic, Bugallon, Pangasinan</t>
  </si>
  <si>
    <t>Brgy Hall/Evac Center</t>
  </si>
  <si>
    <t>Brgy Salasa, Bugallon, Pangasinan</t>
  </si>
  <si>
    <t>Salasa Church</t>
  </si>
  <si>
    <t>Salomague Norte Elementary School</t>
  </si>
  <si>
    <t>Brgy Salomague Norte, Bugallon, Pangasinan</t>
  </si>
  <si>
    <t>Multi Purpose Covered Court</t>
  </si>
  <si>
    <t>Brgy Salomague Sur, Bugallon, Pangasinan</t>
  </si>
  <si>
    <t>Brgy Samat, Bugallon, Pangasinan</t>
  </si>
  <si>
    <t>San Francisco Elemetary School</t>
  </si>
  <si>
    <t>Brgy San Francisco, Bugallon, Pangasinan</t>
  </si>
  <si>
    <t>Brgy Umanday, Bugallon, Pangasinan</t>
  </si>
  <si>
    <t>Brgy Chapel</t>
  </si>
  <si>
    <t>Typhoon, Flasfflood, Earthquake</t>
  </si>
  <si>
    <t>ANAPAO Barangay Hall</t>
  </si>
  <si>
    <t>Anapao, Burgos, Pangasinan</t>
  </si>
  <si>
    <t>ANAPAO Child Development Center</t>
  </si>
  <si>
    <t>CACAYASEN Barangay Hall</t>
  </si>
  <si>
    <t>Cacayasen, Burgos, Pangasinan</t>
  </si>
  <si>
    <t>CACAYASEN Child Development Center</t>
  </si>
  <si>
    <t>CACAYASEN Elementary School</t>
  </si>
  <si>
    <t>CONCORDIA Barangay Hall</t>
  </si>
  <si>
    <t>Concordia, Burgos, Pangasinan</t>
  </si>
  <si>
    <t>CONCORDIA Old Barangay Hall</t>
  </si>
  <si>
    <t>CONCORDIA Health Station</t>
  </si>
  <si>
    <t>CONCORDIA Child Development Center</t>
  </si>
  <si>
    <t>CONCORDIA Elementary School</t>
  </si>
  <si>
    <t>DON MATIAS Barangay Hall</t>
  </si>
  <si>
    <t>Don Matias, Burgos, Pangasinan</t>
  </si>
  <si>
    <t>DON MATIAS Health Station</t>
  </si>
  <si>
    <t>DON MATIAS Child Development Center</t>
  </si>
  <si>
    <t>DON MATIAS Elementary School</t>
  </si>
  <si>
    <t>ILIO - ILIO Barangay Hall</t>
  </si>
  <si>
    <t>Ilio - Ilio, Burgos, Pangasinan</t>
  </si>
  <si>
    <t>ILIO - ILIO Senior Citizen's Building</t>
  </si>
  <si>
    <t>ILIO - ILIO Health Station</t>
  </si>
  <si>
    <t>ILIO - ILIO Child Development Center (Centro)</t>
  </si>
  <si>
    <t>ILIO - ILIO Child Development Center (Cabongaoan)</t>
  </si>
  <si>
    <t>ILIO - ILIO Child Development Center (Pao)</t>
  </si>
  <si>
    <t>ILIO - ILIO Elementary School (Centro)</t>
  </si>
  <si>
    <t>ILIO - ILIO Elementary School (Cabongaoan)</t>
  </si>
  <si>
    <t>PAPALLASEN Barangay Hall</t>
  </si>
  <si>
    <t>Papallasen, Burgos, Pangasinan</t>
  </si>
  <si>
    <t>PAPALLASEN Health Station</t>
  </si>
  <si>
    <t>PAPALLASEN Child Development Center</t>
  </si>
  <si>
    <t>PAPALLASEN Elementary School</t>
  </si>
  <si>
    <t>POBLACION Burgos Public Auditorium (Orbos Gymnasium)</t>
  </si>
  <si>
    <t>Poblacion, Burgos, Pangasinan</t>
  </si>
  <si>
    <t>768 sq.m</t>
  </si>
  <si>
    <t>POBLACION Municipal Birthing Home (2nd Floor)</t>
  </si>
  <si>
    <t>POBLACION Barangay Hall</t>
  </si>
  <si>
    <t>POBLACION Child Development Center</t>
  </si>
  <si>
    <t>Burgos Central School</t>
  </si>
  <si>
    <t>Burgos National High School</t>
  </si>
  <si>
    <t>POGORUAC Barangay Hall</t>
  </si>
  <si>
    <t>Pogoruac, Burgos, Pangasinan</t>
  </si>
  <si>
    <t>POGORUAC Health Station</t>
  </si>
  <si>
    <t>POGORUAC Secretariat Building</t>
  </si>
  <si>
    <t>POGORUAC Child Development Center (Centro)</t>
  </si>
  <si>
    <t>POGORUAC Child Development Center (Manok Sabio)</t>
  </si>
  <si>
    <t>POGORUAC Child Development Center (San Lorenzo)</t>
  </si>
  <si>
    <t>POGORUAC Elementary School</t>
  </si>
  <si>
    <t>Jose Rivera Rivera Bonsay National High School</t>
  </si>
  <si>
    <t>SAN MIGUEL Barangay Hall</t>
  </si>
  <si>
    <t>San Miguel, Burgos, Pangasinan</t>
  </si>
  <si>
    <t>SAN MIGUEL Child Development Center</t>
  </si>
  <si>
    <t>SAN MIGUEL Elementary School</t>
  </si>
  <si>
    <t>SAN PASCUAL Barangay Hall</t>
  </si>
  <si>
    <t>San Pascual, Burgos, Pangasinan</t>
  </si>
  <si>
    <t>SAN PASCUAL Health Station</t>
  </si>
  <si>
    <t>SAN PASCUAL Child Development Center</t>
  </si>
  <si>
    <t>SAN PASCUAL Elementary School</t>
  </si>
  <si>
    <t>SAN VICENTE Barangay Hall</t>
  </si>
  <si>
    <t>San Vicente, Burgos, Pangasinan</t>
  </si>
  <si>
    <t>SAN VICENTE Child Development Center</t>
  </si>
  <si>
    <t>SAN VICENTE Chapel</t>
  </si>
  <si>
    <t>SAPA GRANDE Barangay Hall</t>
  </si>
  <si>
    <t>Sapa Grande, Burgos, Pangasinan</t>
  </si>
  <si>
    <t>SAPA GRANDE Child Development Center</t>
  </si>
  <si>
    <t>SAPA GRANDE Integrated School</t>
  </si>
  <si>
    <t>SAPA PEQUEÑA Barangay Hall</t>
  </si>
  <si>
    <t>Sapa Pequeña, Burgos, Pangasinan</t>
  </si>
  <si>
    <t>SAPA PEQUEÑA Health Station</t>
  </si>
  <si>
    <t>SAPA PEQUEÑA Child Development Center</t>
  </si>
  <si>
    <t>SAPA PEQUEÑA Elementary School</t>
  </si>
  <si>
    <t>TAMBACAN Barangay Hall</t>
  </si>
  <si>
    <t>Tambacan, Burgos, Pangasinan</t>
  </si>
  <si>
    <t>TAMBACAN Health Station</t>
  </si>
  <si>
    <t>TAMBACAN Barangay Chapel</t>
  </si>
  <si>
    <t>TAMBACAN Child Development Center</t>
  </si>
  <si>
    <t>TAMBACAN Elementary School</t>
  </si>
  <si>
    <t>Calasiao</t>
  </si>
  <si>
    <t>AMBONAO BARANGAY HALL</t>
  </si>
  <si>
    <t>AMBONAO</t>
  </si>
  <si>
    <t>EARTHQUAKE, TYPHOON, FLOOD</t>
  </si>
  <si>
    <t>48 SQ. METER</t>
  </si>
  <si>
    <t>Calasiao Water System</t>
  </si>
  <si>
    <t>AMBUETEL ES</t>
  </si>
  <si>
    <t>AMBUETEL</t>
  </si>
  <si>
    <t>380 SQ. METER</t>
  </si>
  <si>
    <t>BANAOANG ES</t>
  </si>
  <si>
    <t>BANAOANG</t>
  </si>
  <si>
    <t>350 SQ. METER</t>
  </si>
  <si>
    <t>BUED BARANGAY HALL</t>
  </si>
  <si>
    <t>BUED</t>
  </si>
  <si>
    <t>85 SQ. METER</t>
  </si>
  <si>
    <t>BUENLAG ES</t>
  </si>
  <si>
    <t>BUENLAG</t>
  </si>
  <si>
    <t>400 SQ. METER</t>
  </si>
  <si>
    <t>CABILOCAAN BARANGAY HALL</t>
  </si>
  <si>
    <t>CABILOCAAN</t>
  </si>
  <si>
    <t>84 SQ. METER</t>
  </si>
  <si>
    <t>DINALAOAN ES</t>
  </si>
  <si>
    <t>DINALAOAN</t>
  </si>
  <si>
    <t>375 SQ. METER</t>
  </si>
  <si>
    <t>DOYONG(CENTRO) ES</t>
  </si>
  <si>
    <t>DOYONG</t>
  </si>
  <si>
    <t>GABON BARANGAY HALL</t>
  </si>
  <si>
    <t>GABON</t>
  </si>
  <si>
    <t>LASIP BARANGAY HALL</t>
  </si>
  <si>
    <t>LASIP</t>
  </si>
  <si>
    <t>50 SQ. METER</t>
  </si>
  <si>
    <t>LONGOS ES</t>
  </si>
  <si>
    <t>LONGOS</t>
  </si>
  <si>
    <t>LUMBANG ES</t>
  </si>
  <si>
    <t>LUMBANG</t>
  </si>
  <si>
    <t>MACABITO ES</t>
  </si>
  <si>
    <t>MACABITO</t>
  </si>
  <si>
    <t>MALABAGO BARANGAY HALL</t>
  </si>
  <si>
    <t>MALABAGO</t>
  </si>
  <si>
    <t>100 SQ. METER</t>
  </si>
  <si>
    <t>MANCUP ES</t>
  </si>
  <si>
    <t>MANCUP</t>
  </si>
  <si>
    <t>NAGSAING BARANGAY HALL</t>
  </si>
  <si>
    <t>NAGSAING</t>
  </si>
  <si>
    <t>60 SQ. METER</t>
  </si>
  <si>
    <t>NALSIAN (BACAYAO) ES</t>
  </si>
  <si>
    <t>NALSIAN</t>
  </si>
  <si>
    <t>REGIONAL EVACUATION CENTER</t>
  </si>
  <si>
    <t>POBLACION EAST</t>
  </si>
  <si>
    <t>45 SQ. METER</t>
  </si>
  <si>
    <t>POBLACION EAST BRGY. HALL</t>
  </si>
  <si>
    <t>CALASIAO SPORTS COMPLEX</t>
  </si>
  <si>
    <t>POBLACION WEST</t>
  </si>
  <si>
    <t>2870 SQ. METER</t>
  </si>
  <si>
    <t>POBLACION WEST BRGY. HALL</t>
  </si>
  <si>
    <t>QUESBAN BARANGAY HALL</t>
  </si>
  <si>
    <t>QUESBAN</t>
  </si>
  <si>
    <t>SAN MIGUEL BARANGAY HALL</t>
  </si>
  <si>
    <t>SAN MIGUEL</t>
  </si>
  <si>
    <t>65 SQ. METER</t>
  </si>
  <si>
    <t>SAN VICENTE ES</t>
  </si>
  <si>
    <t>SAN VICENTE</t>
  </si>
  <si>
    <t>120 SQ. METER</t>
  </si>
  <si>
    <t>SONGKOY BARANGAY HALL</t>
  </si>
  <si>
    <t>SONGKOY</t>
  </si>
  <si>
    <t>380SQ. METER</t>
  </si>
  <si>
    <t>TALIBAEW ES</t>
  </si>
  <si>
    <t>TALIBAEW</t>
  </si>
  <si>
    <t>400 SQ.METER</t>
  </si>
  <si>
    <t>TALIBAEW BARANGAY HALL</t>
  </si>
  <si>
    <t>Dagupan City</t>
  </si>
  <si>
    <t>Bacayao Norte</t>
  </si>
  <si>
    <t>EARTHQUAKE, TYPHOON, FLOODING</t>
  </si>
  <si>
    <t>Pascuala Villamil Elem School</t>
  </si>
  <si>
    <t>-do-</t>
  </si>
  <si>
    <t>Bacayao Sur</t>
  </si>
  <si>
    <t>Brgy Chapel (sitio Tocok)</t>
  </si>
  <si>
    <t>Brgy Hall (Sitio Tocok)</t>
  </si>
  <si>
    <t>Farm Taminaya</t>
  </si>
  <si>
    <t>West Central School 1</t>
  </si>
  <si>
    <t>Brgy 1</t>
  </si>
  <si>
    <t>Elem School (PAGCOR Bldg)</t>
  </si>
  <si>
    <t>Bolosan</t>
  </si>
  <si>
    <t>EARTHQUAKE and TYPHOON</t>
  </si>
  <si>
    <t>Elem School (GABALDON)</t>
  </si>
  <si>
    <t xml:space="preserve">EARTHQUAKE and TYPHOON </t>
  </si>
  <si>
    <t xml:space="preserve">Federico Ceralde Integrated School </t>
  </si>
  <si>
    <t>Bonuan Binloc</t>
  </si>
  <si>
    <t>EARTHQUAKE, TYPHOON and TSUNAMI</t>
  </si>
  <si>
    <t>Bonuan Boquig Elem School</t>
  </si>
  <si>
    <t>Bonnuan Boquig</t>
  </si>
  <si>
    <t>Bonuan Boquig High School</t>
  </si>
  <si>
    <t>Bonuan Boquig</t>
  </si>
  <si>
    <t>Bonuan Boquig Vertical Evacuation Center</t>
  </si>
  <si>
    <t>Leon Maramba</t>
  </si>
  <si>
    <t>North Elem. School</t>
  </si>
  <si>
    <t>Bonuan GUeset</t>
  </si>
  <si>
    <t>Sabangan Elem School</t>
  </si>
  <si>
    <t>Bonuan Gueset</t>
  </si>
  <si>
    <t>Caranglaan Elem School</t>
  </si>
  <si>
    <t>Caranglaan</t>
  </si>
  <si>
    <t>Brgy Health Center</t>
  </si>
  <si>
    <t>Chapel Boquig Puelay</t>
  </si>
  <si>
    <t>Carael Elem School</t>
  </si>
  <si>
    <t>Carael</t>
  </si>
  <si>
    <t>EARTHQUAKE, TYPHOON, FLOOD and TSUNAMI</t>
  </si>
  <si>
    <t>Carael High School</t>
  </si>
  <si>
    <t>East Central Elem School</t>
  </si>
  <si>
    <t>Herrero Perez</t>
  </si>
  <si>
    <t>Lasip Chico</t>
  </si>
  <si>
    <t>JUan L. Siapno</t>
  </si>
  <si>
    <t>Lasip Grande</t>
  </si>
  <si>
    <t>Lomboy Elem School</t>
  </si>
  <si>
    <t>Lomboy</t>
  </si>
  <si>
    <t>Lucao</t>
  </si>
  <si>
    <t>Malued Elem school</t>
  </si>
  <si>
    <t>Malued</t>
  </si>
  <si>
    <t>Malued Covered Court</t>
  </si>
  <si>
    <t>Mamalingling Elem School</t>
  </si>
  <si>
    <t>Mamalingling</t>
  </si>
  <si>
    <t>Mayombo</t>
  </si>
  <si>
    <t>PNR Multi Purpose  Hall</t>
  </si>
  <si>
    <t>University of Pang. (PHINMA)</t>
  </si>
  <si>
    <t>Pantal</t>
  </si>
  <si>
    <t>Latter Days Arellano</t>
  </si>
  <si>
    <t>Pogo Chico</t>
  </si>
  <si>
    <t>Uinversity of Luzon</t>
  </si>
  <si>
    <t>Pogo Lasip Elem School</t>
  </si>
  <si>
    <t>Pogo Grande</t>
  </si>
  <si>
    <t>Pugaro Suit</t>
  </si>
  <si>
    <t>Salapingao Evacuation Center</t>
  </si>
  <si>
    <t>Salapingao</t>
  </si>
  <si>
    <t>Salisay Elem School</t>
  </si>
  <si>
    <t>Salisay</t>
  </si>
  <si>
    <t>Tambac Elem School</t>
  </si>
  <si>
    <t>Tambac</t>
  </si>
  <si>
    <t>PIMSAT School</t>
  </si>
  <si>
    <t>Tebeng Elem School</t>
  </si>
  <si>
    <t>Tebeng</t>
  </si>
  <si>
    <t>EARTHQUAKE, TYPHOON</t>
  </si>
  <si>
    <t>Tebeng Barangay Hall</t>
  </si>
  <si>
    <t>Dasol</t>
  </si>
  <si>
    <t>Poblacion, Dasol, Pang.</t>
  </si>
  <si>
    <t>300 Sq. Mtr</t>
  </si>
  <si>
    <t>Rain Depository Tank</t>
  </si>
  <si>
    <t>Orbos Gym</t>
  </si>
  <si>
    <t>200 Sq. Meter</t>
  </si>
  <si>
    <t>Barangay Tambobong</t>
  </si>
  <si>
    <t>64 Sq. Meter</t>
  </si>
  <si>
    <t>Barangay Water System</t>
  </si>
  <si>
    <t>Barangay Osmena</t>
  </si>
  <si>
    <t>Barangay Uli</t>
  </si>
  <si>
    <t>Barangay Magsaysay</t>
  </si>
  <si>
    <t>Barangay Malacapas</t>
  </si>
  <si>
    <t>Barangay Bobonot</t>
  </si>
  <si>
    <t>Dasol Integrated School</t>
  </si>
  <si>
    <t>Barangay Poblacion</t>
  </si>
  <si>
    <t>300 Sq. Meter</t>
  </si>
  <si>
    <t>Macalang Elem. Sch.</t>
  </si>
  <si>
    <t>Barangay Macalang</t>
  </si>
  <si>
    <t>Amalbalan Elem. Sch.</t>
  </si>
  <si>
    <t>Barangay Amalbalan</t>
  </si>
  <si>
    <t>Eguia Elem. Sch.</t>
  </si>
  <si>
    <t>Barangay Eguia</t>
  </si>
  <si>
    <t>Bobonot Elem. Sch.</t>
  </si>
  <si>
    <t>Tambobong Elem. Sch.</t>
  </si>
  <si>
    <t>Tambac Elem. Sch.</t>
  </si>
  <si>
    <t>Barangay Tambac</t>
  </si>
  <si>
    <t>Mac Arthur Salanga Mem. Elem. Sch.</t>
  </si>
  <si>
    <t>Barangay Osmeña</t>
  </si>
  <si>
    <t>Viga Elem. Sch.</t>
  </si>
  <si>
    <t>Barangay Viga</t>
  </si>
  <si>
    <t>Malacapas Elem Sch.</t>
  </si>
  <si>
    <t>Barangay Malcapas</t>
  </si>
  <si>
    <t>Don Juan Bernal Elem. School</t>
  </si>
  <si>
    <t>Barangay Hermosa</t>
  </si>
  <si>
    <t>Gais-Guipe Elem. Sch.</t>
  </si>
  <si>
    <t>Barangay Gais-Guipe</t>
  </si>
  <si>
    <t>Uli Elem. Sch.</t>
  </si>
  <si>
    <t>Petal Elem. Sch.</t>
  </si>
  <si>
    <t>Barangay Petal</t>
  </si>
  <si>
    <t>Malimpin Elem. Sch.</t>
  </si>
  <si>
    <t>Barangay Malimpin</t>
  </si>
  <si>
    <t>Tomas Bonilla Elem. School</t>
  </si>
  <si>
    <t>Barangay San Vicente</t>
  </si>
  <si>
    <t>Cultural Heritage Center</t>
  </si>
  <si>
    <t>Infanta</t>
  </si>
  <si>
    <t>Atel-Batang Elem. School</t>
  </si>
  <si>
    <t>Barangay Batang</t>
  </si>
  <si>
    <t>TSUNAMI</t>
  </si>
  <si>
    <t>infanta waterworks system</t>
  </si>
  <si>
    <t>Brgy. Hall</t>
  </si>
  <si>
    <t>Babuyan Elem. School</t>
  </si>
  <si>
    <t>Barangay Babuyan</t>
  </si>
  <si>
    <t>RAIN/EARTHQUAKE INDUCED LANDSLIDE</t>
  </si>
  <si>
    <t>Bamban Norte Elem. School</t>
  </si>
  <si>
    <t>Barangay Bamban</t>
  </si>
  <si>
    <t>RAIN INDUCED LANDSLIDE</t>
  </si>
  <si>
    <t>Bamban Sur Elem. School</t>
  </si>
  <si>
    <t>Pangasinan State University</t>
  </si>
  <si>
    <t>Barangay Bayambang</t>
  </si>
  <si>
    <t>TSUNAMI, FLOOD</t>
  </si>
  <si>
    <t>Bayambang Elem. School</t>
  </si>
  <si>
    <t>Bayambang Chapel</t>
  </si>
  <si>
    <t>Cato National High School</t>
  </si>
  <si>
    <t>Barangay Cato</t>
  </si>
  <si>
    <t>TSUNAMI, FLOOD, STORM SURGE</t>
  </si>
  <si>
    <t>Cato Elem. School</t>
  </si>
  <si>
    <t>Cato Chapel</t>
  </si>
  <si>
    <t>Doliman Elem. School</t>
  </si>
  <si>
    <t>Barangay Doliman</t>
  </si>
  <si>
    <t>Barangay Maya</t>
  </si>
  <si>
    <t>Maya Elementary School</t>
  </si>
  <si>
    <t>San Juan-Nangalisan Elem. School</t>
  </si>
  <si>
    <t>Barangay Nangalisan</t>
  </si>
  <si>
    <t>FLOOD</t>
  </si>
  <si>
    <t>Barangay Nayom</t>
  </si>
  <si>
    <t>Patima Elem. School</t>
  </si>
  <si>
    <t>Barangay Patima</t>
  </si>
  <si>
    <t>Nayom Elem School</t>
  </si>
  <si>
    <t>Pita Elem. School</t>
  </si>
  <si>
    <t>Barangay Pita</t>
  </si>
  <si>
    <t>Saint John the Evangelist Church</t>
  </si>
  <si>
    <t>Main Health Center</t>
  </si>
  <si>
    <t>Senior Citizen Bldg.</t>
  </si>
  <si>
    <t>Executive Bldg</t>
  </si>
  <si>
    <t>Infanta Integrated School</t>
  </si>
  <si>
    <t>Infanta Municipal Evacuation Center</t>
  </si>
  <si>
    <t>RAIN INDUCED LANDSLIDE/ EROSION</t>
  </si>
  <si>
    <t>Potol Elem. School</t>
  </si>
  <si>
    <t>Barangay Potol</t>
  </si>
  <si>
    <t xml:space="preserve">LABRADOR </t>
  </si>
  <si>
    <t>LABRADOR CENTRAL ELEM. SCH.</t>
  </si>
  <si>
    <t>POBLACION, LABRABOR, PANGASINAN</t>
  </si>
  <si>
    <t>360 SQ.M</t>
  </si>
  <si>
    <t>Princess Urduja Water System</t>
  </si>
  <si>
    <t>BOLO BRGY HALL</t>
  </si>
  <si>
    <t>BOLO, LABRADOR, PANGASINAN</t>
  </si>
  <si>
    <t>189 SQ.M</t>
  </si>
  <si>
    <t>KADAMPAT ELEM SCH.</t>
  </si>
  <si>
    <t>252 SQ.M</t>
  </si>
  <si>
    <t>BONGALON SC BLDG</t>
  </si>
  <si>
    <t>BONGALON, LABRADOR, PANGASINAN</t>
  </si>
  <si>
    <t>180 SQ.M</t>
  </si>
  <si>
    <t>DULIG BRGY HALL</t>
  </si>
  <si>
    <t>DULIG, LABRADOR, PANGASINAN</t>
  </si>
  <si>
    <t>126 SQ.M</t>
  </si>
  <si>
    <t>LAOIS CHAPEL</t>
  </si>
  <si>
    <t>LAOIS, LABRADOR,  PANGASINAN</t>
  </si>
  <si>
    <t>EARTHQUAKE, TYPHOON, TSUNAMI, FLOOD</t>
  </si>
  <si>
    <t>160 SQ.M</t>
  </si>
  <si>
    <t>MAGSAYSAY CHAPEL</t>
  </si>
  <si>
    <t>MAGSAYSAY, LABRADOR, PANGASINAN</t>
  </si>
  <si>
    <t>230 SQ.M</t>
  </si>
  <si>
    <t>SAN GONZALO BRGY. HALL</t>
  </si>
  <si>
    <t>SAN GONZALO, LABRADOR, PANGASINAN</t>
  </si>
  <si>
    <t>200 SQ.M</t>
  </si>
  <si>
    <t>SAN JOSE SENIOR CITIZEN BLDG.</t>
  </si>
  <si>
    <t>SAN JOSE, LABRADOR, PANGASINAN</t>
  </si>
  <si>
    <t>TOBUAN CHAPEL</t>
  </si>
  <si>
    <t>TOBUAN, LABRADOR, PANGASINAN</t>
  </si>
  <si>
    <t>UYONG OLD BRGY. HALL</t>
  </si>
  <si>
    <t>UYONG, LABRADOR, PANGASINAN</t>
  </si>
  <si>
    <t>120 SQ.M</t>
  </si>
  <si>
    <t>Laoac</t>
  </si>
  <si>
    <t>Poblacion, Laoac</t>
  </si>
  <si>
    <t>Don Gregorio Tabayoyong Civic Center</t>
  </si>
  <si>
    <t>Poblacion, Laoac, Pangasinan</t>
  </si>
  <si>
    <t>Farmer Training Center</t>
  </si>
  <si>
    <t>Municipal Building</t>
  </si>
  <si>
    <t>Public Market</t>
  </si>
  <si>
    <t>Tricycle Terminal</t>
  </si>
  <si>
    <t>Don Westrimundo Tabayoyong Auditorium</t>
  </si>
  <si>
    <t>Anis, Laoac, Pangasinan</t>
  </si>
  <si>
    <t>Zone 4 Balligi, Laoac, Pangasinan</t>
  </si>
  <si>
    <t>Tabayoyong St. Banuar, Laoac, Pangasinan</t>
  </si>
  <si>
    <t>Botigue, Laoac, Pangasinan</t>
  </si>
  <si>
    <t>Faith in God Spiritual Church</t>
  </si>
  <si>
    <t>Purok 7, Botigue, Laoac, Pangasinan</t>
  </si>
  <si>
    <t>Multi-Purpose Hall (2 Storey)</t>
  </si>
  <si>
    <t>Caaringayan, Laoac, Pangasinan</t>
  </si>
  <si>
    <t>Wesleyan Church</t>
  </si>
  <si>
    <t>Multi-Purpose Hall (2 storey)</t>
  </si>
  <si>
    <t>Cabilaoac West, Laoac, Pangasinan</t>
  </si>
  <si>
    <t>Water Works</t>
  </si>
  <si>
    <t>Cabilaoan West, Laoac, Pangasinan</t>
  </si>
  <si>
    <t>Cabulalaan, Laoac, Pangasinan</t>
  </si>
  <si>
    <t>Calaoagan, Laoac, Pangasinan</t>
  </si>
  <si>
    <t>BALIBAGO</t>
  </si>
  <si>
    <t>Casampagaan, Laoac, Pangasinan</t>
  </si>
  <si>
    <t>Calmay, Laoac, Pangasinan</t>
  </si>
  <si>
    <t>Casanestebanan, Laoac, Pangasinan</t>
  </si>
  <si>
    <t>Purok 3 Casantiagoan, Laoac, Pangasinan</t>
  </si>
  <si>
    <t>Casantiagoan, Laoac, Pangasinan</t>
  </si>
  <si>
    <t>Multi-Purpose Hall Bldg. 1 (2 Storey)</t>
  </si>
  <si>
    <t>D. Alarcio, Laoac, Pangasinan</t>
  </si>
  <si>
    <t>Multi-Purpose Hall Bldg. 2 (2 storey)</t>
  </si>
  <si>
    <t>Day Care Center Annex</t>
  </si>
  <si>
    <t>Purok 7 D. Alarcio, Laoac, Pangasinan</t>
  </si>
  <si>
    <t>Mobile Center</t>
  </si>
  <si>
    <t>Paitan, D. Alarcio, Laoac, Pangasinan</t>
  </si>
  <si>
    <t>Lebueg, Laoac, Pangasinan</t>
  </si>
  <si>
    <t>Maraboc, Laoac, Pangasinan</t>
  </si>
  <si>
    <t>5th District of Pangasinan Multi-Purpose Cooperative Hall</t>
  </si>
  <si>
    <t>Nanbagatan, Laoac, Pangasinan</t>
  </si>
  <si>
    <t>Dona Flora Celestino Day Care &amp; Learning Center</t>
  </si>
  <si>
    <t>Sitio Calongcong, Poblacion, Laoac, Pangasinan</t>
  </si>
  <si>
    <t>Talogtog, Laoac, Pangasinan</t>
  </si>
  <si>
    <t>NOne</t>
  </si>
  <si>
    <t>Turko, Laoac, Pangasinan</t>
  </si>
  <si>
    <t>Turko, Laoac, Pangsinan</t>
  </si>
  <si>
    <t>Yatyat, Laoac, Pangasinan</t>
  </si>
  <si>
    <t>Security Outpost</t>
  </si>
  <si>
    <t>Sitio Lico, Yatyat, Laoac, Pangasinan</t>
  </si>
  <si>
    <t>Lingayen</t>
  </si>
  <si>
    <t>Lingayen Evacuation</t>
  </si>
  <si>
    <t>potable</t>
  </si>
  <si>
    <t>Basing Evacuation Center</t>
  </si>
  <si>
    <t>Basing</t>
  </si>
  <si>
    <t>Tumbar Evacuation Center</t>
  </si>
  <si>
    <t>Tumbar</t>
  </si>
  <si>
    <t>Bantayan Barangay Hall</t>
  </si>
  <si>
    <t>Bantayan</t>
  </si>
  <si>
    <t>Balococ Barangay Hall</t>
  </si>
  <si>
    <t>Balococ</t>
  </si>
  <si>
    <t>Maniboc Barangay Hall</t>
  </si>
  <si>
    <t>Maniboc</t>
  </si>
  <si>
    <t>Baay Barangay Hall</t>
  </si>
  <si>
    <t>Baay</t>
  </si>
  <si>
    <t>Domalandan East Barangay Hall</t>
  </si>
  <si>
    <t>Domalandan East</t>
  </si>
  <si>
    <t>Basing Barangay Hall</t>
  </si>
  <si>
    <t>Basing Multi-purpose Court</t>
  </si>
  <si>
    <t>Tonton Barangay Hall</t>
  </si>
  <si>
    <t>Tonton</t>
  </si>
  <si>
    <t>Wawa Barangay Hall</t>
  </si>
  <si>
    <t>Wawa</t>
  </si>
  <si>
    <t>Lasip Barangay Hall</t>
  </si>
  <si>
    <t>Lasip</t>
  </si>
  <si>
    <t>Rosario Barangay Hall</t>
  </si>
  <si>
    <t>Rosario</t>
  </si>
  <si>
    <t>Dulag Barangay Hall</t>
  </si>
  <si>
    <t>Dulag</t>
  </si>
  <si>
    <t>Dulag Multi-purpose Court</t>
  </si>
  <si>
    <t>Talogtog Barangay Hall</t>
  </si>
  <si>
    <t>Talogtog</t>
  </si>
  <si>
    <t>Talogtog Multi-purpose Court</t>
  </si>
  <si>
    <t>Domalandan Center Barangay Hall</t>
  </si>
  <si>
    <t>Domalandan Center</t>
  </si>
  <si>
    <t>Domalandan West Barangay Hall</t>
  </si>
  <si>
    <t>Domalandan West</t>
  </si>
  <si>
    <t>Estanza Barangay Hall</t>
  </si>
  <si>
    <t>Estanza</t>
  </si>
  <si>
    <t>Estanza Multi-purpose Court</t>
  </si>
  <si>
    <t>Capandanan Barangay Hall</t>
  </si>
  <si>
    <t>Capandanan</t>
  </si>
  <si>
    <t>Balangonong Barangay Hall</t>
  </si>
  <si>
    <t>Balangobong</t>
  </si>
  <si>
    <t>Malimpuec Barangay Hall</t>
  </si>
  <si>
    <t>Malimpuec</t>
  </si>
  <si>
    <t>Malimpuec Multi-purpose Court</t>
  </si>
  <si>
    <t>Quibaol Barangay Hall</t>
  </si>
  <si>
    <t>Quibaol</t>
  </si>
  <si>
    <t>Quibaol Multi-purpose Court</t>
  </si>
  <si>
    <t>Matalava Barangay Hall</t>
  </si>
  <si>
    <t>Matalava</t>
  </si>
  <si>
    <t>Namolan Barangay Hall</t>
  </si>
  <si>
    <t>Namolan</t>
  </si>
  <si>
    <t>Libsong East Barangay Hall</t>
  </si>
  <si>
    <t>Libsong East</t>
  </si>
  <si>
    <t>Libsong East Multi-purpose Court</t>
  </si>
  <si>
    <t>Lisong West Barangay Hall</t>
  </si>
  <si>
    <t>Libsong West</t>
  </si>
  <si>
    <t>Libsong West Multi-purpose Court</t>
  </si>
  <si>
    <t>Pangapisan North Barangay Hall</t>
  </si>
  <si>
    <t>Pangapisan North</t>
  </si>
  <si>
    <t>Pangapisan Sur Barangay Hall</t>
  </si>
  <si>
    <t>Pangapisan Sur</t>
  </si>
  <si>
    <t>Pangapisan Sur Multi-purpose Court</t>
  </si>
  <si>
    <t>Dorongan Barangay Hall</t>
  </si>
  <si>
    <t>Dorongan</t>
  </si>
  <si>
    <t>Dorongan Multi-purpose Court</t>
  </si>
  <si>
    <t>Naguelguel Barangay Hall</t>
  </si>
  <si>
    <t>Naguelguel</t>
  </si>
  <si>
    <t>Silvery Christtian Academy</t>
  </si>
  <si>
    <t>56/10 room sq.m</t>
  </si>
  <si>
    <t>Baay Elementary School</t>
  </si>
  <si>
    <t>Domalandan East Elementary School</t>
  </si>
  <si>
    <t>Tonton Elementary School</t>
  </si>
  <si>
    <t>Lasip Integrated School</t>
  </si>
  <si>
    <t>Malawa Integrated School</t>
  </si>
  <si>
    <t>Malawa</t>
  </si>
  <si>
    <t>Domalandan Center Integrated School</t>
  </si>
  <si>
    <t>Guesang Elementary School</t>
  </si>
  <si>
    <t>Capandanan Elementary School</t>
  </si>
  <si>
    <t>Matalava Elementary School</t>
  </si>
  <si>
    <t>Namolan Elementary School</t>
  </si>
  <si>
    <t>Naguelguel Elementary School</t>
  </si>
  <si>
    <t>Balococ Chapel</t>
  </si>
  <si>
    <t>Maniboc Chapel</t>
  </si>
  <si>
    <t>MDRRMO EVACUATION CENTER</t>
  </si>
  <si>
    <t>Poblacion, Mabini, Pangasinan</t>
  </si>
  <si>
    <t xml:space="preserve"> TYPHOON, FLOOD</t>
  </si>
  <si>
    <t>MABINI CENTRAL SCHOOL</t>
  </si>
  <si>
    <t>STA. RITA ELEMENTARY SCHOOL</t>
  </si>
  <si>
    <t>Nibaliw Mabini, Pangasinan</t>
  </si>
  <si>
    <t xml:space="preserve"> TYPHOON, FLOOD, </t>
  </si>
  <si>
    <t>BAWASA</t>
  </si>
  <si>
    <t>NIBALIW BRGY. HALL</t>
  </si>
  <si>
    <t xml:space="preserve">PATAR MULTI PURPOSE HALL </t>
  </si>
  <si>
    <t>Patar Mabini, Pangasinan</t>
  </si>
  <si>
    <t xml:space="preserve"> TYPHOON, FLOOD, LANDSLIDE</t>
  </si>
  <si>
    <t>PATAR BRGY. HALL</t>
  </si>
  <si>
    <t>SAN PEDRO MULTIPURPOSE GYM</t>
  </si>
  <si>
    <t>San Pedro Mabini, Pangasinan</t>
  </si>
  <si>
    <t xml:space="preserve"> TYPHOON</t>
  </si>
  <si>
    <t>SPRING/DEEP WELL</t>
  </si>
  <si>
    <t xml:space="preserve">SAN PEDRO BRGY. HALL </t>
  </si>
  <si>
    <t>POBLACION BRGY. HALL</t>
  </si>
  <si>
    <t xml:space="preserve">  TYPHOON, FLOOD</t>
  </si>
  <si>
    <t xml:space="preserve">NAWASA </t>
  </si>
  <si>
    <t>CARANGLAAN EVACUATION CENTER</t>
  </si>
  <si>
    <t>Caranglaan Mabini, Pangasinan</t>
  </si>
  <si>
    <t>POTABLE</t>
  </si>
  <si>
    <t>CABANAETAN NATIONAL HIGH SCHOOL (Senior HS Building)</t>
  </si>
  <si>
    <t>Cabanaetan Mabini, Pangasinan</t>
  </si>
  <si>
    <t xml:space="preserve">  TYPHOON</t>
  </si>
  <si>
    <t xml:space="preserve">BACNIT MULTI PURPOSE GYMNASIUM </t>
  </si>
  <si>
    <t>Bacnit Mabini, Pangasinan</t>
  </si>
  <si>
    <t xml:space="preserve">  TYPHOON, FLOOD, LANDSLIDE</t>
  </si>
  <si>
    <t>LUNA ELEMENTARY SCHOOL</t>
  </si>
  <si>
    <t>Luna Mabini, Pangasinan</t>
  </si>
  <si>
    <t xml:space="preserve">  TYPHOON, LANDSLIDE</t>
  </si>
  <si>
    <t>LUNA BRGY. HALL</t>
  </si>
  <si>
    <t xml:space="preserve">CAABIANGAN MULTIPURPOSE GYMNASIUM </t>
  </si>
  <si>
    <t>Caabiangan Mabini, Pangasinan</t>
  </si>
  <si>
    <t>CAABIANGAN BRGY. HALL</t>
  </si>
  <si>
    <t>MAGALONG ELEM. SCHOOL</t>
  </si>
  <si>
    <t>Magalong Mabini, Pangasinan</t>
  </si>
  <si>
    <t>MAGALONG HIGH SCHOOL</t>
  </si>
  <si>
    <t>Malasiqui</t>
  </si>
  <si>
    <t>Arenas Civic Center</t>
  </si>
  <si>
    <t>Drought, Ground Shaking, Ground Rupture, Typhoon</t>
  </si>
  <si>
    <t>Balibago Waterworks System Inc. (Faucet)</t>
  </si>
  <si>
    <t>Cawayan Bogtong Barangay Hall</t>
  </si>
  <si>
    <t>Cawayan Bogtong</t>
  </si>
  <si>
    <t>Flood, Drought, Ground Shaking, Ground Rupture, Typhoon</t>
  </si>
  <si>
    <t>BWSI (faucet)</t>
  </si>
  <si>
    <t>Cawayan Bogtong Covered Court</t>
  </si>
  <si>
    <t>DEEP WELL (faucet)</t>
  </si>
  <si>
    <t>Bacundao West Brgy. Hall</t>
  </si>
  <si>
    <t>Bacundao West</t>
  </si>
  <si>
    <t>Rain-Induced Landslide, Drought, Earthquake-Induced Landslide, Ground Shaking, Ground Rupture, Typhoon</t>
  </si>
  <si>
    <t>Bolaoit Brgy. Hall</t>
  </si>
  <si>
    <t>Bolaoit</t>
  </si>
  <si>
    <t>Calbueg Brgy. Hall</t>
  </si>
  <si>
    <t>Calbueg</t>
  </si>
  <si>
    <t>Lokeb Sur Brgy. Hall</t>
  </si>
  <si>
    <t>Lokeb Sur</t>
  </si>
  <si>
    <t>Flood, Ground Shaking, Ground Rupture, Typhoon</t>
  </si>
  <si>
    <t>Lunec Brgy. Hall</t>
  </si>
  <si>
    <t>Lunec</t>
  </si>
  <si>
    <t>Pasima Brgy. Hall</t>
  </si>
  <si>
    <t>Pasima</t>
  </si>
  <si>
    <t>Polong Norte Brgy. Hall</t>
  </si>
  <si>
    <t>Polong Norte</t>
  </si>
  <si>
    <t>Abonagan Brgy. Hall</t>
  </si>
  <si>
    <t>Abonagan</t>
  </si>
  <si>
    <t>Asin Este Brgy. Hall</t>
  </si>
  <si>
    <t>Asin Este</t>
  </si>
  <si>
    <t>Ground Shaking, Ground Rupture, Typhoon</t>
  </si>
  <si>
    <t>Barang Barangay Hall</t>
  </si>
  <si>
    <t>Barang</t>
  </si>
  <si>
    <t>Lokeb Este Brgy. Hall</t>
  </si>
  <si>
    <t>Lokeb Este</t>
  </si>
  <si>
    <t>Lokeb Norte Brgy. Hall</t>
  </si>
  <si>
    <t>Lokeb Norte</t>
  </si>
  <si>
    <t>Payar Brgy. Hall</t>
  </si>
  <si>
    <t>Payar</t>
  </si>
  <si>
    <t>Taloyan Brgy. Hall</t>
  </si>
  <si>
    <t>Taloyan</t>
  </si>
  <si>
    <t>Tolonguat Brgy. Hall</t>
  </si>
  <si>
    <t>Tolonguat</t>
  </si>
  <si>
    <t>Balite Brgy. Hall</t>
  </si>
  <si>
    <t>Balite</t>
  </si>
  <si>
    <t>Cabueldatan Brgy. Hall</t>
  </si>
  <si>
    <t>Cabueldatan</t>
  </si>
  <si>
    <t>Mangan Dampay Brgy. Hall</t>
  </si>
  <si>
    <t>Mangan Dampay</t>
  </si>
  <si>
    <t>Tabo-sili Brgy. Hall</t>
  </si>
  <si>
    <t>Tabo-sili</t>
  </si>
  <si>
    <t>Aliaga Brgy. Hall</t>
  </si>
  <si>
    <t>Aliaga</t>
  </si>
  <si>
    <t>Apaya Brgy. Hall</t>
  </si>
  <si>
    <t>Apaya</t>
  </si>
  <si>
    <t>Bakitiw Brgy. Hall</t>
  </si>
  <si>
    <t>Bakitiw</t>
  </si>
  <si>
    <t>Banaoang Brgy. Hall</t>
  </si>
  <si>
    <t>Banaoang</t>
  </si>
  <si>
    <t>Cabatling Brgy. Hall</t>
  </si>
  <si>
    <t>Cabatling</t>
  </si>
  <si>
    <t>Don Pedro Brgy. Hall</t>
  </si>
  <si>
    <t>Don Pedro</t>
  </si>
  <si>
    <t>Goliman Brgy. Hall</t>
  </si>
  <si>
    <t>Goliman</t>
  </si>
  <si>
    <t>Nalsian Norte Brgy. Hall</t>
  </si>
  <si>
    <t>Nalsian Norte</t>
  </si>
  <si>
    <t>Olea Brgy. Hall</t>
  </si>
  <si>
    <t>Olea</t>
  </si>
  <si>
    <t>Talospatang Brgy. Hall</t>
  </si>
  <si>
    <t>Talospatang</t>
  </si>
  <si>
    <t>Tobor Brgy. Hall</t>
  </si>
  <si>
    <t>Tobor</t>
  </si>
  <si>
    <t>Bongar Brgy. Hall</t>
  </si>
  <si>
    <t>Bongar</t>
  </si>
  <si>
    <t>Canan Sur Brgy. Hall</t>
  </si>
  <si>
    <t>Canan Sur</t>
  </si>
  <si>
    <t>Gatang Brgy. Hall</t>
  </si>
  <si>
    <t>Gatang</t>
  </si>
  <si>
    <t>Palapar Sur Brgy. Hall</t>
  </si>
  <si>
    <t>Palapar Sur</t>
  </si>
  <si>
    <t>Malimpec Brgy. Hall</t>
  </si>
  <si>
    <t>Malimpec</t>
  </si>
  <si>
    <t>Nancapian Brgy. Hall</t>
  </si>
  <si>
    <t>Nancapian</t>
  </si>
  <si>
    <t>Pamaranum Brgy. Hall</t>
  </si>
  <si>
    <t>Pamaranum</t>
  </si>
  <si>
    <t>San Julian Brgy. Hall</t>
  </si>
  <si>
    <t>Agdao Brgy. Hall</t>
  </si>
  <si>
    <t>Agdao</t>
  </si>
  <si>
    <t>Amacalan Brgy. Hall</t>
  </si>
  <si>
    <t>Amacalan</t>
  </si>
  <si>
    <t>Anolid Brgy. Hall</t>
  </si>
  <si>
    <t>Anolid</t>
  </si>
  <si>
    <t>Asin West Brgy. Hall</t>
  </si>
  <si>
    <t>Asin West</t>
  </si>
  <si>
    <t>Bacundao East Brgy. Hall</t>
  </si>
  <si>
    <t>Bacundao East</t>
  </si>
  <si>
    <t>Bawer Brgy. Hall</t>
  </si>
  <si>
    <t>Bawer</t>
  </si>
  <si>
    <t>Binalay Brgy. Hall</t>
  </si>
  <si>
    <t>Binalay</t>
  </si>
  <si>
    <t>Bobon Brgy. Hall</t>
  </si>
  <si>
    <t>Bobon</t>
  </si>
  <si>
    <t>Butao Brgy. Hall</t>
  </si>
  <si>
    <t>Butao</t>
  </si>
  <si>
    <t>Gomez Brgy. Hall</t>
  </si>
  <si>
    <t>Gomez</t>
  </si>
  <si>
    <t>Guilig Brgy. Hall</t>
  </si>
  <si>
    <t>Guilig</t>
  </si>
  <si>
    <t>Ican Brgy. Hall</t>
  </si>
  <si>
    <t>Ican</t>
  </si>
  <si>
    <t>Canan Norte Brgy. Hall</t>
  </si>
  <si>
    <t>Canan Norte</t>
  </si>
  <si>
    <t>Ingala-gala Brgy. Hall</t>
  </si>
  <si>
    <t>Ingala-gala</t>
  </si>
  <si>
    <t>Lareg-Lareg Brgy. Hall</t>
  </si>
  <si>
    <t>Lareg-Lareg</t>
  </si>
  <si>
    <t>Lareg-Lareg Central Evacuation Center</t>
  </si>
  <si>
    <t>Lasip Brgy. Hall</t>
  </si>
  <si>
    <t>Lepa Brgy. Hall</t>
  </si>
  <si>
    <t>Lepa</t>
  </si>
  <si>
    <t>Mabulitec Brgy. Hall</t>
  </si>
  <si>
    <t>Mabulitec</t>
  </si>
  <si>
    <t>Nalsian Sur Brgy. Hall</t>
  </si>
  <si>
    <t>Nalsian Sur</t>
  </si>
  <si>
    <t>Nansangaan Brgy. Hall</t>
  </si>
  <si>
    <t>Nansangaan</t>
  </si>
  <si>
    <t>Polong Sur Brgy. Hall</t>
  </si>
  <si>
    <t>Polong Sur</t>
  </si>
  <si>
    <t>Potiocan Brgy. Hall</t>
  </si>
  <si>
    <t>Potiocan</t>
  </si>
  <si>
    <t>Taloy Brgy. Hall</t>
  </si>
  <si>
    <t>Taloy</t>
  </si>
  <si>
    <t>Tambac Brgy. Hall</t>
  </si>
  <si>
    <t>Tomling Brgy. Hall</t>
  </si>
  <si>
    <t>Tomling</t>
  </si>
  <si>
    <t>Umando Brgy. Hall</t>
  </si>
  <si>
    <t>Umando</t>
  </si>
  <si>
    <t>Viado Brgy. Hall</t>
  </si>
  <si>
    <t>Viado</t>
  </si>
  <si>
    <t>Waig Brgy Hall</t>
  </si>
  <si>
    <t>Waig</t>
  </si>
  <si>
    <t>Warey Brgy. Hall</t>
  </si>
  <si>
    <t>Warey</t>
  </si>
  <si>
    <t>Palapar Norte Brgy Hall</t>
  </si>
  <si>
    <t>Palapar Norte</t>
  </si>
  <si>
    <t>Manaoag</t>
  </si>
  <si>
    <t>Brgy. Pugaro, Manaoag, Pangasinan</t>
  </si>
  <si>
    <t>451 sq. m.</t>
  </si>
  <si>
    <t xml:space="preserve">MAWAD </t>
  </si>
  <si>
    <t xml:space="preserve">Has a storage facility that can accomodate up to 1000 packs but with an existing moa with supermarkets , water refilling stations, food establishments (for frozen storage equipments) </t>
  </si>
  <si>
    <t>Manaoag Sports Somplex</t>
  </si>
  <si>
    <t>Brgy. Poblacion, Manaoag, Pangasinan</t>
  </si>
  <si>
    <t>Baritao Elementary School</t>
  </si>
  <si>
    <t>Room 1 (Brgy. Baritao)</t>
  </si>
  <si>
    <t>Room 2 (Brgy. Baritao)</t>
  </si>
  <si>
    <t>Social Hall (Brgy. Baritao)</t>
  </si>
  <si>
    <t>Lipit Elementary School</t>
  </si>
  <si>
    <t>Calamity Resilience Bldg. (5 rooms) (Brgy. Lipit Sur)</t>
  </si>
  <si>
    <t>DEEP WELL/MAWAD</t>
  </si>
  <si>
    <t>Social Hall (Brgy. Lipit Sur)</t>
  </si>
  <si>
    <t>Nalsian Elementary School</t>
  </si>
  <si>
    <t>4 Rooms (Brgy. Nalsian)</t>
  </si>
  <si>
    <t>6.84x7.91</t>
  </si>
  <si>
    <t>Social Hall (Brgy. Nalsian)</t>
  </si>
  <si>
    <t>10.67x21.5</t>
  </si>
  <si>
    <t>Covered Court (Brgy. Nalsian)</t>
  </si>
  <si>
    <t>16x18</t>
  </si>
  <si>
    <t>Oraan Elementary School</t>
  </si>
  <si>
    <t>2 rooms (Brgy. Oraan East)</t>
  </si>
  <si>
    <t>WATER DISTRICT</t>
  </si>
  <si>
    <t>Covered Court (Brgy. Oraan East)</t>
  </si>
  <si>
    <t>Doña Consuelo S. Perez Elementary School</t>
  </si>
  <si>
    <t>Brgy. Pantal</t>
  </si>
  <si>
    <t>7x27</t>
  </si>
  <si>
    <t>Pao Elementary School</t>
  </si>
  <si>
    <t>10 Rooms (Brgy. Pao)</t>
  </si>
  <si>
    <t>7x8</t>
  </si>
  <si>
    <t>Covered Court (Brgy. Pao)</t>
  </si>
  <si>
    <t>20x26</t>
  </si>
  <si>
    <t>Pio Generosa Elementary School</t>
  </si>
  <si>
    <t>PPP Bldg 3 Rooms (Brgy. Pugaro)</t>
  </si>
  <si>
    <t>Bagong Lipunan Bldg.</t>
  </si>
  <si>
    <t>Social Hall</t>
  </si>
  <si>
    <t>Cabanbanan Elementary School</t>
  </si>
  <si>
    <t>Covered Court (Brgy. Cabanbanan)</t>
  </si>
  <si>
    <t>16.5x18.4</t>
  </si>
  <si>
    <t>PPP Bulding (2 Rooms) (Brgy, Cabanbanan)</t>
  </si>
  <si>
    <t>7mx9m</t>
  </si>
  <si>
    <t>DEPED Building (4 Rooms) (Brgy. Cabanbanan)</t>
  </si>
  <si>
    <t>Manaoag Central School SPED Center</t>
  </si>
  <si>
    <t>29X30</t>
  </si>
  <si>
    <t>Matulong Elementary School</t>
  </si>
  <si>
    <t>Brgy. Matulong</t>
  </si>
  <si>
    <t>9.5x6.5m</t>
  </si>
  <si>
    <t>12.5x22.5</t>
  </si>
  <si>
    <t>DOÑA CONSOLACION SANTA MARIA ELEMENTARY SCHOOL</t>
  </si>
  <si>
    <t>Brgy. Sta. Ines</t>
  </si>
  <si>
    <t>9x11</t>
  </si>
  <si>
    <t>30x16</t>
  </si>
  <si>
    <t>10.6x13.7</t>
  </si>
  <si>
    <t>Kinder Room</t>
  </si>
  <si>
    <t>Grade 1Room</t>
  </si>
  <si>
    <t>Grade 2Room</t>
  </si>
  <si>
    <t>9x8</t>
  </si>
  <si>
    <t>Grade 3 Room</t>
  </si>
  <si>
    <t>Grade 4 Room</t>
  </si>
  <si>
    <t>6x8</t>
  </si>
  <si>
    <t>Grade 5 Room</t>
  </si>
  <si>
    <t>Grade 6 Room</t>
  </si>
  <si>
    <t>Canteen</t>
  </si>
  <si>
    <t>9.6x6</t>
  </si>
  <si>
    <t>Mangaldan</t>
  </si>
  <si>
    <t>3rd Municipal Hall Bldg.</t>
  </si>
  <si>
    <t>Poblacion, Mangaldan</t>
  </si>
  <si>
    <t>Earthquake and Typhoon</t>
  </si>
  <si>
    <t>MAWAD</t>
  </si>
  <si>
    <t>Mangaldan National High School</t>
  </si>
  <si>
    <t>Bari, Mangaldan, Pangasinan</t>
  </si>
  <si>
    <t>Macario Ydia Development Center</t>
  </si>
  <si>
    <t>Poblacion, Mangaldan, Pangasinan</t>
  </si>
  <si>
    <t>David Brgy Hall</t>
  </si>
  <si>
    <t>David, Mangaldan, Pangasinan</t>
  </si>
  <si>
    <t>Alitaya Elementary School</t>
  </si>
  <si>
    <t>Alitaya, Mangaldan, Pangasinan</t>
  </si>
  <si>
    <t>Amansabina (Dona Felisa Elem. School)</t>
  </si>
  <si>
    <t>Amansabina, Mangaldan, Pangasinan</t>
  </si>
  <si>
    <t>Anolid Barangay Hall</t>
  </si>
  <si>
    <t>Anolid, Mangaldan, Pangasinan</t>
  </si>
  <si>
    <t>Bantayan Social Hall</t>
  </si>
  <si>
    <t>Bantayan, Mangaldan, Pangasinan</t>
  </si>
  <si>
    <t>Banaoang Barangay Hall</t>
  </si>
  <si>
    <t>Banaoang, Mangaldan, Pangasinan</t>
  </si>
  <si>
    <t>Banaoang Elementary School</t>
  </si>
  <si>
    <t>Bateng Barangay Hall</t>
  </si>
  <si>
    <t>Bateng, Mangaldan, Pangasinan</t>
  </si>
  <si>
    <t>Buenlag Old Barangay Hall</t>
  </si>
  <si>
    <t>Buenlag, Mangaldan, Pangasinan</t>
  </si>
  <si>
    <t>Buenlag Covered Court</t>
  </si>
  <si>
    <t>David National High School</t>
  </si>
  <si>
    <t>Embarcadero Barangay Hall</t>
  </si>
  <si>
    <t>Embarcadero, Mangaldan, Pangasinan</t>
  </si>
  <si>
    <t>Gueguesangen (GSIS Building)</t>
  </si>
  <si>
    <t>Gueguesangen, Mangaldan, Pangasinan</t>
  </si>
  <si>
    <t>Guesang Barangay Hall/Covered Court</t>
  </si>
  <si>
    <t>Guesang, Mangaldan, Pangasinan</t>
  </si>
  <si>
    <t>55/375⁸</t>
  </si>
  <si>
    <t>20/75</t>
  </si>
  <si>
    <t>80/300</t>
  </si>
  <si>
    <t>50/600</t>
  </si>
  <si>
    <t>Guiguilonen Barangay Hall/MCI</t>
  </si>
  <si>
    <t>Guiguilonen, Mangaldan, Pangasinan</t>
  </si>
  <si>
    <t>Guilig New Barangay Hall</t>
  </si>
  <si>
    <t>Guilig, Mangaldan, Pangasinan</t>
  </si>
  <si>
    <t>Inlambo Day Care Center</t>
  </si>
  <si>
    <t>Inlambo, Mangaldan, Pangasinan</t>
  </si>
  <si>
    <t>Lanas Elementary School</t>
  </si>
  <si>
    <t>Lanas, Mangaldan, Pangasinan</t>
  </si>
  <si>
    <t>Lanas Covered Court</t>
  </si>
  <si>
    <t>Maasin Barangay Hall/Cpvered Court</t>
  </si>
  <si>
    <t>Maasin, Mangaldan, Pangasinan</t>
  </si>
  <si>
    <t>55/400</t>
  </si>
  <si>
    <t>20/80</t>
  </si>
  <si>
    <t>80/320</t>
  </si>
  <si>
    <t>50/650</t>
  </si>
  <si>
    <t>Macayug PB's Residence/Brgy Hall</t>
  </si>
  <si>
    <t>Macayug, Mangaldan, Pangasinan</t>
  </si>
  <si>
    <t>Malabago Covered Court/Brgy Hall</t>
  </si>
  <si>
    <t>Malabago, Mangaldan, Pangasinan</t>
  </si>
  <si>
    <t>50/400</t>
  </si>
  <si>
    <t>15/80</t>
  </si>
  <si>
    <t>60/320</t>
  </si>
  <si>
    <t>30/650</t>
  </si>
  <si>
    <t>Navaluan Barangay Hall</t>
  </si>
  <si>
    <t>Navaluan, Mangaldan, Pangasinan</t>
  </si>
  <si>
    <t>Nibaliw Barangay Hall</t>
  </si>
  <si>
    <t>Nibaliw, Mangaldan, Pangasinan</t>
  </si>
  <si>
    <t>Osiem Barangay Hall</t>
  </si>
  <si>
    <t>Osiem, Mangaldan, Pangasinan</t>
  </si>
  <si>
    <t>Palua Barangay Hall</t>
  </si>
  <si>
    <t>Palua, Mangaldan, Pangasinan</t>
  </si>
  <si>
    <t>o</t>
  </si>
  <si>
    <t>Pogo Barangay Hall</t>
  </si>
  <si>
    <t>Pogo, Mangaldan, Pangasinan</t>
  </si>
  <si>
    <t>Salaan Covered Court</t>
  </si>
  <si>
    <t>Salaan, Mangaldan, Pangasinan</t>
  </si>
  <si>
    <t>Talogtog Covered Court</t>
  </si>
  <si>
    <t>Talogtog, Mangaldan, Pangasinan</t>
  </si>
  <si>
    <t>Tebag Barangay Hall</t>
  </si>
  <si>
    <t>Tebag, Mangaldan, Pangasinan</t>
  </si>
  <si>
    <t>Mangatarem</t>
  </si>
  <si>
    <t>EVACUATION CENTER</t>
  </si>
  <si>
    <t>CALVO</t>
  </si>
  <si>
    <t>NO DATA</t>
  </si>
  <si>
    <t>MANGATAREM 1 CENTRAL SCHOOL</t>
  </si>
  <si>
    <t>TOWN PROPER</t>
  </si>
  <si>
    <t>CASILAGAN ELEM. SCHOOL</t>
  </si>
  <si>
    <t>BRGY. CASILAGAN</t>
  </si>
  <si>
    <t>TORRE 2ND ELEM. SCHOOL</t>
  </si>
  <si>
    <t>BRGY. TORRE 2ND</t>
  </si>
  <si>
    <t>DORONGAN PUNTA BRGY. HALL</t>
  </si>
  <si>
    <t>BRGY. DORONGAN PUNTA</t>
  </si>
  <si>
    <t>CBN DAY CARE CENTER</t>
  </si>
  <si>
    <t>BRGY. CABISON BULANEY NIOG</t>
  </si>
  <si>
    <t>BUNLALACAO BRGY. HALL</t>
  </si>
  <si>
    <t>BRGY. BUNLALACAO</t>
  </si>
  <si>
    <t>BUNLALACAO DAY CARE CENTER</t>
  </si>
  <si>
    <t>BUNLALACAO ELEM. SCHOOL</t>
  </si>
  <si>
    <t>MACARANG BRGY. HALL</t>
  </si>
  <si>
    <t>BRGY. MACARANG</t>
  </si>
  <si>
    <t>FAUCET, DEEPWELLL</t>
  </si>
  <si>
    <t>MANGATAREM NATIONAL HIGH SCHOOL</t>
  </si>
  <si>
    <t>BRGY POGONLOMBOY</t>
  </si>
  <si>
    <t>BUENO</t>
  </si>
  <si>
    <t>BUENO CENTER</t>
  </si>
  <si>
    <t>SENIOR CITIZEN HALL</t>
  </si>
  <si>
    <t>BANTOCALING</t>
  </si>
  <si>
    <t>2 FT</t>
  </si>
  <si>
    <t>FAUCET</t>
  </si>
  <si>
    <t>17 TO 20</t>
  </si>
  <si>
    <t>CALOMBOYAN SUR ELEMENTARY SCHOOL</t>
  </si>
  <si>
    <t>CALOMBOYAN SUR</t>
  </si>
  <si>
    <t>SONSON ONGKIT MULTI PURPOSE HALL</t>
  </si>
  <si>
    <t>BRGY. SONSON ONGKIT</t>
  </si>
  <si>
    <t>ELEMENTARY SCHOOL</t>
  </si>
  <si>
    <t>BRGY. LINMANSANGAN</t>
  </si>
  <si>
    <t>BARANGAY HALL</t>
  </si>
  <si>
    <t>BARANGAY CAPILLA</t>
  </si>
  <si>
    <t>66 KILOS RICE/42 PCS DE LATA/42 PCS NOODLES</t>
  </si>
  <si>
    <t>CENTRO BRGY. CAVIERNESAN</t>
  </si>
  <si>
    <t>CAVIERNESAN ELEMENTARY SCHOOL</t>
  </si>
  <si>
    <t>SITIO TAPAO LOOB BRGY CAVIERNESAN</t>
  </si>
  <si>
    <t>MARAVILLA ARELLANO EXTENSION BRGY HALL</t>
  </si>
  <si>
    <t>MARAVILLA EXTENSION</t>
  </si>
  <si>
    <t>JET MATIC PUMP</t>
  </si>
  <si>
    <t>MANGATAREM II CENTRAL SCHOOL</t>
  </si>
  <si>
    <t>BRGY OSMEÑA</t>
  </si>
  <si>
    <t>SIZE OF A ROOM WITH 25 PUPILS</t>
  </si>
  <si>
    <t>DORONGAN LINMANSANGAN BRGY HALL</t>
  </si>
  <si>
    <t>BRGY DORONGAN LINMANSANGAN</t>
  </si>
  <si>
    <t>30X20</t>
  </si>
  <si>
    <t>Mapandan</t>
  </si>
  <si>
    <t>Amanoaoac Multi-Purpose Covered Court</t>
  </si>
  <si>
    <t>Amanoaoac</t>
  </si>
  <si>
    <t>PRIMEWATER</t>
  </si>
  <si>
    <t>for emergency food packs,water, medicine Memorandum Agreement with mini grocery, pharmacy and water refilling stations. Resolution no. 122 s. 2023, Resolution No. 121, s.2023 and Resolution No. 181, s. 2023</t>
  </si>
  <si>
    <t>Apaya Multi-Purpose Covered Court</t>
  </si>
  <si>
    <t>for emergency food packs,water, medicine Memorandum Agreement with mini grocery, pharmacy and water refilling stations. Resolution no. 122 s. 2023, Resolution No. 121, s.2023 and Resolution No. 181, s. 2024</t>
  </si>
  <si>
    <t>Aserda Brgy. Hall</t>
  </si>
  <si>
    <t>Aserda</t>
  </si>
  <si>
    <t>for emergency food packs,water, medicine Memorandum Agreement with mini grocery, pharmacy and water refilling stations. Resolution no. 122 s. 2023, Resolution No. 121, s.2023 and Resolution No. 181, s. 2025</t>
  </si>
  <si>
    <t>Baloling Multi-Purpose Covered Court</t>
  </si>
  <si>
    <t>Baloling</t>
  </si>
  <si>
    <t>for emergency food packs,water, medicine Memorandum Agreement with mini grocery, pharmacy and water refilling stations. Resolution no. 122 s. 2023, Resolution No. 121, s.2023 and Resolution No. 181, s. 2026</t>
  </si>
  <si>
    <t>Coral Barangay Hall</t>
  </si>
  <si>
    <t>Coral</t>
  </si>
  <si>
    <t>for emergency food packs,water, medicine Memorandum Agreement with mini grocery, pharmacy and water refilling stations. Resolution no. 122 s. 2023, Resolution No. 121, s.2023 and Resolution No. 181, s. 2027</t>
  </si>
  <si>
    <t>Golden Multi-Purpose Covered Court</t>
  </si>
  <si>
    <t>Golden</t>
  </si>
  <si>
    <t>for emergency food packs,water, medicine Memorandum Agreement with mini grocery, pharmacy and water refilling stations. Resolution no. 122 s. 2023, Resolution No. 121, s.2023 and Resolution No. 181, s. 2028</t>
  </si>
  <si>
    <t>Jimenez Multi-Purpose Covered Court</t>
  </si>
  <si>
    <t>Jimenez</t>
  </si>
  <si>
    <t>for emergency food packs,water, medicine Memorandum Agreement with mini grocery, pharmacy and water refilling stations. Resolution no. 122 s. 2023, Resolution No. 121, s.2023 and Resolution No. 181, s. 2029</t>
  </si>
  <si>
    <t>Lambayan Multi-Purpose Covered Court</t>
  </si>
  <si>
    <t>Lambayan</t>
  </si>
  <si>
    <t>for emergency food packs,water, medicine Memorandum Agreement with mini grocery, pharmacy and water refilling stations. Resolution no. 122 s. 2023, Resolution No. 121, s.2023 and Resolution No. 181, s. 2030</t>
  </si>
  <si>
    <t>Luyan Multi-Purpose Covered Court</t>
  </si>
  <si>
    <t>Luyan</t>
  </si>
  <si>
    <t>for emergency food packs,water, medicine Memorandum Agreement with mini grocery, pharmacy and water refilling stations. Resolution no. 122 s. 2023, Resolution No. 121, s.2023 and Resolution No. 181, s. 2031</t>
  </si>
  <si>
    <t>Nilombot Multi-Purpose Covered Court</t>
  </si>
  <si>
    <t>Nilombot</t>
  </si>
  <si>
    <t>for emergency food packs,water, medicine Memorandum Agreement with mini grocery, pharmacy and water refilling stations. Resolution no. 122 s. 2023, Resolution No. 121, s.2023 and Resolution No. 181, s. 2032</t>
  </si>
  <si>
    <t>Mapandan Central School SPED Center Covered Court</t>
  </si>
  <si>
    <t>for emergency food packs,water, medicine Memorandum Agreement with mini grocery, pharmacy and water refilling stations. Resolution no. 122 s. 2023, Resolution No. 121, s.2023 and Resolution No. 181, s. 2033</t>
  </si>
  <si>
    <t>Pias Multi-Purpose Covered Court</t>
  </si>
  <si>
    <t>Pias</t>
  </si>
  <si>
    <t>for emergency food packs,water, medicine Memorandum Agreement with mini grocery, pharmacy and water refilling stations. Resolution no. 122 s. 2023, Resolution No. 121, s.2023 and Resolution No. 181, s. 2034</t>
  </si>
  <si>
    <t>Primicias Multi-Purpose Covered Court</t>
  </si>
  <si>
    <t>Primicias</t>
  </si>
  <si>
    <t>for emergency food packs,water, medicine Memorandum Agreement with mini grocery, pharmacy and water refilling stations. Resolution no. 122 s. 2023, Resolution No. 121, s.2023 and Resolution No. 181, s. 2035</t>
  </si>
  <si>
    <t>Sta Maria Multi-Purpose Covered Court</t>
  </si>
  <si>
    <t>Sta Maria</t>
  </si>
  <si>
    <t>for emergency food packs,water, medicine Memorandum Agreement with mini grocery, pharmacy and water refilling stations. Resolution no. 122 s. 2023, Resolution No. 121, s.2023 and Resolution No. 181, s. 2036</t>
  </si>
  <si>
    <t>Torres Multi-Purpose Covered Court</t>
  </si>
  <si>
    <t>Torres</t>
  </si>
  <si>
    <t>for emergency food packs,water, medicine Memorandum Agreement with mini grocery, pharmacy and water refilling stations. Resolution no. 122 s. 2023, Resolution No. 121, s.2023 and Resolution No. 181, s. 2037</t>
  </si>
  <si>
    <t>Tulagan Gym</t>
  </si>
  <si>
    <t>for emergency food packs,water, medicine Memorandum Agreement with mini grocery, pharmacy and water refilling stations. Resolution no. 122 s. 2023, Resolution No. 121, s.2023 and Resolution No. 181, s. 2038</t>
  </si>
  <si>
    <t>Natividad</t>
  </si>
  <si>
    <t>Barangobong Elementary School</t>
  </si>
  <si>
    <t>Barangobong, Natividad, Pangasinan</t>
  </si>
  <si>
    <t>264 sqm</t>
  </si>
  <si>
    <t>Barangobong Multi-Purpose Gymnasium</t>
  </si>
  <si>
    <t>405 sqm</t>
  </si>
  <si>
    <t>Batchelor Elementary School</t>
  </si>
  <si>
    <t>Batchelor East, Natividad, Pangasinan</t>
  </si>
  <si>
    <t>318 sqm</t>
  </si>
  <si>
    <t>Eulogio Arciaga Elementary School</t>
  </si>
  <si>
    <t>Batchelor West, Natividad, Pangasinan</t>
  </si>
  <si>
    <t>229 sqm</t>
  </si>
  <si>
    <t>Batchelor West Multi-Purpose Hall</t>
  </si>
  <si>
    <t>San Narciso Norte Elementary School</t>
  </si>
  <si>
    <t>Burgos, Natividad, Pangasinan</t>
  </si>
  <si>
    <t>223 sqm</t>
  </si>
  <si>
    <t>San Narciso Sur Elementary School</t>
  </si>
  <si>
    <t>184 sqm</t>
  </si>
  <si>
    <t>Sitio San Jose, Cacandongan, Natividad, Pangasinan</t>
  </si>
  <si>
    <t>236 sqm</t>
  </si>
  <si>
    <t>Calapugan Multi-Purpose Gymnasium</t>
  </si>
  <si>
    <t>Calapugan, Natividad, Pangasinan</t>
  </si>
  <si>
    <t>382 sqm</t>
  </si>
  <si>
    <t>Calapugan Elementary School</t>
  </si>
  <si>
    <t>308 sqm</t>
  </si>
  <si>
    <t>Canarem Multi-Purpose Gymnasium</t>
  </si>
  <si>
    <t>Canarem, Natividad, Pangasinan</t>
  </si>
  <si>
    <t>388 sqm</t>
  </si>
  <si>
    <t>Canarem Elementary School</t>
  </si>
  <si>
    <t>204 sqm</t>
  </si>
  <si>
    <t>Luna Covered Court</t>
  </si>
  <si>
    <t>Luna, Natividad, Pangasinan</t>
  </si>
  <si>
    <t>716 sqm</t>
  </si>
  <si>
    <t>Natividad Multi-Purpose Gymnasium</t>
  </si>
  <si>
    <t>Poblacion East, Natividad, Pangasinan</t>
  </si>
  <si>
    <t>Metro Tayug Water District</t>
  </si>
  <si>
    <t>Rizal Multi-Purpose Gymnasium 1</t>
  </si>
  <si>
    <t>Rizal, Natividad, Pangasinan</t>
  </si>
  <si>
    <t>574 sqm</t>
  </si>
  <si>
    <t>Rizal Multi-Purpose Gymnasium 2</t>
  </si>
  <si>
    <t>474 sqm</t>
  </si>
  <si>
    <t>Salud Multi-Purpose Gymnasium</t>
  </si>
  <si>
    <t>Salud, Natividad, Pangasinan</t>
  </si>
  <si>
    <t>490 sqm</t>
  </si>
  <si>
    <t>Salud Elementary School/Salud San Eugenio National High School</t>
  </si>
  <si>
    <t>340 sqm</t>
  </si>
  <si>
    <t>San Eugenio Multi-Purpose Gymnasium</t>
  </si>
  <si>
    <t>San Eugenio, Natividad, Pangasinan</t>
  </si>
  <si>
    <t>256 sqm</t>
  </si>
  <si>
    <t>San Eugenio Elementary School</t>
  </si>
  <si>
    <t>228 sqm</t>
  </si>
  <si>
    <t>San Macario Norte Elementary School</t>
  </si>
  <si>
    <t>San Macario Norte, Natividad, Pangasinan</t>
  </si>
  <si>
    <t>155 sqm</t>
  </si>
  <si>
    <t>San Macario Sur Multi-Purpose Gymnasium and Evacuation Center</t>
  </si>
  <si>
    <t>San Macario Sur, Natividad, Pangasinan</t>
  </si>
  <si>
    <t>San Macario National High School</t>
  </si>
  <si>
    <t>338 sqm</t>
  </si>
  <si>
    <t>San Maximo Multi-Purpose Gymnasium and Evacuation Center</t>
  </si>
  <si>
    <t>San Maximo, Natividad, Pangasinan</t>
  </si>
  <si>
    <t>312 sqm</t>
  </si>
  <si>
    <t>San Maximo Elementary School</t>
  </si>
  <si>
    <t>109 sqm</t>
  </si>
  <si>
    <t>San Miguel, Natividad, Pangasinan</t>
  </si>
  <si>
    <t>138 sqm</t>
  </si>
  <si>
    <t>San Miguel Multi-Purpose Gymnasium and Evacuation Center</t>
  </si>
  <si>
    <t>480 sqm</t>
  </si>
  <si>
    <t>Silag Child Development Center (Temporary EC)</t>
  </si>
  <si>
    <t>Silag, Natividad, Pangasinan</t>
  </si>
  <si>
    <t>56 sqm</t>
  </si>
  <si>
    <t>Pozorrubio</t>
  </si>
  <si>
    <t>Don Jose C. Magno &amp; Civic Center</t>
  </si>
  <si>
    <t>1534 sq meters</t>
  </si>
  <si>
    <t>3000pax</t>
  </si>
  <si>
    <t>Powad/deepwell</t>
  </si>
  <si>
    <t>Pozorrubio Sports Complex</t>
  </si>
  <si>
    <t>Cablong</t>
  </si>
  <si>
    <t>458.28 sq meters</t>
  </si>
  <si>
    <t>915pax</t>
  </si>
  <si>
    <t>POWAD</t>
  </si>
  <si>
    <t>Benigno V. Aldana National High School</t>
  </si>
  <si>
    <t>266.8 sq. meters</t>
  </si>
  <si>
    <t>25 pax /  classroom</t>
  </si>
  <si>
    <t>1/ Classroom</t>
  </si>
  <si>
    <t>Don Benito Agro Industrial Gym</t>
  </si>
  <si>
    <t>Don Benito</t>
  </si>
  <si>
    <t>257.28 sq meters</t>
  </si>
  <si>
    <t>515pax</t>
  </si>
  <si>
    <t>Bobonan Central School</t>
  </si>
  <si>
    <t>Bobonan</t>
  </si>
  <si>
    <t>347.31 sq meters</t>
  </si>
  <si>
    <t>695pax</t>
  </si>
  <si>
    <t>Pozorrubio Central School</t>
  </si>
  <si>
    <t>536.76 sq meters</t>
  </si>
  <si>
    <t>2685pax</t>
  </si>
  <si>
    <t>Alipangpang Elementary School</t>
  </si>
  <si>
    <t>Alipangpang</t>
  </si>
  <si>
    <t>325.47 sq meters</t>
  </si>
  <si>
    <t>650pax</t>
  </si>
  <si>
    <t>Ama- Talo Elementary School</t>
  </si>
  <si>
    <t>Amagbagan</t>
  </si>
  <si>
    <t>443.2 sq meters</t>
  </si>
  <si>
    <t>885pax</t>
  </si>
  <si>
    <t>Bantugan Elementary School</t>
  </si>
  <si>
    <t>Bantugan</t>
  </si>
  <si>
    <t>86.48 sq meters</t>
  </si>
  <si>
    <t>170pax</t>
  </si>
  <si>
    <t>Dilan Integrated School</t>
  </si>
  <si>
    <t>Dilan</t>
  </si>
  <si>
    <t>405.52 sq meters</t>
  </si>
  <si>
    <t>810pax</t>
  </si>
  <si>
    <t>Haway Elementary School</t>
  </si>
  <si>
    <t>Haway</t>
  </si>
  <si>
    <t>49.0 sq meters</t>
  </si>
  <si>
    <t>100pax</t>
  </si>
  <si>
    <t>Maambal Elementary School</t>
  </si>
  <si>
    <t>Maambal</t>
  </si>
  <si>
    <t>513.0 sq meters</t>
  </si>
  <si>
    <t>1025pax</t>
  </si>
  <si>
    <t>Malasin Elementary School</t>
  </si>
  <si>
    <t>Malasin</t>
  </si>
  <si>
    <t>442.8 sq meters</t>
  </si>
  <si>
    <t>Manaol Elementary chool</t>
  </si>
  <si>
    <t>Manaol</t>
  </si>
  <si>
    <t>388.6 sq meters</t>
  </si>
  <si>
    <t>780pax</t>
  </si>
  <si>
    <t>Nantangalan Eementary School</t>
  </si>
  <si>
    <t>Nantangalan</t>
  </si>
  <si>
    <t>46.24 sq meters</t>
  </si>
  <si>
    <t>90pax</t>
  </si>
  <si>
    <t>Palguyod Elementary School</t>
  </si>
  <si>
    <t>Palguyod</t>
  </si>
  <si>
    <t>7 x 8 meters ave.</t>
  </si>
  <si>
    <t>Rosario Elementary School</t>
  </si>
  <si>
    <t>308 sq meters</t>
  </si>
  <si>
    <t>615pax</t>
  </si>
  <si>
    <t>Tulnac Elementary School</t>
  </si>
  <si>
    <t>Tulnac</t>
  </si>
  <si>
    <t>88.44 sq meter</t>
  </si>
  <si>
    <t>175pax</t>
  </si>
  <si>
    <t>Don Domingo Magno ELementary School</t>
  </si>
  <si>
    <t>Banding</t>
  </si>
  <si>
    <t>24.95 sq meters</t>
  </si>
  <si>
    <t>530pax</t>
  </si>
  <si>
    <t>Balacag Elementary School</t>
  </si>
  <si>
    <t>Balacag</t>
  </si>
  <si>
    <t>80.2 sq meters</t>
  </si>
  <si>
    <t>50pax</t>
  </si>
  <si>
    <t>Level II H20 System</t>
  </si>
  <si>
    <t>Balacag Multi-Purpose Hall</t>
  </si>
  <si>
    <t>24.95 sq. m</t>
  </si>
  <si>
    <t>Buneg Elementray School</t>
  </si>
  <si>
    <t>BUneg</t>
  </si>
  <si>
    <t>608.0 sq meters</t>
  </si>
  <si>
    <t>1215pax</t>
  </si>
  <si>
    <t>Casanfernandoan Elementary School</t>
  </si>
  <si>
    <t>Casanfernandoan</t>
  </si>
  <si>
    <t>80.26 sq meters</t>
  </si>
  <si>
    <t>85pax</t>
  </si>
  <si>
    <t>Imbalbalatong Elementray School</t>
  </si>
  <si>
    <t>Imbalabaltong</t>
  </si>
  <si>
    <t>36.96 sq meters</t>
  </si>
  <si>
    <t>75pax</t>
  </si>
  <si>
    <t>Inoman Elementary School</t>
  </si>
  <si>
    <t>Inoman</t>
  </si>
  <si>
    <t>511.02 sq meters</t>
  </si>
  <si>
    <t>1020pax</t>
  </si>
  <si>
    <t>Malokiat Elementary School</t>
  </si>
  <si>
    <t>Malokiat</t>
  </si>
  <si>
    <t>176.0 sq meters</t>
  </si>
  <si>
    <t>350pax</t>
  </si>
  <si>
    <t>Nama Elementary School</t>
  </si>
  <si>
    <t>Nama</t>
  </si>
  <si>
    <t>183.6 sq meters</t>
  </si>
  <si>
    <t>365pax</t>
  </si>
  <si>
    <t>Palacpalac Elementary School</t>
  </si>
  <si>
    <t>Palacpalac</t>
  </si>
  <si>
    <t>431.34 sq meters</t>
  </si>
  <si>
    <t>360pax</t>
  </si>
  <si>
    <t>Sugcong Elementary School</t>
  </si>
  <si>
    <t>Sugcong</t>
  </si>
  <si>
    <t>296.59 sq meters</t>
  </si>
  <si>
    <t>595pax</t>
  </si>
  <si>
    <t>Villegas Elementary School</t>
  </si>
  <si>
    <t>Villegas</t>
  </si>
  <si>
    <t>71.53 sq meters</t>
  </si>
  <si>
    <t>140pax</t>
  </si>
  <si>
    <t>680pax</t>
  </si>
  <si>
    <t>Bobonan National High School</t>
  </si>
  <si>
    <t>244.61 sq meters</t>
  </si>
  <si>
    <t>490pax</t>
  </si>
  <si>
    <t>Amagbagan Covered Court</t>
  </si>
  <si>
    <t>443.2 sq. m</t>
  </si>
  <si>
    <t>886pax</t>
  </si>
  <si>
    <t>Castaño Covered Court</t>
  </si>
  <si>
    <t>Castaño</t>
  </si>
  <si>
    <t>34.44sq. m</t>
  </si>
  <si>
    <t>Villegas Multi-Purpose Hall</t>
  </si>
  <si>
    <t>71.53 sq. m</t>
  </si>
  <si>
    <t>625pax</t>
  </si>
  <si>
    <t>1/Classroom</t>
  </si>
  <si>
    <t>Banding Elementary  School</t>
  </si>
  <si>
    <t>264 sq. m</t>
  </si>
  <si>
    <t>525pax</t>
  </si>
  <si>
    <t>Batikil Multi-Purpose Hall</t>
  </si>
  <si>
    <t>Batakil</t>
  </si>
  <si>
    <t>417.75 sq. m</t>
  </si>
  <si>
    <t>850pax</t>
  </si>
  <si>
    <t>Cablong Multi-Purpose Hall</t>
  </si>
  <si>
    <t>266.8 sq.</t>
  </si>
  <si>
    <t>535pax</t>
  </si>
  <si>
    <t>Tulnac Multi-Purpose Hall</t>
  </si>
  <si>
    <t>88.44 sq. m</t>
  </si>
  <si>
    <t>150pax</t>
  </si>
  <si>
    <t>Talogtog Multi-Purpose Hall</t>
  </si>
  <si>
    <t>44.08 sq. m</t>
  </si>
  <si>
    <t>Pob. District I Multi-Purpose</t>
  </si>
  <si>
    <t>Poblacion I</t>
  </si>
  <si>
    <t>44.16 sq. m.</t>
  </si>
  <si>
    <t>Pob. District II Multi-Purpose</t>
  </si>
  <si>
    <t>Poblacion II</t>
  </si>
  <si>
    <t>47.97 sq. m</t>
  </si>
  <si>
    <t>70pax</t>
  </si>
  <si>
    <t>Pob. District III Multi-Purpose</t>
  </si>
  <si>
    <t>Poblacion III</t>
  </si>
  <si>
    <t>132.05 sq. m</t>
  </si>
  <si>
    <t>800pax</t>
  </si>
  <si>
    <t>Pob. District IV Multi-Purpose</t>
  </si>
  <si>
    <t>Poblacion IV</t>
  </si>
  <si>
    <t>107.01 sq. m</t>
  </si>
  <si>
    <t>700pax</t>
  </si>
  <si>
    <t>Rosales</t>
  </si>
  <si>
    <t>Robert B. Estrella, Sr. Memorial Stadium</t>
  </si>
  <si>
    <t>Zone IV (Pob.), Rosales, Pangasinan</t>
  </si>
  <si>
    <t>1,400 sq.m.</t>
  </si>
  <si>
    <t>San Pedro West, Rosales, Pangasinan</t>
  </si>
  <si>
    <t>320 sq.m.</t>
  </si>
  <si>
    <t>Barangay Evacuation Center</t>
  </si>
  <si>
    <t>Pangaoan, Rosales, Pangasinan</t>
  </si>
  <si>
    <t>133 sq.m.</t>
  </si>
  <si>
    <t>Don Pablo L. Sim Memorial Building</t>
  </si>
  <si>
    <t>Zone V, Rosales, Pangasinan</t>
  </si>
  <si>
    <t>500 sq.m.</t>
  </si>
  <si>
    <t>Red Cross Evacuation Center</t>
  </si>
  <si>
    <t>Balincanaway, Rosales, Pangasinan</t>
  </si>
  <si>
    <t>60 sq. m.</t>
  </si>
  <si>
    <t>San Carlos City</t>
  </si>
  <si>
    <t>Arenas-Resuello City Sports Gym</t>
  </si>
  <si>
    <t>Palaris Street, City Proper</t>
  </si>
  <si>
    <t>3500sq. mtr</t>
  </si>
  <si>
    <t>DeepWell,
 Nawasa</t>
  </si>
  <si>
    <t>Guelew Multi-Purpose MiniGym</t>
  </si>
  <si>
    <t>Brgy. Guelew</t>
  </si>
  <si>
    <t>420 sq. m</t>
  </si>
  <si>
    <t>DeepWell</t>
  </si>
  <si>
    <t>Talang Multi-Purpose MiniGym/ Talang
 Elem. School Covered Court</t>
  </si>
  <si>
    <t>Brgy. Talang</t>
  </si>
  <si>
    <t>600sq. m</t>
  </si>
  <si>
    <t>Tandoc Multi-Purpose MiniGym</t>
  </si>
  <si>
    <t>Brgy, Tandoc</t>
  </si>
  <si>
    <t>450sq. m</t>
  </si>
  <si>
    <t>Turac Elem. School Covered Court</t>
  </si>
  <si>
    <t>Brgy. Turac</t>
  </si>
  <si>
    <t>420sq. m</t>
  </si>
  <si>
    <t>Ano Multi-Purpose MiniGym</t>
  </si>
  <si>
    <t>Brgy. Ano</t>
  </si>
  <si>
    <t>Coliling Multi-Purpose MiniGym</t>
  </si>
  <si>
    <t>Brgy. Coliling</t>
  </si>
  <si>
    <t>Aponit Multi-Purpose MiniGym</t>
  </si>
  <si>
    <t>Brgy. Aponit</t>
  </si>
  <si>
    <t>l</t>
  </si>
  <si>
    <t>Caoayan-Kiling
Multi-Purpose Mini Gym</t>
  </si>
  <si>
    <t>Brgy. Caoayan Kiling</t>
  </si>
  <si>
    <t>500sq. m</t>
  </si>
  <si>
    <t>Nelintap Multi-Purpose MiniGym</t>
  </si>
  <si>
    <t>Brgy. Nelintap</t>
  </si>
  <si>
    <t>Isla Multi-Purpose MiniGym</t>
  </si>
  <si>
    <t>Brgy. Isla</t>
  </si>
  <si>
    <t>M.Soriano Multi-Purpose MiniGym</t>
  </si>
  <si>
    <t>M.Soriano Street</t>
  </si>
  <si>
    <t>300sq. m</t>
  </si>
  <si>
    <t>Pagal Multi-Purpose MiniGym</t>
  </si>
  <si>
    <t>Brgy.Pagal-Bliss</t>
  </si>
  <si>
    <t>Pangalangan
Multi-Purpose MiniGym</t>
  </si>
  <si>
    <t>Brgy.Pangalangan</t>
  </si>
  <si>
    <t>Manzon Multi-Purpose MiniGym</t>
  </si>
  <si>
    <t>Brgy. Manzon</t>
  </si>
  <si>
    <t>Bolingit Multi-Purpose MiniGym</t>
  </si>
  <si>
    <t>Brgy. Bolingit</t>
  </si>
  <si>
    <t>llang Multi-Purpose MiniGym</t>
  </si>
  <si>
    <t>Brgy. llang</t>
  </si>
  <si>
    <t>lucban Multi-Purpose MiniGym</t>
  </si>
  <si>
    <t>Brgy. lucban</t>
  </si>
  <si>
    <t>Tayambani Multi-Purpose MiniGym</t>
  </si>
  <si>
    <t>Brgy.Tayambani</t>
  </si>
  <si>
    <t>Libas multi-Purpose Mini Gym</t>
  </si>
  <si>
    <t>Brgy. Libas</t>
  </si>
  <si>
    <t>Central I Elem. School Covered Court</t>
  </si>
  <si>
    <t>Roxas Blvd.</t>
  </si>
  <si>
    <t>Binalatongan Community College</t>
  </si>
  <si>
    <t>Perez Blvd.</t>
  </si>
  <si>
    <t>CDRRMO Multi-Purpose Facility</t>
  </si>
  <si>
    <t>Brgy. Agdao</t>
  </si>
  <si>
    <t>1000 sq.mtr</t>
  </si>
  <si>
    <t>San Fabian</t>
  </si>
  <si>
    <t>CHURCH OG LATTER DAY SAINTS</t>
  </si>
  <si>
    <t>CAYANGA</t>
  </si>
  <si>
    <t>Earthquake,Typhoon, Flood</t>
  </si>
  <si>
    <t>MUNICIPAL WAREHOUSE (FARMERS CENTER)</t>
  </si>
  <si>
    <t>MABILAO</t>
  </si>
  <si>
    <t>PANGULONG MARCOS ELEM. SCHOOL</t>
  </si>
  <si>
    <t>ALACAN, SFP</t>
  </si>
  <si>
    <t>AMBALANGAN DALIN NHS</t>
  </si>
  <si>
    <t>AMBALANGAN DALIN</t>
  </si>
  <si>
    <t>ANGIO BARANGAY HALL</t>
  </si>
  <si>
    <t>ANGIO</t>
  </si>
  <si>
    <t>ANGIO HEALTH CENTER</t>
  </si>
  <si>
    <t>ANGIO COVERED COURT</t>
  </si>
  <si>
    <t>ANONANG NHS</t>
  </si>
  <si>
    <t>ANONANG DAY CARE CENTER I</t>
  </si>
  <si>
    <t>ANONANG</t>
  </si>
  <si>
    <t>ARAMAL ELEMENTARY SCHOOL</t>
  </si>
  <si>
    <t>ARAMAL</t>
  </si>
  <si>
    <t>ARAMAL BARANGAY HALL</t>
  </si>
  <si>
    <t>BIGBIGA ELEMENTARY SCHOOL</t>
  </si>
  <si>
    <t>BIGBIGA</t>
  </si>
  <si>
    <t>BIGBIGA BARANGAY HALL</t>
  </si>
  <si>
    <t>CHILD DEVELOPMENT CENTER</t>
  </si>
  <si>
    <t>BINDAY</t>
  </si>
  <si>
    <t>BARANGAY HALL &amp; HEALTH CENTER</t>
  </si>
  <si>
    <t>BOLAOEN CENTRO DAY CARE</t>
  </si>
  <si>
    <t>BOLAOEN</t>
  </si>
  <si>
    <t>SALVADOR ELEM. SCHOOL</t>
  </si>
  <si>
    <t>BOLASI</t>
  </si>
  <si>
    <t>SALDO COVERED COURT</t>
  </si>
  <si>
    <t>BOLASI ELEMENTARY SCHOOL</t>
  </si>
  <si>
    <t>BOLASI DAY CARE CENTER</t>
  </si>
  <si>
    <t>CABARUAN</t>
  </si>
  <si>
    <t>COVERED COURT</t>
  </si>
  <si>
    <t>BARANGAY HALL AND HEALTH CENTER</t>
  </si>
  <si>
    <t>COLISAO</t>
  </si>
  <si>
    <t>DAY CARE CENTER</t>
  </si>
  <si>
    <t>Zone 1, COLISAO</t>
  </si>
  <si>
    <t>SAN LARENZO CHAPEL</t>
  </si>
  <si>
    <t>Zone 3, COLISAO</t>
  </si>
  <si>
    <t>GUMOT</t>
  </si>
  <si>
    <t>INMALOG NORTE</t>
  </si>
  <si>
    <t>DON RAFAEL HUFANA SPORT COMPLEX</t>
  </si>
  <si>
    <t>INMALOG SUR</t>
  </si>
  <si>
    <t>ZONE 1, INMALOG SUR</t>
  </si>
  <si>
    <t>LEKEP BUTAO</t>
  </si>
  <si>
    <t>LIPIT TOMEENG</t>
  </si>
  <si>
    <t>LONGOS CENTRAL</t>
  </si>
  <si>
    <t>LONGOS PARAC PARAC</t>
  </si>
  <si>
    <t>LONGOS PROPER</t>
  </si>
  <si>
    <t>LONGOS PROPER ELEMENTARY SCHOOL</t>
  </si>
  <si>
    <t>SAN FABIAN NHS</t>
  </si>
  <si>
    <t>NIBALIW EAST</t>
  </si>
  <si>
    <t>STORY BUILDING PRIVATE OWNED BY DIRECTOR TITO S. NABUA</t>
  </si>
  <si>
    <t>CDCC STA. CECILIA BASILICA CHURCH</t>
  </si>
  <si>
    <t>NIBALIW MAGLIBA</t>
  </si>
  <si>
    <t>CDCC SPORTS COMPLEX</t>
  </si>
  <si>
    <t>NIBALIW NARVARTE</t>
  </si>
  <si>
    <t>TWO STOREY BARANGAY HALL</t>
  </si>
  <si>
    <t>ZONE 2 &amp;3, NIBALIW NARVARTE</t>
  </si>
  <si>
    <t>NIBALIW WEST</t>
  </si>
  <si>
    <t>PALAPAD</t>
  </si>
  <si>
    <t>MULTI- PURPOSE COVERED COURT</t>
  </si>
  <si>
    <t>DE VENECIA SPORTS &amp; CIVIC CENTER</t>
  </si>
  <si>
    <t>SAINT FABIAN POPE &amp; MARTYR PARISH</t>
  </si>
  <si>
    <t>WEST CENTRAL ELEM. SCHOOL</t>
  </si>
  <si>
    <t>EAST CENTRAL ELEM. SCHOOL</t>
  </si>
  <si>
    <t>SAN FABIAN EVACUATION CENTER</t>
  </si>
  <si>
    <t>RABON</t>
  </si>
  <si>
    <t>SAGUD BAHLEY</t>
  </si>
  <si>
    <t>SOBOL</t>
  </si>
  <si>
    <t>TEMPRA GUILIG</t>
  </si>
  <si>
    <t>TIBLONG</t>
  </si>
  <si>
    <t>HEALTH CENTER</t>
  </si>
  <si>
    <t>RABON ELEMENTARY SCHOOL</t>
  </si>
  <si>
    <t>TOCOK</t>
  </si>
  <si>
    <t>San Jacinto</t>
  </si>
  <si>
    <t>2nd Floor Public Market</t>
  </si>
  <si>
    <t>1,188sqm</t>
  </si>
  <si>
    <t>BALIBAGO WATER WORKS</t>
  </si>
  <si>
    <t>Don Jose "Pepe" Abarcar Memorial Center</t>
  </si>
  <si>
    <t>970sqm</t>
  </si>
  <si>
    <t>Barangay hall</t>
  </si>
  <si>
    <t>Awai</t>
  </si>
  <si>
    <t>36sqm</t>
  </si>
  <si>
    <t>West Central Elementary School (Evacuation Center  for Brgy Bagong Pag-asa)</t>
  </si>
  <si>
    <t>San Guillermo, San Jacinto, Pangasinan</t>
  </si>
  <si>
    <t>BALIBAGO WATER WORKS/Deep Well</t>
  </si>
  <si>
    <t>Brgy Bolo, San Jacinto, Pangasinan</t>
  </si>
  <si>
    <t>80sqm</t>
  </si>
  <si>
    <t>Brgy. Capaoay, San Jacinto, Pangasinan</t>
  </si>
  <si>
    <t>8.85sqm</t>
  </si>
  <si>
    <t>Barangay Outpost Purok 1</t>
  </si>
  <si>
    <t>Casibong.San Jacinto, Pangasinan</t>
  </si>
  <si>
    <t>Barangay Outpost Purok 7</t>
  </si>
  <si>
    <t>Brgy Imelda, San Jacinto, Pangasinan</t>
  </si>
  <si>
    <t>55sqm</t>
  </si>
  <si>
    <t>15-20</t>
  </si>
  <si>
    <t>Labney</t>
  </si>
  <si>
    <t>60sqm</t>
  </si>
  <si>
    <t>Brgy Lobong, San Jacinto, Pangasinan</t>
  </si>
  <si>
    <t>1050sqm</t>
  </si>
  <si>
    <t>National High School</t>
  </si>
  <si>
    <t>1850sqm</t>
  </si>
  <si>
    <t>Elementary School Covered Court</t>
  </si>
  <si>
    <t>Macayug,San Jacinto, Pangasinan</t>
  </si>
  <si>
    <t>15.37x5.62sqm</t>
  </si>
  <si>
    <t>8.5x3.24sqm</t>
  </si>
  <si>
    <t>7.34x5.62sqm</t>
  </si>
  <si>
    <t>Magsaysay,San Jacinto,Pangasinan</t>
  </si>
  <si>
    <t>Barangay Outpost</t>
  </si>
  <si>
    <t>Brgy San Guillermo, San Jacinto,Pangasinan</t>
  </si>
  <si>
    <t>50sqm</t>
  </si>
  <si>
    <t>Brgy San Jose Elementary School</t>
  </si>
  <si>
    <t>30x50m</t>
  </si>
  <si>
    <t>Brgy San Juan, San Jacinto, Pangasinan</t>
  </si>
  <si>
    <t>1000sqm</t>
  </si>
  <si>
    <t>Brgy.San Roque,San Jacinto, Pangasinan</t>
  </si>
  <si>
    <t>20x35m</t>
  </si>
  <si>
    <t>Brgy San Vicente,San Jacinto, Pangasinan</t>
  </si>
  <si>
    <t>50-60</t>
  </si>
  <si>
    <t>Brgy.Sta. Cruz, San Jacinto, Pangasinan</t>
  </si>
  <si>
    <t>500sqm</t>
  </si>
  <si>
    <t>Brgy Sta. Maria, San Jacinto, Pangasinan</t>
  </si>
  <si>
    <t>15.35sqm</t>
  </si>
  <si>
    <t>LEVEL III-PIPED WATER SUPPLY</t>
  </si>
  <si>
    <t>Brgy Sto. Tomas,San Jacinto, Pangasinan</t>
  </si>
  <si>
    <t>16sqm</t>
  </si>
  <si>
    <t>LEVEL III-PIPED WATER SUPPLY/Deep Well</t>
  </si>
  <si>
    <t>San Manuel</t>
  </si>
  <si>
    <t>San Manuel Gymnasium</t>
  </si>
  <si>
    <t>Poblacion Area</t>
  </si>
  <si>
    <t>water district</t>
  </si>
  <si>
    <t>San Manuel Covered court</t>
  </si>
  <si>
    <t>municipal hall annex</t>
  </si>
  <si>
    <t>Mataas na Paaralang Juan C. Laya</t>
  </si>
  <si>
    <t>Brgy. Guiset Sur</t>
  </si>
  <si>
    <t>Juan C. Laya SPED center</t>
  </si>
  <si>
    <t>Arzadon Elementary school</t>
  </si>
  <si>
    <t>brgy. arzadon</t>
  </si>
  <si>
    <t>cabacaraan elementary school</t>
  </si>
  <si>
    <t>brgy. cabacaraan</t>
  </si>
  <si>
    <t>cabaritan</t>
  </si>
  <si>
    <t>brgy. cabaritan</t>
  </si>
  <si>
    <t>flores integrated school</t>
  </si>
  <si>
    <t>brgy. flores</t>
  </si>
  <si>
    <t>lapalo elementary school</t>
  </si>
  <si>
    <t>brgy lapalo</t>
  </si>
  <si>
    <t>nagsaag elementary school</t>
  </si>
  <si>
    <t>brgy. nagsaag</t>
  </si>
  <si>
    <t>san bonifacio elementary school</t>
  </si>
  <si>
    <t>brgy. san bonifacio</t>
  </si>
  <si>
    <t>san juan national highschool</t>
  </si>
  <si>
    <t>brgy. san juan</t>
  </si>
  <si>
    <t>san roque elementary school</t>
  </si>
  <si>
    <t>brgy. san roque</t>
  </si>
  <si>
    <t>bobon elementary school</t>
  </si>
  <si>
    <t>san vicente elementary school</t>
  </si>
  <si>
    <t>brgy. san vicente</t>
  </si>
  <si>
    <t>sto. domingo elementary school</t>
  </si>
  <si>
    <t>brgy. sto. domingo</t>
  </si>
  <si>
    <t>San Nicolas</t>
  </si>
  <si>
    <t>San Nicolas Regional Evacuation Center</t>
  </si>
  <si>
    <t>Brgy Sta. Maria West, San Nicolas, Pangasinan</t>
  </si>
  <si>
    <t xml:space="preserve">609 sqm </t>
  </si>
  <si>
    <t>San Nicolas Provincial Evacuation Center</t>
  </si>
  <si>
    <t>Brgy Salingcob, San Nicolas, Pangasinan</t>
  </si>
  <si>
    <t xml:space="preserve">80sqm </t>
  </si>
  <si>
    <t>Bensican Barangay Hall</t>
  </si>
  <si>
    <t>Brgy. Bensican, San Nicolas, Pangasinan</t>
  </si>
  <si>
    <t xml:space="preserve">30 sqm </t>
  </si>
  <si>
    <t>Cabitnongan Barangay Hall</t>
  </si>
  <si>
    <t>Brgy. Cabitnongan, San Nicolas, Pangasinan</t>
  </si>
  <si>
    <t>Cabuloan Barangay Hall</t>
  </si>
  <si>
    <t>Brgy. Cabuloan, San Nicolas, Pangasinan</t>
  </si>
  <si>
    <t>Cacabugaoan Barangay Hall</t>
  </si>
  <si>
    <t>Brgy. Cacabugaoan, San Nicolas, Pangasinan</t>
  </si>
  <si>
    <t>Calanutian Barangay Hall</t>
  </si>
  <si>
    <t>Brgy. Calanutian, San Nicolas, Pangasinan</t>
  </si>
  <si>
    <t>Barangay Calaocan Multi-Purpose Hall</t>
  </si>
  <si>
    <t>Brgy. Calaocan, San Nicolas, Pangasinan</t>
  </si>
  <si>
    <t>Camangaan Barangay Hall</t>
  </si>
  <si>
    <t>Brgy. Camangaan, San Nicolas, Pangasinan</t>
  </si>
  <si>
    <t>401 sqm</t>
  </si>
  <si>
    <t>Camindoroan Barangay Hall</t>
  </si>
  <si>
    <t>Brgy. Camindoroan, San Nicolas, Pangasinan</t>
  </si>
  <si>
    <t>Casaratan Barangay Hall</t>
  </si>
  <si>
    <t>Brgy. Casaratan, San Nicolas, Pangasinan</t>
  </si>
  <si>
    <t>620x720 sqm</t>
  </si>
  <si>
    <t>Dalumpinas Barangay Hall</t>
  </si>
  <si>
    <t>Brgy. Dalumpinas, San Nicolas, Pangasinan</t>
  </si>
  <si>
    <t>Fianza Barangay Hall</t>
  </si>
  <si>
    <t>Brgy. Fianza, San Nicolas, Pangasinan</t>
  </si>
  <si>
    <t>Lungao Barangay Hall</t>
  </si>
  <si>
    <t>Brgy. Lungao, San Nicolas, Pangasinan</t>
  </si>
  <si>
    <t>Malico Barangay Hall</t>
  </si>
  <si>
    <t>Brgy. Malico, San Nicolas, Pangasinan</t>
  </si>
  <si>
    <t>Malilion Barangay Hall</t>
  </si>
  <si>
    <t>Brgy. Malilion, San Nicolas, Pangasinan</t>
  </si>
  <si>
    <t>Nagkaysa Barangay Hall</t>
  </si>
  <si>
    <t>Brgy. Nagkaysa, San Nicolas, Pangasinan</t>
  </si>
  <si>
    <t>Nining Barangay Hall</t>
  </si>
  <si>
    <t>Brgy. Nining, San Nicolas, Pangasinan</t>
  </si>
  <si>
    <t>Poblacion East Multi-Purpose Hall</t>
  </si>
  <si>
    <t>Brgy. Poblacion East, San Nicolas, Pangasinan</t>
  </si>
  <si>
    <t>Brgy. Poblacion West, San Nicolas, Pangasinan</t>
  </si>
  <si>
    <t>Salingcob Barangay Hall</t>
  </si>
  <si>
    <t>Brgy. Salingcob, San Nicolas, Pangasinan</t>
  </si>
  <si>
    <t>Salpad Barangay Hall</t>
  </si>
  <si>
    <t>Brgy. Salpad, San Nicolas, Pangasinan</t>
  </si>
  <si>
    <t xml:space="preserve">Barangay Outpost San Felipe East </t>
  </si>
  <si>
    <t>Brgy. San Felipe East, San Nicolas, Pangasinan</t>
  </si>
  <si>
    <t xml:space="preserve">50 sqm </t>
  </si>
  <si>
    <t>San Felipe West Barangay Hall</t>
  </si>
  <si>
    <t>Brgy. San Felipe West, San Nicolas, Pangasinan</t>
  </si>
  <si>
    <t xml:space="preserve">55 sqm </t>
  </si>
  <si>
    <t>San Isidro Barangay Hall</t>
  </si>
  <si>
    <t>Brgy. San Isidro, San Nicolas, Pangasinan</t>
  </si>
  <si>
    <t>Brgy. San Jose, San Nicolas, Pangasinan</t>
  </si>
  <si>
    <t>San Rafael Centro Barangay Hall</t>
  </si>
  <si>
    <t>Brgy. San Rafael Centro, San Nicolas, Pangasinan</t>
  </si>
  <si>
    <t>San Rafael East Barangay Hall</t>
  </si>
  <si>
    <t>Brgy. San Rafael East, San Nicolas, Pangasinan</t>
  </si>
  <si>
    <t>San Rafael West Barangay Hall</t>
  </si>
  <si>
    <t>Brgy. San Rafael West, San Nicolas, Pangasinan</t>
  </si>
  <si>
    <t xml:space="preserve">40 sqm </t>
  </si>
  <si>
    <t>San Roque Multi-Purpose Hall</t>
  </si>
  <si>
    <t>Brgy. San Roque, San Nicolas, Pangasinan</t>
  </si>
  <si>
    <t>Sta. Maria East Barangay Hall</t>
  </si>
  <si>
    <t>Brgy. Sta. Maria East, San Nicolas, Pangasinan</t>
  </si>
  <si>
    <t>Sta. Maria West Multi-Purpose Hall</t>
  </si>
  <si>
    <t>Brgy. Sta. Maria West, San Nicolas, Pangasinan</t>
  </si>
  <si>
    <t>Sto. Tomas Barangay Hall</t>
  </si>
  <si>
    <t>Brgy. Sto. Tomas, San Nicolas, Pangasinan</t>
  </si>
  <si>
    <t>Siblot Multi-Purpose Hall</t>
  </si>
  <si>
    <t>Brgy. Siblot, San Nicolas, Pangasinan</t>
  </si>
  <si>
    <t>Sobol Barangay Hall</t>
  </si>
  <si>
    <t>Brgy. Sobol, San Nicolas, Pangasinan</t>
  </si>
  <si>
    <t>San Quintin</t>
  </si>
  <si>
    <t>San Quintin Evacuation Center</t>
  </si>
  <si>
    <t>Brgy. Casantamaria-an</t>
  </si>
  <si>
    <t>700 sq m</t>
  </si>
  <si>
    <t>SQ Water District</t>
  </si>
  <si>
    <t>San Quintin Gym area (covered court)</t>
  </si>
  <si>
    <t>Poblacion area</t>
  </si>
  <si>
    <t>785 sq m</t>
  </si>
  <si>
    <t>Lagasit National High School</t>
  </si>
  <si>
    <t>Brgy. Lagasit</t>
  </si>
  <si>
    <t>63 sq m/room</t>
  </si>
  <si>
    <t>San Quintin National High School</t>
  </si>
  <si>
    <t>625 sq m</t>
  </si>
  <si>
    <t>San Quintin Central School</t>
  </si>
  <si>
    <t>Brgy. Cabangaran</t>
  </si>
  <si>
    <t>Baligayan Elem.School</t>
  </si>
  <si>
    <t>Brgy. Baligayan</t>
  </si>
  <si>
    <t>Bolintaguen Elem. School</t>
  </si>
  <si>
    <t>Brgy. Bolintaguen</t>
  </si>
  <si>
    <t>Cabalaoangan Elem. School</t>
  </si>
  <si>
    <t>Brgy. Cabalaoangan</t>
  </si>
  <si>
    <t>Carayacan Elem. School</t>
  </si>
  <si>
    <t>Brgy. Carayacan</t>
  </si>
  <si>
    <t>Don Luis S. Domingo Sr.Elem School</t>
  </si>
  <si>
    <t>Brgy. Nangapugan</t>
  </si>
  <si>
    <t>Gonzalo Elem. School</t>
  </si>
  <si>
    <t>Brgy.Gonzalo</t>
  </si>
  <si>
    <t>Labuan Elem. School</t>
  </si>
  <si>
    <t>Brgy. Labuan</t>
  </si>
  <si>
    <t>Lagasit Elem. School</t>
  </si>
  <si>
    <t>Lumayao Integrated School</t>
  </si>
  <si>
    <t>Brgy. Lumayao</t>
  </si>
  <si>
    <t>Mantacdang Elem. School</t>
  </si>
  <si>
    <t>Brgy.Mantacdang</t>
  </si>
  <si>
    <t>San Pedro Elem. School</t>
  </si>
  <si>
    <t>Brgy. San Pedro</t>
  </si>
  <si>
    <t>Severo L. Castulo Elem. School</t>
  </si>
  <si>
    <t>Sitio Lincupan</t>
  </si>
  <si>
    <t>Sisenando V. Tecson Elem. School</t>
  </si>
  <si>
    <t>Brgy. Calomboyan</t>
  </si>
  <si>
    <t>Teofilo C. Quintin Elem. School</t>
  </si>
  <si>
    <t>Brgy Alac</t>
  </si>
  <si>
    <t>Ungib Elem. School</t>
  </si>
  <si>
    <t>Brgy. Ungib</t>
  </si>
  <si>
    <t>Sta. Barbara</t>
  </si>
  <si>
    <t>Evacuation Center Cum Multi Purpose Center</t>
  </si>
  <si>
    <t>Barangay Maningding, Sta. Barbara, Pangasinan</t>
  </si>
  <si>
    <t>5 Comfort rooms
5 Shower Rooms</t>
  </si>
  <si>
    <t>4 Comfort Rooms
4 Shower Rooms</t>
  </si>
  <si>
    <t>Alibago Elementary School</t>
  </si>
  <si>
    <t>Barangay  Alibago, Sta. Barbara, Pangasinan</t>
  </si>
  <si>
    <t>LEVEL I-PIPED WATER SUPPLY</t>
  </si>
  <si>
    <t>Balingueo Elementary School</t>
  </si>
  <si>
    <t>Barangay  Balingue, Sta. Barbara, Pangasinan</t>
  </si>
  <si>
    <t>Banaoang Central School</t>
  </si>
  <si>
    <t>Barangay  Banaoang, Sta. Barbara, Pangasinan</t>
  </si>
  <si>
    <t>Banaoang National High School</t>
  </si>
  <si>
    <t>Banzal Elementary School</t>
  </si>
  <si>
    <t>Barangay  Banzal, Sta. Barbara, Pangasinan</t>
  </si>
  <si>
    <t>Botao Elementary School</t>
  </si>
  <si>
    <t>Barangay  Botao, Sta. Barbara, Pangasinan</t>
  </si>
  <si>
    <t>Botao National High School</t>
  </si>
  <si>
    <t xml:space="preserve">Cablong Elementary School  </t>
  </si>
  <si>
    <t>Barangay  Cablong, Sta. Barbara, Pangasinan</t>
  </si>
  <si>
    <t>Carusucan Elementary School</t>
  </si>
  <si>
    <t>Barangay  Carusucan, Sta. Barbara, Pangasinan</t>
  </si>
  <si>
    <t>Dalongue Elementary School</t>
  </si>
  <si>
    <t>Barangay  Dalongue, Sta. Barbara, Pangasinan</t>
  </si>
  <si>
    <t>Daniel Maramba National High School</t>
  </si>
  <si>
    <t>Barangay Poblacion Norte, Sta. Barbara, Pangasinan</t>
  </si>
  <si>
    <t>Daroy Elementary School</t>
  </si>
  <si>
    <t>Barangay  Erfe, Sta. Barbara, Pangasinan</t>
  </si>
  <si>
    <t>Gueguesangen Elementary School</t>
  </si>
  <si>
    <t>Barangay  Gueguesangen, Sta. Barbara, Pangasinan</t>
  </si>
  <si>
    <t>Leet Elementary School</t>
  </si>
  <si>
    <t>Barangay  Leet, Sta. Barbara, Pangasinan</t>
  </si>
  <si>
    <t>Malanay Elementary School</t>
  </si>
  <si>
    <t>Barangay  Malanay, Sta. Barbara, Pangasinan</t>
  </si>
  <si>
    <t>Maningding Elementary School</t>
  </si>
  <si>
    <t>Barangay  Maningding, Sta. Barbara, Pangasinan</t>
  </si>
  <si>
    <t>Maronong Elementary School</t>
  </si>
  <si>
    <t>Barangay  Maronong, Sta. Barbara, Pangasinan</t>
  </si>
  <si>
    <t>Maticmatic I Elementary School</t>
  </si>
  <si>
    <t>Barangay  Maticmatic, Sta. Barbara, Pangasinan</t>
  </si>
  <si>
    <t>Maticmatic II Elementary School</t>
  </si>
  <si>
    <t>Maticmatic National High School</t>
  </si>
  <si>
    <t>Minien East Multi-Purpose and Barangay Hall</t>
  </si>
  <si>
    <t>Barangay  Minien East, Sta. Barbara, Pangasinan</t>
  </si>
  <si>
    <t>Minien West Multi-Purpose and Barangay Hall</t>
  </si>
  <si>
    <t>Barangay  Minien West, Sta. Barbara, Pangasinan</t>
  </si>
  <si>
    <t>Minien-Tebag Elementary School</t>
  </si>
  <si>
    <t>Nilombot Elementary School</t>
  </si>
  <si>
    <t>Barangay  Nilombot, Sta. Barbara, Pangasinan</t>
  </si>
  <si>
    <t>Patayak Elementary School</t>
  </si>
  <si>
    <t>Barangay  Patayak, Sta. Barbara, Pangasinan</t>
  </si>
  <si>
    <t>Payas Elementary School</t>
  </si>
  <si>
    <t>Barangay  Payas, Sta. Barbara, Pangasinan</t>
  </si>
  <si>
    <t>Payas National High School</t>
  </si>
  <si>
    <t>Sta. Barbara Central School</t>
  </si>
  <si>
    <t>Barangay  Poblacion Norte, Sta. Barbara, Pangasinan</t>
  </si>
  <si>
    <t>Poblacion Norte Multi-Purpose and Barangay Hall</t>
  </si>
  <si>
    <t>East Central School</t>
  </si>
  <si>
    <t>Barangay  Poblacion Sur, Sta. Barbara, Pangasinan</t>
  </si>
  <si>
    <t>Poblacion Sur Multi-Purpose and Barangay Hall</t>
  </si>
  <si>
    <t>Primicias Elementary School</t>
  </si>
  <si>
    <t>Barangay  Primicias, Sta. Barbara, Pangasinan</t>
  </si>
  <si>
    <t>Primicias Barangay Hall</t>
  </si>
  <si>
    <t>Sapang Multi-Purpose and Barangay Hall</t>
  </si>
  <si>
    <t>Barangay  Sapang, Sta. Barbara, Pangasinan</t>
  </si>
  <si>
    <t>Sonquil Barangay Hall</t>
  </si>
  <si>
    <t>Barangay  Sonquil, Sta. Barbara, Pangasinan</t>
  </si>
  <si>
    <t>Tebag East Multi-Purpose Hall and Covered Court</t>
  </si>
  <si>
    <t>Barangay  Tebag East, Sta. Barbara, Pangasinan</t>
  </si>
  <si>
    <t>Tebag Elementary School</t>
  </si>
  <si>
    <t>Barangay  Tebag West, Sta. Barbara, Pangasinan</t>
  </si>
  <si>
    <t>Tuliao Elementary School</t>
  </si>
  <si>
    <t>Barangay Tuliao, Sta. Barbara, Pangasinan</t>
  </si>
  <si>
    <t>Tuliao Multi-Purpose and Barangay Hall</t>
  </si>
  <si>
    <t>Tuliao National High School</t>
  </si>
  <si>
    <t>Ventinilla Multi-Purpose and Barangay Hall</t>
  </si>
  <si>
    <t>Barangay Ventinilla, Sta. Barbara, Pangasinan</t>
  </si>
  <si>
    <t>Great Heritage School</t>
  </si>
  <si>
    <t>Sison</t>
  </si>
  <si>
    <t>Senior Citizen Buiding</t>
  </si>
  <si>
    <t>Poblacion Central, Sison, Pang.</t>
  </si>
  <si>
    <t>Bautista Hall, SCIS</t>
  </si>
  <si>
    <t>Agat Multi-Purpose Hall</t>
  </si>
  <si>
    <t>Agat, Sison, Pangasinan</t>
  </si>
  <si>
    <t>Alibeng Multi-Purpose Hall</t>
  </si>
  <si>
    <t>Alibeng, Sison,Pangasinan</t>
  </si>
  <si>
    <t>Amagbagan Multi-Purpose Hall</t>
  </si>
  <si>
    <t>Amagbagan, Sison,Pangasinan</t>
  </si>
  <si>
    <t>Shallow Well</t>
  </si>
  <si>
    <t>Artacho Multi-Purpose Hall</t>
  </si>
  <si>
    <t>Artacho, Sison,Pangasinan</t>
  </si>
  <si>
    <t>Asan Norte M/ Purpose Hall</t>
  </si>
  <si>
    <t>Asan Norte, Sison,Pangasinan</t>
  </si>
  <si>
    <t>Asan Sur M/ Purpose Hall</t>
  </si>
  <si>
    <t>Asan Sur, Sison,Pangasinan</t>
  </si>
  <si>
    <t>Bantay Insik M/ Purpose Hall</t>
  </si>
  <si>
    <t>Bantay Insik, Sison,Pangasinan</t>
  </si>
  <si>
    <t>Bila Multi-Purpose Hall</t>
  </si>
  <si>
    <t>Bila, Sison,Pangasinan</t>
  </si>
  <si>
    <t>Binmeckeg M/ Purpose Hall</t>
  </si>
  <si>
    <t>Binmeckeg, Sison,Pangasinan</t>
  </si>
  <si>
    <t>Bul. East M/ Purpose Hall</t>
  </si>
  <si>
    <t>Bul. East, Sison,Pangasinan</t>
  </si>
  <si>
    <t>Bul. West M/ Purpose Hall</t>
  </si>
  <si>
    <t>Bul. West, Sison,Pangasinan</t>
  </si>
  <si>
    <t>Cabaritan M/ Purpose Hall</t>
  </si>
  <si>
    <t>Cabaritan, Sison,Pangasinan</t>
  </si>
  <si>
    <t>Calunetan M/ Purpose Hall</t>
  </si>
  <si>
    <t>Calunetan, Sison,Pangasinan</t>
  </si>
  <si>
    <t>Camangaan M/ Purpose Hall</t>
  </si>
  <si>
    <t>Camangaan, Sison,Pangasinan</t>
  </si>
  <si>
    <t>Cauringan M/ Purpose Hall</t>
  </si>
  <si>
    <t>Cauringan, Sison,Pangasinan</t>
  </si>
  <si>
    <t>Dungon M/ Purpose Hall</t>
  </si>
  <si>
    <t>Dungon, Sison,Pangasinan</t>
  </si>
  <si>
    <t>Esperanza M/ Purpose Hall</t>
  </si>
  <si>
    <t>Esperanza, Sison,Pangasinan</t>
  </si>
  <si>
    <t>Inmalog M/ Purpose Hall</t>
  </si>
  <si>
    <t>Inmalog, Sison,Pangasinan</t>
  </si>
  <si>
    <t>Killo Multi-Purpose Hall</t>
  </si>
  <si>
    <t>Killo, Sison,Pangasinan</t>
  </si>
  <si>
    <t>Labayug M/ Purpose Hall</t>
  </si>
  <si>
    <t>Labayug, Sison,Pangasinan</t>
  </si>
  <si>
    <t>Paldit M/ Purpose Hall</t>
  </si>
  <si>
    <t>Paldit, Sison,Pangasinan</t>
  </si>
  <si>
    <t>Pindangan M/ Purpose Hall</t>
  </si>
  <si>
    <t>Pindangan, Sison,Pangasinan</t>
  </si>
  <si>
    <t>Pinmilapil M/ Purpose Hall</t>
  </si>
  <si>
    <t>Pinmilapil, Sison,Pangasinan</t>
  </si>
  <si>
    <t>Pob. Central M/ Purpose Hall</t>
  </si>
  <si>
    <t>Pob. Central, Sison,Pangasinan</t>
  </si>
  <si>
    <t>Pob. Norte M/ Purpose Hall</t>
  </si>
  <si>
    <t>Pob. Norte, Sison,Pangasinan</t>
  </si>
  <si>
    <t>Pob. Sur M/ Purpose Hall</t>
  </si>
  <si>
    <t>Pob. Sur, Sison,Pangasinan</t>
  </si>
  <si>
    <t>Sagunto M/ Purpose Hall</t>
  </si>
  <si>
    <t>Sagunto, Sison,Pangasinan</t>
  </si>
  <si>
    <t>Tara-tara M/ Purpose Hall</t>
  </si>
  <si>
    <t>Tara-tara, Sison,Pangasinan</t>
  </si>
  <si>
    <t>Sta. Maria Evacuation Center</t>
  </si>
  <si>
    <t>Pob West</t>
  </si>
  <si>
    <t>Callitang Elem. School</t>
  </si>
  <si>
    <t>Callitang</t>
  </si>
  <si>
    <t>Namagbagan Elem School</t>
  </si>
  <si>
    <t>Namagbagan</t>
  </si>
  <si>
    <t>Sta. Rosa Elem School</t>
  </si>
  <si>
    <t>Sta. Rosa</t>
  </si>
  <si>
    <t>Pilar - Cauplasan ES</t>
  </si>
  <si>
    <t>Cauplasan</t>
  </si>
  <si>
    <t>Bantog-Capandanan ES</t>
  </si>
  <si>
    <t>Bantog</t>
  </si>
  <si>
    <t>Samon Elementary School</t>
  </si>
  <si>
    <t>Samon</t>
  </si>
  <si>
    <t>Capability Building Center</t>
  </si>
  <si>
    <t>Sta. Maria Gymnasium</t>
  </si>
  <si>
    <t>Pob. West</t>
  </si>
  <si>
    <t>San Francisco Elem School</t>
  </si>
  <si>
    <t>Paitan</t>
  </si>
  <si>
    <t>West Central School</t>
  </si>
  <si>
    <t>Pataquid Elementary School</t>
  </si>
  <si>
    <t>Pataquid</t>
  </si>
  <si>
    <t>Sta Cruz Integrated School</t>
  </si>
  <si>
    <t>Caboluan Elementary School</t>
  </si>
  <si>
    <t>Caboluan</t>
  </si>
  <si>
    <t>Balloy Rlementary School</t>
  </si>
  <si>
    <t>Balloy</t>
  </si>
  <si>
    <t>Dalayap Elementary School</t>
  </si>
  <si>
    <t>Dalayap</t>
  </si>
  <si>
    <t>Sta Maria East Integrated Sch.</t>
  </si>
  <si>
    <t>Pob East</t>
  </si>
  <si>
    <t>MP Multi Purpose Bldg.</t>
  </si>
  <si>
    <t>Pugot Elementary School</t>
  </si>
  <si>
    <t>Pugot</t>
  </si>
  <si>
    <t>Bahay Pag-asa Bldg.</t>
  </si>
  <si>
    <t>Sto. Tomas</t>
  </si>
  <si>
    <t>San Antonio Evacuation Center</t>
  </si>
  <si>
    <t>San Antonio, Sto. Tomas,</t>
  </si>
  <si>
    <t>FIIRE</t>
  </si>
  <si>
    <t>TYPHOON, FLOOD</t>
  </si>
  <si>
    <t>468 sqm</t>
  </si>
  <si>
    <t>Sto. Tomas Local Water System</t>
  </si>
  <si>
    <t>Municipal Evacuation Cneter</t>
  </si>
  <si>
    <t>Poblacion West, Sto. Tomas, Pangasinan</t>
  </si>
  <si>
    <t>90 sqm</t>
  </si>
  <si>
    <t>Salvacion Elementary School</t>
  </si>
  <si>
    <t>Salvacion, Sto. Tomas</t>
  </si>
  <si>
    <t>Level III</t>
  </si>
  <si>
    <t>Ernesting Gonzales Central School</t>
  </si>
  <si>
    <t>Pob. East, Sto. Tomas</t>
  </si>
  <si>
    <t>Antonio P. Villar National High School</t>
  </si>
  <si>
    <t>Pob. West, Sto. Tomas</t>
  </si>
  <si>
    <t>San Jose, Sto. Tomas</t>
  </si>
  <si>
    <t>Dona Aurea Elementary School</t>
  </si>
  <si>
    <t>San Antonio, Sto. Tomas</t>
  </si>
  <si>
    <t>Level III, Deep Well</t>
  </si>
  <si>
    <t>San Antonio National High School</t>
  </si>
  <si>
    <t>Sto. Tomas Gymnasium</t>
  </si>
  <si>
    <t>Sual</t>
  </si>
  <si>
    <t>Barangay Sports Complex</t>
  </si>
  <si>
    <t>Sitio Caramin, Baybay Norte</t>
  </si>
  <si>
    <t>Napo Small Centro Brgy. Baybay Sur</t>
  </si>
  <si>
    <t>Napo Logolog Elementary School</t>
  </si>
  <si>
    <t>Napo Small Brgy. Baybay Sur</t>
  </si>
  <si>
    <t>Centro Brgy. Sto. Domingo</t>
  </si>
  <si>
    <t>Sitio Highway, Brgy. Baquioen</t>
  </si>
  <si>
    <t>Baquioen Elementary School</t>
  </si>
  <si>
    <t>Centro Brgy. Calombuyan</t>
  </si>
  <si>
    <t>Catholic Chapel</t>
  </si>
  <si>
    <t>Centro Calombuyan</t>
  </si>
  <si>
    <t>Born Again Chapel</t>
  </si>
  <si>
    <t>Sitio Abagatan Brgy. Calombuyan</t>
  </si>
  <si>
    <t>Calombuyan Elementary School</t>
  </si>
  <si>
    <t>Centro II Brgy. Pangascasan</t>
  </si>
  <si>
    <t>Water system</t>
  </si>
  <si>
    <t>Day Care Facilities</t>
  </si>
  <si>
    <t>Centro II/Resettlement Brgy. Pangascasan</t>
  </si>
  <si>
    <t>PCSA Facility</t>
  </si>
  <si>
    <t>Centro II Pangascasan</t>
  </si>
  <si>
    <t>Pangascasan Integrated School</t>
  </si>
  <si>
    <t>Centro I Brgy. Pangascasan</t>
  </si>
  <si>
    <t>Centro Sioasio East</t>
  </si>
  <si>
    <t>Sioasio Elementary School</t>
  </si>
  <si>
    <t>Sioasio East and West Boundary</t>
  </si>
  <si>
    <t>Sitio Laod Brgy. Sioasio West</t>
  </si>
  <si>
    <t>Centro Brgy. Macaycayawan</t>
  </si>
  <si>
    <t>Sitio Laod Brgy. Macaycayawan</t>
  </si>
  <si>
    <t>Macayacayawan Elementary School</t>
  </si>
  <si>
    <t>Sitio Daya, Brgy. Paitan East</t>
  </si>
  <si>
    <t>Modesto Ferrer Elementary School</t>
  </si>
  <si>
    <t>Sitio Daya Brgy. Paitan East</t>
  </si>
  <si>
    <t>Sitio Centro Brgy. Seselangen</t>
  </si>
  <si>
    <t>Senior Citizen Office</t>
  </si>
  <si>
    <t>Barangay Community School</t>
  </si>
  <si>
    <t>Centro II Brgy. Bolaoen</t>
  </si>
  <si>
    <t>Centro Brgy. Camagsingalan</t>
  </si>
  <si>
    <t>Raymunda Verzosa Elementary School</t>
  </si>
  <si>
    <t>Riverside Brgy. Victoria</t>
  </si>
  <si>
    <t>Centro Brgy. Caoayan</t>
  </si>
  <si>
    <t>Cabalitian Elementary School</t>
  </si>
  <si>
    <t>Sitio Capassiat Brgy. Cabalitian</t>
  </si>
  <si>
    <t>Sitio Caniogan Brgy. Cabalitian</t>
  </si>
  <si>
    <t>Centro Brgy. Capantolan</t>
  </si>
  <si>
    <t>Cacao Elementary School</t>
  </si>
  <si>
    <t>Sitio Abagatan Brgy. Capantolan</t>
  </si>
  <si>
    <t>Centro Paitan West</t>
  </si>
  <si>
    <t>Centro Brgy. Paitan West</t>
  </si>
  <si>
    <t>BHW Office</t>
  </si>
  <si>
    <t>Sual Municipal Hall</t>
  </si>
  <si>
    <t>Sual Sports Complex</t>
  </si>
  <si>
    <t>Sual Central School</t>
  </si>
  <si>
    <t>Sual National High School</t>
  </si>
  <si>
    <t>Sual Catholic School</t>
  </si>
  <si>
    <t>Tayug</t>
  </si>
  <si>
    <t>MUN HALL, MSWD OFFICE, VETERANS' BLDG., LIBRARY</t>
  </si>
  <si>
    <t>Brgy. Poblacion D</t>
  </si>
  <si>
    <t>DEEP WELL,WATER DISTRICT</t>
  </si>
  <si>
    <t>RAIN WATER</t>
  </si>
  <si>
    <t xml:space="preserve">N/A </t>
  </si>
  <si>
    <t>AGNO ELEM SCHOOL, AGNO BRGY HALL</t>
  </si>
  <si>
    <t>Brgy. Agno</t>
  </si>
  <si>
    <t>1067 / 32</t>
  </si>
  <si>
    <t>TAYUG MUNICIPAL GYM,</t>
  </si>
  <si>
    <t>BRGY. HALL</t>
  </si>
  <si>
    <t>309 / 40</t>
  </si>
  <si>
    <t>BARANGOBONG ELEM SCHOOL, BRGY HALL</t>
  </si>
  <si>
    <t>Brgy. Barangobong</t>
  </si>
  <si>
    <t>534 / 15</t>
  </si>
  <si>
    <t>C. LICHAUCO ELEM SCHOOL, BRGY HALL</t>
  </si>
  <si>
    <t>Brgy. C Lichauco</t>
  </si>
  <si>
    <t>744 / 74</t>
  </si>
  <si>
    <t>CARRIEDO ELEM SCHOOL, BRGY HALL</t>
  </si>
  <si>
    <t>Brgy. Carreido</t>
  </si>
  <si>
    <t>1064 / 75</t>
  </si>
  <si>
    <t>EVANGELISTA ELEM SCHOOL, BRGY HALL</t>
  </si>
  <si>
    <t>Brgy. Evangelista</t>
  </si>
  <si>
    <t>635 / 75</t>
  </si>
  <si>
    <t>GUZON BRGY HALL</t>
  </si>
  <si>
    <t>Brgy. Guzon</t>
  </si>
  <si>
    <t>LAWAK ELEM SCHOOL, BRGY HALL</t>
  </si>
  <si>
    <t>Brgy. Lawak</t>
  </si>
  <si>
    <t>641 / 183</t>
  </si>
  <si>
    <t>LEGASPI ELEM SCHOOL, BRGY HALL</t>
  </si>
  <si>
    <t>Brgy. Legaspi</t>
  </si>
  <si>
    <t>1022 / 90</t>
  </si>
  <si>
    <t>LIBERTAD ELEM SCHOOL, BRGY HALL</t>
  </si>
  <si>
    <t>Brgy. Libertad</t>
  </si>
  <si>
    <t>816 / 75</t>
  </si>
  <si>
    <t>MAGALLANES ELEM SCHOOL, BRGY HALL</t>
  </si>
  <si>
    <t>Brgy. Magallanes</t>
  </si>
  <si>
    <t>1632 / 60</t>
  </si>
  <si>
    <t>PANGANIBAN ELEM SCHOOL, BRGY HALL, BRGY COVERED COURT</t>
  </si>
  <si>
    <t>Brgy. Panganiban</t>
  </si>
  <si>
    <t>575 / 40 / 420</t>
  </si>
  <si>
    <t>SALENG ELEM SCHOOL, BRGY HALL</t>
  </si>
  <si>
    <t>Brgy. Saleng</t>
  </si>
  <si>
    <t>606 / 75</t>
  </si>
  <si>
    <t>STO. DOMINGO ELEM SCHOOL, BRGY HALL</t>
  </si>
  <si>
    <t>Brgy. Sto. Domingo</t>
  </si>
  <si>
    <t>797 / 80</t>
  </si>
  <si>
    <t>TOKETEC ELEM SCHOOL, BRGY HALL</t>
  </si>
  <si>
    <t>Brgy. Toketec</t>
  </si>
  <si>
    <t>748 / 75</t>
  </si>
  <si>
    <t>TRENCHERA ELEM SCHOOL, BRGY HALL</t>
  </si>
  <si>
    <t>Brgy. Trenchera</t>
  </si>
  <si>
    <t>328 / 300</t>
  </si>
  <si>
    <t>ZAMORA ELEM SCHOOL, BRGY HALL, BRGY COVERED COURT</t>
  </si>
  <si>
    <t>Brgy. Zamora</t>
  </si>
  <si>
    <t>300 / 420</t>
  </si>
  <si>
    <t>TAYUG MUNICIPAL EVACUATION CENTER,</t>
  </si>
  <si>
    <t>Brgy. Poblacion B</t>
  </si>
  <si>
    <t>each rooms has comfort room</t>
  </si>
  <si>
    <t>Umingan</t>
  </si>
  <si>
    <t>ABOT MOLINA BRGY. HALL</t>
  </si>
  <si>
    <t>ABOT MOLINA</t>
  </si>
  <si>
    <t>DEEP WELL, UMINGAN WATER DISTRICT</t>
  </si>
  <si>
    <t>ALO-O BRGY. HALL</t>
  </si>
  <si>
    <t>ALO-O</t>
  </si>
  <si>
    <t>ALO-O CHILD DEV'T CENTER</t>
  </si>
  <si>
    <t>AMARONAN ELEM. SCHOOL</t>
  </si>
  <si>
    <t>AMARONAN</t>
  </si>
  <si>
    <t>AMARONAN BRGY. HALL</t>
  </si>
  <si>
    <t>ANNAM ELEM. SCHOOL</t>
  </si>
  <si>
    <t>ANNAM</t>
  </si>
  <si>
    <t>ANNAM BRGY. HALL</t>
  </si>
  <si>
    <t>BANTUG ELEM. SCHOOL</t>
  </si>
  <si>
    <t>BANTUG</t>
  </si>
  <si>
    <t>Bantug Brgy. Hall</t>
  </si>
  <si>
    <t>Baracbac Elem. School</t>
  </si>
  <si>
    <t>BARACBAC</t>
  </si>
  <si>
    <t>Baracbac National High School</t>
  </si>
  <si>
    <t>Baracbac Brgy. Hall</t>
  </si>
  <si>
    <t>Barat Elem. School</t>
  </si>
  <si>
    <t>BARAT</t>
  </si>
  <si>
    <t>Barat Brgy. Hall</t>
  </si>
  <si>
    <t>Buenavista Brgy. Hall</t>
  </si>
  <si>
    <t>BUENAVISTA</t>
  </si>
  <si>
    <t>Cabalitian Elem. School</t>
  </si>
  <si>
    <t>CABALITIAN</t>
  </si>
  <si>
    <t>Cabalitian High School</t>
  </si>
  <si>
    <t>Cabalitian Brgy. Hall</t>
  </si>
  <si>
    <t>Cabangaran Elem. School</t>
  </si>
  <si>
    <t>CABANGARAN</t>
  </si>
  <si>
    <t>Cabangaran Brgy. Hall</t>
  </si>
  <si>
    <t>Cabaruan Brgy. Hall</t>
  </si>
  <si>
    <t>Don Alberto Vergara Elem. School</t>
  </si>
  <si>
    <t>CABATUAN</t>
  </si>
  <si>
    <t>Cabatuan Brgy. Hall</t>
  </si>
  <si>
    <t>Cadiz Elem. School</t>
  </si>
  <si>
    <t>CADIZ</t>
  </si>
  <si>
    <t>Cadiz Brgy. Hall</t>
  </si>
  <si>
    <t>Calitlitan Elem. School</t>
  </si>
  <si>
    <t>CALITLITAN</t>
  </si>
  <si>
    <t>Calitlitan Multi-Purpose Hall</t>
  </si>
  <si>
    <t>Capas Brgy. Hall</t>
  </si>
  <si>
    <t>CAPAS</t>
  </si>
  <si>
    <t>Carayungan Sur Brgy. Hall</t>
  </si>
  <si>
    <t>CARAYUNGAN SUR</t>
  </si>
  <si>
    <t>Carosalesan Elem. School</t>
  </si>
  <si>
    <t>CAROSALESAN</t>
  </si>
  <si>
    <t>Carosalesan Brgy. Hall</t>
  </si>
  <si>
    <t>Casilan Elem. School</t>
  </si>
  <si>
    <t>CASILAN</t>
  </si>
  <si>
    <t>Casilan Brgy. Hall</t>
  </si>
  <si>
    <t>Caurdanetaan Brgy. Hall</t>
  </si>
  <si>
    <t>CAURDANETAAN</t>
  </si>
  <si>
    <t>Concepcion Elem. School</t>
  </si>
  <si>
    <t>CONCEPCION</t>
  </si>
  <si>
    <t>Concepcion Brgy. Hall</t>
  </si>
  <si>
    <t>Del Rosario Brgy. Hall</t>
  </si>
  <si>
    <t>DEL ROSARIO</t>
  </si>
  <si>
    <t>Decreto Elem. School</t>
  </si>
  <si>
    <t>DECRETO</t>
  </si>
  <si>
    <t>Decreto Brgy. Hall (for earthquake only)</t>
  </si>
  <si>
    <t>Diaz Elem. School</t>
  </si>
  <si>
    <t>DIAZ</t>
  </si>
  <si>
    <t>Diaz Brgy. Hall</t>
  </si>
  <si>
    <t>Diket Elem. School</t>
  </si>
  <si>
    <t>DIKET</t>
  </si>
  <si>
    <t>Diket Brgy. Hall</t>
  </si>
  <si>
    <t>Don Justo Abalos Brgy. Hall</t>
  </si>
  <si>
    <t>DON JUSTO ABALOS</t>
  </si>
  <si>
    <t>Don Montano Elem. School (for earthquake only)</t>
  </si>
  <si>
    <t>DON MONTANO</t>
  </si>
  <si>
    <t>Don Montano Brgy. Hall</t>
  </si>
  <si>
    <t>Esperanza Elem. School</t>
  </si>
  <si>
    <t>ESPERANZA</t>
  </si>
  <si>
    <t>Esperanza Brgy. Hall</t>
  </si>
  <si>
    <t>Evangelista Elem. School</t>
  </si>
  <si>
    <t>EVANGELISTA</t>
  </si>
  <si>
    <t>Evangelista Brgy. Hall</t>
  </si>
  <si>
    <t>Flores Elem. &amp; HS</t>
  </si>
  <si>
    <t>FLORES</t>
  </si>
  <si>
    <t>Flores Brgy. Hall</t>
  </si>
  <si>
    <t>Digap, Fulgosino Community School</t>
  </si>
  <si>
    <t>FULGOSINO</t>
  </si>
  <si>
    <t>Fulgosino Brgy. Hall</t>
  </si>
  <si>
    <t>Gonzales Elem. School</t>
  </si>
  <si>
    <t>GONZALES</t>
  </si>
  <si>
    <t>Gonzales Brgy. Hall</t>
  </si>
  <si>
    <t>Labuan Brgy. Hall</t>
  </si>
  <si>
    <t>LABUAN</t>
  </si>
  <si>
    <t>La Paz Elem. &amp; HS</t>
  </si>
  <si>
    <t>LA PAZ</t>
  </si>
  <si>
    <t>La Paz Brgy. Hall</t>
  </si>
  <si>
    <t>Celestino L. Clariza Elem. School</t>
  </si>
  <si>
    <t>LAUREN</t>
  </si>
  <si>
    <t>Lauren Brgy. Hall</t>
  </si>
  <si>
    <t>Lubong Elem. School</t>
  </si>
  <si>
    <t>LUBONG</t>
  </si>
  <si>
    <t>Lubong Brgy. Hall</t>
  </si>
  <si>
    <t>Luna Este Elem. School</t>
  </si>
  <si>
    <t>LUNA ESTE</t>
  </si>
  <si>
    <t>Luna Este Brgy. Hall</t>
  </si>
  <si>
    <t>Luna Weste Elem. School</t>
  </si>
  <si>
    <t>LUNA WESTE</t>
  </si>
  <si>
    <t>Luna Weste Brgy. Hall</t>
  </si>
  <si>
    <t>Mantacdang Elem. School (for earthquake only)</t>
  </si>
  <si>
    <t>MANTACDANG</t>
  </si>
  <si>
    <t>Maseil-seil Elem. &amp; HS</t>
  </si>
  <si>
    <t>MASEIL-SEIL</t>
  </si>
  <si>
    <t>Maseil-seil Brgy. Hall</t>
  </si>
  <si>
    <t>Nampalcan Elem. School</t>
  </si>
  <si>
    <t>NAMPALCAN</t>
  </si>
  <si>
    <t>Nampalcan Brgy. Hall</t>
  </si>
  <si>
    <t>Doña Nena Elem. School</t>
  </si>
  <si>
    <t>NANCALABASAAN</t>
  </si>
  <si>
    <t>Nancalabasaan Brgy. Hall</t>
  </si>
  <si>
    <t>Pangangaan Elem. School</t>
  </si>
  <si>
    <t>PANGANGAAN</t>
  </si>
  <si>
    <t>Pangangaan Brgy. Hall</t>
  </si>
  <si>
    <t>Papallasen Brgy. Hall</t>
  </si>
  <si>
    <t>PAPALLASEN</t>
  </si>
  <si>
    <t>Pemienta Elem. School</t>
  </si>
  <si>
    <t>PEMIENTA</t>
  </si>
  <si>
    <t>Pemienta Brgy. Hall</t>
  </si>
  <si>
    <t>Pob. East Brgy. Hall</t>
  </si>
  <si>
    <t>POB. EAST</t>
  </si>
  <si>
    <t>Pob. West Brgy. Hall</t>
  </si>
  <si>
    <t>POB. WEST</t>
  </si>
  <si>
    <t>Prado Elem. &amp; HS</t>
  </si>
  <si>
    <t>PRADO</t>
  </si>
  <si>
    <t>Prado Brgy. Hall</t>
  </si>
  <si>
    <t>Resurreccion Elem. School</t>
  </si>
  <si>
    <t>RESURRECCION</t>
  </si>
  <si>
    <t>Resurreccion Brgy. Hall</t>
  </si>
  <si>
    <t>Ricos Elem. School</t>
  </si>
  <si>
    <t>RICOS</t>
  </si>
  <si>
    <t>Ricos Brgy. Hall</t>
  </si>
  <si>
    <t>San Andres Brgy. Hall</t>
  </si>
  <si>
    <t>SAN ANDRES</t>
  </si>
  <si>
    <t>San Juan Elem. School</t>
  </si>
  <si>
    <t>SAN JUAN</t>
  </si>
  <si>
    <t>San Juan Brgy. Hall</t>
  </si>
  <si>
    <t>San Leon Elem. School</t>
  </si>
  <si>
    <t>SAN LEON</t>
  </si>
  <si>
    <t>San Leon Brgy. Hall</t>
  </si>
  <si>
    <t>San Pablo Elem. School</t>
  </si>
  <si>
    <t>SAN PABLO</t>
  </si>
  <si>
    <t>San Pablo Brgy. Hall</t>
  </si>
  <si>
    <t>San Vicente Elem. School</t>
  </si>
  <si>
    <t>San Vicente Brgy. Hall</t>
  </si>
  <si>
    <t>Sta. Maria Elem. School</t>
  </si>
  <si>
    <t>STA. MARIA</t>
  </si>
  <si>
    <t>Sta. Maria Brgy. Hall</t>
  </si>
  <si>
    <t>Sta. Rosa Elem. School</t>
  </si>
  <si>
    <t>STA. ROSA</t>
  </si>
  <si>
    <t>Sta. Rosa Brgy. Hall</t>
  </si>
  <si>
    <t>Sinabaan Elem. School</t>
  </si>
  <si>
    <t>SINABAAN</t>
  </si>
  <si>
    <t>Sinabaan Brgy. Hall (for earthquake only)</t>
  </si>
  <si>
    <t>Tanggal Sawang Brgy. Hall</t>
  </si>
  <si>
    <t>TANGGAL SAWANG</t>
  </si>
  <si>
    <t>Municipal Gymnasium (used as COVID-19 before the establishment of a separate facility)</t>
  </si>
  <si>
    <t>Municipal Auditorium (used as COVID-19 before the establishment of a separate facility)</t>
  </si>
  <si>
    <t>Umingan Central National High School</t>
  </si>
  <si>
    <t>Umingan Central Elementary School</t>
  </si>
  <si>
    <t>Regional Evacuation Center (Not yet turned over)</t>
  </si>
  <si>
    <t>1,033.5 sqm</t>
  </si>
  <si>
    <t>Urbiztondo</t>
  </si>
  <si>
    <t>Urbiztondo Gym</t>
  </si>
  <si>
    <t>1,380 sqm</t>
  </si>
  <si>
    <t>Water District</t>
  </si>
  <si>
    <t>Batancaoa</t>
  </si>
  <si>
    <t>1,030 sqm</t>
  </si>
  <si>
    <t>Urbiztondo Water Services</t>
  </si>
  <si>
    <t>Urbiztondo Integrated School</t>
  </si>
  <si>
    <t>3,843 sqm</t>
  </si>
  <si>
    <t>1,263 sqm</t>
  </si>
  <si>
    <t>Urbiztondo Catholic School</t>
  </si>
  <si>
    <t>1,890 sqm</t>
  </si>
  <si>
    <t>Real E/S</t>
  </si>
  <si>
    <t>Real</t>
  </si>
  <si>
    <t>1,827 sqm</t>
  </si>
  <si>
    <t>Deep Well/Urbiztondo Water Services</t>
  </si>
  <si>
    <t>Malibong E/S</t>
  </si>
  <si>
    <t>Malibong</t>
  </si>
  <si>
    <t>756 sqm</t>
  </si>
  <si>
    <t>Dalanguiring Integrated School</t>
  </si>
  <si>
    <t>Dalanguiring</t>
  </si>
  <si>
    <t>1,386 sqm</t>
  </si>
  <si>
    <t>Malayo-Buenlag E/S</t>
  </si>
  <si>
    <t>Malayo</t>
  </si>
  <si>
    <t>441 sqm</t>
  </si>
  <si>
    <t>Galarin E/S</t>
  </si>
  <si>
    <t>Galarin</t>
  </si>
  <si>
    <t>1,260 sqm</t>
  </si>
  <si>
    <t>Angatel E/S</t>
  </si>
  <si>
    <t>Angatel</t>
  </si>
  <si>
    <t>Urdaneta City</t>
  </si>
  <si>
    <t>Urdaneta Convention and Sports Center</t>
  </si>
  <si>
    <t>Poblacion, Urdaneta City</t>
  </si>
  <si>
    <t>Urdaneta City Central School</t>
  </si>
  <si>
    <t>Urdaneta City University Gym</t>
  </si>
  <si>
    <t>San Vicente West, Urdaneta City</t>
  </si>
  <si>
    <t>Don Amadeo Perez Sr. Memorial Elem. School</t>
  </si>
  <si>
    <t>Manan Elementary School</t>
  </si>
  <si>
    <t>Mabanogbog, Urdaneta City</t>
  </si>
  <si>
    <t>Catablan Integrated School</t>
  </si>
  <si>
    <t>Catablan, Urdaneta City</t>
  </si>
  <si>
    <t>Cabaruan Elem. School</t>
  </si>
  <si>
    <t>Cabaruan, Urdaneta City</t>
  </si>
  <si>
    <t>Lananpin Eelementary Sch</t>
  </si>
  <si>
    <t>Pinmaludpod, Urdaneta City</t>
  </si>
  <si>
    <t>Tulong Elementary School</t>
  </si>
  <si>
    <t>Tulong, Urdaneta City</t>
  </si>
  <si>
    <t>BADIPA Elementary School</t>
  </si>
  <si>
    <t>Dilan-Paurido, Urdaneta City</t>
  </si>
  <si>
    <t>Camantiles Elementary School</t>
  </si>
  <si>
    <t>Camantiles, Urdaneta City</t>
  </si>
  <si>
    <t>Mabanogbog Barangay Hall</t>
  </si>
  <si>
    <t>URDANETA EVACUATION CENTER</t>
  </si>
  <si>
    <t>Villasis</t>
  </si>
  <si>
    <t>Villasis Evacuation Center</t>
  </si>
  <si>
    <t>Brgy. Unzad Villasis, Pangasinan</t>
  </si>
  <si>
    <t>730 sq. meter</t>
  </si>
  <si>
    <t>Villasis Gymnasium</t>
  </si>
  <si>
    <t>pob. zone 1 Villasis, Pangasinan</t>
  </si>
  <si>
    <t>1575 sq. meter</t>
  </si>
  <si>
    <r>
      <rPr>
        <rFont val="Arial"/>
        <b/>
        <color rgb="FF000000"/>
        <sz val="11.0"/>
      </rPr>
      <t xml:space="preserve">FLOOR AREA (IN SQ. MTR)
</t>
    </r>
    <r>
      <rPr>
        <rFont val="Arial"/>
        <b/>
        <i/>
        <color rgb="FF000000"/>
        <sz val="11.0"/>
      </rPr>
      <t>(Decimal, xxx.xx)</t>
    </r>
  </si>
  <si>
    <r>
      <rPr>
        <rFont val="Arial"/>
        <b/>
        <color rgb="FF000000"/>
        <sz val="11.0"/>
      </rPr>
      <t xml:space="preserve">TOTAL STORAGE CAPACITY OF NUMBER OF FAMILY FOOD PACKS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</si>
  <si>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FAMILY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</si>
  <si>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INDIVIDUAL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</si>
  <si>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FEMALE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</si>
  <si>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MALE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</si>
  <si>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COMMON CR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</si>
  <si>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POTABLE
</t>
    </r>
    <r>
      <rPr>
        <rFont val="Arial"/>
        <b/>
        <i/>
        <color rgb="FF000000"/>
        <sz val="11.0"/>
      </rPr>
      <t>(Text, Ex. Deep well)</t>
    </r>
  </si>
  <si>
    <r>
      <rPr>
        <rFont val="Arial"/>
        <b/>
        <color rgb="FF000000"/>
        <sz val="11.0"/>
      </rPr>
      <t xml:space="preserve">NON-POTABLE
</t>
    </r>
    <r>
      <rPr>
        <rFont val="Arial"/>
        <b/>
        <i/>
        <color rgb="FF000000"/>
        <sz val="11.0"/>
      </rPr>
      <t>(Text, Ex. River)</t>
    </r>
  </si>
  <si>
    <r>
      <rPr>
        <rFont val="Arial"/>
        <b/>
        <color rgb="FF000000"/>
        <sz val="11.0"/>
      </rPr>
      <t xml:space="preserve">YES/NO
</t>
    </r>
    <r>
      <rPr>
        <rFont val="Arial"/>
        <b/>
        <i/>
        <color rgb="FF000000"/>
        <sz val="11.0"/>
      </rPr>
      <t>(Dropdown)</t>
    </r>
  </si>
  <si>
    <r>
      <rPr>
        <rFont val="Arial"/>
        <b/>
        <color rgb="FF000000"/>
        <sz val="11.0"/>
      </rPr>
      <t xml:space="preserve">TOTAL ISOLATION BED CAPACITY (IF USED AS COVID-19 FACILITY)
</t>
    </r>
    <r>
      <rPr>
        <rFont val="Arial"/>
        <b/>
        <i/>
        <color rgb="FF000000"/>
        <sz val="11.0"/>
      </rPr>
      <t>(Number)</t>
    </r>
  </si>
  <si>
    <t>PROVINCE OF LA UNION</t>
  </si>
  <si>
    <t>Regional Evacuation Center - Home of Hope</t>
  </si>
  <si>
    <t>Sevilla, City of San Fernando, La Union</t>
  </si>
  <si>
    <t>Strong Winds, Earthquake, Landslide</t>
  </si>
  <si>
    <t>Deep Well and Storage tank</t>
  </si>
  <si>
    <t>Agoo</t>
  </si>
  <si>
    <t>Agoo Regional Evacuation Center</t>
  </si>
  <si>
    <t>Nazareno, Agoo, La Union</t>
  </si>
  <si>
    <t>Earthquake ,Typhoon</t>
  </si>
  <si>
    <t>Metro Agoo Waterworks Inc.</t>
  </si>
  <si>
    <t>water delivery</t>
  </si>
  <si>
    <t>Barangay Multi- Purpose Hall</t>
  </si>
  <si>
    <t>Ambitacay</t>
  </si>
  <si>
    <t>Ambitacay Elementary School</t>
  </si>
  <si>
    <t>Balawarte</t>
  </si>
  <si>
    <t>Capas</t>
  </si>
  <si>
    <t>Capas Integrated School</t>
  </si>
  <si>
    <t>Consolacion</t>
  </si>
  <si>
    <t>Agoo East Central School</t>
  </si>
  <si>
    <t>DMMMSU- SLUC</t>
  </si>
  <si>
    <t>Don Eufemio F. Eriguel Memorial National Highschool</t>
  </si>
  <si>
    <t>Saint Mary’s Academy</t>
  </si>
  <si>
    <t>Macalva Central</t>
  </si>
  <si>
    <t>Macalva Elementary School</t>
  </si>
  <si>
    <t>Macalva Norte</t>
  </si>
  <si>
    <t>Community Covered Court</t>
  </si>
  <si>
    <t>Macalva Sur</t>
  </si>
  <si>
    <t>Nazareno</t>
  </si>
  <si>
    <t>San Agustin East</t>
  </si>
  <si>
    <t>Pres. Elpidio Quirino National Highschool</t>
  </si>
  <si>
    <t>Bureau of Fire Protection</t>
  </si>
  <si>
    <t>Agoo Games and Amusement Center</t>
  </si>
  <si>
    <t>San Agustin Norte</t>
  </si>
  <si>
    <t>San Agustin Sur</t>
  </si>
  <si>
    <t>San Antonio</t>
  </si>
  <si>
    <t>Barangay Multipurpose Hall</t>
  </si>
  <si>
    <t>San Francisco</t>
  </si>
  <si>
    <t>Agoo Technical &amp; Vocational Training Center</t>
  </si>
  <si>
    <t>San Isidro</t>
  </si>
  <si>
    <t>Hands of Hope Faith Academy</t>
  </si>
  <si>
    <t>San Joaquin Norte</t>
  </si>
  <si>
    <t>San Joaquin Sur</t>
  </si>
  <si>
    <t>San Jose Norte</t>
  </si>
  <si>
    <t>People’s Court</t>
  </si>
  <si>
    <t>San Jose Sur</t>
  </si>
  <si>
    <t>San Jose Chapel</t>
  </si>
  <si>
    <t>San Jose- San Joaquin Elementary School</t>
  </si>
  <si>
    <t>San Julin Central</t>
  </si>
  <si>
    <t>San Julian East</t>
  </si>
  <si>
    <t>San Julian Norte</t>
  </si>
  <si>
    <t>Maranatha Baptist Church</t>
  </si>
  <si>
    <t>San Julian West</t>
  </si>
  <si>
    <t>San Manuel Norte</t>
  </si>
  <si>
    <t>San Manuel Norte Elementary School</t>
  </si>
  <si>
    <t>Dr. Manuel T. Cases Memorial National Highschool</t>
  </si>
  <si>
    <t>San Marcos</t>
  </si>
  <si>
    <t>San Nicolas Central</t>
  </si>
  <si>
    <t>San Nicolas East</t>
  </si>
  <si>
    <t>Market Relocation Site</t>
  </si>
  <si>
    <t>San Nicolas Norte</t>
  </si>
  <si>
    <t>Agoo West Central School</t>
  </si>
  <si>
    <t>Agoo Civic Center</t>
  </si>
  <si>
    <t>San Nicoals Sur</t>
  </si>
  <si>
    <t>Polytechnic College of La Union</t>
  </si>
  <si>
    <t>PCLU Event Center</t>
  </si>
  <si>
    <t>San Nicolas West</t>
  </si>
  <si>
    <t>San Pedro</t>
  </si>
  <si>
    <t>Cubal Elementary School</t>
  </si>
  <si>
    <t>San Roque East</t>
  </si>
  <si>
    <t>San Roque West</t>
  </si>
  <si>
    <t>San Joaquin Elementary School</t>
  </si>
  <si>
    <t>San Vicente Norte</t>
  </si>
  <si>
    <t>San Vicente – San Agustin Elementary School</t>
  </si>
  <si>
    <t>San Vicente Sur</t>
  </si>
  <si>
    <t>Sta. Ana</t>
  </si>
  <si>
    <t>Angkatan</t>
  </si>
  <si>
    <t>Eriguel’s Covered Court</t>
  </si>
  <si>
    <t>San Jubar Elementary School</t>
  </si>
  <si>
    <t>Sta. Fe</t>
  </si>
  <si>
    <t>Sta. Monica</t>
  </si>
  <si>
    <t>Sta. Rita Central</t>
  </si>
  <si>
    <t>Sta. Rita East</t>
  </si>
  <si>
    <t>BDRRMC Center</t>
  </si>
  <si>
    <t>Sta Rita Norte</t>
  </si>
  <si>
    <t>Child Development Center</t>
  </si>
  <si>
    <t>Sta. Rita Sur</t>
  </si>
  <si>
    <t>Sta. Rita West</t>
  </si>
  <si>
    <t>Sta. Rita Elementary School</t>
  </si>
  <si>
    <t>Aringay</t>
  </si>
  <si>
    <t>Amphitheater</t>
  </si>
  <si>
    <t>Aringay Water Supply System</t>
  </si>
  <si>
    <t>Aringay Central Elem. School (ACES West)</t>
  </si>
  <si>
    <t xml:space="preserve">Deep Well </t>
  </si>
  <si>
    <t>Aringay Central Elem. School (ACES East)</t>
  </si>
  <si>
    <t>San Eugenio Elem. School</t>
  </si>
  <si>
    <t>San Eugenio</t>
  </si>
  <si>
    <t>San Benito Elem. School</t>
  </si>
  <si>
    <t>San Benito Norte</t>
  </si>
  <si>
    <t>Basca Elem. School</t>
  </si>
  <si>
    <t>Centro, Basca</t>
  </si>
  <si>
    <t>Bitag Elem. School</t>
  </si>
  <si>
    <t>Bitag, Manga</t>
  </si>
  <si>
    <t>Bulalacao Elem. School</t>
  </si>
  <si>
    <t>Bulalacao, Basca</t>
  </si>
  <si>
    <t>Camusing Elem. School</t>
  </si>
  <si>
    <t>Camusing, Manga</t>
  </si>
  <si>
    <t>Dulao Elem. School</t>
  </si>
  <si>
    <t>Dulao</t>
  </si>
  <si>
    <t>Flood Typhoon</t>
  </si>
  <si>
    <t>Dulao Multi purpose Hall</t>
  </si>
  <si>
    <t>Dulao Brgy. Hall</t>
  </si>
  <si>
    <t>Gallano Elem. School</t>
  </si>
  <si>
    <t>Centro, Gallano</t>
  </si>
  <si>
    <t>Earthquake,Typhoon, Landslide</t>
  </si>
  <si>
    <t>Immalog Elem. School</t>
  </si>
  <si>
    <t>Immalog, Basca</t>
  </si>
  <si>
    <t>Macabato Elem. School</t>
  </si>
  <si>
    <t>Centro, Macabato</t>
  </si>
  <si>
    <t>DW</t>
  </si>
  <si>
    <t>Manga Elem. School</t>
  </si>
  <si>
    <t>Centro , Manga</t>
  </si>
  <si>
    <t>Pangao-aoan East Elem. School</t>
  </si>
  <si>
    <t>Pangao-aoan East</t>
  </si>
  <si>
    <t>Pangao-aoan West Elem. School</t>
  </si>
  <si>
    <t>Pangao-aoan West</t>
  </si>
  <si>
    <t>Samara Elem. School</t>
  </si>
  <si>
    <t>Samara</t>
  </si>
  <si>
    <t>Typhoon,Tsunami, Storm Surge</t>
  </si>
  <si>
    <t>Samara Multi Purpose Hall</t>
  </si>
  <si>
    <t>San Antonio Elem. School</t>
  </si>
  <si>
    <t>San Juan West</t>
  </si>
  <si>
    <t>San Simon Integrated School</t>
  </si>
  <si>
    <t>San Simon East</t>
  </si>
  <si>
    <t>Sta. Cecilia Elem. School</t>
  </si>
  <si>
    <t>Sta. Cecilia</t>
  </si>
  <si>
    <t>Sta. Rita Elem./ High School</t>
  </si>
  <si>
    <t>Manga Nat'l. High School</t>
  </si>
  <si>
    <t>Centro, Manga</t>
  </si>
  <si>
    <t>Aringay Nat'l. High School</t>
  </si>
  <si>
    <t>Salapac, Poblacion</t>
  </si>
  <si>
    <t>ANHS Basca Annex</t>
  </si>
  <si>
    <t>NEW BERN</t>
  </si>
  <si>
    <t>Berlin, Alaska</t>
  </si>
  <si>
    <t>Sta. Lucia Elem. School</t>
  </si>
  <si>
    <t>Sta. Lucia</t>
  </si>
  <si>
    <t>Sto. Rosario E/S</t>
  </si>
  <si>
    <t>Sto. Rosario East</t>
  </si>
  <si>
    <t>Sto. Rosario West Brgy. Hall</t>
  </si>
  <si>
    <t>Sto. Rosario West</t>
  </si>
  <si>
    <t>Bagulin</t>
  </si>
  <si>
    <t>BAGULIN COVERED COURT</t>
  </si>
  <si>
    <t>SUYO, BAGULIN, LA UNION</t>
  </si>
  <si>
    <t>Suyo Salintubig Water System</t>
  </si>
  <si>
    <t>RHU Bldg. 3rd Floor</t>
  </si>
  <si>
    <t>Bagulin Public Market</t>
  </si>
  <si>
    <t>Flood</t>
  </si>
  <si>
    <t>Suyo Salintubig Water Sytem</t>
  </si>
  <si>
    <t>Bacnotan</t>
  </si>
  <si>
    <t xml:space="preserve">Regional Evacuation Center </t>
  </si>
  <si>
    <t>Agtipal, Btn. L.U</t>
  </si>
  <si>
    <t>typhoon earthquake</t>
  </si>
  <si>
    <t xml:space="preserve">typhoon earthquake </t>
  </si>
  <si>
    <t>Bacnotan Town Plaza Covered Court</t>
  </si>
  <si>
    <t>Pob., Btn., L.U.</t>
  </si>
  <si>
    <t>typhoon earthquake flood</t>
  </si>
  <si>
    <t>Bacnotan Public Market</t>
  </si>
  <si>
    <t>Baroro Elementary School</t>
  </si>
  <si>
    <t>Baroro, Btn. L.U.</t>
  </si>
  <si>
    <t>Paratong Elementary School</t>
  </si>
  <si>
    <t>Sitio Paratong,Pob., Btn.,L.U.</t>
  </si>
  <si>
    <t>Sta. Cruz, Btn.,L.U.</t>
  </si>
  <si>
    <t>Nangalisan Elementary School</t>
  </si>
  <si>
    <t>Nangalisan, Btn., L.U.</t>
  </si>
  <si>
    <t>Quirino Elementary School</t>
  </si>
  <si>
    <t>Quirino, Bacnotan,L.U.</t>
  </si>
  <si>
    <t>Carcarmay Elementary School</t>
  </si>
  <si>
    <t>Carcarmay, Btn.,L.U.</t>
  </si>
  <si>
    <t>Bitalag, Btn. L.U.</t>
  </si>
  <si>
    <t>Guinabang Elementary School</t>
  </si>
  <si>
    <t>Guinabang, Btn. LU</t>
  </si>
  <si>
    <t>Ortega Elementary School</t>
  </si>
  <si>
    <t>Ortega, Btn. LU</t>
  </si>
  <si>
    <t>Arosip Elementary School</t>
  </si>
  <si>
    <t>Arosip, Btn.,LU</t>
  </si>
  <si>
    <t>Mabanengbeng Elementary School</t>
  </si>
  <si>
    <t>Mabanengbeng 1,Btn., L.U</t>
  </si>
  <si>
    <t>Salincob Elementary School</t>
  </si>
  <si>
    <t>Salincob, Btn.,LU</t>
  </si>
  <si>
    <t>Oya-oy Elementary School</t>
  </si>
  <si>
    <t>Oya-oy, Btn.,LU</t>
  </si>
  <si>
    <t>Zaragosa Elementary School</t>
  </si>
  <si>
    <t>Zaragosa, Btn.,LU</t>
  </si>
  <si>
    <t>Agtipal Brgy. Hall</t>
  </si>
  <si>
    <t>Agtipal , Btn. L.U.</t>
  </si>
  <si>
    <t>Arosip Brgy. Hall</t>
  </si>
  <si>
    <t>Arosip , Btn. L.U.</t>
  </si>
  <si>
    <t>Bacqui Brgy. Hall</t>
  </si>
  <si>
    <t>Bacqui , Btn. L.U.</t>
  </si>
  <si>
    <t>Bacsil Brgy. Hall</t>
  </si>
  <si>
    <t>Bacsil, Btn. L.U.</t>
  </si>
  <si>
    <t>Bagutot Brgy. Hall</t>
  </si>
  <si>
    <t>Bagutot, Btn. L.U.</t>
  </si>
  <si>
    <t>Ballogo Brgy. Hall</t>
  </si>
  <si>
    <t>Ballogo, Btn. L.U.</t>
  </si>
  <si>
    <t>Baroro Brgy. Hall</t>
  </si>
  <si>
    <t>Baroro , Btn. L.U.</t>
  </si>
  <si>
    <t>Bitalag Brgy. Hall/Covered court</t>
  </si>
  <si>
    <t>Bulala Brgy. Hall</t>
  </si>
  <si>
    <t>Bulala, Btn. L.U.</t>
  </si>
  <si>
    <t>Burayoc Brgy Hall</t>
  </si>
  <si>
    <t>Burayoc , Btn. L.U.</t>
  </si>
  <si>
    <t>Bussaoit Brgy. Hall</t>
  </si>
  <si>
    <t>Bussaoit , Btn. L.U.</t>
  </si>
  <si>
    <t>Cabaroan Brgy. Hall/covered court</t>
  </si>
  <si>
    <t>Cabaroan , Btn. L.U.</t>
  </si>
  <si>
    <t>Cabarsican Brgy. Hall</t>
  </si>
  <si>
    <t>Cabarsican , Btn. L.U.</t>
  </si>
  <si>
    <t>Cabugao Brgy. Hall</t>
  </si>
  <si>
    <t>Cabugao, Btn., LU</t>
  </si>
  <si>
    <t>Calautit Brgy. Hall</t>
  </si>
  <si>
    <t>Calautit , Btn. L.U.</t>
  </si>
  <si>
    <t>Carcarmay Brgy. Hall</t>
  </si>
  <si>
    <t>Carcarmay , Btn. L.U.</t>
  </si>
  <si>
    <t>Casiaman Brgy. Hall</t>
  </si>
  <si>
    <t>Casiaman , Btn. L.U.</t>
  </si>
  <si>
    <t>Galongen Brgy. Hall/covered court</t>
  </si>
  <si>
    <t>Galongen, Bacnotan, LU</t>
  </si>
  <si>
    <t>Guinabang Brgy. Hall</t>
  </si>
  <si>
    <t>Guinabang, Btn. L.U.</t>
  </si>
  <si>
    <t>Legleg Brgy. Hall</t>
  </si>
  <si>
    <t>Legleg, Btn. L.U.</t>
  </si>
  <si>
    <t>Lisqueb Brgy. Hall</t>
  </si>
  <si>
    <t>Lisqueb, Btn. L.U.</t>
  </si>
  <si>
    <t>Mabanengbeng I Brgy. Hall</t>
  </si>
  <si>
    <t>Mabanengbeng I, Btn. L.U.</t>
  </si>
  <si>
    <t>Mabanengbeng II Brgy. Hall</t>
  </si>
  <si>
    <t>Mabanengbeng II, Btn. L.U.</t>
  </si>
  <si>
    <t>Maragayap Brgy hall/covered court</t>
  </si>
  <si>
    <t>Maragayap, Btn., LU</t>
  </si>
  <si>
    <t>Nagatiran Brgy. Hall</t>
  </si>
  <si>
    <t>Nagatiran, Btn. L.U.</t>
  </si>
  <si>
    <t>Narra Brgy. Hall</t>
  </si>
  <si>
    <t>Narra , Btn. L.U.</t>
  </si>
  <si>
    <t>Ortega Brgy. Hall</t>
  </si>
  <si>
    <t>Ortega , Btn. L.U.</t>
  </si>
  <si>
    <t>Oyaoy Brgy. Hall</t>
  </si>
  <si>
    <t>Oyaoy , Btn. L.U.</t>
  </si>
  <si>
    <t>Paagan Brgy. Hall</t>
  </si>
  <si>
    <t>Paagan , Btn. L.U.</t>
  </si>
  <si>
    <t>Pandan Brgy. Hall</t>
  </si>
  <si>
    <t>Pandan , Btn. L.U.</t>
  </si>
  <si>
    <t>Pang-pang Brgy. Hall</t>
  </si>
  <si>
    <t>Pang-pang , Btn. L.U.</t>
  </si>
  <si>
    <t>Qurino Brgy. Hall/covered court</t>
  </si>
  <si>
    <t>Quirino , Btn. L.U.</t>
  </si>
  <si>
    <t>Raois Brgy. Hall</t>
  </si>
  <si>
    <t>Raois, Btn. L.U.</t>
  </si>
  <si>
    <t>Salincob Brgy. Hall</t>
  </si>
  <si>
    <t>Salincob , Btn. L.U.</t>
  </si>
  <si>
    <t>Sapilang Brgy. Hall</t>
  </si>
  <si>
    <t>Sapilang , Btn. L.U.</t>
  </si>
  <si>
    <t>San Martin Brgy. Hall</t>
  </si>
  <si>
    <t>San Martin , Btn. L.U.</t>
  </si>
  <si>
    <t>Say-oan Brgy. Hall</t>
  </si>
  <si>
    <t>Say-oan , Btn. L.U.</t>
  </si>
  <si>
    <t>Sipulo Brgy. Hall/covered court</t>
  </si>
  <si>
    <t>Sipulo , Btn. L.U.</t>
  </si>
  <si>
    <t>Sta. Cruz Brgy. Hall/covered court</t>
  </si>
  <si>
    <t>Sta. Cruz, Btn. L.U.</t>
  </si>
  <si>
    <t>Sta. Rita Brgy. Hall</t>
  </si>
  <si>
    <t>Sta. Rita , Btn. L.U.</t>
  </si>
  <si>
    <t>Tammocalao Brgy. Hall</t>
  </si>
  <si>
    <t>Tammocalao, Btn. L.U.</t>
  </si>
  <si>
    <t>Ubbog Brgy. Hall</t>
  </si>
  <si>
    <t>Ubbog , Btn. L.U.</t>
  </si>
  <si>
    <t>Zaragosa Brgy. Hall</t>
  </si>
  <si>
    <t>Zaragosa , Btn. L.U.</t>
  </si>
  <si>
    <t>Balaoan</t>
  </si>
  <si>
    <t xml:space="preserve">Brgy. Butubut Oeste </t>
  </si>
  <si>
    <t>Deep Well, Storage Tank</t>
  </si>
  <si>
    <t>Almeida Barangay Hall</t>
  </si>
  <si>
    <t>Brgy. Almeida</t>
  </si>
  <si>
    <t>Storm Surge, Tsunami</t>
  </si>
  <si>
    <t>Salt Water</t>
  </si>
  <si>
    <t>Antonino Barangay Hall</t>
  </si>
  <si>
    <t>Brgy. Antonino</t>
  </si>
  <si>
    <t>Apatut Barangay Hall</t>
  </si>
  <si>
    <t>Brgy. Apatut</t>
  </si>
  <si>
    <t>Ar-arampang Barangay Hall</t>
  </si>
  <si>
    <t>Brgy. Ar-arampang</t>
  </si>
  <si>
    <t>Baracbac Este Barangay Hall</t>
  </si>
  <si>
    <t>Brgy. Baracbac Este</t>
  </si>
  <si>
    <t>Baracbac Oeste Barangay Hall</t>
  </si>
  <si>
    <t>Brgy. Baracbac Oeste</t>
  </si>
  <si>
    <t>Bet-ang Barangay Hall</t>
  </si>
  <si>
    <t>Brgy. Bet - ang</t>
  </si>
  <si>
    <t>Brgy. Bulbulala</t>
  </si>
  <si>
    <t>Bungol Barangay Hall</t>
  </si>
  <si>
    <t>Brgy. Bungol</t>
  </si>
  <si>
    <t>Butubut Este Barangay Hall</t>
  </si>
  <si>
    <t>Brgy. Butubut Este</t>
  </si>
  <si>
    <t>Bububut Norte Barangay Hall</t>
  </si>
  <si>
    <t>Brgy. Butubut Norte</t>
  </si>
  <si>
    <t>Butubut Oeste Barangay Hall</t>
  </si>
  <si>
    <t>Brgy. Butubut Oeste</t>
  </si>
  <si>
    <t>Bububut Sur Barangay Hall</t>
  </si>
  <si>
    <t>Brgy. Butubut Sur</t>
  </si>
  <si>
    <t>Cabua-an Barangay Hall</t>
  </si>
  <si>
    <t>Brgy. Cabua-an</t>
  </si>
  <si>
    <t>Calliat Barangay Hall</t>
  </si>
  <si>
    <t>Brgy. Calliat</t>
  </si>
  <si>
    <t>Calungbuyan Barangay Hall</t>
  </si>
  <si>
    <t>Brgy. Calungbuyan</t>
  </si>
  <si>
    <t>Camiling Barangay Hall</t>
  </si>
  <si>
    <t>Brgy. Camiling</t>
  </si>
  <si>
    <t>Camilo Osias Barangay Hall</t>
  </si>
  <si>
    <t>Brgy. Camilo Osias</t>
  </si>
  <si>
    <t>Guinaburan Barangay Hall</t>
  </si>
  <si>
    <t>Brgy. Guinaburan</t>
  </si>
  <si>
    <t>Masupe Barangay Hall</t>
  </si>
  <si>
    <t>Brgy. Masupe</t>
  </si>
  <si>
    <t>Nagsabaran Norte Barangay Hall</t>
  </si>
  <si>
    <t>Brgy. Nagsabaran Norte</t>
  </si>
  <si>
    <t>Nagsabaran Sur Hall</t>
  </si>
  <si>
    <t>Brgy. Nagsabaran Sur</t>
  </si>
  <si>
    <t>Landslide</t>
  </si>
  <si>
    <t>Brgy. Nalasin</t>
  </si>
  <si>
    <t>Napaset Barangay Hall</t>
  </si>
  <si>
    <t>Brgy. Napaset</t>
  </si>
  <si>
    <t>Pagbennecan Barangay Hall</t>
  </si>
  <si>
    <t>Brgy. Pagbennecan</t>
  </si>
  <si>
    <t>Pagleddegan Barangay Hall</t>
  </si>
  <si>
    <t>Brgy. Pagleddegan</t>
  </si>
  <si>
    <t>Pantar Norte Barangay Hall</t>
  </si>
  <si>
    <t>Brgy. Pantar Norte</t>
  </si>
  <si>
    <t>Pantar Sur Hall</t>
  </si>
  <si>
    <t>Brgy. Pantar Sur</t>
  </si>
  <si>
    <t>Pa-o Barangay Hall</t>
  </si>
  <si>
    <t>Brgy. Pa-o</t>
  </si>
  <si>
    <t>Paraoir Barangay Hall</t>
  </si>
  <si>
    <t>Brgy. Paraoir</t>
  </si>
  <si>
    <t>Patpata Barangay Hall</t>
  </si>
  <si>
    <t>Brgy. Patpata</t>
  </si>
  <si>
    <t>Sablut Barangay Hall</t>
  </si>
  <si>
    <t>Brgy. Sablut</t>
  </si>
  <si>
    <t>Brgy. San Pablo</t>
  </si>
  <si>
    <t>Sinapangan Norte Barangay Hall</t>
  </si>
  <si>
    <t>Brgy. Sinapangan Norte</t>
  </si>
  <si>
    <t>Sinapangan Sur Barangay Hall</t>
  </si>
  <si>
    <t>Brgy. Sinapangan Sur</t>
  </si>
  <si>
    <t>Tallipugo Barangay Hall</t>
  </si>
  <si>
    <t>Brgy. Tallipugo</t>
  </si>
  <si>
    <t>Bangar</t>
  </si>
  <si>
    <t>Brgy. Central East #2</t>
  </si>
  <si>
    <t>Brgy. Central West #2</t>
  </si>
  <si>
    <t>Bangar Minigym</t>
  </si>
  <si>
    <t>Bangar Covered Court</t>
  </si>
  <si>
    <t>DepEd District Hall</t>
  </si>
  <si>
    <t>Ag-Na Elementary School</t>
  </si>
  <si>
    <t>Brgy. Nagsabaran</t>
  </si>
  <si>
    <t>Tsunami</t>
  </si>
  <si>
    <t>Bangaoilan Elementary School</t>
  </si>
  <si>
    <t>Brgy. Bangaoilan East</t>
  </si>
  <si>
    <t>Bangar Central School ( New Site)</t>
  </si>
  <si>
    <t>Caggao Elementary School</t>
  </si>
  <si>
    <t>Brgy. Caggao</t>
  </si>
  <si>
    <t>Cadapli Elementary School</t>
  </si>
  <si>
    <t>Brgy. Cadapli</t>
  </si>
  <si>
    <t>DFLOMNHS</t>
  </si>
  <si>
    <t>Brgy. San Blas</t>
  </si>
  <si>
    <t>Gen. Prim Elementary School</t>
  </si>
  <si>
    <t>Brgy. Gen. Prim East</t>
  </si>
  <si>
    <t>Luzong Norte Elementary School</t>
  </si>
  <si>
    <t>Brgy. Luzong Norte</t>
  </si>
  <si>
    <t>Luzong Sur Integrated School</t>
  </si>
  <si>
    <t>Brgy. Luzong Sur</t>
  </si>
  <si>
    <t>Maria Cristina Elmentary School</t>
  </si>
  <si>
    <t>Brgy. Ma. Cristina East</t>
  </si>
  <si>
    <t>Brgy. Paratong Norte</t>
  </si>
  <si>
    <t>Regional Science High School</t>
  </si>
  <si>
    <t>Rissing Elementary School</t>
  </si>
  <si>
    <t>Brgy. Rissing</t>
  </si>
  <si>
    <t>RUS Elementary School</t>
  </si>
  <si>
    <t>Brgy. Reyna Regente</t>
  </si>
  <si>
    <t>Saint Christopher Academy HS</t>
  </si>
  <si>
    <t>Brgy. Central East #1</t>
  </si>
  <si>
    <t>Saint Christopher Academy Elem.</t>
  </si>
  <si>
    <t>Sinapangan Elementary School</t>
  </si>
  <si>
    <t>Ter-Con Elementary School</t>
  </si>
  <si>
    <t>Brgy. Gen. Terrero</t>
  </si>
  <si>
    <t>Agdeppa Brgy Hall</t>
  </si>
  <si>
    <t>Brgy. Agdeppa</t>
  </si>
  <si>
    <t>Alzate Brgy. Hall</t>
  </si>
  <si>
    <t>Brgy. Alzate</t>
  </si>
  <si>
    <t>Barraca Brgy. Hall</t>
  </si>
  <si>
    <t>Brgy. Barraca</t>
  </si>
  <si>
    <t>Bangaoilan East Brgy Hall</t>
  </si>
  <si>
    <t>Bangaoilan West Brgy Hall</t>
  </si>
  <si>
    <t>Brgy. Bangaoilan West</t>
  </si>
  <si>
    <t>Caggao Brgy Hall</t>
  </si>
  <si>
    <t>Consuegra Brgy Hall</t>
  </si>
  <si>
    <t>Brgy. Consuegra</t>
  </si>
  <si>
    <t>Central East 1 Brgy Hall</t>
  </si>
  <si>
    <t>Central West 1 Brgy Hall</t>
  </si>
  <si>
    <t>Brgy. Central West #1</t>
  </si>
  <si>
    <t>Central West 2 Brgy Hall</t>
  </si>
  <si>
    <t>Central West 3 Brgy Hall</t>
  </si>
  <si>
    <t>Brgy. Central West #3</t>
  </si>
  <si>
    <t>Cadapli Brgy Hall</t>
  </si>
  <si>
    <t>Gen Prim East Brgy Hall</t>
  </si>
  <si>
    <t>Brgy. Gen Prim East East</t>
  </si>
  <si>
    <t>Gen Prim West Brgy Hall</t>
  </si>
  <si>
    <t>Brgy. Gen Prim West West</t>
  </si>
  <si>
    <t>Gen Terrero Brgy Hall</t>
  </si>
  <si>
    <t>Brgy. Gen Terrero Terrero</t>
  </si>
  <si>
    <t>Luzong Norte Brgy Hall</t>
  </si>
  <si>
    <t>Luzong Sur Brgy Hall</t>
  </si>
  <si>
    <t>Brgy. Luzong Sur Sur</t>
  </si>
  <si>
    <t>Ma Cristina West Brgy Hall</t>
  </si>
  <si>
    <t>Brgy. Ma Cristina West</t>
  </si>
  <si>
    <t>Ma Cristina East Brgy Hall</t>
  </si>
  <si>
    <t>Brgy. Ma Cristina East</t>
  </si>
  <si>
    <t>Mindoro Brgy Hall</t>
  </si>
  <si>
    <t>Brgy. Mindoro</t>
  </si>
  <si>
    <t>Nagsabaran Brgy Hall</t>
  </si>
  <si>
    <t>Paratong Norte Brgy Hall</t>
  </si>
  <si>
    <t>Paratong 3 Brgy Hall</t>
  </si>
  <si>
    <t>Brgy. Paratong</t>
  </si>
  <si>
    <t>Paratong 4 Brgy Hall</t>
  </si>
  <si>
    <t>Quintarong Brgy Hall</t>
  </si>
  <si>
    <t>Brgy. Quintarong</t>
  </si>
  <si>
    <t>Reyna Regente Brgy Hall</t>
  </si>
  <si>
    <t>Brgy. Reyna Regente Regente</t>
  </si>
  <si>
    <t>Rissing Brgy Hall</t>
  </si>
  <si>
    <t>San Blas Brgy Hall</t>
  </si>
  <si>
    <t>Brgy. San Blas Blas</t>
  </si>
  <si>
    <t>San Cristobal Brgy Hall</t>
  </si>
  <si>
    <t>Brgy. San Cristobal Cristobal</t>
  </si>
  <si>
    <t>Sinapangan Norte Brgy Hall</t>
  </si>
  <si>
    <t>Brgy. Sinapangan Norte Norte</t>
  </si>
  <si>
    <t>Sinpangan Sur Brgy Hall</t>
  </si>
  <si>
    <t>Brgy. Sinpangan Sur Sur</t>
  </si>
  <si>
    <t>Ubbog Brgy Hall</t>
  </si>
  <si>
    <t>Brgy. Ubbog</t>
  </si>
  <si>
    <t>Bauang</t>
  </si>
  <si>
    <t>Central East, Bauang</t>
  </si>
  <si>
    <t>fire, terrorism</t>
  </si>
  <si>
    <t>flood, typhoon, earthquake</t>
  </si>
  <si>
    <t>surface water</t>
  </si>
  <si>
    <t>Bauang North Central School</t>
  </si>
  <si>
    <t>Santiago, Bauang</t>
  </si>
  <si>
    <t>flood, typhoon</t>
  </si>
  <si>
    <t>Payocpoc Sur covered court</t>
  </si>
  <si>
    <t>Payocpoc Sur Bauang</t>
  </si>
  <si>
    <t>Calumbaya Elem School</t>
  </si>
  <si>
    <t>Calumbaya, Bauang</t>
  </si>
  <si>
    <t>Urayong Covered Court</t>
  </si>
  <si>
    <t>Urayong,Bauang</t>
  </si>
  <si>
    <t>Casilagan brgy hall</t>
  </si>
  <si>
    <t>Casilagan, Bauang</t>
  </si>
  <si>
    <t>Sta Monica brgy hall</t>
  </si>
  <si>
    <t>Sta Monica, Bauang</t>
  </si>
  <si>
    <t>Palugsi-Limmansangan brgy hall</t>
  </si>
  <si>
    <t>Palugi-Limmansangan, Bauang</t>
  </si>
  <si>
    <t>Nagrebcan covered court</t>
  </si>
  <si>
    <t>Nagrebcan, Bauang</t>
  </si>
  <si>
    <t>Bucayab brgy hall/</t>
  </si>
  <si>
    <t>Bucayab, Bauang</t>
  </si>
  <si>
    <t>Cabalayangan brgy hall</t>
  </si>
  <si>
    <t>Cabalayangan, Bauang</t>
  </si>
  <si>
    <t>Boy-utan brgy hall</t>
  </si>
  <si>
    <t>Boy-utan, Bauang</t>
  </si>
  <si>
    <t>Bauang Farmers Trading Center</t>
  </si>
  <si>
    <t>Central West, Bauang</t>
  </si>
  <si>
    <t>Acao brgy hall</t>
  </si>
  <si>
    <t>Acao, Bauang</t>
  </si>
  <si>
    <t>Quinavite brgy hall</t>
  </si>
  <si>
    <t>Quinavite, Bauang</t>
  </si>
  <si>
    <t>Baccuit Sur covered court</t>
  </si>
  <si>
    <t>Baccuit Sur, Bauang</t>
  </si>
  <si>
    <t>Baccuit Norte Covered Court</t>
  </si>
  <si>
    <t>Baccuit Norte, Bauang</t>
  </si>
  <si>
    <t>Pagdalagan covered court</t>
  </si>
  <si>
    <t>pagdalagan, Bauang</t>
  </si>
  <si>
    <t>Pottot covered court</t>
  </si>
  <si>
    <t>Pottot, Bauang</t>
  </si>
  <si>
    <t>Carmay brgy hall</t>
  </si>
  <si>
    <t>Carmay, Bauang</t>
  </si>
  <si>
    <t>Palintucang covered court</t>
  </si>
  <si>
    <t>Palintucang, Bauang</t>
  </si>
  <si>
    <t>Taberna brgy hall</t>
  </si>
  <si>
    <t>Taberna, Bauang</t>
  </si>
  <si>
    <t>OSCA Bldg</t>
  </si>
  <si>
    <t>Central East brgy hall</t>
  </si>
  <si>
    <t>Central West Brgy Hall</t>
  </si>
  <si>
    <t>Central west, Bauang</t>
  </si>
  <si>
    <t>Central East</t>
  </si>
  <si>
    <t>Calumbaya Elementary School</t>
  </si>
  <si>
    <t>Santiago E/S</t>
  </si>
  <si>
    <t>Bagbag E/S</t>
  </si>
  <si>
    <t>Bagbag</t>
  </si>
  <si>
    <t>Guerrero E/S</t>
  </si>
  <si>
    <t>Guerrero</t>
  </si>
  <si>
    <t>Boy-utan E/S</t>
  </si>
  <si>
    <t>Boy Utan</t>
  </si>
  <si>
    <t>Acao E/S</t>
  </si>
  <si>
    <t>Acao</t>
  </si>
  <si>
    <t>ECJVHS</t>
  </si>
  <si>
    <t>Ballay E/S</t>
  </si>
  <si>
    <t>Ballay</t>
  </si>
  <si>
    <t>Quinavite E/S</t>
  </si>
  <si>
    <t>Quinavite</t>
  </si>
  <si>
    <t>Pugo E/S</t>
  </si>
  <si>
    <t>Pugo</t>
  </si>
  <si>
    <t>Baccuit E &amp; H/S</t>
  </si>
  <si>
    <t>Baccuit Sur</t>
  </si>
  <si>
    <t>Paringao E/S</t>
  </si>
  <si>
    <t>Paringao</t>
  </si>
  <si>
    <t>Paringao National H/S</t>
  </si>
  <si>
    <t>Bawanta E/S</t>
  </si>
  <si>
    <t>Bawanta</t>
  </si>
  <si>
    <t>Bawanta H/S</t>
  </si>
  <si>
    <t>San Agustin E/S</t>
  </si>
  <si>
    <t>San Agustin</t>
  </si>
  <si>
    <t>Bigbiga E/S</t>
  </si>
  <si>
    <t>Lower San Agustin</t>
  </si>
  <si>
    <t>Cabalayangan E/S</t>
  </si>
  <si>
    <t>Cabalayang an</t>
  </si>
  <si>
    <t>Payocpoc Sur E/S</t>
  </si>
  <si>
    <t>Payocpoc Sur</t>
  </si>
  <si>
    <t>BURGOS EVACUATION CENTER</t>
  </si>
  <si>
    <t>Public Market, New Poblacion, Burgos, La Union</t>
  </si>
  <si>
    <t>Caba</t>
  </si>
  <si>
    <t>Caba Temporary Evacuation Center</t>
  </si>
  <si>
    <t>Brgy Poblacion Norte</t>
  </si>
  <si>
    <t>Brgy Poblacion Sur</t>
  </si>
  <si>
    <t>Santiago Sur Barangay hall</t>
  </si>
  <si>
    <t>Brgy Santiago Sur</t>
  </si>
  <si>
    <t>Flood, Storm Surge, Typhoon</t>
  </si>
  <si>
    <t>Sea</t>
  </si>
  <si>
    <t>Santiago Norte Barangay Hall</t>
  </si>
  <si>
    <t>Brgy Santiago Norte</t>
  </si>
  <si>
    <t>Gana Barangay hall</t>
  </si>
  <si>
    <t>Brgy Gana</t>
  </si>
  <si>
    <t>Sobredillo barangay Hall</t>
  </si>
  <si>
    <t>Brgy Sobredillo</t>
  </si>
  <si>
    <t>Landslide, Earthquake, Typhoon</t>
  </si>
  <si>
    <t>Juan Cartas barangay Hall</t>
  </si>
  <si>
    <t>Brgy Juan Cartas</t>
  </si>
  <si>
    <t>San Carlos Barangay Hall</t>
  </si>
  <si>
    <t>Brgy San carlos</t>
  </si>
  <si>
    <t>San Jose Barangay hall</t>
  </si>
  <si>
    <t>Brgy San Jose</t>
  </si>
  <si>
    <t>Liquicia Barangay Hall</t>
  </si>
  <si>
    <t>Brgy Liquicia</t>
  </si>
  <si>
    <t>San Fermin Barangay Hall</t>
  </si>
  <si>
    <t>Brgy San Fermin</t>
  </si>
  <si>
    <t>San Gregorio Barangay Hall</t>
  </si>
  <si>
    <t>Brgy San Gregorio</t>
  </si>
  <si>
    <t>San Cornelio Barangay Hall</t>
  </si>
  <si>
    <t>Brgy San Cornelio</t>
  </si>
  <si>
    <t>Bautista Barangay Hall</t>
  </si>
  <si>
    <t>Brgy Bautista</t>
  </si>
  <si>
    <t>Urayong Barangay Hall</t>
  </si>
  <si>
    <t>Brgy Urayong</t>
  </si>
  <si>
    <t>Wenceslao Barangay Hall</t>
  </si>
  <si>
    <t>Brgy Wenceslao</t>
  </si>
  <si>
    <t>sea</t>
  </si>
  <si>
    <t>Las-ud Barangay Hall</t>
  </si>
  <si>
    <t>Brgy Las-ud</t>
  </si>
  <si>
    <t>Flood,Earthquake, Typhhon</t>
  </si>
  <si>
    <t>Luna</t>
  </si>
  <si>
    <t>Luna Sports Center</t>
  </si>
  <si>
    <t>Alcala (Pob.), Luna, La Union</t>
  </si>
  <si>
    <t>Fire, Terrorism</t>
  </si>
  <si>
    <t>Luna Central School</t>
  </si>
  <si>
    <t>Victoria(Pob.), Luna, La Union</t>
  </si>
  <si>
    <t>earthquake</t>
  </si>
  <si>
    <t>Victoria Day Care Center</t>
  </si>
  <si>
    <t>Luna People's Hall</t>
  </si>
  <si>
    <t>Salcedo (Pob.), Luna, La Union</t>
  </si>
  <si>
    <t>Senior Citizen Center</t>
  </si>
  <si>
    <t>Magallanes Covered Court</t>
  </si>
  <si>
    <t>Magallanes(Pob.),Luna, La Union</t>
  </si>
  <si>
    <t>Barangay Hall Ayaoan</t>
  </si>
  <si>
    <t>Purok 2 Ayaoan, Luna, La Union</t>
  </si>
  <si>
    <t>Daycare Center</t>
  </si>
  <si>
    <t>Barangobong Brgy. Hall</t>
  </si>
  <si>
    <t>Purok 2 Barangobong, Luna, La Union</t>
  </si>
  <si>
    <t>Barangay Barrientos Brgy. hall</t>
  </si>
  <si>
    <t>Purok 5 Barrientos, Luna, La Union</t>
  </si>
  <si>
    <t>Barangay Barrientos Daycare Center</t>
  </si>
  <si>
    <t>Barrientos Elementary School</t>
  </si>
  <si>
    <t>Purok 1 Barrientos, Luna, La Union</t>
  </si>
  <si>
    <t>Luna National Highschool-Central ( LNHS)</t>
  </si>
  <si>
    <t>Purok 6 Barrientos, Luna, La Union</t>
  </si>
  <si>
    <t>Bungro Brgy. Hall</t>
  </si>
  <si>
    <t>Purok 4 Bungro, Luna, La Union</t>
  </si>
  <si>
    <t>landslide</t>
  </si>
  <si>
    <t>Busel-busel Elementary School</t>
  </si>
  <si>
    <t>Purok 2 busel-busel, Luna, La Union</t>
  </si>
  <si>
    <t>Busel-busel Daycare Center</t>
  </si>
  <si>
    <t>Cabalitocan Brgy. Hall</t>
  </si>
  <si>
    <t>Purok 4 Cabalitocan, Luna, La Union</t>
  </si>
  <si>
    <t>Barangay Hall (Cantoria #1)</t>
  </si>
  <si>
    <t>Purok 4 Cantoria 1, Luna, La Union</t>
  </si>
  <si>
    <t>flood</t>
  </si>
  <si>
    <t>LNHS-Cantoria Annex</t>
  </si>
  <si>
    <t>Purok 3 Cantoria 1, Luna, La Union</t>
  </si>
  <si>
    <t>Cantoria Central School</t>
  </si>
  <si>
    <t>Purok 1 Cantoria 2, Luna, La Union</t>
  </si>
  <si>
    <t>Cantoria 2 Barangay Hall</t>
  </si>
  <si>
    <t>Purok 3 Cantoria 2, Luna, La Union</t>
  </si>
  <si>
    <t>Barangay Day Care Center</t>
  </si>
  <si>
    <t>Purok 2 Cantoria 2, Luna, La Union</t>
  </si>
  <si>
    <t>Cantoria # 3 Multipurpose Hall</t>
  </si>
  <si>
    <t>Purok 2 Cantoria 3, Luna, La Union</t>
  </si>
  <si>
    <t>Daycare Center Barangay Hall up and down</t>
  </si>
  <si>
    <t>Purok 2 Cantoria 4, Luna, La Union</t>
  </si>
  <si>
    <t>Carisquis Daycare Center Barangay hall</t>
  </si>
  <si>
    <t>Purok 2 Carisquis, Luna, La Union</t>
  </si>
  <si>
    <t>Multi-purpose Brgy. Hall</t>
  </si>
  <si>
    <t>Purok 3 Magallanes, Luna, La Union</t>
  </si>
  <si>
    <t>Purok 5 Magsiping, Luna, La Union</t>
  </si>
  <si>
    <t>Barangay Office</t>
  </si>
  <si>
    <t>Purok 1 Mamay, Luna, La Union</t>
  </si>
  <si>
    <t xml:space="preserve"> Flood</t>
  </si>
  <si>
    <t>Nagrebcan Farmers Hall</t>
  </si>
  <si>
    <t>Purok 2 Nagrebcan, Luna, La Union</t>
  </si>
  <si>
    <t>Nagrebcan Day Care Center</t>
  </si>
  <si>
    <t>Purok 2 Nalvo Norte, Luna, La Union</t>
  </si>
  <si>
    <t>Nalvo Sur Elementary School</t>
  </si>
  <si>
    <t>Purok 4 Nalvo Sur, Luna, La Union</t>
  </si>
  <si>
    <t>Purok 3 Oaqui #1, Luna, La Union</t>
  </si>
  <si>
    <t>Purok 1 Oaqui #1, Luna, La Union</t>
  </si>
  <si>
    <t>Purok 3 Oaqui #2, Luna, La Union</t>
  </si>
  <si>
    <t>Purok 2 Oaqui #3, Luna, La Union</t>
  </si>
  <si>
    <t>Purok 5 Oaqui #4, Luna, La Union</t>
  </si>
  <si>
    <t>Purok 4 Pila, Luna, La Union</t>
  </si>
  <si>
    <t>Pila Elementary School &amp; Pavillion</t>
  </si>
  <si>
    <t>Purok 1 Pitpitac, Luna, La Union</t>
  </si>
  <si>
    <t>Purok 3 Pitpitac, Luna, La Union</t>
  </si>
  <si>
    <t>Rimos #1 Barangay Hall</t>
  </si>
  <si>
    <t>Purok 5 Rimos #1, Luna, La Union</t>
  </si>
  <si>
    <t>storm surge</t>
  </si>
  <si>
    <t>Purok 5 Rimos #2, Luna, La Union</t>
  </si>
  <si>
    <t>Purok 1 Rimos #4, Luna, La Union</t>
  </si>
  <si>
    <t>Barangay Hall Salcedo</t>
  </si>
  <si>
    <t>Purok 5 Salcedo, Luna, La Union</t>
  </si>
  <si>
    <t>SDS Covered Court</t>
  </si>
  <si>
    <t>Sector 1 Sto. Domingo Sur, Luna, La Union</t>
  </si>
  <si>
    <t>Old Barangay Hall</t>
  </si>
  <si>
    <t>Purok 2 Sucoc Sur, Luna, La Union</t>
  </si>
  <si>
    <t>Day Care Center &amp; Multi-purpose Hall</t>
  </si>
  <si>
    <t>Purok 1 Suyo, Luna, La Union</t>
  </si>
  <si>
    <t>Suyo Elementary School</t>
  </si>
  <si>
    <t>Purok 6 Suyo, Luna, La Union</t>
  </si>
  <si>
    <t>Magallanes Day Care Center</t>
  </si>
  <si>
    <t>Magallanes (Pob), Luna, la Union</t>
  </si>
  <si>
    <t>53sq.m</t>
  </si>
  <si>
    <t>Sucoc Norte Barangay Hall</t>
  </si>
  <si>
    <t>Purok 2 Sucoc Nortr, Luna, La, Union</t>
  </si>
  <si>
    <t>nome</t>
  </si>
  <si>
    <t>Napaset Luna, La Union</t>
  </si>
  <si>
    <t xml:space="preserve">  Flood </t>
  </si>
  <si>
    <t>Alcala barangay hall</t>
  </si>
  <si>
    <t>Acala luna la union</t>
  </si>
  <si>
    <t>150sqm</t>
  </si>
  <si>
    <t>Alcala child development center</t>
  </si>
  <si>
    <t>ALcala luna la union</t>
  </si>
  <si>
    <t>60.86sqm</t>
  </si>
  <si>
    <t>Bungro child development center</t>
  </si>
  <si>
    <t>Bungro luna la union</t>
  </si>
  <si>
    <t>51sq mtr</t>
  </si>
  <si>
    <t>Cabalitocan child development center</t>
  </si>
  <si>
    <t xml:space="preserve">cabalitocacn, luna ,la union </t>
  </si>
  <si>
    <t>24sq mtr</t>
  </si>
  <si>
    <t>Cantoria NO 3 child development center</t>
  </si>
  <si>
    <t>Cantoria 3,luna,La union</t>
  </si>
  <si>
    <t>60.86 sq mtr</t>
  </si>
  <si>
    <t xml:space="preserve">Cantoria NO 4 child development center </t>
  </si>
  <si>
    <t>Cantoria 4,Luna,La union</t>
  </si>
  <si>
    <t>72 sq.m</t>
  </si>
  <si>
    <t>Carisquis child development center</t>
  </si>
  <si>
    <t>Carisquis Luna,la union</t>
  </si>
  <si>
    <t>800sqmx600sqm</t>
  </si>
  <si>
    <t>Darigayos barangay hall</t>
  </si>
  <si>
    <t>Darigayos,Luna,Launion</t>
  </si>
  <si>
    <t>landslide/storm surge</t>
  </si>
  <si>
    <t>44.3sqm</t>
  </si>
  <si>
    <t xml:space="preserve">Darigayos chihld development </t>
  </si>
  <si>
    <t>landslide/ storm surge</t>
  </si>
  <si>
    <t>94.2sqm</t>
  </si>
  <si>
    <t>Nalvo norte child development center</t>
  </si>
  <si>
    <t>Nalvo norte,Luna,La union</t>
  </si>
  <si>
    <t>70.2sqm</t>
  </si>
  <si>
    <t>Nalvo sur child development center</t>
  </si>
  <si>
    <t>Nalvo sur Luna,La unin</t>
  </si>
  <si>
    <t>66.12sq.mtr</t>
  </si>
  <si>
    <t>Napaset barangay hall</t>
  </si>
  <si>
    <t>Napaset,Luna,La union</t>
  </si>
  <si>
    <t>376.35 sqm</t>
  </si>
  <si>
    <t>Napaset child development center</t>
  </si>
  <si>
    <t>Napaset ,Luna,La union</t>
  </si>
  <si>
    <t>376.35sqm</t>
  </si>
  <si>
    <t>Napaset holy cross church parish</t>
  </si>
  <si>
    <t>Napaset,LUna,La union</t>
  </si>
  <si>
    <t>581.44sqm</t>
  </si>
  <si>
    <t>Pitpitac child development center</t>
  </si>
  <si>
    <t>Pitpitac,Luna, La union</t>
  </si>
  <si>
    <t>28.62sqm</t>
  </si>
  <si>
    <t>Rimos no 1 barangay hall</t>
  </si>
  <si>
    <t>Rimos,Luna,La union</t>
  </si>
  <si>
    <t>77sq.m</t>
  </si>
  <si>
    <t>Rimos No1 child development center</t>
  </si>
  <si>
    <t>48sq.m</t>
  </si>
  <si>
    <t>Rimos No 2 Barangay  health center</t>
  </si>
  <si>
    <t>Rimos 2 Luna,La union</t>
  </si>
  <si>
    <t>16 sqm</t>
  </si>
  <si>
    <t>Rimos 4 child development center</t>
  </si>
  <si>
    <t>Rimos 4,luna,La union</t>
  </si>
  <si>
    <t>42.50sqm</t>
  </si>
  <si>
    <t>Rimos 5 Barangay hall</t>
  </si>
  <si>
    <t>Rimos 5,Luna,La union</t>
  </si>
  <si>
    <t>21.85sqm</t>
  </si>
  <si>
    <t>Rimos5 child development center</t>
  </si>
  <si>
    <t>44.00sqm</t>
  </si>
  <si>
    <t>Rissing Barangay hall</t>
  </si>
  <si>
    <t>Rissing ,Luna,La union</t>
  </si>
  <si>
    <t>70 sqm</t>
  </si>
  <si>
    <t>Rissing child development center</t>
  </si>
  <si>
    <t>Rissing ,Luna,La Union</t>
  </si>
  <si>
    <t>83 sqm</t>
  </si>
  <si>
    <t xml:space="preserve"> Salcedo child developmenet center</t>
  </si>
  <si>
    <t>Salcedo , Luna, La Union</t>
  </si>
  <si>
    <t>Sto. domingo norte Barangay hall</t>
  </si>
  <si>
    <t>Sto domingo norteLuna,La union</t>
  </si>
  <si>
    <t>Sto. domingo norte child development center</t>
  </si>
  <si>
    <t>Sto.domingo sur child development center</t>
  </si>
  <si>
    <t xml:space="preserve">Sto.domingo sur,Luna,La union </t>
  </si>
  <si>
    <t>Sucoc sur barangay hall</t>
  </si>
  <si>
    <t>Sucoc sur Luna,La Union</t>
  </si>
  <si>
    <t>25 sqm</t>
  </si>
  <si>
    <t>Suyo barangay hall</t>
  </si>
  <si>
    <t>Suyo,Luna,La Union</t>
  </si>
  <si>
    <t>20 sq.mtr</t>
  </si>
  <si>
    <t>Suyo child development center</t>
  </si>
  <si>
    <t>Tallaoen barangay hall</t>
  </si>
  <si>
    <t>Tallaoen,Luna,La Union</t>
  </si>
  <si>
    <t>62.4 sq mtr</t>
  </si>
  <si>
    <t xml:space="preserve">Tallaoen child development </t>
  </si>
  <si>
    <t>43.68 sqm</t>
  </si>
  <si>
    <t>Victoria barangay hall</t>
  </si>
  <si>
    <t>Victoria, Luna, La Union</t>
  </si>
  <si>
    <t>Naguilian</t>
  </si>
  <si>
    <t>Sitio Pau, Aguioas</t>
  </si>
  <si>
    <t>Flood, Earthquake, Typhoon</t>
  </si>
  <si>
    <t>shallow well</t>
  </si>
  <si>
    <t>Sitio Battaken, Al-alinao Norte</t>
  </si>
  <si>
    <t>Flood, Liquefaction, Earthquake, Typhoon</t>
  </si>
  <si>
    <t>pump well</t>
  </si>
  <si>
    <t>Al-alinao Norte Elementary School</t>
  </si>
  <si>
    <t>Barangay Covered Court</t>
  </si>
  <si>
    <t>Sitio Angcaoay west, Al-alinao Sur</t>
  </si>
  <si>
    <t>Al-alinao Sur Elementary School</t>
  </si>
  <si>
    <t>Sitio Remadio, Ambaracao Norte</t>
  </si>
  <si>
    <t>Amadeo Florendo Rimando Elementary School</t>
  </si>
  <si>
    <t>Ambaracao Elementary School</t>
  </si>
  <si>
    <t>Sitio Eskwelaan, Ambaracao Sur</t>
  </si>
  <si>
    <t>Sitio Kakunigan, Angin</t>
  </si>
  <si>
    <t>Landslide, Liquefaction, Earthquake, Typhoon</t>
  </si>
  <si>
    <t>Balecbec Elementary School</t>
  </si>
  <si>
    <t>Sitio Gayonggayong, Balecbec</t>
  </si>
  <si>
    <t>Sitio Caluza, Bancagan</t>
  </si>
  <si>
    <t>Bancagan Elementary School</t>
  </si>
  <si>
    <t>Bancagan</t>
  </si>
  <si>
    <t>Sitio Narra, Baraoas Norte</t>
  </si>
  <si>
    <t>Baraoas Norte Elementary School</t>
  </si>
  <si>
    <t>Sitio North Bliss, Baraoas Sur</t>
  </si>
  <si>
    <t>Baraoas Sur Elementary School</t>
  </si>
  <si>
    <t>Sitio Kadaratan, Baraoas Sur</t>
  </si>
  <si>
    <t>Sitio Centro, Bariquir</t>
  </si>
  <si>
    <t>ORT</t>
  </si>
  <si>
    <t>Sitio-Narang-ay, Bariquir</t>
  </si>
  <si>
    <t>Sitio Murdong, Bariquir</t>
  </si>
  <si>
    <t>Bariquir Elementary School</t>
  </si>
  <si>
    <t>Sitio Cogcog, Bato</t>
  </si>
  <si>
    <t>Bato Elementary Schol</t>
  </si>
  <si>
    <t>Sitio Bulala, Bimmotobot</t>
  </si>
  <si>
    <t>Bimmotobot Elementary School-Upper</t>
  </si>
  <si>
    <t>Bimmotobot Elementary School-Lower</t>
  </si>
  <si>
    <t>Sitio Balete, Bimmotobot</t>
  </si>
  <si>
    <t>Sitio Tiago, Cabaritan Norte</t>
  </si>
  <si>
    <t>Sitio Centru East, Cabaritan Sur</t>
  </si>
  <si>
    <t>Cabaritan Elementart School</t>
  </si>
  <si>
    <t>Sitio Laud, Casilagan</t>
  </si>
  <si>
    <t>Water district</t>
  </si>
  <si>
    <t>Sitio Amianan, Dal-lipaoen</t>
  </si>
  <si>
    <t>Remedios Tamsi Rimando Elementary School</t>
  </si>
  <si>
    <t>Sitio Centro, Dal-lipaoen</t>
  </si>
  <si>
    <t>Daramuangan Integrated School</t>
  </si>
  <si>
    <t>Sitio Pinong, Daramuangan</t>
  </si>
  <si>
    <t>Guesset Elementary School</t>
  </si>
  <si>
    <t>Sitio Sagpat, Guesset</t>
  </si>
  <si>
    <t>Easter Naguilian National High School</t>
  </si>
  <si>
    <t>Sitio Bimmantay, Gusing Norte</t>
  </si>
  <si>
    <t>Gusing Elementary School</t>
  </si>
  <si>
    <t>Northern Naguilian National High School</t>
  </si>
  <si>
    <t>Sitio Lucina, Gusing Sur</t>
  </si>
  <si>
    <t>Gusing Sur Elementary School</t>
  </si>
  <si>
    <t>Sitio Centrum, Imelda</t>
  </si>
  <si>
    <t>Naguilian National High School</t>
  </si>
  <si>
    <t>Purok Maligaya, Imelda, Naguilian, La Union</t>
  </si>
  <si>
    <t>Perez Road, Lioac Norte</t>
  </si>
  <si>
    <t>Sitio Binnal, Lioac Sur</t>
  </si>
  <si>
    <t>Lioac Elementary School</t>
  </si>
  <si>
    <t>Sitio Burnay, Lioac Sur</t>
  </si>
  <si>
    <t>Magungunay Elementary School</t>
  </si>
  <si>
    <t>Sitio Pipias, Magungunay</t>
  </si>
  <si>
    <t>Magungunay</t>
  </si>
  <si>
    <t>Sitio Pubrika, Mamat-ing Norte</t>
  </si>
  <si>
    <t>Mamat-ing Norte Elementary School</t>
  </si>
  <si>
    <t>Mamat-ing Sur Elementary School</t>
  </si>
  <si>
    <t>Sitio Daya, Mamat-ing Sur</t>
  </si>
  <si>
    <t>Mamat-ing Sur</t>
  </si>
  <si>
    <t>Sitio Terre, Nagsidorisan</t>
  </si>
  <si>
    <t>Nagsidorisan Elementary School</t>
  </si>
  <si>
    <t>Sitio Timmog-o, Nagsidorisan</t>
  </si>
  <si>
    <t>P Burgos St, Natividad</t>
  </si>
  <si>
    <t>Dr. HF Belen Elementary School</t>
  </si>
  <si>
    <t>Sitio Damortis, Natividad</t>
  </si>
  <si>
    <t>Naguilian Civic Center</t>
  </si>
  <si>
    <t>Naguilian Senior Citizen's Building</t>
  </si>
  <si>
    <t>P Florendo St., Ortiz</t>
  </si>
  <si>
    <t>Naguilian Central School</t>
  </si>
  <si>
    <t>Naguilian Stand Alone Senior High School</t>
  </si>
  <si>
    <t>Sitio Sirib, Ribsuan</t>
  </si>
  <si>
    <t>Sitio Sapilang, San Antonio</t>
  </si>
  <si>
    <t>Sn Antonio Elementary School</t>
  </si>
  <si>
    <t>Sitio Nangayawan, San Isidro</t>
  </si>
  <si>
    <t>San Isidro Elementary School</t>
  </si>
  <si>
    <t>Sitio Eastern, Sili</t>
  </si>
  <si>
    <t>Don Tomas Elementary School (Ribsuan)</t>
  </si>
  <si>
    <t>Sitio Liwliwa, Sili</t>
  </si>
  <si>
    <t>Sitio Camp Valley, Suguidan Norte</t>
  </si>
  <si>
    <t>Sitio School Site, Suguidan Sur</t>
  </si>
  <si>
    <t>Suguidan Integrated School</t>
  </si>
  <si>
    <t>Sitio Gengania, Tuddingan</t>
  </si>
  <si>
    <t>Tuddingan Elementary School</t>
  </si>
  <si>
    <t>Pugo Evacuation Center</t>
  </si>
  <si>
    <t>Poblacion West, Pugo, L.U.</t>
  </si>
  <si>
    <t>Pugo Central School</t>
  </si>
  <si>
    <t>Pob. East, Pugo, L. U.</t>
  </si>
  <si>
    <t>Ambalite Brgy Hall</t>
  </si>
  <si>
    <t>Brgy Ambalite Pugo, LU</t>
  </si>
  <si>
    <t>Ambangonan Brgy Hall</t>
  </si>
  <si>
    <t>Brgy Ambangonan Pugo, LU</t>
  </si>
  <si>
    <t>Cares Brgy Hall</t>
  </si>
  <si>
    <t>Brgy Cares Pugo, LU</t>
  </si>
  <si>
    <t>Duplas Brgy Hall</t>
  </si>
  <si>
    <t>Brgy Duplas Pugo, LU</t>
  </si>
  <si>
    <t>Maoasoas Sur Brgy Hall</t>
  </si>
  <si>
    <t>Brgy Maoasoas Sur Pugo, LU</t>
  </si>
  <si>
    <t>Maoasoas Norte Brgy Hall</t>
  </si>
  <si>
    <t>Brgy Maoasoas Norte Pugo, LU</t>
  </si>
  <si>
    <t>Palina Brgy Hall</t>
  </si>
  <si>
    <t>Brgy Palina Pugo, LU</t>
  </si>
  <si>
    <t>San Luis Brgy Hall</t>
  </si>
  <si>
    <t>Brgy San Luis Pugo, LU</t>
  </si>
  <si>
    <t>Saytan Brgy Hall</t>
  </si>
  <si>
    <t>Brgy Saytan Pugo, LU</t>
  </si>
  <si>
    <t>Cuenca Brgy Hall</t>
  </si>
  <si>
    <t>Brgy Cuenca Pugo, LU</t>
  </si>
  <si>
    <t>Tavora Proper Brgy Hall</t>
  </si>
  <si>
    <t>Brgy Tavora Proper Pugo, LU</t>
  </si>
  <si>
    <t>Ambalite Elementary School</t>
  </si>
  <si>
    <t>Ambalite, Pugo, La Union</t>
  </si>
  <si>
    <t>Ambangonan Elementary School</t>
  </si>
  <si>
    <t>Ambangonan, Pugo, La Union</t>
  </si>
  <si>
    <t>Pugo Central National High School</t>
  </si>
  <si>
    <t>Dacnap, Cares, Pugo, La Union</t>
  </si>
  <si>
    <t>Cuenca National High School</t>
  </si>
  <si>
    <t>Cuenca, Pugo, La Union</t>
  </si>
  <si>
    <t>San Luis National High School School</t>
  </si>
  <si>
    <t>San Luis, Pugo, La Union</t>
  </si>
  <si>
    <t>Maoasoas National High School</t>
  </si>
  <si>
    <t>Maoasoas Sur, Pugo, La Union</t>
  </si>
  <si>
    <t>Maoasoas Annex Elementary School</t>
  </si>
  <si>
    <t>Maoasoas Norte, Pugo, La Union</t>
  </si>
  <si>
    <t>Tavora Elementary School</t>
  </si>
  <si>
    <t>Tavora Proper, Pugo, La Union</t>
  </si>
  <si>
    <t>Palina Elementary School</t>
  </si>
  <si>
    <t>Palina, Pugo, La Union</t>
  </si>
  <si>
    <t>Palina Annex Exlementary School</t>
  </si>
  <si>
    <t>Kagaling, Palina, Pugo, La Union</t>
  </si>
  <si>
    <t>Saytan Integrated School</t>
  </si>
  <si>
    <t>Saytan Pugo, La Union</t>
  </si>
  <si>
    <t>Alipang National High School</t>
  </si>
  <si>
    <t>Barangay Alipang, Rosario, La Union</t>
  </si>
  <si>
    <t>Alipang Nature's Park Bldg</t>
  </si>
  <si>
    <t>Amlang-Nagtagaan Elementary and High School</t>
  </si>
  <si>
    <t>Barangay Amlang, Rosario, La Union</t>
  </si>
  <si>
    <t>Bani Elementary School</t>
  </si>
  <si>
    <t>Barangay Bani, Rosario, La Union</t>
  </si>
  <si>
    <t>Earthquake,Typhoon,Tsunami</t>
  </si>
  <si>
    <t>Benteng-Sapilang Elementary School</t>
  </si>
  <si>
    <t>Barangay Benteng-Sapilang, Rosario, La Union</t>
  </si>
  <si>
    <t>Cadumanian Elementary School</t>
  </si>
  <si>
    <t>Barangay Cadumanian, Rosario, La Union</t>
  </si>
  <si>
    <t>Carunoan Elementary School</t>
  </si>
  <si>
    <t>Barangay Carunoan East, Rosario, La Union</t>
  </si>
  <si>
    <t>Barangay Casilagan, Rosario, La Union</t>
  </si>
  <si>
    <t>Cataguingtingan Elementary School</t>
  </si>
  <si>
    <t>Barangay Cataguingtingan, Rosario, La Union</t>
  </si>
  <si>
    <t>Rosario Civic Center</t>
  </si>
  <si>
    <t>Public plaza, Poblacion East, Rosario, La Union</t>
  </si>
  <si>
    <t>CONDURA Damortis Building</t>
  </si>
  <si>
    <t>Barangay Damortis, Rosario, La Union</t>
  </si>
  <si>
    <t>Damortis Water System</t>
  </si>
  <si>
    <t>Don Mariano Marcos Memorial State University DMMMSU-Nagtagaan</t>
  </si>
  <si>
    <t>Barangay Nagtagaan, Rosario, La Union</t>
  </si>
  <si>
    <t>Don Jose Bernal Elementary School</t>
  </si>
  <si>
    <t>Barangay Concepcion, Rosario, La Union</t>
  </si>
  <si>
    <t>Rosario Evacuation Center</t>
  </si>
  <si>
    <t>Government Center, Poblacion East, Rosario, La Union</t>
  </si>
  <si>
    <t>Gumot-Nagcolaran Elementary School</t>
  </si>
  <si>
    <t>Barangay Gumot-Nagcolaran, Rosario, La Union</t>
  </si>
  <si>
    <t>Inabaan Elementary School</t>
  </si>
  <si>
    <t>Barangay Inabaan Norte, Rosario, La Union</t>
  </si>
  <si>
    <t>Marcos Elementary School</t>
  </si>
  <si>
    <t>Barangay Marcos, Rosario, La Union</t>
  </si>
  <si>
    <t>Parasapas Elementary and National High School</t>
  </si>
  <si>
    <t>Barangay Parasapas, Rosario, La Union</t>
  </si>
  <si>
    <t>PUSUNANGTATAY Building</t>
  </si>
  <si>
    <t>Barangay Puzon, Rosario, La Union</t>
  </si>
  <si>
    <t>Rosario Government Center</t>
  </si>
  <si>
    <t>Barangay Poblacion East, Rosario, La Union</t>
  </si>
  <si>
    <t>Rosario Integrated School (RIS)</t>
  </si>
  <si>
    <t>Rosario Multi-Purpose Building/Farmers Center</t>
  </si>
  <si>
    <t>Rosario Sport Center/Covered Court</t>
  </si>
  <si>
    <t>Udiao Elementary School</t>
  </si>
  <si>
    <t>Barangay Udiao, Rosario, La Union</t>
  </si>
  <si>
    <t>Vila Elementary School</t>
  </si>
  <si>
    <t>Barangay Vila, Rosario, La Union</t>
  </si>
  <si>
    <t>Alipang Barangay Hall</t>
  </si>
  <si>
    <t>Ambangonan Barangay Hall</t>
  </si>
  <si>
    <t>Barangay Ambangonan, Rosario, La Union</t>
  </si>
  <si>
    <t>Amlang Barangay Hall</t>
  </si>
  <si>
    <t>Amlang Water System</t>
  </si>
  <si>
    <t>Bacani Barangay Hall</t>
  </si>
  <si>
    <t>Barangay Bacani, Rosario, La Union</t>
  </si>
  <si>
    <t>Rosario Water District</t>
  </si>
  <si>
    <t>Bangar Barangay Hall</t>
  </si>
  <si>
    <t>Barangay Bangar, Rosario, La Union</t>
  </si>
  <si>
    <t>Bangar Water System</t>
  </si>
  <si>
    <t>Bani Barangay Hall</t>
  </si>
  <si>
    <t>Bani Water System</t>
  </si>
  <si>
    <t>Benteng-Sapilang Barangay Hall</t>
  </si>
  <si>
    <t>Benteng-Sapilang Water System</t>
  </si>
  <si>
    <t>Cadumanian Barangay Hall</t>
  </si>
  <si>
    <t>Camp One Barangay Hall-Kennon Road Junction</t>
  </si>
  <si>
    <t>Barangay Camp One, Rosario, La Union</t>
  </si>
  <si>
    <t>Camp One-Udiao Waterworks Association</t>
  </si>
  <si>
    <t>Carunoan East Barangay Hall</t>
  </si>
  <si>
    <t>Carunoan West Barangay Hall</t>
  </si>
  <si>
    <t>Barangay Carunoan West, Rosario, La Union</t>
  </si>
  <si>
    <t>Carunoan West Water System</t>
  </si>
  <si>
    <t>Cataguingtingan Barangay Hall</t>
  </si>
  <si>
    <t>Damortis Brgy. Hall/PNR Station</t>
  </si>
  <si>
    <t>Damortis Waterworks Association</t>
  </si>
  <si>
    <t>Gumot-Nagcolaran Barangay Hall</t>
  </si>
  <si>
    <t>Inabaan Norte Barangay Hall</t>
  </si>
  <si>
    <t>Inabaan Norte Water System</t>
  </si>
  <si>
    <t>Inabaan Sur Barangay Hall</t>
  </si>
  <si>
    <t>Barangay Inabaan Sur, Rosario, La Union</t>
  </si>
  <si>
    <t>Marcos Barangay Hall</t>
  </si>
  <si>
    <t>Nagtagaan Barangay Hall</t>
  </si>
  <si>
    <t>Nangcamotian Barangay Hall</t>
  </si>
  <si>
    <t>Barangay Nangcamotian, Rosario, La Union</t>
  </si>
  <si>
    <t>Parasapas Barangay Hall</t>
  </si>
  <si>
    <t>Parasapas Water System</t>
  </si>
  <si>
    <t>Poblacion East Farmer's Center</t>
  </si>
  <si>
    <t>Poblacion East Water System</t>
  </si>
  <si>
    <t>Poblacion West Brgy. Hall</t>
  </si>
  <si>
    <t>Barangay Poblacion West, Rosario, La Union</t>
  </si>
  <si>
    <t>Poblacion West Water System</t>
  </si>
  <si>
    <t>Puzon Barangay Hall</t>
  </si>
  <si>
    <t>Puzon Water System</t>
  </si>
  <si>
    <t>Rabon Barangay Hall</t>
  </si>
  <si>
    <t>Barangay Rabon, Rosario, La Union</t>
  </si>
  <si>
    <t>Rabon Water System</t>
  </si>
  <si>
    <t>Barangay San Jose, Rosario, La Union</t>
  </si>
  <si>
    <t>San Jose Water System</t>
  </si>
  <si>
    <t>Subusub Barangay Hall</t>
  </si>
  <si>
    <t>Barangay Subusub, Rosario, La Union</t>
  </si>
  <si>
    <t>Subusub Water System</t>
  </si>
  <si>
    <t>Tabtabungao Barangay Hall</t>
  </si>
  <si>
    <t>Barangay Tabtabungao, Rosario, La Union</t>
  </si>
  <si>
    <t>Tabtabungao Water System</t>
  </si>
  <si>
    <t>Tanglag Barangay Hall</t>
  </si>
  <si>
    <t>Barangay Tanglag, Rosario, La Union</t>
  </si>
  <si>
    <t>Tanglag Water System</t>
  </si>
  <si>
    <t>Tay-ac Barangay Hall</t>
  </si>
  <si>
    <t>Barangay Tay-ac, Rosario, La Union</t>
  </si>
  <si>
    <t>Tay-ac Water System</t>
  </si>
  <si>
    <t>Udiao Barangay Hall</t>
  </si>
  <si>
    <t>Vila Barangay Hall</t>
  </si>
  <si>
    <t>Vila Water System</t>
  </si>
  <si>
    <t>City of San Fernando</t>
  </si>
  <si>
    <t>4TH FLOOR MARCOS BLDG</t>
  </si>
  <si>
    <t>MARCOS BLDG OF CITY HALL, F. ORTEGA HIGHWAY, BRGY 1, CITY OF SAN FERNANDO, LA UNION</t>
  </si>
  <si>
    <t>BOTTLED WATER/ WATER REFILLING STATION</t>
  </si>
  <si>
    <t>LIGA NG MGA BARANGAY HALL</t>
  </si>
  <si>
    <t>CITY HALL COMPOUND, BRGY 1, CITY OF SAN FERNANDO, LA UNION</t>
  </si>
  <si>
    <t>SENIOR CITIZEN MULTIPURPOSE HALL</t>
  </si>
  <si>
    <t>BARANGAY HALL COMPOUND, MABILI ST.,  CATBANGEN, CITY OF SAN FERNANDO, LA UNION</t>
  </si>
  <si>
    <t>TANQUI BRGY HALL</t>
  </si>
  <si>
    <t>TANQUI, CITY OF SAN FERNANDO, LA UNION</t>
  </si>
  <si>
    <t>TANQUI DAY CARE CENTER</t>
  </si>
  <si>
    <t>BIDAY BRGY HALL DAY CARE CENTER</t>
  </si>
  <si>
    <t>DIVERSION RD., SITIO 1, BIDAY, CITY OF SAN FERNANDO, LA UNION</t>
  </si>
  <si>
    <t>CABAROAN BARANGAY HALL &amp; HEALTH STATION</t>
  </si>
  <si>
    <t>JF LAUDENCIA ST., PUROK 2, CABAROAN, CITY OF SAN FERNANDO, LA UNION</t>
  </si>
  <si>
    <t>OGUCHI RESIDENCE</t>
  </si>
  <si>
    <t>393 ZONE 6 CABAROAN, CITY OF SAN FERNANDO, LA UNION</t>
  </si>
  <si>
    <t>ROMAN CATHOLIC CHURCH</t>
  </si>
  <si>
    <t>PUROK 4, SEVILLA, CITY OF SAN FERNANDO, LA UNION</t>
  </si>
  <si>
    <t>MADAYEGDEG BARANGAY HALL</t>
  </si>
  <si>
    <t>MADAYEGDEG, CITY OF SAN FERNANDO, LA UNION</t>
  </si>
  <si>
    <t>SAN FRANCISCO BARANGAY HALL &amp; DAY CARE CENTER</t>
  </si>
  <si>
    <t>PUROK 2, SAN FRANCISCO, CITY OF SAN FERNANDO, LA UNION</t>
  </si>
  <si>
    <t>GALVEZ RESIDENCE</t>
  </si>
  <si>
    <t>DON JOAQUIN ORTEGA AVE., SAN AGUSTIN, CITY OF SAN FERNANDO, LA UNION</t>
  </si>
  <si>
    <t>GRACE EAST CHURCH (KOREAN CHURCH)</t>
  </si>
  <si>
    <t>PUROK 2, SHIPSIDE HOUSING AREA, DON JOAQUIN ORTEGA AVENUE, SAN AGUSTIN, CITY OF SAN FERNANDO, LA UNION</t>
  </si>
  <si>
    <t>30-40</t>
  </si>
  <si>
    <t>180-220</t>
  </si>
  <si>
    <t>CATBANGEN CENTRAL SCHOOL</t>
  </si>
  <si>
    <t>MABINI STREET, CATBANGEN, CITY OF SAN FERNANDO, LA UNION</t>
  </si>
  <si>
    <t>LINGSAT ELEMENTARY SCHOOL</t>
  </si>
  <si>
    <t>LINGSAT, CITY OF SAN FERNANDO, LA UNION</t>
  </si>
  <si>
    <t>1 / ROOM</t>
  </si>
  <si>
    <t>BARANGAY I</t>
  </si>
  <si>
    <t>Bottled Water</t>
  </si>
  <si>
    <t>Brgy Hall Purok 2</t>
  </si>
  <si>
    <t>BARANGAY II</t>
  </si>
  <si>
    <t>Covered area Ortega St</t>
  </si>
  <si>
    <t>BARANGAY III</t>
  </si>
  <si>
    <t>BrgyHall Zone 2</t>
  </si>
  <si>
    <t>BARANGAY IV</t>
  </si>
  <si>
    <t>BrgyHall Zone 3</t>
  </si>
  <si>
    <t>ABUT</t>
  </si>
  <si>
    <t>APALENG</t>
  </si>
  <si>
    <t>BrgyHall</t>
  </si>
  <si>
    <t>BACSIL</t>
  </si>
  <si>
    <t>Health and wellness Center</t>
  </si>
  <si>
    <t>Solar Dryer (open area)</t>
  </si>
  <si>
    <t xml:space="preserve">Elementary School </t>
  </si>
  <si>
    <t>BANGBANGOLAN</t>
  </si>
  <si>
    <t>20 per room</t>
  </si>
  <si>
    <t>BANGCUSAY</t>
  </si>
  <si>
    <t>BARAOAS</t>
  </si>
  <si>
    <t>Bato-Day Care Center</t>
  </si>
  <si>
    <t>BATO</t>
  </si>
  <si>
    <t>51.3sq.m</t>
  </si>
  <si>
    <t>Bato-Teen Center</t>
  </si>
  <si>
    <t>Bato-BDRRMC</t>
  </si>
  <si>
    <t>BIDAY</t>
  </si>
  <si>
    <t>Daycare</t>
  </si>
  <si>
    <t>Brgyhall</t>
  </si>
  <si>
    <t>BIRUNGET</t>
  </si>
  <si>
    <t>BUNGRO</t>
  </si>
  <si>
    <t>Cabaroan-Teen Center</t>
  </si>
  <si>
    <t>CABAROAN</t>
  </si>
  <si>
    <t>Cabaroan-Day Care Center</t>
  </si>
  <si>
    <t>Cabaroan-VAWC room</t>
  </si>
  <si>
    <t>CABARSICAN</t>
  </si>
  <si>
    <t>CADACLAN</t>
  </si>
  <si>
    <t>Sping</t>
  </si>
  <si>
    <t>60(10 per rm)</t>
  </si>
  <si>
    <t>CALABUGAO</t>
  </si>
  <si>
    <t>Old Brgyhall</t>
  </si>
  <si>
    <t>CAMANSI</t>
  </si>
  <si>
    <t>Canaoay Elem School</t>
  </si>
  <si>
    <t>CANAOAY</t>
  </si>
  <si>
    <t>30/room</t>
  </si>
  <si>
    <t>Canaoay brgy Hall</t>
  </si>
  <si>
    <t>CARLATAN</t>
  </si>
  <si>
    <t>Basketball court</t>
  </si>
  <si>
    <t>Lingsat Integrated School</t>
  </si>
  <si>
    <t>Brgy Purpose Hall</t>
  </si>
  <si>
    <t>CATBANGEN</t>
  </si>
  <si>
    <t>Catbangen Daycare</t>
  </si>
  <si>
    <t>10 sqm/room</t>
  </si>
  <si>
    <t>DALLANGAYAN ESTE</t>
  </si>
  <si>
    <t>DALLANGAYAN OESTE</t>
  </si>
  <si>
    <t>DALUMPINAS ESTE</t>
  </si>
  <si>
    <t>Chapel Holy Gardens</t>
  </si>
  <si>
    <t>DALUMPINAS OESTE</t>
  </si>
  <si>
    <t>ILOCANOS NORTE</t>
  </si>
  <si>
    <t>ILOCANOS SUR</t>
  </si>
  <si>
    <t>LANGCUAS</t>
  </si>
  <si>
    <t>LINGSAT OLD CHURCH</t>
  </si>
  <si>
    <t>LINGSAT</t>
  </si>
  <si>
    <t>MADAYEGDEG</t>
  </si>
  <si>
    <t>MAMELTAC</t>
  </si>
  <si>
    <t>BrgyHall and Covered court</t>
  </si>
  <si>
    <t>NAGYUBUYUBAN</t>
  </si>
  <si>
    <t>80-100</t>
  </si>
  <si>
    <t>Brgy health center</t>
  </si>
  <si>
    <t>CDC Bldg.</t>
  </si>
  <si>
    <t>BrgyHall/Teen Center</t>
  </si>
  <si>
    <t>NAMTUTAN</t>
  </si>
  <si>
    <t>NARRA ESTE</t>
  </si>
  <si>
    <t>NARRA OESTE</t>
  </si>
  <si>
    <t>PACPACO</t>
  </si>
  <si>
    <t>BRGY HALL</t>
  </si>
  <si>
    <t>PAGDALAGAN</t>
  </si>
  <si>
    <t>Our lady of perpetual help</t>
  </si>
  <si>
    <t>PAGDARAOAN</t>
  </si>
  <si>
    <t>Green Power Building</t>
  </si>
  <si>
    <t>Greenhills Subdivision Sea and Sky Colege</t>
  </si>
  <si>
    <t>Miracle Church</t>
  </si>
  <si>
    <t>PAGUDPUD BARANGAY HALL</t>
  </si>
  <si>
    <t>PAGUDPUD INTEGRATED SCHOOL</t>
  </si>
  <si>
    <t>Covered court beside Brgyhall</t>
  </si>
  <si>
    <t>PAO NORTE</t>
  </si>
  <si>
    <t>Brgy Health wellness</t>
  </si>
  <si>
    <t>PAO SUR</t>
  </si>
  <si>
    <t>PARIAN</t>
  </si>
  <si>
    <t>40-60</t>
  </si>
  <si>
    <t>Chapel</t>
  </si>
  <si>
    <t>PIAS</t>
  </si>
  <si>
    <t>PORO PAVILLION (NEAR BARANGAY HALL)</t>
  </si>
  <si>
    <t>PORO</t>
  </si>
  <si>
    <t>25-30</t>
  </si>
  <si>
    <t>PORO ST. JUDE</t>
  </si>
  <si>
    <t>PUSPUS</t>
  </si>
  <si>
    <t>Bottled Water/Spring</t>
  </si>
  <si>
    <t>spring/deep well</t>
  </si>
  <si>
    <t>Brgyhealth center</t>
  </si>
  <si>
    <t>SACYUD</t>
  </si>
  <si>
    <t>Sacyud Elem school</t>
  </si>
  <si>
    <t>High school</t>
  </si>
  <si>
    <t>SAGAYAD</t>
  </si>
  <si>
    <t>SAN AGUSTIN</t>
  </si>
  <si>
    <t>Jesus rain</t>
  </si>
  <si>
    <t>SAPES</t>
  </si>
  <si>
    <t>SAN FRANCISCO</t>
  </si>
  <si>
    <t xml:space="preserve">Covered court </t>
  </si>
  <si>
    <t>SANTIAGO NORTE</t>
  </si>
  <si>
    <t>Functionhall- Covered court</t>
  </si>
  <si>
    <t>SANTIAGO SUR</t>
  </si>
  <si>
    <t>Brgyhall and Lying in</t>
  </si>
  <si>
    <t>SAOAY</t>
  </si>
  <si>
    <t>SEVILLA</t>
  </si>
  <si>
    <t>Balay Pagkamangan</t>
  </si>
  <si>
    <t>SIBUAN-OTONG</t>
  </si>
  <si>
    <t>TANQUI SENIOR CITIZEN OFFICE</t>
  </si>
  <si>
    <t>TANQUI</t>
  </si>
  <si>
    <t>TANQUIGAN</t>
  </si>
  <si>
    <t>Tanquigan Elem school</t>
  </si>
  <si>
    <t>per room</t>
  </si>
  <si>
    <t>Cassahuevos</t>
  </si>
  <si>
    <t>San Gabriel</t>
  </si>
  <si>
    <t>Mostly surface water of springs distributed to the barangays by pipe systems</t>
  </si>
  <si>
    <t>Bucao</t>
  </si>
  <si>
    <t>San Gabriel Covered Court</t>
  </si>
  <si>
    <t>San Gabriel Central School</t>
  </si>
  <si>
    <t>Bumbuneg</t>
  </si>
  <si>
    <t>Bumbuneg Elementary School</t>
  </si>
  <si>
    <t>Bucao Senior Citizen’s Hall</t>
  </si>
  <si>
    <t>Lipay Sur</t>
  </si>
  <si>
    <t>Antonino Elementary School</t>
  </si>
  <si>
    <t>Lipay Norte</t>
  </si>
  <si>
    <t>Lipay Proper</t>
  </si>
  <si>
    <t>Polipol</t>
  </si>
  <si>
    <t>Polipol Elem. School</t>
  </si>
  <si>
    <t>Lacong</t>
  </si>
  <si>
    <t>Lacong Elementary School</t>
  </si>
  <si>
    <t>Lacong Annex</t>
  </si>
  <si>
    <t>Daking</t>
  </si>
  <si>
    <t>Balbalayang</t>
  </si>
  <si>
    <t>Balbalayang High School</t>
  </si>
  <si>
    <t>Sisi Elementary School</t>
  </si>
  <si>
    <t>Amontoc</t>
  </si>
  <si>
    <t>Siwsiwan Elementary School</t>
  </si>
  <si>
    <t>Amontoc Elementary School</t>
  </si>
  <si>
    <t>Apayao</t>
  </si>
  <si>
    <t>Nayba Elementary School</t>
  </si>
  <si>
    <t>Lon-oy</t>
  </si>
  <si>
    <t>Lon-oy Elementary School</t>
  </si>
  <si>
    <t>Bayabas</t>
  </si>
  <si>
    <t>Bayabas Elementary School</t>
  </si>
  <si>
    <t>SAN JUAN GYMNASIUM</t>
  </si>
  <si>
    <t>Brgy. Ili Sur</t>
  </si>
  <si>
    <t>Water Network</t>
  </si>
  <si>
    <t>Water Tanks</t>
  </si>
  <si>
    <t>(not set )</t>
  </si>
  <si>
    <t>LUBING COVERED COURT</t>
  </si>
  <si>
    <t>Brgy. Lubing</t>
  </si>
  <si>
    <t>URBIZTONDO COVERED COURT</t>
  </si>
  <si>
    <t>Brgy. Urbiztondo</t>
  </si>
  <si>
    <t>SAN JUAN CENTRAL SCHOOL</t>
  </si>
  <si>
    <t>NAGUITUBAN ELEMENTARY SCHOOL</t>
  </si>
  <si>
    <t>Brgy. Naguituban</t>
  </si>
  <si>
    <t>LUBING ELEMENTARY SCHOOL</t>
  </si>
  <si>
    <t>URBIZTONDO ELEMENTARY SCHOOL</t>
  </si>
  <si>
    <t>Brgy. Panicsican</t>
  </si>
  <si>
    <t>STO. ROSARIO NATIONAL HIGH SCHOOL</t>
  </si>
  <si>
    <t>Brgy. Sto. Rosario</t>
  </si>
  <si>
    <t>SN. FELIPE ELEMENTARY SCHOOL</t>
  </si>
  <si>
    <t>Brgy. San Felipe</t>
  </si>
  <si>
    <t>LEGLEG ELEMENTARY SCHOOL</t>
  </si>
  <si>
    <t>Brgy. Legleg</t>
  </si>
  <si>
    <t>DASAY ELEMENTARY SCHOOL</t>
  </si>
  <si>
    <t>Brgy. Dasay</t>
  </si>
  <si>
    <t>BALBALLOSA ELEMENTARY SCHOOL</t>
  </si>
  <si>
    <t>Brgy. Balballosa</t>
  </si>
  <si>
    <t>SAN JUAN SENIOR HIGH SCHOOL</t>
  </si>
  <si>
    <t>CABAROAN COVERED COURT</t>
  </si>
  <si>
    <t>Brgy. Cabaroan</t>
  </si>
  <si>
    <t>STA. ROSA COVERED COURT</t>
  </si>
  <si>
    <t>Brgy. Sta Rosa</t>
  </si>
  <si>
    <t>TABOC COVERED COURT</t>
  </si>
  <si>
    <t>Brgy. Taboc</t>
  </si>
  <si>
    <t>Santol</t>
  </si>
  <si>
    <t>SANTOL COVERED COURT</t>
  </si>
  <si>
    <t>Typhoon, Earthquake,Flood</t>
  </si>
  <si>
    <t>Deep Well/Bottled</t>
  </si>
  <si>
    <t>MSWDO Building</t>
  </si>
  <si>
    <t>Santol Voc. High School</t>
  </si>
  <si>
    <t>Santol Central School</t>
  </si>
  <si>
    <t>Mangaan Barangay Hall</t>
  </si>
  <si>
    <t>MANGAAN</t>
  </si>
  <si>
    <t>Mangaan Elem. School</t>
  </si>
  <si>
    <t>Paagan Brg. Hall</t>
  </si>
  <si>
    <t>PAAGAN</t>
  </si>
  <si>
    <t>Paagan Elementary School</t>
  </si>
  <si>
    <t>Corro-oy Brgy. Hall</t>
  </si>
  <si>
    <t>CORRO-OY</t>
  </si>
  <si>
    <t>Corro-oy Elem School</t>
  </si>
  <si>
    <t>Corro-oy Natonal High School</t>
  </si>
  <si>
    <t>Lettac Norte Brgy. Hall</t>
  </si>
  <si>
    <t>LETTAC NORTE</t>
  </si>
  <si>
    <t>Lettac Norte Elem. School</t>
  </si>
  <si>
    <t>Lettac Sur Brgy. Hall</t>
  </si>
  <si>
    <t>LETTAC SUR</t>
  </si>
  <si>
    <t>Banbanaba Elem. School</t>
  </si>
  <si>
    <t>Ramot Brgy. Hall</t>
  </si>
  <si>
    <t>RAMOT</t>
  </si>
  <si>
    <t>Ramot Primary School</t>
  </si>
  <si>
    <t>Puguil Brgy. Hall</t>
  </si>
  <si>
    <t>PUGUIL</t>
  </si>
  <si>
    <t>Liguay Elem. School</t>
  </si>
  <si>
    <t>SVHS-Liguay Annex</t>
  </si>
  <si>
    <t>Sasaba Brgy. Hall</t>
  </si>
  <si>
    <t>SASABA</t>
  </si>
  <si>
    <t>Bay-o Integrated School</t>
  </si>
  <si>
    <t>Tubaday Brgy. Hall</t>
  </si>
  <si>
    <t>TUBADAY</t>
  </si>
  <si>
    <t>Tubaday Primary School</t>
  </si>
  <si>
    <t>Pisnadan Primary School</t>
  </si>
  <si>
    <t>Sapdaan Brgy. Hall</t>
  </si>
  <si>
    <t>SAPDAAN</t>
  </si>
  <si>
    <t>Sapdaan Elem. School</t>
  </si>
  <si>
    <t>Ambitacay Elem. School</t>
  </si>
  <si>
    <t>Ambitacay Multi-Purpose Hall</t>
  </si>
  <si>
    <t>Bail Elem. School</t>
  </si>
  <si>
    <t>Bail</t>
  </si>
  <si>
    <t>Bail National High School</t>
  </si>
  <si>
    <t>Bail Multi-Purpose Hall</t>
  </si>
  <si>
    <t>Balaoc Elem. School</t>
  </si>
  <si>
    <t>Balaoc</t>
  </si>
  <si>
    <t>Balaoc Multi-Purpose Hall</t>
  </si>
  <si>
    <t>Balsaan Multi-Purpose Hall</t>
  </si>
  <si>
    <t>Balsaan</t>
  </si>
  <si>
    <t>Cabaruan Integrated School</t>
  </si>
  <si>
    <t>Cabaruan</t>
  </si>
  <si>
    <t>Cabaruan Multi-Purpose Hall</t>
  </si>
  <si>
    <t>Casilagan Elem. School</t>
  </si>
  <si>
    <t>Casilagan</t>
  </si>
  <si>
    <t>Cupang Integrated School</t>
  </si>
  <si>
    <t>Cupang</t>
  </si>
  <si>
    <t>Cupang Multi-Purpose Hall</t>
  </si>
  <si>
    <t>Damortis Elem. School</t>
  </si>
  <si>
    <t>Damortis</t>
  </si>
  <si>
    <t>Damortis National High School</t>
  </si>
  <si>
    <t>Damortis Multi-Purpose Hall</t>
  </si>
  <si>
    <t>Fernando Elem, School</t>
  </si>
  <si>
    <t>Fernando</t>
  </si>
  <si>
    <t>Fernando Multi-Purpose Hall</t>
  </si>
  <si>
    <t>Linong Multi Purpose Hall</t>
  </si>
  <si>
    <t>Linong</t>
  </si>
  <si>
    <t>Lomboy Multi-Purpose Hall</t>
  </si>
  <si>
    <t>Malabago Multi-Purpose Hall</t>
  </si>
  <si>
    <t>Malabago</t>
  </si>
  <si>
    <t>Namboongan Elem. School</t>
  </si>
  <si>
    <t>Namboongan</t>
  </si>
  <si>
    <t>Namboongan Multi-Purpose Hall</t>
  </si>
  <si>
    <t>Namonitan Multi-Purpose Hall</t>
  </si>
  <si>
    <t>Namonitan</t>
  </si>
  <si>
    <t>Narvacan Elem. School</t>
  </si>
  <si>
    <t>Narvacan Multi-Purpose Hall</t>
  </si>
  <si>
    <t>Patac Elem. School</t>
  </si>
  <si>
    <t>Patac</t>
  </si>
  <si>
    <t>Patac Multi-Purpose Hall</t>
  </si>
  <si>
    <t>People's Hall</t>
  </si>
  <si>
    <t>Santo Tomas Nat. High School</t>
  </si>
  <si>
    <t>Santo Tomas Central School</t>
  </si>
  <si>
    <t>St. Mary of the Sea Academy</t>
  </si>
  <si>
    <t>Poblacion Multi-Purpose Hall</t>
  </si>
  <si>
    <t>Pongpong Elem. School</t>
  </si>
  <si>
    <t>Pongpong</t>
  </si>
  <si>
    <t>Pongpong Multi-Purpose Hall</t>
  </si>
  <si>
    <t>Raois Multi-Purpose Hall</t>
  </si>
  <si>
    <t>Raois</t>
  </si>
  <si>
    <t>Tococ Elem. School</t>
  </si>
  <si>
    <t>Tococ</t>
  </si>
  <si>
    <t>Tococ Multi-Purpose Hall</t>
  </si>
  <si>
    <t>Tubod Multi-Purpose Hall</t>
  </si>
  <si>
    <t>Tubod</t>
  </si>
  <si>
    <t>DMMMSU-College of Fisheries</t>
  </si>
  <si>
    <t>Ubagan</t>
  </si>
  <si>
    <t>Ubagan Elem. School</t>
  </si>
  <si>
    <t>Ubagan Multi-Purpose Hall</t>
  </si>
  <si>
    <t>Sudipen</t>
  </si>
  <si>
    <t>Mun. Evacuation Center</t>
  </si>
  <si>
    <t>Brgy. Bulalaan</t>
  </si>
  <si>
    <t>Brgy. Bibiga</t>
  </si>
  <si>
    <t>Brgy. Castro</t>
  </si>
  <si>
    <t>Brgy. Duplas</t>
  </si>
  <si>
    <t>Ilocano</t>
  </si>
  <si>
    <t>Ipet</t>
  </si>
  <si>
    <t>Maliclico</t>
  </si>
  <si>
    <t>Namaltugan</t>
  </si>
  <si>
    <t>Old Central</t>
  </si>
  <si>
    <t>Porporiket</t>
  </si>
  <si>
    <t>San Francisco Norte</t>
  </si>
  <si>
    <t>San Francisco Sur</t>
  </si>
  <si>
    <t>Seng-ngat</t>
  </si>
  <si>
    <t>Turod</t>
  </si>
  <si>
    <t>Up-uplas</t>
  </si>
  <si>
    <t>Castro Elem. School</t>
  </si>
  <si>
    <t>Castro</t>
  </si>
  <si>
    <t>Duplas Elementary School</t>
  </si>
  <si>
    <t>Duplas</t>
  </si>
  <si>
    <t>Duplas Nat'l. High School</t>
  </si>
  <si>
    <t>Sudipen Vocational</t>
  </si>
  <si>
    <t>OS Nat'l. High School</t>
  </si>
  <si>
    <t>Sudipen Central School</t>
  </si>
  <si>
    <t>Porporiket Elem. School</t>
  </si>
  <si>
    <t>San Fancisco Nat'l. High School</t>
  </si>
  <si>
    <t>San Fancisco Sur</t>
  </si>
  <si>
    <t>San Jose Elem. School</t>
  </si>
  <si>
    <t>Seng-ngat Elem. School</t>
  </si>
  <si>
    <t>Up-uplas Elem.; School</t>
  </si>
  <si>
    <t>Tubao</t>
  </si>
  <si>
    <t>Municipal Evacuation Center Municipal Hall, Tubao</t>
  </si>
  <si>
    <t>Poblacion (under construction)</t>
  </si>
  <si>
    <t xml:space="preserve">Earthquake,Typhoon </t>
  </si>
  <si>
    <t>under construction</t>
  </si>
  <si>
    <t>Tubao National High School</t>
  </si>
  <si>
    <t>Francia West</t>
  </si>
  <si>
    <t>bottled water</t>
  </si>
  <si>
    <t>Francia West Brgy Hall</t>
  </si>
  <si>
    <t>Amallapay Brgy Hall</t>
  </si>
  <si>
    <t>Amallapay</t>
  </si>
  <si>
    <t>deepwell, spring</t>
  </si>
  <si>
    <t>Amallapay Health Station</t>
  </si>
  <si>
    <t>Amallapay Elem School</t>
  </si>
  <si>
    <t>Amallapay Child Development Center</t>
  </si>
  <si>
    <t>Anduyan Elem School</t>
  </si>
  <si>
    <t>Anduyan</t>
  </si>
  <si>
    <t>Anduyan National High School</t>
  </si>
  <si>
    <t>Anduyan Multipurpose Hall</t>
  </si>
  <si>
    <t xml:space="preserve"> Anduyan Auditorium</t>
  </si>
  <si>
    <t>Anduyan Child Development Center</t>
  </si>
  <si>
    <t>Caoigue Elem School</t>
  </si>
  <si>
    <t>Caoigue</t>
  </si>
  <si>
    <t>Bottled water</t>
  </si>
  <si>
    <t>deepwell/spring</t>
  </si>
  <si>
    <t>Caoguie Brgy Hall</t>
  </si>
  <si>
    <t>Francia Sur Elem School</t>
  </si>
  <si>
    <t>Francia Sur</t>
  </si>
  <si>
    <t>Francia Sur Brgy Hall</t>
  </si>
  <si>
    <t>Gonzales Civic Center</t>
  </si>
  <si>
    <t>Gonzales</t>
  </si>
  <si>
    <t xml:space="preserve">Earthquake,Typhoon 
</t>
  </si>
  <si>
    <t>Halog East Elem School</t>
  </si>
  <si>
    <t>Halog East</t>
  </si>
  <si>
    <t>Halog East Child Development Center</t>
  </si>
  <si>
    <t>Halog West Brgy. Hall</t>
  </si>
  <si>
    <t>Halog West</t>
  </si>
  <si>
    <t>Leones West Multi Purpose Hall</t>
  </si>
  <si>
    <t>Leones West</t>
  </si>
  <si>
    <t>Leones East Brgy Hall</t>
  </si>
  <si>
    <t>Leones East</t>
  </si>
  <si>
    <t>Leones East Covered Court</t>
  </si>
  <si>
    <t>Lloren Elem School</t>
  </si>
  <si>
    <t>Lloren</t>
  </si>
  <si>
    <t>Lloren Brgy Hall</t>
  </si>
  <si>
    <t>Garcia Brgy Hall</t>
  </si>
  <si>
    <t>Garcia</t>
  </si>
  <si>
    <t>water network (mawi</t>
  </si>
  <si>
    <t>Garcia Child Development Center</t>
  </si>
  <si>
    <t>Magsaysay Brgy Hall</t>
  </si>
  <si>
    <t>Magsaysay</t>
  </si>
  <si>
    <t>Magsaysay Child Development Center</t>
  </si>
  <si>
    <t>Earthquake,Typhoon
Drought, Groundshaking</t>
  </si>
  <si>
    <t>Pideg Elem School</t>
  </si>
  <si>
    <t>Pideg</t>
  </si>
  <si>
    <t>Pideg Covered Court</t>
  </si>
  <si>
    <t>Linapew Brgy Hall</t>
  </si>
  <si>
    <t>Linapew</t>
  </si>
  <si>
    <t>Linapew covered court</t>
  </si>
  <si>
    <t>LInapew</t>
  </si>
  <si>
    <t>sping</t>
  </si>
  <si>
    <t>Linapew Health Station</t>
  </si>
  <si>
    <t>spring, deepwell</t>
  </si>
  <si>
    <t>Rizal Elem School</t>
  </si>
  <si>
    <t>Rizal</t>
  </si>
  <si>
    <t>Sta Teresa Auditorium</t>
  </si>
  <si>
    <t>Sta. Teresa</t>
  </si>
  <si>
    <t>not st</t>
  </si>
  <si>
    <t>Sta Teresa Brgy Hall</t>
  </si>
  <si>
    <t>Sta Teresa</t>
  </si>
  <si>
    <t>(not set</t>
  </si>
  <si>
    <t>Sta Teresa Health Station</t>
  </si>
  <si>
    <t>Sta. Teresa Session Hall</t>
  </si>
  <si>
    <t>Sta. Teresa VAWC/ASH Room</t>
  </si>
  <si>
    <t>Sta. Teresa PWD AND SENIOR CITIZEN ROOM</t>
  </si>
  <si>
    <t>Sta. Teresa Child Development Center</t>
  </si>
  <si>
    <t>Sta Teresa Brgy Chapel</t>
  </si>
  <si>
    <r>
      <rPr>
        <rFont val="Arial"/>
        <b/>
        <color rgb="FF000000"/>
        <sz val="11.0"/>
      </rPr>
      <t xml:space="preserve">FLOOR AREA (IN SQ. MTR)
</t>
    </r>
    <r>
      <rPr>
        <rFont val="Arial"/>
        <b/>
        <i/>
        <color rgb="FF000000"/>
        <sz val="11.0"/>
      </rPr>
      <t>(Decimal, xxx.xx)</t>
    </r>
  </si>
  <si>
    <r>
      <rPr>
        <rFont val="Arial"/>
        <b/>
        <color rgb="FF000000"/>
        <sz val="11.0"/>
      </rPr>
      <t xml:space="preserve">TOTAL STORAGE CAPACITY OF NUMBER OF FAMILY FOOD PACKS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</si>
  <si>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FAMILY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</si>
  <si>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INDIVIDUAL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</si>
  <si>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FEMALE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</si>
  <si>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MALE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</si>
  <si>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COMMON CR
</t>
    </r>
    <r>
      <rPr>
        <rFont val="Arial"/>
        <b/>
        <i/>
        <color rgb="FF000000"/>
        <sz val="11.0"/>
      </rPr>
      <t>(Number)</t>
    </r>
  </si>
  <si>
    <r>
      <rPr>
        <rFont val="Arial"/>
        <b/>
        <color rgb="FF000000"/>
        <sz val="11.0"/>
      </rPr>
      <t xml:space="preserve">POTABLE
</t>
    </r>
    <r>
      <rPr>
        <rFont val="Arial"/>
        <b/>
        <i/>
        <color rgb="FF000000"/>
        <sz val="11.0"/>
      </rPr>
      <t>(Text, Ex. Deep well)</t>
    </r>
  </si>
  <si>
    <r>
      <rPr>
        <rFont val="Arial"/>
        <b/>
        <color rgb="FF000000"/>
        <sz val="11.0"/>
      </rPr>
      <t xml:space="preserve">NON-POTABLE
</t>
    </r>
    <r>
      <rPr>
        <rFont val="Arial"/>
        <b/>
        <i/>
        <color rgb="FF000000"/>
        <sz val="11.0"/>
      </rPr>
      <t>(Text, Ex. River)</t>
    </r>
  </si>
  <si>
    <r>
      <rPr>
        <rFont val="Arial"/>
        <b/>
        <color rgb="FF000000"/>
        <sz val="11.0"/>
      </rPr>
      <t xml:space="preserve">YES/NO
</t>
    </r>
    <r>
      <rPr>
        <rFont val="Arial"/>
        <b/>
        <i/>
        <color rgb="FF000000"/>
        <sz val="11.0"/>
      </rPr>
      <t>(Dropdown)</t>
    </r>
  </si>
  <si>
    <r>
      <rPr>
        <rFont val="Arial"/>
        <b/>
        <color rgb="FF000000"/>
        <sz val="11.0"/>
      </rPr>
      <t xml:space="preserve">TOTAL ISOLATION BED CAPACITY (IF USED AS COVID-19 FACILITY)
</t>
    </r>
    <r>
      <rPr>
        <rFont val="Arial"/>
        <b/>
        <i/>
        <color rgb="FF000000"/>
        <sz val="11.0"/>
      </rPr>
      <t>(Number)</t>
    </r>
  </si>
  <si>
    <t>Province of Pangasinan</t>
  </si>
  <si>
    <t>1,180sq.m</t>
  </si>
  <si>
    <t>60 families</t>
  </si>
  <si>
    <t>300 individuals</t>
  </si>
  <si>
    <t>Aguilar Multi-Purpose Evacuation Center</t>
  </si>
  <si>
    <t>1504 square meters</t>
  </si>
  <si>
    <t>7x8 , 7x9</t>
  </si>
  <si>
    <t>8x9</t>
  </si>
  <si>
    <t>7x79.55</t>
  </si>
  <si>
    <t>7.9x18.2</t>
  </si>
  <si>
    <t>7x6</t>
  </si>
  <si>
    <t>8x8.5</t>
  </si>
  <si>
    <t>18x6</t>
  </si>
  <si>
    <t>18x7.5</t>
  </si>
  <si>
    <t>21.7x7.4</t>
  </si>
  <si>
    <t>7x9</t>
  </si>
  <si>
    <t>8x6</t>
  </si>
  <si>
    <t>3rd level</t>
  </si>
  <si>
    <t>POBLACION WEST MULTI PURPOSE HALL</t>
  </si>
  <si>
    <t>BARANGAY POBLACION WEST, BAUTISTA</t>
  </si>
  <si>
    <t>ARTACHO ELEMENTARY SCHOOL</t>
  </si>
  <si>
    <t>BARANGAY ARTACHO, BAUTISTA</t>
  </si>
  <si>
    <t>BALUYOT ELEMENTARY SCHOOL</t>
  </si>
  <si>
    <t>BARANGAY BALUYOT, BAUTISTA</t>
  </si>
  <si>
    <t>BALUYOT NATIONAL HIGHSCHOOL</t>
  </si>
  <si>
    <t>BAUTISTA CENTRAL SCHOOL</t>
  </si>
  <si>
    <t>BARANGAY NANDACAN, BAUTISTA</t>
  </si>
  <si>
    <t>CABUAAN ELEMENTARY SCHOOL</t>
  </si>
  <si>
    <t>BARANGAY CABUAAN, BAUTISTA</t>
  </si>
  <si>
    <t>KETEGAN ELEMENTARY SCHOOL</t>
  </si>
  <si>
    <t>BARANGAY KETEGAN, BAUTISTA</t>
  </si>
  <si>
    <t>VILLANUEVA ELEMENTARY SCHOOL</t>
  </si>
  <si>
    <t>BARANGAY VILLANUEVA, BAUTISTA</t>
  </si>
  <si>
    <t>COLOSCAOAYAN NATIONAL HIGHSCHOOL</t>
  </si>
  <si>
    <t>VILLANUEVA MULTI-PURPOSE CENTER</t>
  </si>
  <si>
    <t>MAEKRISSANNE MULTIPURPOSE HALL</t>
  </si>
  <si>
    <t>BARANGAY DIAZ, BAUTISTA</t>
  </si>
  <si>
    <t>Biec Evacuation Center</t>
  </si>
  <si>
    <t>Biec Binmaley, Pangasinan</t>
  </si>
  <si>
    <t>189 sqm</t>
  </si>
  <si>
    <t>COVID-19 Isolation Facility (Temporary)</t>
  </si>
  <si>
    <t>84 sqm</t>
  </si>
  <si>
    <t>Bolinao Water System</t>
  </si>
  <si>
    <t>BUGALLON EVACUATION CENTER</t>
  </si>
  <si>
    <t>POBLACION, BUGALLON</t>
  </si>
  <si>
    <t>600 SQ. METER</t>
  </si>
  <si>
    <t>AMADO ESPINO GYMNASIUM</t>
  </si>
  <si>
    <t>Senior citizen Hall</t>
  </si>
  <si>
    <t>Bolaoen, Bugalllon</t>
  </si>
  <si>
    <t>Polong, Bugallon</t>
  </si>
  <si>
    <t>jetmatic</t>
  </si>
  <si>
    <t>Salomague Norte, Bugallon</t>
  </si>
  <si>
    <t>Sal Norte Elem School</t>
  </si>
  <si>
    <t>Cayanga,  Bugallon, Pangasinan</t>
  </si>
  <si>
    <t>Senior Citizen Hall</t>
  </si>
  <si>
    <t>Laguit Padilla, Bugallon</t>
  </si>
  <si>
    <t>Multipurpose center</t>
  </si>
  <si>
    <t>Hacienda, Bugallon</t>
  </si>
  <si>
    <t>Samat, Bugallon</t>
  </si>
  <si>
    <t>Pantal, Bugallon</t>
  </si>
  <si>
    <t>Pantal elem. School</t>
  </si>
  <si>
    <t>Asinan, Bugallon</t>
  </si>
  <si>
    <t>Bacabac, Bugallon</t>
  </si>
  <si>
    <t>25-50</t>
  </si>
  <si>
    <t>Magtaking Covered Court</t>
  </si>
  <si>
    <t>Magtaking, Bugallon</t>
  </si>
  <si>
    <t>Poblacion, Bugallon</t>
  </si>
  <si>
    <t>PAMANA waters</t>
  </si>
  <si>
    <t>Senior citizens Building</t>
  </si>
  <si>
    <t>Buenlag, Pangasinan</t>
  </si>
  <si>
    <t>Portic, Bugallon</t>
  </si>
  <si>
    <t>VocTech School</t>
  </si>
  <si>
    <t>Salasa Multi Purpose Hall</t>
  </si>
  <si>
    <t>Salasa, Bugallon</t>
  </si>
  <si>
    <t>Sunrise Child Devt Center</t>
  </si>
  <si>
    <t>Barangay Evac Center</t>
  </si>
  <si>
    <t>Cabayaoasan, Bugallon</t>
  </si>
  <si>
    <t>5000 (APPROX)</t>
  </si>
  <si>
    <t>LAsip Chico</t>
  </si>
  <si>
    <t>University of PAng. (PHINMA)</t>
  </si>
  <si>
    <t>Different Barangay</t>
  </si>
  <si>
    <t>Maya Primary School</t>
  </si>
  <si>
    <t>272 sqm</t>
  </si>
  <si>
    <t>Labrado</t>
  </si>
  <si>
    <t>under contruction</t>
  </si>
  <si>
    <t>24x11</t>
  </si>
  <si>
    <t>4x4</t>
  </si>
  <si>
    <t>5x4</t>
  </si>
  <si>
    <t>6x5</t>
  </si>
  <si>
    <t>9x10</t>
  </si>
  <si>
    <t>4x6</t>
  </si>
  <si>
    <t>8x5</t>
  </si>
  <si>
    <t>10x8</t>
  </si>
  <si>
    <t>4x12</t>
  </si>
  <si>
    <t>15x30</t>
  </si>
  <si>
    <t>6x12</t>
  </si>
  <si>
    <t>5x8</t>
  </si>
  <si>
    <t>MAgalong Mabini, Pangasinan</t>
  </si>
  <si>
    <t>IWADCO (FAUCET)</t>
  </si>
  <si>
    <t>Bogtong</t>
  </si>
  <si>
    <t>C. Bogtong</t>
  </si>
  <si>
    <t>Bacundao</t>
  </si>
  <si>
    <t>Abanagan Brgy. Hall</t>
  </si>
  <si>
    <t>Loked Este</t>
  </si>
  <si>
    <t>Banaoag Brgy. Hall</t>
  </si>
  <si>
    <t>Banaoag</t>
  </si>
  <si>
    <t>Don Perdo  Brgy. Hall</t>
  </si>
  <si>
    <t>Don Perdo</t>
  </si>
  <si>
    <t>Nalsian Brgy. Hall</t>
  </si>
  <si>
    <t>Nalsian</t>
  </si>
  <si>
    <t xml:space="preserve">Olea Brgy. Hall </t>
  </si>
  <si>
    <t>Canan</t>
  </si>
  <si>
    <t>Palapar Sur  Brgy. Hall</t>
  </si>
  <si>
    <t>Pamaramum Brgy. Hall</t>
  </si>
  <si>
    <t>Pamaramum</t>
  </si>
  <si>
    <t>Ingalagala Brgy. Hall</t>
  </si>
  <si>
    <t>Ingalagala</t>
  </si>
  <si>
    <t>Mabuletic Brgy. Hall</t>
  </si>
  <si>
    <t>Mabuletic</t>
  </si>
  <si>
    <t>Palapar Norte Brgy  Hall</t>
  </si>
  <si>
    <t>DEEP WELL/WATER DISTRICT</t>
  </si>
  <si>
    <t>WATER DISTRICT/DEEP WELL</t>
  </si>
  <si>
    <t>Jose C. Magno &amp; Civic Center</t>
  </si>
  <si>
    <t>264 sq meters</t>
  </si>
  <si>
    <t>Imbalbalatong ELementray School</t>
  </si>
  <si>
    <t>34 Barangays</t>
  </si>
  <si>
    <t>50 sq meters/hall</t>
  </si>
  <si>
    <t>25 pax /  MPH</t>
  </si>
  <si>
    <t>1/MPH</t>
  </si>
  <si>
    <t>San Nicolas Municipal Evacuation Center</t>
  </si>
  <si>
    <t>Deep Well/Water District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</si>
</sst>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\-d"/>
    <numFmt numFmtId="165" formatCode="mm/dd/yyyy"/>
    <numFmt numFmtId="166" formatCode="m/d"/>
    <numFmt numFmtId="167" formatCode="m/d/yyyy"/>
    <numFmt numFmtId="168" formatCode="mmmm\ d\,\ yyyy"/>
    <numFmt numFmtId="169" formatCode="mm\-dd\-yyyy"/>
    <numFmt numFmtId="170" formatCode="m-d"/>
    <numFmt numFmtId="171" formatCode="d\-m"/>
  </numFmts>
  <fonts count="19">
    <font>
      <sz val="11.0"/>
      <color rgb="FF000000"/>
      <name val="Calibri"/>
      <scheme val="minor"/>
    </font>
    <font>
      <b/>
      <sz val="11.0"/>
      <color rgb="FF000000"/>
      <name val="Arial"/>
    </font>
    <font/>
    <font>
      <b/>
      <sz val="11.0"/>
      <color rgb="FF000000"/>
      <name val="Calibri"/>
    </font>
    <font>
      <sz val="11.0"/>
      <color rgb="FF000000"/>
      <name val="Arial"/>
    </font>
    <font>
      <b/>
      <sz val="11.0"/>
      <color rgb="FF333333"/>
      <name val="Arial"/>
    </font>
    <font>
      <sz val="11.0"/>
      <color rgb="FF333333"/>
      <name val="Arial"/>
    </font>
    <font>
      <sz val="11.0"/>
      <color rgb="FF000000"/>
      <name val="Calibri"/>
    </font>
    <font>
      <sz val="11.0"/>
      <color rgb="FFFF0000"/>
      <name val="Arial"/>
    </font>
    <font>
      <color theme="1"/>
      <name val="Calibri"/>
      <scheme val="minor"/>
    </font>
    <font>
      <sz val="11.0"/>
      <color rgb="FF000000"/>
      <name val="Trebuchet MS"/>
    </font>
    <font>
      <sz val="10.0"/>
      <color rgb="FF000000"/>
      <name val="Arial"/>
    </font>
    <font>
      <sz val="7.0"/>
      <color rgb="FF333333"/>
      <name val="Arial"/>
    </font>
    <font>
      <sz val="8.0"/>
      <color rgb="FF000000"/>
      <name val="Arial"/>
    </font>
    <font>
      <sz val="12.0"/>
      <color rgb="FF000000"/>
      <name val="Arial"/>
    </font>
    <font>
      <sz val="13.0"/>
      <color rgb="FF000000"/>
      <name val="Calibri"/>
    </font>
    <font>
      <sz val="12.0"/>
      <color rgb="FF262626"/>
      <name val="Arial Narrow"/>
    </font>
    <font>
      <sz val="11.0"/>
      <color theme="1"/>
      <name val="Arial"/>
    </font>
    <font>
      <sz val="11.0"/>
      <color rgb="FF050505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7CAAC"/>
        <bgColor rgb="FFF7CAA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E4E6EB"/>
        <bgColor rgb="FFE4E6EB"/>
      </patternFill>
    </fill>
  </fills>
  <borders count="35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/>
      <right/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5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Alignment="1" applyBorder="1" applyFont="1">
      <alignment horizontal="center" shrinkToFit="0" vertical="top" wrapText="1"/>
    </xf>
    <xf borderId="3" fillId="2" fontId="1" numFmtId="0" xfId="0" applyAlignment="1" applyBorder="1" applyFont="1">
      <alignment horizontal="center" shrinkToFit="0" vertical="top" wrapText="1"/>
    </xf>
    <xf borderId="4" fillId="2" fontId="1" numFmtId="0" xfId="0" applyAlignment="1" applyBorder="1" applyFont="1">
      <alignment horizontal="center" shrinkToFit="0" vertical="top" wrapText="1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2" fontId="1" numFmtId="0" xfId="0" applyAlignment="1" applyBorder="1" applyFont="1">
      <alignment horizontal="center" shrinkToFit="0" vertical="top" wrapText="1"/>
    </xf>
    <xf borderId="8" fillId="2" fontId="1" numFmtId="0" xfId="0" applyAlignment="1" applyBorder="1" applyFont="1">
      <alignment horizontal="center" shrinkToFit="0" vertical="top" wrapText="1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2" fontId="1" numFmtId="0" xfId="0" applyAlignment="1" applyBorder="1" applyFont="1">
      <alignment horizontal="center" shrinkToFit="0" vertical="top" wrapText="1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3" fontId="3" numFmtId="0" xfId="0" applyAlignment="1" applyBorder="1" applyFill="1" applyFont="1">
      <alignment horizontal="center" shrinkToFit="0" vertical="center" wrapText="1"/>
    </xf>
    <xf borderId="15" fillId="3" fontId="3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vertical="center"/>
    </xf>
    <xf borderId="14" fillId="2" fontId="1" numFmtId="0" xfId="0" applyAlignment="1" applyBorder="1" applyFont="1">
      <alignment horizontal="center" shrinkToFit="0" vertical="top" wrapText="1"/>
    </xf>
    <xf borderId="14" fillId="2" fontId="1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17" fillId="4" fontId="5" numFmtId="0" xfId="0" applyAlignment="1" applyBorder="1" applyFill="1" applyFont="1">
      <alignment horizontal="center" vertical="top"/>
    </xf>
    <xf borderId="14" fillId="4" fontId="5" numFmtId="0" xfId="0" applyAlignment="1" applyBorder="1" applyFont="1">
      <alignment vertical="top"/>
    </xf>
    <xf borderId="14" fillId="4" fontId="4" numFmtId="0" xfId="0" applyAlignment="1" applyBorder="1" applyFont="1">
      <alignment vertical="bottom"/>
    </xf>
    <xf borderId="14" fillId="4" fontId="4" numFmtId="0" xfId="0" applyAlignment="1" applyBorder="1" applyFont="1">
      <alignment shrinkToFit="0" vertical="bottom" wrapText="1"/>
    </xf>
    <xf borderId="17" fillId="5" fontId="6" numFmtId="0" xfId="0" applyAlignment="1" applyBorder="1" applyFill="1" applyFont="1">
      <alignment horizontal="center" vertical="top"/>
    </xf>
    <xf borderId="14" fillId="5" fontId="6" numFmtId="0" xfId="0" applyAlignment="1" applyBorder="1" applyFont="1">
      <alignment vertical="top"/>
    </xf>
    <xf borderId="14" fillId="5" fontId="4" numFmtId="0" xfId="0" applyAlignment="1" applyBorder="1" applyFont="1">
      <alignment horizontal="left" vertical="bottom"/>
    </xf>
    <xf borderId="14" fillId="6" fontId="6" numFmtId="0" xfId="0" applyAlignment="1" applyBorder="1" applyFill="1" applyFont="1">
      <alignment vertical="top"/>
    </xf>
    <xf borderId="14" fillId="5" fontId="6" numFmtId="0" xfId="0" applyAlignment="1" applyBorder="1" applyFont="1">
      <alignment shrinkToFit="0" vertical="top" wrapText="1"/>
    </xf>
    <xf borderId="15" fillId="5" fontId="4" numFmtId="0" xfId="0" applyAlignment="1" applyBorder="1" applyFont="1">
      <alignment horizontal="left" vertical="bottom"/>
    </xf>
    <xf borderId="18" fillId="6" fontId="6" numFmtId="0" xfId="0" applyAlignment="1" applyBorder="1" applyFont="1">
      <alignment horizontal="center" vertical="top"/>
    </xf>
    <xf borderId="14" fillId="6" fontId="6" numFmtId="0" xfId="0" applyAlignment="1" applyBorder="1" applyFont="1">
      <alignment horizontal="center" vertical="top"/>
    </xf>
    <xf borderId="14" fillId="6" fontId="6" numFmtId="0" xfId="0" applyAlignment="1" applyBorder="1" applyFont="1">
      <alignment horizontal="center" readingOrder="0" vertical="top"/>
    </xf>
    <xf borderId="14" fillId="5" fontId="4" numFmtId="0" xfId="0" applyAlignment="1" applyBorder="1" applyFont="1">
      <alignment vertical="bottom"/>
    </xf>
    <xf borderId="14" fillId="6" fontId="6" numFmtId="0" xfId="0" applyAlignment="1" applyBorder="1" applyFont="1">
      <alignment shrinkToFit="0" vertical="top" wrapText="1"/>
    </xf>
    <xf borderId="18" fillId="5" fontId="6" numFmtId="0" xfId="0" applyAlignment="1" applyBorder="1" applyFont="1">
      <alignment horizontal="center" vertical="top"/>
    </xf>
    <xf borderId="14" fillId="5" fontId="6" numFmtId="0" xfId="0" applyAlignment="1" applyBorder="1" applyFont="1">
      <alignment horizontal="center" vertical="top"/>
    </xf>
    <xf borderId="17" fillId="6" fontId="6" numFmtId="0" xfId="0" applyAlignment="1" applyBorder="1" applyFont="1">
      <alignment horizontal="center" vertical="top"/>
    </xf>
    <xf borderId="15" fillId="6" fontId="6" numFmtId="0" xfId="0" applyAlignment="1" applyBorder="1" applyFont="1">
      <alignment vertical="top"/>
    </xf>
    <xf borderId="15" fillId="5" fontId="6" numFmtId="0" xfId="0" applyAlignment="1" applyBorder="1" applyFont="1">
      <alignment vertical="top"/>
    </xf>
    <xf borderId="14" fillId="6" fontId="6" numFmtId="0" xfId="0" applyAlignment="1" applyBorder="1" applyFont="1">
      <alignment readingOrder="0" vertical="top"/>
    </xf>
    <xf borderId="14" fillId="5" fontId="6" numFmtId="0" xfId="0" applyAlignment="1" applyBorder="1" applyFont="1">
      <alignment horizontal="center" readingOrder="0" vertical="top"/>
    </xf>
    <xf borderId="14" fillId="6" fontId="6" numFmtId="0" xfId="0" applyAlignment="1" applyBorder="1" applyFont="1">
      <alignment horizontal="right" vertical="top"/>
    </xf>
    <xf borderId="14" fillId="5" fontId="6" numFmtId="0" xfId="0" applyAlignment="1" applyBorder="1" applyFont="1">
      <alignment horizontal="right" vertical="top"/>
    </xf>
    <xf borderId="14" fillId="5" fontId="6" numFmtId="0" xfId="0" applyAlignment="1" applyBorder="1" applyFont="1">
      <alignment readingOrder="0" vertical="top"/>
    </xf>
    <xf borderId="14" fillId="0" fontId="6" numFmtId="0" xfId="0" applyAlignment="1" applyBorder="1" applyFont="1">
      <alignment vertical="top"/>
    </xf>
    <xf borderId="14" fillId="0" fontId="4" numFmtId="0" xfId="0" applyAlignment="1" applyBorder="1" applyFont="1">
      <alignment vertical="bottom"/>
    </xf>
    <xf borderId="18" fillId="5" fontId="4" numFmtId="0" xfId="0" applyAlignment="1" applyBorder="1" applyFont="1">
      <alignment horizontal="center" vertical="bottom"/>
    </xf>
    <xf borderId="14" fillId="5" fontId="4" numFmtId="0" xfId="0" applyAlignment="1" applyBorder="1" applyFont="1">
      <alignment horizontal="center" vertical="bottom"/>
    </xf>
    <xf borderId="14" fillId="0" fontId="4" numFmtId="0" xfId="0" applyAlignment="1" applyBorder="1" applyFont="1">
      <alignment vertical="top"/>
    </xf>
    <xf borderId="15" fillId="0" fontId="4" numFmtId="0" xfId="0" applyAlignment="1" applyBorder="1" applyFont="1">
      <alignment vertical="bottom"/>
    </xf>
    <xf borderId="15" fillId="0" fontId="4" numFmtId="0" xfId="0" applyAlignment="1" applyBorder="1" applyFont="1">
      <alignment vertical="top"/>
    </xf>
    <xf borderId="14" fillId="0" fontId="4" numFmtId="0" xfId="0" applyAlignment="1" applyBorder="1" applyFont="1">
      <alignment shrinkToFit="0" vertical="bottom" wrapText="1"/>
    </xf>
    <xf borderId="14" fillId="5" fontId="4" numFmtId="0" xfId="0" applyAlignment="1" applyBorder="1" applyFont="1">
      <alignment shrinkToFit="0" vertical="bottom" wrapText="1"/>
    </xf>
    <xf borderId="15" fillId="5" fontId="4" numFmtId="0" xfId="0" applyAlignment="1" applyBorder="1" applyFont="1">
      <alignment vertical="bottom"/>
    </xf>
    <xf borderId="14" fillId="0" fontId="4" numFmtId="0" xfId="0" applyAlignment="1" applyBorder="1" applyFont="1">
      <alignment shrinkToFit="0" vertical="top" wrapText="1"/>
    </xf>
    <xf borderId="14" fillId="6" fontId="6" numFmtId="0" xfId="0" applyAlignment="1" applyBorder="1" applyFont="1">
      <alignment horizontal="right" readingOrder="0" vertical="top"/>
    </xf>
    <xf borderId="14" fillId="6" fontId="6" numFmtId="0" xfId="0" applyAlignment="1" applyBorder="1" applyFont="1">
      <alignment horizontal="center" shrinkToFit="0" vertical="top" wrapText="1"/>
    </xf>
    <xf borderId="14" fillId="5" fontId="6" numFmtId="3" xfId="0" applyAlignment="1" applyBorder="1" applyFont="1" applyNumberFormat="1">
      <alignment horizontal="center" vertical="top"/>
    </xf>
    <xf borderId="14" fillId="5" fontId="6" numFmtId="0" xfId="0" applyAlignment="1" applyBorder="1" applyFont="1">
      <alignment horizontal="center" shrinkToFit="0" vertical="top" wrapText="1"/>
    </xf>
    <xf borderId="17" fillId="6" fontId="6" numFmtId="0" xfId="0" applyAlignment="1" applyBorder="1" applyFont="1">
      <alignment horizontal="center" readingOrder="0" vertical="top"/>
    </xf>
    <xf borderId="14" fillId="6" fontId="6" numFmtId="0" xfId="0" applyAlignment="1" applyBorder="1" applyFont="1">
      <alignment horizontal="left" vertical="top"/>
    </xf>
    <xf borderId="17" fillId="5" fontId="6" numFmtId="0" xfId="0" applyAlignment="1" applyBorder="1" applyFont="1">
      <alignment horizontal="center" readingOrder="0" vertical="top"/>
    </xf>
    <xf borderId="14" fillId="5" fontId="6" numFmtId="0" xfId="0" applyAlignment="1" applyBorder="1" applyFont="1">
      <alignment horizontal="left" vertical="top"/>
    </xf>
    <xf borderId="14" fillId="5" fontId="6" numFmtId="164" xfId="0" applyAlignment="1" applyBorder="1" applyFont="1" applyNumberFormat="1">
      <alignment horizontal="left" vertical="top"/>
    </xf>
    <xf borderId="14" fillId="6" fontId="6" numFmtId="0" xfId="0" applyAlignment="1" applyBorder="1" applyFont="1">
      <alignment horizontal="left" shrinkToFit="0" vertical="top" wrapText="1"/>
    </xf>
    <xf borderId="15" fillId="6" fontId="6" numFmtId="0" xfId="0" applyAlignment="1" applyBorder="1" applyFont="1">
      <alignment horizontal="left" vertical="top"/>
    </xf>
    <xf borderId="15" fillId="5" fontId="6" numFmtId="0" xfId="0" applyAlignment="1" applyBorder="1" applyFont="1">
      <alignment horizontal="left" vertical="top"/>
    </xf>
    <xf borderId="14" fillId="7" fontId="6" numFmtId="0" xfId="0" applyAlignment="1" applyBorder="1" applyFill="1" applyFont="1">
      <alignment vertical="top"/>
    </xf>
    <xf borderId="14" fillId="6" fontId="6" numFmtId="0" xfId="0" applyAlignment="1" applyBorder="1" applyFont="1">
      <alignment readingOrder="0" shrinkToFit="0" vertical="top" wrapText="1"/>
    </xf>
    <xf borderId="14" fillId="6" fontId="4" numFmtId="0" xfId="0" applyAlignment="1" applyBorder="1" applyFont="1">
      <alignment vertical="top"/>
    </xf>
    <xf borderId="18" fillId="6" fontId="4" numFmtId="0" xfId="0" applyAlignment="1" applyBorder="1" applyFont="1">
      <alignment horizontal="center" vertical="top"/>
    </xf>
    <xf borderId="14" fillId="6" fontId="4" numFmtId="0" xfId="0" applyAlignment="1" applyBorder="1" applyFont="1">
      <alignment horizontal="center" vertical="top"/>
    </xf>
    <xf borderId="14" fillId="6" fontId="4" numFmtId="0" xfId="0" applyAlignment="1" applyBorder="1" applyFont="1">
      <alignment horizontal="left" vertical="top"/>
    </xf>
    <xf borderId="14" fillId="5" fontId="4" numFmtId="0" xfId="0" applyAlignment="1" applyBorder="1" applyFont="1">
      <alignment vertical="top"/>
    </xf>
    <xf borderId="18" fillId="5" fontId="4" numFmtId="0" xfId="0" applyAlignment="1" applyBorder="1" applyFont="1">
      <alignment horizontal="center" vertical="top"/>
    </xf>
    <xf borderId="14" fillId="5" fontId="4" numFmtId="0" xfId="0" applyAlignment="1" applyBorder="1" applyFont="1">
      <alignment horizontal="center" vertical="top"/>
    </xf>
    <xf borderId="14" fillId="5" fontId="4" numFmtId="0" xfId="0" applyAlignment="1" applyBorder="1" applyFont="1">
      <alignment horizontal="left" vertical="top"/>
    </xf>
    <xf borderId="8" fillId="0" fontId="7" numFmtId="0" xfId="0" applyAlignment="1" applyBorder="1" applyFont="1">
      <alignment vertical="bottom"/>
    </xf>
    <xf borderId="9" fillId="0" fontId="4" numFmtId="4" xfId="0" applyAlignment="1" applyBorder="1" applyFont="1" applyNumberFormat="1">
      <alignment horizontal="center" vertical="bottom"/>
    </xf>
    <xf borderId="14" fillId="0" fontId="4" numFmtId="0" xfId="0" applyAlignment="1" applyBorder="1" applyFont="1">
      <alignment horizontal="center" readingOrder="0" vertical="bottom"/>
    </xf>
    <xf borderId="14" fillId="0" fontId="4" numFmtId="0" xfId="0" applyAlignment="1" applyBorder="1" applyFont="1">
      <alignment horizontal="center" vertical="bottom"/>
    </xf>
    <xf borderId="14" fillId="0" fontId="4" numFmtId="0" xfId="0" applyAlignment="1" applyBorder="1" applyFont="1">
      <alignment horizontal="left" vertical="bottom"/>
    </xf>
    <xf borderId="17" fillId="0" fontId="6" numFmtId="0" xfId="0" applyAlignment="1" applyBorder="1" applyFont="1">
      <alignment horizontal="center" readingOrder="0" vertical="top"/>
    </xf>
    <xf borderId="14" fillId="6" fontId="6" numFmtId="3" xfId="0" applyAlignment="1" applyBorder="1" applyFont="1" applyNumberFormat="1">
      <alignment horizontal="center" vertical="top"/>
    </xf>
    <xf borderId="17" fillId="4" fontId="6" numFmtId="0" xfId="0" applyAlignment="1" applyBorder="1" applyFont="1">
      <alignment horizontal="center" vertical="top"/>
    </xf>
    <xf borderId="14" fillId="4" fontId="6" numFmtId="0" xfId="0" applyAlignment="1" applyBorder="1" applyFont="1">
      <alignment vertical="top"/>
    </xf>
    <xf borderId="9" fillId="6" fontId="6" numFmtId="0" xfId="0" applyAlignment="1" applyBorder="1" applyFont="1">
      <alignment horizontal="center" vertical="top"/>
    </xf>
    <xf borderId="14" fillId="0" fontId="4" numFmtId="0" xfId="0" applyAlignment="1" applyBorder="1" applyFont="1">
      <alignment readingOrder="0" vertical="bottom"/>
    </xf>
    <xf borderId="9" fillId="0" fontId="4" numFmtId="0" xfId="0" applyAlignment="1" applyBorder="1" applyFont="1">
      <alignment horizontal="center" vertical="bottom"/>
    </xf>
    <xf borderId="17" fillId="4" fontId="1" numFmtId="0" xfId="0" applyAlignment="1" applyBorder="1" applyFont="1">
      <alignment horizontal="center" vertical="bottom"/>
    </xf>
    <xf borderId="14" fillId="4" fontId="1" numFmtId="0" xfId="0" applyAlignment="1" applyBorder="1" applyFont="1">
      <alignment vertical="bottom"/>
    </xf>
    <xf borderId="18" fillId="6" fontId="6" numFmtId="0" xfId="0" applyAlignment="1" applyBorder="1" applyFont="1">
      <alignment vertical="top"/>
    </xf>
    <xf borderId="18" fillId="6" fontId="6" numFmtId="0" xfId="0" applyAlignment="1" applyBorder="1" applyFont="1">
      <alignment horizontal="left" readingOrder="0" vertical="top"/>
    </xf>
    <xf borderId="18" fillId="6" fontId="6" numFmtId="0" xfId="0" applyAlignment="1" applyBorder="1" applyFont="1">
      <alignment horizontal="left" shrinkToFit="0" vertical="top" wrapText="1"/>
    </xf>
    <xf borderId="18" fillId="6" fontId="6" numFmtId="0" xfId="0" applyAlignment="1" applyBorder="1" applyFont="1">
      <alignment horizontal="left" vertical="top"/>
    </xf>
    <xf borderId="19" fillId="6" fontId="6" numFmtId="0" xfId="0" applyAlignment="1" applyBorder="1" applyFont="1">
      <alignment horizontal="center" readingOrder="0" vertical="top"/>
    </xf>
    <xf borderId="20" fillId="6" fontId="6" numFmtId="0" xfId="0" applyAlignment="1" applyBorder="1" applyFont="1">
      <alignment vertical="top"/>
    </xf>
    <xf borderId="20" fillId="6" fontId="6" numFmtId="0" xfId="0" applyAlignment="1" applyBorder="1" applyFont="1">
      <alignment horizontal="left" vertical="top"/>
    </xf>
    <xf borderId="20" fillId="6" fontId="6" numFmtId="0" xfId="0" applyAlignment="1" applyBorder="1" applyFont="1">
      <alignment horizontal="left" shrinkToFit="0" vertical="top" wrapText="1"/>
    </xf>
    <xf borderId="20" fillId="6" fontId="6" numFmtId="0" xfId="0" applyAlignment="1" applyBorder="1" applyFont="1">
      <alignment horizontal="center" vertical="top"/>
    </xf>
    <xf borderId="20" fillId="6" fontId="6" numFmtId="0" xfId="0" applyAlignment="1" applyBorder="1" applyFont="1">
      <alignment readingOrder="0" vertical="top"/>
    </xf>
    <xf borderId="20" fillId="6" fontId="6" numFmtId="0" xfId="0" applyAlignment="1" applyBorder="1" applyFont="1">
      <alignment horizontal="center" readingOrder="0" vertical="top"/>
    </xf>
    <xf borderId="20" fillId="6" fontId="6" numFmtId="0" xfId="0" applyAlignment="1" applyBorder="1" applyFont="1">
      <alignment horizontal="left" readingOrder="0" vertical="top"/>
    </xf>
    <xf borderId="20" fillId="6" fontId="6" numFmtId="0" xfId="0" applyAlignment="1" applyBorder="1" applyFont="1">
      <alignment horizontal="left" readingOrder="0" shrinkToFit="0" vertical="top" wrapText="1"/>
    </xf>
    <xf borderId="14" fillId="6" fontId="6" numFmtId="0" xfId="0" applyAlignment="1" applyBorder="1" applyFont="1">
      <alignment horizontal="left" readingOrder="0" vertical="top"/>
    </xf>
    <xf borderId="18" fillId="6" fontId="6" numFmtId="0" xfId="0" applyAlignment="1" applyBorder="1" applyFont="1">
      <alignment horizontal="center" readingOrder="0" vertical="top"/>
    </xf>
    <xf borderId="8" fillId="0" fontId="4" numFmtId="0" xfId="0" applyAlignment="1" applyBorder="1" applyFont="1">
      <alignment horizontal="left" vertical="bottom"/>
    </xf>
    <xf borderId="14" fillId="0" fontId="4" numFmtId="4" xfId="0" applyAlignment="1" applyBorder="1" applyFont="1" applyNumberFormat="1">
      <alignment horizontal="center" vertical="bottom"/>
    </xf>
    <xf borderId="21" fillId="0" fontId="4" numFmtId="0" xfId="0" applyAlignment="1" applyBorder="1" applyFont="1">
      <alignment horizontal="left" vertical="bottom"/>
    </xf>
    <xf borderId="13" fillId="0" fontId="4" numFmtId="0" xfId="0" applyAlignment="1" applyBorder="1" applyFont="1">
      <alignment horizontal="left" vertical="bottom"/>
    </xf>
    <xf borderId="13" fillId="0" fontId="4" numFmtId="4" xfId="0" applyAlignment="1" applyBorder="1" applyFont="1" applyNumberFormat="1">
      <alignment horizontal="center" vertical="bottom"/>
    </xf>
    <xf borderId="0" fillId="0" fontId="4" numFmtId="0" xfId="0" applyAlignment="1" applyFont="1">
      <alignment horizontal="left" vertical="bottom"/>
    </xf>
    <xf borderId="22" fillId="0" fontId="4" numFmtId="0" xfId="0" applyAlignment="1" applyBorder="1" applyFont="1">
      <alignment horizontal="left" vertical="bottom"/>
    </xf>
    <xf borderId="14" fillId="0" fontId="6" numFmtId="0" xfId="0" applyAlignment="1" applyBorder="1" applyFont="1">
      <alignment horizontal="center" vertical="top"/>
    </xf>
    <xf borderId="14" fillId="4" fontId="1" numFmtId="0" xfId="0" applyAlignment="1" applyBorder="1" applyFont="1">
      <alignment horizontal="left" vertical="bottom"/>
    </xf>
    <xf borderId="18" fillId="6" fontId="6" numFmtId="3" xfId="0" applyAlignment="1" applyBorder="1" applyFont="1" applyNumberFormat="1">
      <alignment horizontal="center" vertical="top"/>
    </xf>
    <xf borderId="18" fillId="5" fontId="6" numFmtId="3" xfId="0" applyAlignment="1" applyBorder="1" applyFont="1" applyNumberFormat="1">
      <alignment horizontal="center" vertical="top"/>
    </xf>
    <xf borderId="13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4" fillId="6" fontId="6" numFmtId="0" xfId="0" applyAlignment="1" applyBorder="1" applyFont="1">
      <alignment horizontal="left" readingOrder="0" shrinkToFit="0" vertical="top" wrapText="1"/>
    </xf>
    <xf borderId="23" fillId="6" fontId="6" numFmtId="0" xfId="0" applyAlignment="1" applyBorder="1" applyFont="1">
      <alignment horizontal="center" readingOrder="0" vertical="top"/>
    </xf>
    <xf borderId="24" fillId="6" fontId="6" numFmtId="0" xfId="0" applyAlignment="1" applyBorder="1" applyFont="1">
      <alignment horizontal="left" vertical="top"/>
    </xf>
    <xf borderId="25" fillId="6" fontId="6" numFmtId="0" xfId="0" applyAlignment="1" applyBorder="1" applyFont="1">
      <alignment horizontal="left" vertical="top"/>
    </xf>
    <xf borderId="11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top" wrapText="1"/>
    </xf>
    <xf borderId="8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vertical="bottom"/>
    </xf>
    <xf borderId="14" fillId="0" fontId="4" numFmtId="0" xfId="0" applyAlignment="1" applyBorder="1" applyFont="1">
      <alignment horizontal="center" shrinkToFit="0" vertical="top" wrapText="1"/>
    </xf>
    <xf borderId="14" fillId="0" fontId="4" numFmtId="0" xfId="0" applyAlignment="1" applyBorder="1" applyFont="1">
      <alignment horizontal="left" shrinkToFit="0" vertical="top" wrapText="1"/>
    </xf>
    <xf borderId="14" fillId="0" fontId="4" numFmtId="0" xfId="0" applyAlignment="1" applyBorder="1" applyFont="1">
      <alignment horizontal="center" shrinkToFit="0" vertical="bottom" wrapText="1"/>
    </xf>
    <xf borderId="14" fillId="0" fontId="4" numFmtId="0" xfId="0" applyAlignment="1" applyBorder="1" applyFont="1">
      <alignment horizontal="center" shrinkToFit="0" vertical="center" wrapText="1"/>
    </xf>
    <xf borderId="14" fillId="5" fontId="4" numFmtId="0" xfId="0" applyAlignment="1" applyBorder="1" applyFont="1">
      <alignment horizontal="left" shrinkToFit="0" vertical="bottom" wrapText="1"/>
    </xf>
    <xf borderId="14" fillId="5" fontId="4" numFmtId="0" xfId="0" applyAlignment="1" applyBorder="1" applyFont="1">
      <alignment horizontal="center" shrinkToFit="0" vertical="bottom" wrapText="1"/>
    </xf>
    <xf borderId="14" fillId="5" fontId="7" numFmtId="0" xfId="0" applyAlignment="1" applyBorder="1" applyFont="1">
      <alignment horizontal="center" shrinkToFit="0" vertical="bottom" wrapText="1"/>
    </xf>
    <xf borderId="14" fillId="5" fontId="4" numFmtId="3" xfId="0" applyAlignment="1" applyBorder="1" applyFont="1" applyNumberFormat="1">
      <alignment horizontal="center" shrinkToFit="0" vertical="bottom" wrapText="1"/>
    </xf>
    <xf borderId="1" fillId="5" fontId="4" numFmtId="0" xfId="0" applyAlignment="1" applyBorder="1" applyFont="1">
      <alignment horizontal="center" shrinkToFit="0" vertical="bottom" wrapText="1"/>
    </xf>
    <xf borderId="18" fillId="5" fontId="4" numFmtId="0" xfId="0" applyAlignment="1" applyBorder="1" applyFont="1">
      <alignment horizontal="center" shrinkToFit="0" vertical="bottom" wrapText="1"/>
    </xf>
    <xf borderId="17" fillId="5" fontId="1" numFmtId="0" xfId="0" applyAlignment="1" applyBorder="1" applyFont="1">
      <alignment horizontal="center" shrinkToFit="0" vertical="center" wrapText="1"/>
    </xf>
    <xf borderId="14" fillId="4" fontId="1" numFmtId="3" xfId="0" applyAlignment="1" applyBorder="1" applyFont="1" applyNumberFormat="1">
      <alignment horizontal="center" vertical="bottom"/>
    </xf>
    <xf borderId="26" fillId="5" fontId="3" numFmtId="0" xfId="0" applyAlignment="1" applyBorder="1" applyFont="1">
      <alignment vertical="bottom"/>
    </xf>
    <xf borderId="14" fillId="5" fontId="8" numFmtId="0" xfId="0" applyAlignment="1" applyBorder="1" applyFont="1">
      <alignment horizontal="center" shrinkToFit="0" vertical="bottom" wrapText="1"/>
    </xf>
    <xf borderId="14" fillId="0" fontId="4" numFmtId="0" xfId="0" applyAlignment="1" applyBorder="1" applyFont="1">
      <alignment horizontal="center" readingOrder="0" shrinkToFit="0" vertical="center" wrapText="1"/>
    </xf>
    <xf borderId="14" fillId="0" fontId="4" numFmtId="0" xfId="0" applyAlignment="1" applyBorder="1" applyFont="1">
      <alignment horizontal="left" shrinkToFit="0" vertical="center" wrapText="1"/>
    </xf>
    <xf borderId="14" fillId="0" fontId="4" numFmtId="0" xfId="0" applyAlignment="1" applyBorder="1" applyFont="1">
      <alignment shrinkToFit="0" vertical="center" wrapText="1"/>
    </xf>
    <xf quotePrefix="1" borderId="14" fillId="0" fontId="4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14" fillId="0" fontId="4" numFmtId="0" xfId="0" applyAlignment="1" applyBorder="1" applyFont="1">
      <alignment horizontal="left" shrinkToFit="0" vertical="bottom" wrapText="1"/>
    </xf>
    <xf borderId="14" fillId="0" fontId="4" numFmtId="3" xfId="0" applyAlignment="1" applyBorder="1" applyFont="1" applyNumberFormat="1">
      <alignment horizontal="center" shrinkToFit="0" vertical="bottom" wrapText="1"/>
    </xf>
    <xf quotePrefix="1" borderId="14" fillId="0" fontId="4" numFmtId="0" xfId="0" applyAlignment="1" applyBorder="1" applyFont="1">
      <alignment horizontal="center" shrinkToFit="0" vertical="bottom" wrapText="1"/>
    </xf>
    <xf borderId="11" fillId="0" fontId="4" numFmtId="0" xfId="0" applyAlignment="1" applyBorder="1" applyFont="1">
      <alignment horizontal="left" shrinkToFit="0" vertical="center" wrapText="1"/>
    </xf>
    <xf borderId="27" fillId="0" fontId="2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shrinkToFit="0" vertical="bottom" wrapText="1"/>
    </xf>
    <xf borderId="11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shrinkToFit="0" vertical="center" wrapText="1"/>
    </xf>
    <xf borderId="14" fillId="0" fontId="4" numFmtId="0" xfId="0" applyAlignment="1" applyBorder="1" applyFont="1">
      <alignment readingOrder="0" shrinkToFit="0" vertical="bottom" wrapText="1"/>
    </xf>
    <xf borderId="14" fillId="0" fontId="4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shrinkToFit="0" vertical="bottom" wrapText="1"/>
    </xf>
    <xf borderId="1" fillId="5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left" readingOrder="0" shrinkToFit="0" vertical="top" wrapText="1"/>
    </xf>
    <xf borderId="14" fillId="5" fontId="5" numFmtId="0" xfId="0" applyAlignment="1" applyBorder="1" applyFont="1">
      <alignment vertical="top"/>
    </xf>
    <xf borderId="14" fillId="5" fontId="4" numFmtId="0" xfId="0" applyAlignment="1" applyBorder="1" applyFont="1">
      <alignment readingOrder="0" vertical="bottom"/>
    </xf>
    <xf borderId="14" fillId="5" fontId="4" numFmtId="0" xfId="0" applyAlignment="1" applyBorder="1" applyFont="1">
      <alignment horizontal="center" readingOrder="0" vertical="bottom"/>
    </xf>
    <xf borderId="26" fillId="5" fontId="7" numFmtId="0" xfId="0" applyAlignment="1" applyBorder="1" applyFont="1">
      <alignment vertical="bottom"/>
    </xf>
    <xf borderId="14" fillId="0" fontId="4" numFmtId="0" xfId="0" applyAlignment="1" applyBorder="1" applyFont="1">
      <alignment horizontal="center" readingOrder="0" shrinkToFit="0" vertical="top" wrapText="1"/>
    </xf>
    <xf borderId="0" fillId="0" fontId="9" numFmtId="0" xfId="0" applyAlignment="1" applyFont="1">
      <alignment readingOrder="0" shrinkToFit="0" vertical="center" wrapText="1"/>
    </xf>
    <xf borderId="14" fillId="0" fontId="1" numFmtId="0" xfId="0" applyAlignment="1" applyBorder="1" applyFont="1">
      <alignment horizontal="center" readingOrder="0" shrinkToFit="0" vertical="top" wrapText="1"/>
    </xf>
    <xf borderId="14" fillId="0" fontId="1" numFmtId="0" xfId="0" applyAlignment="1" applyBorder="1" applyFont="1">
      <alignment horizontal="left" shrinkToFit="0" vertical="top" wrapText="1"/>
    </xf>
    <xf borderId="14" fillId="0" fontId="1" numFmtId="0" xfId="0" applyAlignment="1" applyBorder="1" applyFont="1">
      <alignment horizontal="center" shrinkToFit="0" vertical="top" wrapText="1"/>
    </xf>
    <xf borderId="14" fillId="0" fontId="4" numFmtId="0" xfId="0" applyAlignment="1" applyBorder="1" applyFont="1">
      <alignment readingOrder="0" shrinkToFit="0" vertical="top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17" fillId="4" fontId="5" numFmtId="0" xfId="0" applyAlignment="1" applyBorder="1" applyFont="1">
      <alignment horizontal="left" vertical="top"/>
    </xf>
    <xf borderId="14" fillId="4" fontId="5" numFmtId="0" xfId="0" applyAlignment="1" applyBorder="1" applyFont="1">
      <alignment horizontal="left" vertical="top"/>
    </xf>
    <xf borderId="14" fillId="4" fontId="4" numFmtId="0" xfId="0" applyAlignment="1" applyBorder="1" applyFont="1">
      <alignment horizontal="left" vertical="bottom"/>
    </xf>
    <xf borderId="14" fillId="4" fontId="4" numFmtId="0" xfId="0" applyAlignment="1" applyBorder="1" applyFont="1">
      <alignment horizontal="left" shrinkToFit="0" vertical="bottom" wrapText="1"/>
    </xf>
    <xf borderId="0" fillId="0" fontId="7" numFmtId="0" xfId="0" applyAlignment="1" applyFont="1">
      <alignment horizontal="left" vertical="bottom"/>
    </xf>
    <xf borderId="14" fillId="0" fontId="4" numFmtId="165" xfId="0" applyAlignment="1" applyBorder="1" applyFont="1" applyNumberFormat="1">
      <alignment horizontal="center" shrinkToFit="0" vertical="bottom" wrapText="1"/>
    </xf>
    <xf borderId="17" fillId="4" fontId="1" numFmtId="0" xfId="0" applyAlignment="1" applyBorder="1" applyFont="1">
      <alignment horizontal="center" shrinkToFit="0" vertical="center" wrapText="1"/>
    </xf>
    <xf borderId="14" fillId="4" fontId="1" numFmtId="0" xfId="0" applyAlignment="1" applyBorder="1" applyFont="1">
      <alignment shrinkToFit="0" vertical="bottom" wrapText="1"/>
    </xf>
    <xf borderId="18" fillId="4" fontId="1" numFmtId="0" xfId="0" applyAlignment="1" applyBorder="1" applyFont="1">
      <alignment horizontal="center" shrinkToFit="0" vertical="bottom" wrapText="1"/>
    </xf>
    <xf borderId="14" fillId="4" fontId="1" numFmtId="0" xfId="0" applyAlignment="1" applyBorder="1" applyFont="1">
      <alignment horizontal="center" shrinkToFit="0" vertical="bottom" wrapText="1"/>
    </xf>
    <xf borderId="14" fillId="4" fontId="1" numFmtId="0" xfId="0" applyAlignment="1" applyBorder="1" applyFont="1">
      <alignment horizontal="center" vertical="bottom"/>
    </xf>
    <xf borderId="14" fillId="0" fontId="4" numFmtId="166" xfId="0" applyAlignment="1" applyBorder="1" applyFont="1" applyNumberFormat="1">
      <alignment horizontal="center" shrinkToFit="0" vertical="bottom" wrapText="1"/>
    </xf>
    <xf borderId="0" fillId="0" fontId="10" numFmtId="0" xfId="0" applyAlignment="1" applyFont="1">
      <alignment vertical="bottom"/>
    </xf>
    <xf borderId="14" fillId="0" fontId="4" numFmtId="0" xfId="0" applyAlignment="1" applyBorder="1" applyFont="1">
      <alignment horizontal="left" readingOrder="0" shrinkToFit="0" vertical="bottom" wrapText="1"/>
    </xf>
    <xf borderId="14" fillId="0" fontId="4" numFmtId="167" xfId="0" applyAlignment="1" applyBorder="1" applyFont="1" applyNumberFormat="1">
      <alignment horizontal="center" shrinkToFit="0" vertical="bottom" wrapText="1"/>
    </xf>
    <xf borderId="14" fillId="0" fontId="4" numFmtId="168" xfId="0" applyAlignment="1" applyBorder="1" applyFont="1" applyNumberFormat="1">
      <alignment horizontal="center" shrinkToFit="0" vertical="bottom" wrapText="1"/>
    </xf>
    <xf borderId="14" fillId="0" fontId="4" numFmtId="165" xfId="0" applyAlignment="1" applyBorder="1" applyFont="1" applyNumberFormat="1">
      <alignment shrinkToFit="0" vertical="bottom" wrapText="1"/>
    </xf>
    <xf borderId="14" fillId="0" fontId="4" numFmtId="4" xfId="0" applyAlignment="1" applyBorder="1" applyFont="1" applyNumberFormat="1">
      <alignment horizontal="center" shrinkToFit="0" vertical="top" wrapText="1"/>
    </xf>
    <xf borderId="14" fillId="0" fontId="11" numFmtId="0" xfId="0" applyAlignment="1" applyBorder="1" applyFont="1">
      <alignment horizontal="center" readingOrder="0" shrinkToFit="0" vertical="bottom" wrapText="1"/>
    </xf>
    <xf borderId="14" fillId="0" fontId="4" numFmtId="4" xfId="0" applyAlignment="1" applyBorder="1" applyFont="1" applyNumberFormat="1">
      <alignment horizontal="center" shrinkToFit="0" vertical="bottom" wrapText="1"/>
    </xf>
    <xf borderId="0" fillId="0" fontId="7" numFmtId="0" xfId="0" applyAlignment="1" applyFont="1">
      <alignment horizontal="center" vertical="bottom"/>
    </xf>
    <xf borderId="14" fillId="0" fontId="7" numFmtId="0" xfId="0" applyAlignment="1" applyBorder="1" applyFont="1">
      <alignment vertical="bottom"/>
    </xf>
    <xf borderId="14" fillId="0" fontId="7" numFmtId="0" xfId="0" applyAlignment="1" applyBorder="1" applyFont="1">
      <alignment horizontal="center" vertical="bottom"/>
    </xf>
    <xf borderId="14" fillId="0" fontId="4" numFmtId="169" xfId="0" applyAlignment="1" applyBorder="1" applyFont="1" applyNumberFormat="1">
      <alignment horizontal="center" shrinkToFit="0" vertical="bottom" wrapText="1"/>
    </xf>
    <xf borderId="2" fillId="8" fontId="1" numFmtId="0" xfId="0" applyAlignment="1" applyBorder="1" applyFill="1" applyFont="1">
      <alignment horizontal="center" shrinkToFit="0" vertical="center" wrapText="1"/>
    </xf>
    <xf borderId="3" fillId="8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7" fillId="8" fontId="1" numFmtId="1" xfId="0" applyAlignment="1" applyBorder="1" applyFont="1" applyNumberFormat="1">
      <alignment horizontal="center" shrinkToFit="0" vertical="center" wrapText="1"/>
    </xf>
    <xf borderId="8" fillId="8" fontId="1" numFmtId="0" xfId="0" applyAlignment="1" applyBorder="1" applyFont="1">
      <alignment horizontal="center" shrinkToFit="0" vertical="center" wrapText="1"/>
    </xf>
    <xf borderId="11" fillId="8" fontId="1" numFmtId="0" xfId="0" applyAlignment="1" applyBorder="1" applyFont="1">
      <alignment horizontal="center" shrinkToFit="0" vertical="center" wrapText="1"/>
    </xf>
    <xf borderId="9" fillId="9" fontId="1" numFmtId="0" xfId="0" applyAlignment="1" applyBorder="1" applyFill="1" applyFont="1">
      <alignment horizontal="center" shrinkToFit="0" vertical="center" wrapText="1"/>
    </xf>
    <xf borderId="14" fillId="3" fontId="1" numFmtId="0" xfId="0" applyAlignment="1" applyBorder="1" applyFont="1">
      <alignment horizontal="center" shrinkToFit="0" vertical="center" wrapText="1"/>
    </xf>
    <xf borderId="15" fillId="3" fontId="1" numFmtId="0" xfId="0" applyAlignment="1" applyBorder="1" applyFont="1">
      <alignment horizontal="center" shrinkToFit="0" vertical="center" wrapText="1"/>
    </xf>
    <xf borderId="14" fillId="8" fontId="1" numFmtId="0" xfId="0" applyAlignment="1" applyBorder="1" applyFont="1">
      <alignment horizontal="center" shrinkToFit="0" vertical="center" wrapText="1"/>
    </xf>
    <xf borderId="14" fillId="4" fontId="4" numFmtId="0" xfId="0" applyAlignment="1" applyBorder="1" applyFont="1">
      <alignment horizontal="center" vertical="bottom"/>
    </xf>
    <xf borderId="14" fillId="4" fontId="4" numFmtId="1" xfId="0" applyAlignment="1" applyBorder="1" applyFont="1" applyNumberFormat="1">
      <alignment vertical="bottom"/>
    </xf>
    <xf borderId="17" fillId="0" fontId="4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shrinkToFit="0" vertical="top" wrapText="1"/>
    </xf>
    <xf borderId="15" fillId="0" fontId="4" numFmtId="0" xfId="0" applyAlignment="1" applyBorder="1" applyFont="1">
      <alignment horizontal="center" vertical="bottom"/>
    </xf>
    <xf borderId="9" fillId="0" fontId="4" numFmtId="1" xfId="0" applyAlignment="1" applyBorder="1" applyFont="1" applyNumberFormat="1">
      <alignment horizontal="left" vertical="center"/>
    </xf>
    <xf borderId="14" fillId="0" fontId="4" numFmtId="0" xfId="0" applyAlignment="1" applyBorder="1" applyFont="1">
      <alignment horizontal="left" vertical="center"/>
    </xf>
    <xf borderId="14" fillId="0" fontId="4" numFmtId="0" xfId="0" applyAlignment="1" applyBorder="1" applyFont="1">
      <alignment horizontal="center" vertical="center"/>
    </xf>
    <xf borderId="18" fillId="4" fontId="1" numFmtId="1" xfId="0" applyAlignment="1" applyBorder="1" applyFont="1" applyNumberFormat="1">
      <alignment shrinkToFit="0" vertical="bottom" wrapText="1"/>
    </xf>
    <xf borderId="14" fillId="4" fontId="1" numFmtId="3" xfId="0" applyAlignment="1" applyBorder="1" applyFont="1" applyNumberFormat="1">
      <alignment vertical="bottom"/>
    </xf>
    <xf borderId="9" fillId="0" fontId="4" numFmtId="1" xfId="0" applyAlignment="1" applyBorder="1" applyFont="1" applyNumberFormat="1">
      <alignment vertical="bottom"/>
    </xf>
    <xf borderId="14" fillId="10" fontId="4" numFmtId="0" xfId="0" applyAlignment="1" applyBorder="1" applyFill="1" applyFont="1">
      <alignment readingOrder="0" vertical="bottom"/>
    </xf>
    <xf borderId="9" fillId="0" fontId="4" numFmtId="1" xfId="0" applyAlignment="1" applyBorder="1" applyFont="1" applyNumberFormat="1">
      <alignment horizontal="center" vertical="bottom"/>
    </xf>
    <xf borderId="18" fillId="5" fontId="4" numFmtId="1" xfId="0" applyAlignment="1" applyBorder="1" applyFont="1" applyNumberFormat="1">
      <alignment horizontal="center" vertical="bottom"/>
    </xf>
    <xf borderId="14" fillId="0" fontId="4" numFmtId="0" xfId="0" applyAlignment="1" applyBorder="1" applyFont="1">
      <alignment horizontal="right" vertical="bottom"/>
    </xf>
    <xf borderId="17" fillId="0" fontId="4" numFmtId="0" xfId="0" applyAlignment="1" applyBorder="1" applyFont="1">
      <alignment horizontal="center" readingOrder="0" shrinkToFit="0" vertical="center" wrapText="1"/>
    </xf>
    <xf borderId="9" fillId="0" fontId="6" numFmtId="1" xfId="0" applyAlignment="1" applyBorder="1" applyFont="1" applyNumberFormat="1">
      <alignment horizontal="right" vertical="top"/>
    </xf>
    <xf borderId="14" fillId="0" fontId="6" numFmtId="0" xfId="0" applyAlignment="1" applyBorder="1" applyFont="1">
      <alignment horizontal="right" vertical="top"/>
    </xf>
    <xf borderId="15" fillId="4" fontId="1" numFmtId="0" xfId="0" applyAlignment="1" applyBorder="1" applyFont="1">
      <alignment horizontal="center" shrinkToFit="0" vertical="bottom" wrapText="1"/>
    </xf>
    <xf borderId="14" fillId="0" fontId="4" numFmtId="0" xfId="0" applyAlignment="1" applyBorder="1" applyFont="1">
      <alignment horizontal="left" vertical="top"/>
    </xf>
    <xf borderId="15" fillId="0" fontId="4" numFmtId="0" xfId="0" applyAlignment="1" applyBorder="1" applyFont="1">
      <alignment horizontal="center" vertical="top"/>
    </xf>
    <xf borderId="9" fillId="0" fontId="4" numFmtId="1" xfId="0" applyAlignment="1" applyBorder="1" applyFont="1" applyNumberFormat="1">
      <alignment horizontal="center" vertical="top"/>
    </xf>
    <xf borderId="14" fillId="0" fontId="4" numFmtId="1" xfId="0" applyAlignment="1" applyBorder="1" applyFont="1" applyNumberFormat="1">
      <alignment horizontal="center" vertical="bottom"/>
    </xf>
    <xf borderId="14" fillId="4" fontId="1" numFmtId="1" xfId="0" applyAlignment="1" applyBorder="1" applyFont="1" applyNumberFormat="1">
      <alignment shrinkToFit="0" vertical="bottom" wrapText="1"/>
    </xf>
    <xf borderId="0" fillId="0" fontId="4" numFmtId="0" xfId="0" applyAlignment="1" applyFont="1">
      <alignment horizontal="center" shrinkToFit="0" vertical="center" wrapText="1"/>
    </xf>
    <xf borderId="14" fillId="0" fontId="1" numFmtId="0" xfId="0" applyAlignment="1" applyBorder="1" applyFont="1">
      <alignment horizontal="left" vertical="bottom"/>
    </xf>
    <xf borderId="14" fillId="0" fontId="6" numFmtId="0" xfId="0" applyAlignment="1" applyBorder="1" applyFont="1">
      <alignment horizontal="center" shrinkToFit="0" vertical="top" wrapText="1"/>
    </xf>
    <xf borderId="15" fillId="0" fontId="6" numFmtId="0" xfId="0" applyAlignment="1" applyBorder="1" applyFont="1">
      <alignment horizontal="center" readingOrder="0" shrinkToFit="0" vertical="top" wrapText="1"/>
    </xf>
    <xf borderId="14" fillId="0" fontId="4" numFmtId="0" xfId="0" applyAlignment="1" applyBorder="1" applyFont="1">
      <alignment horizontal="center" vertical="top"/>
    </xf>
    <xf borderId="14" fillId="0" fontId="4" numFmtId="0" xfId="0" applyAlignment="1" applyBorder="1" applyFont="1">
      <alignment readingOrder="0" vertical="top"/>
    </xf>
    <xf borderId="14" fillId="0" fontId="6" numFmtId="0" xfId="0" applyAlignment="1" applyBorder="1" applyFont="1">
      <alignment horizontal="center" readingOrder="0" vertical="top"/>
    </xf>
    <xf borderId="14" fillId="0" fontId="6" numFmtId="0" xfId="0" applyAlignment="1" applyBorder="1" applyFont="1">
      <alignment horizontal="right" readingOrder="0" vertical="top"/>
    </xf>
    <xf borderId="14" fillId="0" fontId="6" numFmtId="0" xfId="0" applyAlignment="1" applyBorder="1" applyFont="1">
      <alignment horizontal="center" readingOrder="0" shrinkToFit="0" vertical="top" wrapText="1"/>
    </xf>
    <xf borderId="14" fillId="0" fontId="6" numFmtId="0" xfId="0" applyAlignment="1" applyBorder="1" applyFont="1">
      <alignment readingOrder="0" shrinkToFit="0" vertical="top" wrapText="1"/>
    </xf>
    <xf borderId="15" fillId="0" fontId="6" numFmtId="0" xfId="0" applyAlignment="1" applyBorder="1" applyFont="1">
      <alignment horizontal="center" shrinkToFit="0" vertical="top" wrapText="1"/>
    </xf>
    <xf borderId="9" fillId="0" fontId="6" numFmtId="1" xfId="0" applyAlignment="1" applyBorder="1" applyFont="1" applyNumberFormat="1">
      <alignment horizontal="right" readingOrder="0" vertical="top"/>
    </xf>
    <xf borderId="14" fillId="0" fontId="4" numFmtId="0" xfId="0" applyAlignment="1" applyBorder="1" applyFont="1">
      <alignment horizontal="center" readingOrder="0" vertical="top"/>
    </xf>
    <xf borderId="14" fillId="0" fontId="12" numFmtId="0" xfId="0" applyAlignment="1" applyBorder="1" applyFont="1">
      <alignment shrinkToFit="0" vertical="top" wrapText="1"/>
    </xf>
    <xf borderId="9" fillId="0" fontId="6" numFmtId="2" xfId="0" applyAlignment="1" applyBorder="1" applyFont="1" applyNumberFormat="1">
      <alignment horizontal="right" readingOrder="0" vertical="top"/>
    </xf>
    <xf borderId="14" fillId="0" fontId="4" numFmtId="0" xfId="0" applyAlignment="1" applyBorder="1" applyFont="1">
      <alignment horizontal="right" readingOrder="0" vertical="top"/>
    </xf>
    <xf borderId="14" fillId="0" fontId="12" numFmtId="0" xfId="0" applyAlignment="1" applyBorder="1" applyFont="1">
      <alignment horizontal="center" vertical="top"/>
    </xf>
    <xf borderId="17" fillId="5" fontId="4" numFmtId="0" xfId="0" applyAlignment="1" applyBorder="1" applyFont="1">
      <alignment horizontal="center" shrinkToFit="0" vertical="center" wrapText="1"/>
    </xf>
    <xf borderId="15" fillId="5" fontId="6" numFmtId="0" xfId="0" applyAlignment="1" applyBorder="1" applyFont="1">
      <alignment horizontal="center" shrinkToFit="0" vertical="top" wrapText="1"/>
    </xf>
    <xf borderId="18" fillId="5" fontId="6" numFmtId="1" xfId="0" applyAlignment="1" applyBorder="1" applyFont="1" applyNumberFormat="1">
      <alignment horizontal="right" readingOrder="0" vertical="top"/>
    </xf>
    <xf borderId="14" fillId="5" fontId="4" numFmtId="0" xfId="0" applyAlignment="1" applyBorder="1" applyFont="1">
      <alignment horizontal="center" readingOrder="0" vertical="top"/>
    </xf>
    <xf borderId="14" fillId="5" fontId="6" numFmtId="0" xfId="0" applyAlignment="1" applyBorder="1" applyFont="1">
      <alignment horizontal="right" readingOrder="0" vertical="top"/>
    </xf>
    <xf borderId="14" fillId="5" fontId="4" numFmtId="0" xfId="0" applyAlignment="1" applyBorder="1" applyFont="1">
      <alignment readingOrder="0" vertical="top"/>
    </xf>
    <xf borderId="17" fillId="5" fontId="4" numFmtId="0" xfId="0" applyAlignment="1" applyBorder="1" applyFont="1">
      <alignment horizontal="left" shrinkToFit="0" vertical="center" wrapText="1"/>
    </xf>
    <xf borderId="14" fillId="5" fontId="6" numFmtId="1" xfId="0" applyAlignment="1" applyBorder="1" applyFont="1" applyNumberFormat="1">
      <alignment horizontal="center" readingOrder="0" shrinkToFit="0" vertical="top" wrapText="1"/>
    </xf>
    <xf borderId="14" fillId="5" fontId="6" numFmtId="0" xfId="0" applyAlignment="1" applyBorder="1" applyFont="1">
      <alignment horizontal="center" readingOrder="0" shrinkToFit="0" vertical="top" wrapText="1"/>
    </xf>
    <xf borderId="14" fillId="5" fontId="6" numFmtId="0" xfId="0" applyAlignment="1" applyBorder="1" applyFont="1">
      <alignment readingOrder="0" shrinkToFit="0" vertical="top" wrapText="1"/>
    </xf>
    <xf borderId="15" fillId="5" fontId="6" numFmtId="0" xfId="0" applyAlignment="1" applyBorder="1" applyFont="1">
      <alignment horizontal="center" readingOrder="0" shrinkToFit="0" vertical="top" wrapText="1"/>
    </xf>
    <xf borderId="18" fillId="5" fontId="6" numFmtId="2" xfId="0" applyAlignment="1" applyBorder="1" applyFont="1" applyNumberFormat="1">
      <alignment horizontal="right" readingOrder="0" vertical="top"/>
    </xf>
    <xf borderId="14" fillId="0" fontId="13" numFmtId="0" xfId="0" applyAlignment="1" applyBorder="1" applyFont="1">
      <alignment readingOrder="0" vertical="top"/>
    </xf>
    <xf borderId="14" fillId="0" fontId="4" numFmtId="3" xfId="0" applyAlignment="1" applyBorder="1" applyFont="1" applyNumberFormat="1">
      <alignment readingOrder="0" vertical="top"/>
    </xf>
    <xf borderId="15" fillId="6" fontId="6" numFmtId="0" xfId="0" applyAlignment="1" applyBorder="1" applyFont="1">
      <alignment horizontal="center" shrinkToFit="0" vertical="top" wrapText="1"/>
    </xf>
    <xf borderId="18" fillId="6" fontId="6" numFmtId="1" xfId="0" applyAlignment="1" applyBorder="1" applyFont="1" applyNumberFormat="1">
      <alignment horizontal="right" vertical="top"/>
    </xf>
    <xf borderId="18" fillId="6" fontId="6" numFmtId="1" xfId="0" applyAlignment="1" applyBorder="1" applyFont="1" applyNumberFormat="1">
      <alignment horizontal="center" vertical="top"/>
    </xf>
    <xf borderId="9" fillId="0" fontId="6" numFmtId="0" xfId="0" applyAlignment="1" applyBorder="1" applyFont="1">
      <alignment vertical="top"/>
    </xf>
    <xf borderId="9" fillId="0" fontId="6" numFmtId="0" xfId="0" applyAlignment="1" applyBorder="1" applyFont="1">
      <alignment horizontal="center" vertical="top"/>
    </xf>
    <xf borderId="9" fillId="0" fontId="6" numFmtId="0" xfId="0" applyAlignment="1" applyBorder="1" applyFont="1">
      <alignment horizontal="center" vertical="bottom"/>
    </xf>
    <xf borderId="14" fillId="0" fontId="6" numFmtId="1" xfId="0" applyAlignment="1" applyBorder="1" applyFont="1" applyNumberFormat="1">
      <alignment horizontal="right" vertical="top"/>
    </xf>
    <xf borderId="9" fillId="0" fontId="4" numFmtId="0" xfId="0" applyAlignment="1" applyBorder="1" applyFont="1">
      <alignment horizontal="center" vertical="top"/>
    </xf>
    <xf borderId="9" fillId="0" fontId="6" numFmtId="0" xfId="0" applyAlignment="1" applyBorder="1" applyFont="1">
      <alignment horizontal="right" vertical="top"/>
    </xf>
    <xf borderId="9" fillId="0" fontId="4" numFmtId="0" xfId="0" applyAlignment="1" applyBorder="1" applyFont="1">
      <alignment horizontal="right" vertical="top"/>
    </xf>
    <xf borderId="9" fillId="0" fontId="4" numFmtId="0" xfId="0" applyAlignment="1" applyBorder="1" applyFont="1">
      <alignment vertical="top"/>
    </xf>
    <xf borderId="9" fillId="0" fontId="4" numFmtId="0" xfId="0" applyAlignment="1" applyBorder="1" applyFont="1">
      <alignment vertical="bottom"/>
    </xf>
    <xf borderId="13" fillId="0" fontId="4" numFmtId="0" xfId="0" applyAlignment="1" applyBorder="1" applyFont="1">
      <alignment horizontal="center" vertical="bottom"/>
    </xf>
    <xf borderId="22" fillId="0" fontId="6" numFmtId="0" xfId="0" applyAlignment="1" applyBorder="1" applyFont="1">
      <alignment vertical="top"/>
    </xf>
    <xf borderId="22" fillId="0" fontId="4" numFmtId="0" xfId="0" applyAlignment="1" applyBorder="1" applyFont="1">
      <alignment vertical="top"/>
    </xf>
    <xf borderId="22" fillId="0" fontId="6" numFmtId="0" xfId="0" applyAlignment="1" applyBorder="1" applyFont="1">
      <alignment horizontal="center" vertical="top"/>
    </xf>
    <xf borderId="22" fillId="0" fontId="6" numFmtId="0" xfId="0" applyAlignment="1" applyBorder="1" applyFont="1">
      <alignment horizontal="center" vertical="bottom"/>
    </xf>
    <xf borderId="13" fillId="0" fontId="6" numFmtId="1" xfId="0" applyAlignment="1" applyBorder="1" applyFont="1" applyNumberFormat="1">
      <alignment horizontal="right" vertical="top"/>
    </xf>
    <xf borderId="22" fillId="0" fontId="4" numFmtId="0" xfId="0" applyAlignment="1" applyBorder="1" applyFont="1">
      <alignment horizontal="center" vertical="top"/>
    </xf>
    <xf borderId="22" fillId="0" fontId="6" numFmtId="0" xfId="0" applyAlignment="1" applyBorder="1" applyFont="1">
      <alignment horizontal="right" vertical="top"/>
    </xf>
    <xf borderId="22" fillId="0" fontId="4" numFmtId="0" xfId="0" applyAlignment="1" applyBorder="1" applyFont="1">
      <alignment horizontal="right" vertical="top"/>
    </xf>
    <xf borderId="22" fillId="0" fontId="4" numFmtId="0" xfId="0" applyAlignment="1" applyBorder="1" applyFont="1">
      <alignment vertical="bottom"/>
    </xf>
    <xf borderId="22" fillId="0" fontId="6" numFmtId="0" xfId="0" applyAlignment="1" applyBorder="1" applyFont="1">
      <alignment horizontal="left" vertical="top"/>
    </xf>
    <xf borderId="14" fillId="4" fontId="1" numFmtId="0" xfId="0" applyAlignment="1" applyBorder="1" applyFont="1">
      <alignment horizontal="left" shrinkToFit="0" vertical="bottom" wrapText="1"/>
    </xf>
    <xf borderId="14" fillId="0" fontId="6" numFmtId="0" xfId="0" applyAlignment="1" applyBorder="1" applyFont="1">
      <alignment horizontal="left" shrinkToFit="0" vertical="center" wrapText="1"/>
    </xf>
    <xf borderId="22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right" vertical="center"/>
    </xf>
    <xf borderId="14" fillId="0" fontId="4" numFmtId="0" xfId="0" applyAlignment="1" applyBorder="1" applyFont="1">
      <alignment vertical="center"/>
    </xf>
    <xf borderId="14" fillId="0" fontId="6" numFmtId="0" xfId="0" applyAlignment="1" applyBorder="1" applyFont="1">
      <alignment readingOrder="0" shrinkToFit="0" vertical="center" wrapText="1"/>
    </xf>
    <xf borderId="22" fillId="0" fontId="4" numFmtId="0" xfId="0" applyAlignment="1" applyBorder="1" applyFont="1">
      <alignment vertical="center"/>
    </xf>
    <xf borderId="14" fillId="0" fontId="4" numFmtId="0" xfId="0" applyAlignment="1" applyBorder="1" applyFont="1">
      <alignment readingOrder="0" shrinkToFit="0" vertical="center" wrapText="1"/>
    </xf>
    <xf borderId="14" fillId="0" fontId="6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shrinkToFit="0" vertical="bottom" wrapText="1"/>
    </xf>
    <xf borderId="14" fillId="0" fontId="6" numFmtId="0" xfId="0" applyAlignment="1" applyBorder="1" applyFont="1">
      <alignment shrinkToFit="0" vertical="bottom" wrapText="1"/>
    </xf>
    <xf borderId="14" fillId="6" fontId="4" numFmtId="170" xfId="0" applyAlignment="1" applyBorder="1" applyFont="1" applyNumberFormat="1">
      <alignment horizontal="center" vertical="top"/>
    </xf>
    <xf borderId="14" fillId="6" fontId="6" numFmtId="170" xfId="0" applyAlignment="1" applyBorder="1" applyFont="1" applyNumberFormat="1">
      <alignment horizontal="right" vertical="top"/>
    </xf>
    <xf borderId="14" fillId="6" fontId="4" numFmtId="0" xfId="0" applyAlignment="1" applyBorder="1" applyFont="1">
      <alignment horizontal="center" readingOrder="0" vertical="top"/>
    </xf>
    <xf borderId="14" fillId="6" fontId="4" numFmtId="0" xfId="0" applyAlignment="1" applyBorder="1" applyFont="1">
      <alignment readingOrder="0" vertical="top"/>
    </xf>
    <xf borderId="0" fillId="0" fontId="14" numFmtId="0" xfId="0" applyAlignment="1" applyFont="1">
      <alignment vertical="bottom"/>
    </xf>
    <xf borderId="1" fillId="6" fontId="6" numFmtId="0" xfId="0" applyAlignment="1" applyBorder="1" applyFont="1">
      <alignment horizontal="center" shrinkToFit="0" vertical="top" wrapText="1"/>
    </xf>
    <xf borderId="14" fillId="9" fontId="4" numFmtId="0" xfId="0" applyAlignment="1" applyBorder="1" applyFont="1">
      <alignment horizontal="center" readingOrder="0" vertical="top"/>
    </xf>
    <xf borderId="0" fillId="0" fontId="15" numFmtId="0" xfId="0" applyAlignment="1" applyFont="1">
      <alignment vertical="bottom"/>
    </xf>
    <xf borderId="17" fillId="4" fontId="1" numFmtId="0" xfId="0" applyAlignment="1" applyBorder="1" applyFont="1">
      <alignment horizontal="center" readingOrder="0" shrinkToFit="0" vertical="center" wrapText="1"/>
    </xf>
    <xf borderId="18" fillId="6" fontId="6" numFmtId="1" xfId="0" applyAlignment="1" applyBorder="1" applyFont="1" applyNumberFormat="1">
      <alignment horizontal="right" readingOrder="0" vertical="top"/>
    </xf>
    <xf borderId="14" fillId="6" fontId="12" numFmtId="0" xfId="0" applyAlignment="1" applyBorder="1" applyFont="1">
      <alignment shrinkToFit="0" vertical="top" wrapText="1"/>
    </xf>
    <xf borderId="7" fillId="8" fontId="1" numFmtId="0" xfId="0" applyAlignment="1" applyBorder="1" applyFont="1">
      <alignment horizontal="center" shrinkToFit="0" vertical="center" wrapText="1"/>
    </xf>
    <xf borderId="28" fillId="4" fontId="1" numFmtId="0" xfId="0" applyAlignment="1" applyBorder="1" applyFont="1">
      <alignment horizontal="center" shrinkToFit="0" vertical="center" wrapText="1"/>
    </xf>
    <xf borderId="14" fillId="4" fontId="1" numFmtId="0" xfId="0" applyAlignment="1" applyBorder="1" applyFont="1">
      <alignment shrinkToFit="0" vertical="center" wrapText="1"/>
    </xf>
    <xf borderId="14" fillId="4" fontId="4" numFmtId="0" xfId="0" applyAlignment="1" applyBorder="1" applyFont="1">
      <alignment vertical="center"/>
    </xf>
    <xf borderId="14" fillId="4" fontId="4" numFmtId="0" xfId="0" applyAlignment="1" applyBorder="1" applyFont="1">
      <alignment shrinkToFit="0" vertical="center" wrapText="1"/>
    </xf>
    <xf borderId="14" fillId="6" fontId="6" numFmtId="0" xfId="0" applyAlignment="1" applyBorder="1" applyFont="1">
      <alignment horizontal="center" shrinkToFit="0" vertical="center" wrapText="1"/>
    </xf>
    <xf borderId="29" fillId="0" fontId="16" numFmtId="0" xfId="0" applyAlignment="1" applyBorder="1" applyFont="1">
      <alignment horizontal="center" shrinkToFit="0" vertical="center" wrapText="1"/>
    </xf>
    <xf borderId="14" fillId="0" fontId="4" numFmtId="3" xfId="0" applyAlignment="1" applyBorder="1" applyFont="1" applyNumberFormat="1">
      <alignment horizontal="center" vertical="center"/>
    </xf>
    <xf borderId="14" fillId="6" fontId="6" numFmtId="0" xfId="0" applyAlignment="1" applyBorder="1" applyFont="1">
      <alignment vertical="center"/>
    </xf>
    <xf borderId="18" fillId="6" fontId="6" numFmtId="0" xfId="0" applyAlignment="1" applyBorder="1" applyFont="1">
      <alignment horizontal="center" vertical="center"/>
    </xf>
    <xf borderId="14" fillId="6" fontId="6" numFmtId="0" xfId="0" applyAlignment="1" applyBorder="1" applyFont="1">
      <alignment horizontal="center" vertical="center"/>
    </xf>
    <xf borderId="14" fillId="6" fontId="6" numFmtId="0" xfId="0" applyAlignment="1" applyBorder="1" applyFont="1">
      <alignment horizontal="center" readingOrder="0" vertical="center"/>
    </xf>
    <xf borderId="30" fillId="0" fontId="4" numFmtId="0" xfId="0" applyAlignment="1" applyBorder="1" applyFont="1">
      <alignment horizontal="center" shrinkToFit="0" vertical="center" wrapText="1"/>
    </xf>
    <xf borderId="14" fillId="6" fontId="6" numFmtId="0" xfId="0" applyAlignment="1" applyBorder="1" applyFont="1">
      <alignment shrinkToFit="0" vertical="center" wrapText="1"/>
    </xf>
    <xf borderId="15" fillId="6" fontId="6" numFmtId="0" xfId="0" applyAlignment="1" applyBorder="1" applyFont="1">
      <alignment horizontal="center" vertical="center"/>
    </xf>
    <xf borderId="17" fillId="11" fontId="4" numFmtId="0" xfId="0" applyAlignment="1" applyBorder="1" applyFill="1" applyFont="1">
      <alignment horizontal="center" shrinkToFit="0" vertical="center" wrapText="1"/>
    </xf>
    <xf borderId="26" fillId="11" fontId="4" numFmtId="0" xfId="0" applyAlignment="1" applyBorder="1" applyFont="1">
      <alignment vertical="center"/>
    </xf>
    <xf borderId="14" fillId="11" fontId="4" numFmtId="0" xfId="0" applyAlignment="1" applyBorder="1" applyFont="1">
      <alignment vertical="center"/>
    </xf>
    <xf borderId="18" fillId="11" fontId="4" numFmtId="3" xfId="0" applyAlignment="1" applyBorder="1" applyFont="1" applyNumberFormat="1">
      <alignment horizontal="center" vertical="center"/>
    </xf>
    <xf borderId="14" fillId="11" fontId="4" numFmtId="0" xfId="0" applyAlignment="1" applyBorder="1" applyFont="1">
      <alignment horizontal="center" vertical="center"/>
    </xf>
    <xf borderId="14" fillId="11" fontId="4" numFmtId="3" xfId="0" applyAlignment="1" applyBorder="1" applyFont="1" applyNumberFormat="1">
      <alignment horizontal="center" vertical="center"/>
    </xf>
    <xf borderId="14" fillId="11" fontId="4" numFmtId="0" xfId="0" applyAlignment="1" applyBorder="1" applyFont="1">
      <alignment horizontal="center" readingOrder="0" shrinkToFit="0" vertical="center" wrapText="1"/>
    </xf>
    <xf borderId="14" fillId="11" fontId="11" numFmtId="0" xfId="0" applyAlignment="1" applyBorder="1" applyFont="1">
      <alignment vertical="center"/>
    </xf>
    <xf borderId="15" fillId="11" fontId="4" numFmtId="0" xfId="0" applyAlignment="1" applyBorder="1" applyFont="1">
      <alignment horizontal="center" vertical="center"/>
    </xf>
    <xf borderId="18" fillId="11" fontId="4" numFmtId="0" xfId="0" applyAlignment="1" applyBorder="1" applyFont="1">
      <alignment horizontal="center" vertical="center"/>
    </xf>
    <xf borderId="14" fillId="0" fontId="11" numFmtId="0" xfId="0" applyAlignment="1" applyBorder="1" applyFont="1">
      <alignment vertical="center"/>
    </xf>
    <xf borderId="15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readingOrder="0" vertical="center"/>
    </xf>
    <xf borderId="9" fillId="0" fontId="4" numFmtId="3" xfId="0" applyAlignment="1" applyBorder="1" applyFont="1" applyNumberFormat="1">
      <alignment horizontal="center" vertical="center"/>
    </xf>
    <xf borderId="14" fillId="4" fontId="1" numFmtId="0" xfId="0" applyAlignment="1" applyBorder="1" applyFont="1">
      <alignment vertical="center"/>
    </xf>
    <xf borderId="26" fillId="6" fontId="6" numFmtId="0" xfId="0" applyAlignment="1" applyBorder="1" applyFont="1">
      <alignment vertical="center"/>
    </xf>
    <xf borderId="26" fillId="6" fontId="5" numFmtId="0" xfId="0" applyAlignment="1" applyBorder="1" applyFont="1">
      <alignment vertical="center"/>
    </xf>
    <xf borderId="14" fillId="6" fontId="5" numFmtId="0" xfId="0" applyAlignment="1" applyBorder="1" applyFont="1">
      <alignment vertical="center"/>
    </xf>
    <xf borderId="14" fillId="6" fontId="5" numFmtId="0" xfId="0" applyAlignment="1" applyBorder="1" applyFont="1">
      <alignment horizontal="center" vertical="center"/>
    </xf>
    <xf borderId="15" fillId="6" fontId="5" numFmtId="0" xfId="0" applyAlignment="1" applyBorder="1" applyFont="1">
      <alignment horizontal="center" vertical="center"/>
    </xf>
    <xf borderId="18" fillId="6" fontId="5" numFmtId="0" xfId="0" applyAlignment="1" applyBorder="1" applyFont="1">
      <alignment horizontal="center" vertical="center"/>
    </xf>
    <xf borderId="14" fillId="6" fontId="5" numFmtId="0" xfId="0" applyAlignment="1" applyBorder="1" applyFont="1">
      <alignment horizontal="center" shrinkToFit="0" vertical="center" wrapText="1"/>
    </xf>
    <xf borderId="14" fillId="5" fontId="5" numFmtId="0" xfId="0" applyAlignment="1" applyBorder="1" applyFont="1">
      <alignment horizontal="center" vertical="center"/>
    </xf>
    <xf borderId="14" fillId="5" fontId="6" numFmtId="0" xfId="0" applyAlignment="1" applyBorder="1" applyFont="1">
      <alignment horizontal="center" vertical="center"/>
    </xf>
    <xf borderId="14" fillId="5" fontId="6" numFmtId="0" xfId="0" applyAlignment="1" applyBorder="1" applyFont="1">
      <alignment vertical="center"/>
    </xf>
    <xf borderId="15" fillId="5" fontId="6" numFmtId="0" xfId="0" applyAlignment="1" applyBorder="1" applyFont="1">
      <alignment horizontal="center" vertical="center"/>
    </xf>
    <xf borderId="18" fillId="5" fontId="6" numFmtId="0" xfId="0" applyAlignment="1" applyBorder="1" applyFont="1">
      <alignment horizontal="center" vertical="center"/>
    </xf>
    <xf borderId="14" fillId="5" fontId="6" numFmtId="0" xfId="0" applyAlignment="1" applyBorder="1" applyFont="1">
      <alignment horizontal="center" shrinkToFit="0" vertical="center" wrapText="1"/>
    </xf>
    <xf borderId="14" fillId="5" fontId="4" numFmtId="0" xfId="0" applyAlignment="1" applyBorder="1" applyFont="1">
      <alignment horizontal="center" shrinkToFit="0" vertical="center" wrapText="1"/>
    </xf>
    <xf borderId="14" fillId="5" fontId="4" numFmtId="0" xfId="0" applyAlignment="1" applyBorder="1" applyFont="1">
      <alignment horizontal="center" vertical="center"/>
    </xf>
    <xf borderId="31" fillId="6" fontId="6" numFmtId="0" xfId="0" applyAlignment="1" applyBorder="1" applyFont="1">
      <alignment vertical="center"/>
    </xf>
    <xf borderId="26" fillId="6" fontId="6" numFmtId="0" xfId="0" applyAlignment="1" applyBorder="1" applyFont="1">
      <alignment horizontal="left" vertical="center"/>
    </xf>
    <xf borderId="14" fillId="6" fontId="6" numFmtId="0" xfId="0" applyAlignment="1" applyBorder="1" applyFont="1">
      <alignment horizontal="left" vertical="center"/>
    </xf>
    <xf borderId="14" fillId="5" fontId="6" numFmtId="0" xfId="0" applyAlignment="1" applyBorder="1" applyFont="1">
      <alignment horizontal="left" vertical="center"/>
    </xf>
    <xf borderId="9" fillId="0" fontId="4" numFmtId="0" xfId="0" applyAlignment="1" applyBorder="1" applyFont="1">
      <alignment horizontal="left" vertical="center"/>
    </xf>
    <xf borderId="32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left" vertical="center"/>
    </xf>
    <xf borderId="22" fillId="0" fontId="4" numFmtId="0" xfId="0" applyAlignment="1" applyBorder="1" applyFont="1">
      <alignment horizontal="left" vertical="center"/>
    </xf>
    <xf borderId="33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26" fillId="6" fontId="6" numFmtId="0" xfId="0" applyAlignment="1" applyBorder="1" applyFont="1">
      <alignment shrinkToFit="0" vertical="center" wrapText="1"/>
    </xf>
    <xf borderId="15" fillId="6" fontId="6" numFmtId="0" xfId="0" applyAlignment="1" applyBorder="1" applyFont="1">
      <alignment horizontal="center" shrinkToFit="0" vertical="center" wrapText="1"/>
    </xf>
    <xf borderId="14" fillId="6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 vertical="center"/>
    </xf>
    <xf borderId="9" fillId="0" fontId="17" numFmtId="0" xfId="0" applyAlignment="1" applyBorder="1" applyFont="1">
      <alignment horizontal="center" readingOrder="0" vertical="center"/>
    </xf>
    <xf borderId="14" fillId="0" fontId="6" numFmtId="0" xfId="0" applyAlignment="1" applyBorder="1" applyFont="1">
      <alignment vertical="center"/>
    </xf>
    <xf borderId="14" fillId="0" fontId="6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9" fillId="0" fontId="4" numFmtId="4" xfId="0" applyAlignment="1" applyBorder="1" applyFont="1" applyNumberFormat="1">
      <alignment horizontal="center" vertical="center"/>
    </xf>
    <xf borderId="0" fillId="0" fontId="6" numFmtId="0" xfId="0" applyAlignment="1" applyFont="1">
      <alignment vertical="center"/>
    </xf>
    <xf borderId="14" fillId="5" fontId="6" numFmtId="0" xfId="0" applyAlignment="1" applyBorder="1" applyFont="1">
      <alignment shrinkToFit="0" vertical="center" wrapText="1"/>
    </xf>
    <xf borderId="15" fillId="5" fontId="6" numFmtId="0" xfId="0" applyAlignment="1" applyBorder="1" applyFont="1">
      <alignment horizontal="center" shrinkToFit="0" vertical="center" wrapText="1"/>
    </xf>
    <xf borderId="14" fillId="10" fontId="6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8" fillId="5" fontId="6" numFmtId="0" xfId="0" applyAlignment="1" applyBorder="1" applyFont="1">
      <alignment horizontal="center" readingOrder="0" vertical="center"/>
    </xf>
    <xf borderId="13" fillId="0" fontId="4" numFmtId="0" xfId="0" applyAlignment="1" applyBorder="1" applyFont="1">
      <alignment horizontal="center" readingOrder="0" vertical="center"/>
    </xf>
    <xf borderId="14" fillId="5" fontId="6" numFmtId="0" xfId="0" applyAlignment="1" applyBorder="1" applyFont="1">
      <alignment horizontal="center" readingOrder="0" vertical="center"/>
    </xf>
    <xf borderId="14" fillId="5" fontId="6" numFmtId="0" xfId="0" applyAlignment="1" applyBorder="1" applyFont="1">
      <alignment horizontal="center" vertical="bottom"/>
    </xf>
    <xf borderId="19" fillId="5" fontId="6" numFmtId="0" xfId="0" applyAlignment="1" applyBorder="1" applyFont="1">
      <alignment horizontal="center" vertical="bottom"/>
    </xf>
    <xf borderId="0" fillId="0" fontId="4" numFmtId="0" xfId="0" applyAlignment="1" applyFont="1">
      <alignment shrinkToFit="0" vertical="center" wrapText="1"/>
    </xf>
    <xf borderId="34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11" fillId="0" fontId="4" numFmtId="0" xfId="0" applyAlignment="1" applyBorder="1" applyFont="1">
      <alignment vertical="center"/>
    </xf>
    <xf borderId="34" fillId="0" fontId="4" numFmtId="0" xfId="0" applyAlignment="1" applyBorder="1" applyFont="1">
      <alignment horizontal="center" vertical="center"/>
    </xf>
    <xf borderId="26" fillId="5" fontId="4" numFmtId="0" xfId="0" applyAlignment="1" applyBorder="1" applyFont="1">
      <alignment horizontal="left" vertical="center"/>
    </xf>
    <xf borderId="14" fillId="0" fontId="4" numFmtId="0" xfId="0" applyAlignment="1" applyBorder="1" applyFont="1">
      <alignment readingOrder="0" vertical="center"/>
    </xf>
    <xf borderId="15" fillId="0" fontId="4" numFmtId="0" xfId="0" applyAlignment="1" applyBorder="1" applyFont="1">
      <alignment horizontal="center" readingOrder="0" vertical="center"/>
    </xf>
    <xf borderId="14" fillId="5" fontId="4" numFmtId="0" xfId="0" applyAlignment="1" applyBorder="1" applyFont="1">
      <alignment horizontal="center" readingOrder="0" vertical="center"/>
    </xf>
    <xf borderId="26" fillId="5" fontId="4" numFmtId="0" xfId="0" applyAlignment="1" applyBorder="1" applyFont="1">
      <alignment horizontal="center" readingOrder="0" vertical="center"/>
    </xf>
    <xf borderId="9" fillId="0" fontId="4" numFmtId="3" xfId="0" applyAlignment="1" applyBorder="1" applyFont="1" applyNumberFormat="1">
      <alignment horizontal="center" readingOrder="0" vertical="center"/>
    </xf>
    <xf borderId="14" fillId="5" fontId="4" numFmtId="0" xfId="0" applyAlignment="1" applyBorder="1" applyFont="1">
      <alignment readingOrder="0" vertical="center"/>
    </xf>
    <xf borderId="0" fillId="0" fontId="9" numFmtId="0" xfId="0" applyAlignment="1" applyFont="1">
      <alignment readingOrder="0" vertical="center"/>
    </xf>
    <xf borderId="0" fillId="0" fontId="7" numFmtId="0" xfId="0" applyAlignment="1" applyFont="1">
      <alignment horizontal="center" vertical="center"/>
    </xf>
    <xf borderId="15" fillId="4" fontId="1" numFmtId="0" xfId="0" applyAlignment="1" applyBorder="1" applyFont="1">
      <alignment shrinkToFit="0" vertical="bottom" wrapText="1"/>
    </xf>
    <xf borderId="18" fillId="4" fontId="1" numFmtId="0" xfId="0" applyAlignment="1" applyBorder="1" applyFont="1">
      <alignment shrinkToFit="0" vertical="bottom" wrapText="1"/>
    </xf>
    <xf borderId="26" fillId="4" fontId="3" numFmtId="0" xfId="0" applyAlignment="1" applyBorder="1" applyFont="1">
      <alignment vertical="bottom"/>
    </xf>
    <xf borderId="15" fillId="0" fontId="4" numFmtId="0" xfId="0" applyAlignment="1" applyBorder="1" applyFont="1">
      <alignment horizontal="left" vertical="bottom"/>
    </xf>
    <xf borderId="18" fillId="6" fontId="6" numFmtId="0" xfId="0" applyAlignment="1" applyBorder="1" applyFont="1">
      <alignment horizontal="right" vertical="top"/>
    </xf>
    <xf borderId="18" fillId="5" fontId="6" numFmtId="0" xfId="0" applyAlignment="1" applyBorder="1" applyFont="1">
      <alignment horizontal="left" vertical="top"/>
    </xf>
    <xf borderId="15" fillId="0" fontId="4" numFmtId="0" xfId="0" applyAlignment="1" applyBorder="1" applyFont="1">
      <alignment shrinkToFit="0" vertical="bottom" wrapText="1"/>
    </xf>
    <xf borderId="15" fillId="6" fontId="6" numFmtId="0" xfId="0" applyAlignment="1" applyBorder="1" applyFont="1">
      <alignment shrinkToFit="0" vertical="top" wrapText="1"/>
    </xf>
    <xf borderId="18" fillId="6" fontId="6" numFmtId="2" xfId="0" applyAlignment="1" applyBorder="1" applyFont="1" applyNumberFormat="1">
      <alignment horizontal="right" vertical="top"/>
    </xf>
    <xf borderId="15" fillId="5" fontId="6" numFmtId="0" xfId="0" applyAlignment="1" applyBorder="1" applyFont="1">
      <alignment shrinkToFit="0" vertical="top" wrapText="1"/>
    </xf>
    <xf borderId="18" fillId="5" fontId="6" numFmtId="2" xfId="0" applyAlignment="1" applyBorder="1" applyFont="1" applyNumberFormat="1">
      <alignment horizontal="right" vertical="top"/>
    </xf>
    <xf borderId="17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right" vertical="bottom"/>
    </xf>
    <xf borderId="14" fillId="12" fontId="18" numFmtId="0" xfId="0" applyAlignment="1" applyBorder="1" applyFill="1" applyFont="1">
      <alignment vertical="bottom"/>
    </xf>
    <xf borderId="14" fillId="0" fontId="4" numFmtId="171" xfId="0" applyAlignment="1" applyBorder="1" applyFont="1" applyNumberFormat="1">
      <alignment horizontal="right" vertical="bottom"/>
    </xf>
    <xf borderId="18" fillId="5" fontId="6" numFmtId="0" xfId="0" applyAlignment="1" applyBorder="1" applyFont="1">
      <alignment horizontal="right" vertical="top"/>
    </xf>
    <xf borderId="15" fillId="0" fontId="4" numFmtId="0" xfId="0" applyAlignment="1" applyBorder="1" applyFont="1">
      <alignment horizontal="left" vertical="top"/>
    </xf>
    <xf borderId="14" fillId="0" fontId="4" numFmtId="3" xfId="0" applyAlignment="1" applyBorder="1" applyFont="1" applyNumberFormat="1">
      <alignment vertical="bottom"/>
    </xf>
    <xf borderId="15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18" fillId="5" fontId="6" numFmtId="0" xfId="0" applyAlignment="1" applyBorder="1" applyFont="1">
      <alignment vertical="top"/>
    </xf>
    <xf borderId="18" fillId="6" fontId="6" numFmtId="0" xfId="0" applyAlignment="1" applyBorder="1" applyFont="1">
      <alignment horizontal="right" shrinkToFit="0" vertical="top" wrapText="1"/>
    </xf>
    <xf borderId="14" fillId="6" fontId="6" numFmtId="0" xfId="0" applyAlignment="1" applyBorder="1" applyFont="1">
      <alignment horizontal="right" shrinkToFit="0" vertical="top" wrapText="1"/>
    </xf>
    <xf borderId="14" fillId="6" fontId="6" numFmtId="3" xfId="0" applyAlignment="1" applyBorder="1" applyFont="1" applyNumberFormat="1">
      <alignment shrinkToFit="0" vertical="top" wrapText="1"/>
    </xf>
    <xf borderId="18" fillId="5" fontId="6" numFmtId="0" xfId="0" applyAlignment="1" applyBorder="1" applyFont="1">
      <alignment horizontal="right" shrinkToFit="0" vertical="top" wrapText="1"/>
    </xf>
    <xf borderId="14" fillId="5" fontId="6" numFmtId="0" xfId="0" applyAlignment="1" applyBorder="1" applyFont="1">
      <alignment horizontal="right" shrinkToFit="0" vertical="top" wrapText="1"/>
    </xf>
    <xf borderId="17" fillId="0" fontId="4" numFmtId="0" xfId="0" applyAlignment="1" applyBorder="1" applyFont="1">
      <alignment vertical="bottom"/>
    </xf>
    <xf borderId="14" fillId="0" fontId="4" numFmtId="0" xfId="0" applyAlignment="1" applyBorder="1" applyFont="1">
      <alignment horizontal="right" vertical="top"/>
    </xf>
    <xf borderId="9" fillId="0" fontId="4" numFmtId="3" xfId="0" applyAlignment="1" applyBorder="1" applyFont="1" applyNumberFormat="1">
      <alignment horizontal="center" vertical="bottom"/>
    </xf>
    <xf borderId="18" fillId="6" fontId="6" numFmtId="0" xfId="0" applyAlignment="1" applyBorder="1" applyFont="1">
      <alignment shrinkToFit="0" vertical="top" wrapText="1"/>
    </xf>
    <xf borderId="18" fillId="5" fontId="6" numFmtId="0" xfId="0" applyAlignment="1" applyBorder="1" applyFont="1">
      <alignment shrinkToFit="0" vertical="top" wrapText="1"/>
    </xf>
    <xf borderId="18" fillId="5" fontId="6" numFmtId="0" xfId="0" applyAlignment="1" applyBorder="1" applyFont="1">
      <alignment shrinkToFit="0" vertical="bottom" wrapText="1"/>
    </xf>
    <xf borderId="14" fillId="5" fontId="6" numFmtId="0" xfId="0" applyAlignment="1" applyBorder="1" applyFont="1">
      <alignment shrinkToFit="0" vertical="bottom" wrapText="1"/>
    </xf>
    <xf borderId="14" fillId="5" fontId="6" numFmtId="0" xfId="0" applyAlignment="1" applyBorder="1" applyFont="1">
      <alignment horizontal="right" shrinkToFit="0" vertical="bottom" wrapText="1"/>
    </xf>
    <xf borderId="18" fillId="5" fontId="6" numFmtId="0" xfId="0" applyAlignment="1" applyBorder="1" applyFont="1">
      <alignment horizontal="left" shrinkToFit="0" vertical="bottom" wrapText="1"/>
    </xf>
    <xf borderId="14" fillId="5" fontId="6" numFmtId="0" xfId="0" applyAlignment="1" applyBorder="1" applyFont="1">
      <alignment horizontal="left" shrinkToFit="0" vertical="bottom" wrapText="1"/>
    </xf>
    <xf borderId="14" fillId="0" fontId="4" numFmtId="164" xfId="0" applyAlignment="1" applyBorder="1" applyFont="1" applyNumberFormat="1">
      <alignment vertical="bottom"/>
    </xf>
    <xf borderId="14" fillId="6" fontId="6" numFmtId="0" xfId="0" applyAlignment="1" applyBorder="1" applyFont="1">
      <alignment horizontal="center" vertical="bottom"/>
    </xf>
    <xf borderId="15" fillId="0" fontId="4" numFmtId="0" xfId="0" applyAlignment="1" applyBorder="1" applyFont="1">
      <alignment shrinkToFit="0" vertical="center" wrapText="1"/>
    </xf>
    <xf borderId="14" fillId="0" fontId="4" numFmtId="3" xfId="0" applyAlignment="1" applyBorder="1" applyFont="1" applyNumberFormat="1">
      <alignment vertical="center"/>
    </xf>
    <xf borderId="14" fillId="0" fontId="4" numFmtId="3" xfId="0" applyAlignment="1" applyBorder="1" applyFont="1" applyNumberFormat="1">
      <alignment horizontal="center" vertical="bottom"/>
    </xf>
    <xf borderId="9" fillId="0" fontId="4" numFmtId="0" xfId="0" applyAlignment="1" applyBorder="1" applyFont="1">
      <alignment horizontal="left" vertical="bottom"/>
    </xf>
    <xf borderId="9" fillId="0" fontId="4" numFmtId="0" xfId="0" applyAlignment="1" applyBorder="1" applyFont="1">
      <alignment horizontal="left" vertical="top"/>
    </xf>
    <xf borderId="14" fillId="0" fontId="4" numFmtId="164" xfId="0" applyAlignment="1" applyBorder="1" applyFont="1" applyNumberFormat="1">
      <alignment horizontal="left" vertical="top"/>
    </xf>
    <xf borderId="14" fillId="0" fontId="4" numFmtId="164" xfId="0" applyAlignment="1" applyBorder="1" applyFont="1" applyNumberFormat="1">
      <alignment horizontal="left" vertical="bottom"/>
    </xf>
    <xf borderId="9" fillId="0" fontId="4" numFmtId="3" xfId="0" applyAlignment="1" applyBorder="1" applyFont="1" applyNumberFormat="1">
      <alignment horizontal="left" vertical="bottom"/>
    </xf>
    <xf borderId="9" fillId="0" fontId="4" numFmtId="0" xfId="0" applyAlignment="1" applyBorder="1" applyFont="1">
      <alignment horizontal="left" shrinkToFit="0" vertical="center" wrapText="1"/>
    </xf>
    <xf borderId="18" fillId="5" fontId="4" numFmtId="0" xfId="0" applyAlignment="1" applyBorder="1" applyFont="1">
      <alignment vertical="bottom"/>
    </xf>
    <xf borderId="14" fillId="8" fontId="4" numFmtId="0" xfId="0" applyAlignment="1" applyBorder="1" applyFont="1">
      <alignment horizontal="center" shrinkToFit="0" vertical="top" wrapText="1"/>
    </xf>
    <xf borderId="23" fillId="0" fontId="4" numFmtId="0" xfId="0" applyAlignment="1" applyBorder="1" applyFont="1">
      <alignment horizontal="center" shrinkToFit="0" vertical="center" wrapText="1"/>
    </xf>
    <xf borderId="24" fillId="0" fontId="4" numFmtId="0" xfId="0" applyAlignment="1" applyBorder="1" applyFont="1">
      <alignment vertical="bottom"/>
    </xf>
    <xf borderId="25" fillId="0" fontId="4" numFmtId="0" xfId="0" applyAlignment="1" applyBorder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hidden="1" min="1" max="1" width="4.57"/>
    <col customWidth="1" min="2" max="2" width="8.43"/>
    <col customWidth="1" min="3" max="3" width="61.29"/>
    <col customWidth="1" min="4" max="4" width="47.71"/>
    <col customWidth="1" min="5" max="5" width="22.86"/>
    <col customWidth="1" min="6" max="6" width="57.29"/>
    <col customWidth="1" min="7" max="7" width="17.86"/>
    <col customWidth="1" min="8" max="9" width="13.71"/>
    <col customWidth="1" min="10" max="10" width="18.43"/>
    <col customWidth="1" min="11" max="12" width="12.29"/>
    <col customWidth="1" min="13" max="13" width="20.29"/>
    <col customWidth="1" min="14" max="14" width="20.0"/>
    <col customWidth="1" min="15" max="16" width="18.29"/>
    <col customWidth="1" min="17" max="17" width="15.43"/>
    <col customWidth="1" min="18" max="18" width="26.43"/>
    <col customWidth="1" min="19" max="26" width="14.0"/>
  </cols>
  <sheetData>
    <row r="1" ht="14.25" customHeight="1">
      <c r="A1" s="1"/>
      <c r="B1" s="2" t="s">
        <v>0</v>
      </c>
      <c r="C1" s="3" t="s">
        <v>1</v>
      </c>
      <c r="D1" s="3" t="s">
        <v>2</v>
      </c>
      <c r="E1" s="4" t="s">
        <v>3</v>
      </c>
      <c r="F1" s="5"/>
      <c r="G1" s="6"/>
      <c r="H1" s="7" t="s">
        <v>4</v>
      </c>
      <c r="I1" s="8" t="s">
        <v>5</v>
      </c>
      <c r="J1" s="9"/>
      <c r="K1" s="8" t="s">
        <v>6</v>
      </c>
      <c r="L1" s="10"/>
      <c r="M1" s="9"/>
      <c r="N1" s="8" t="s">
        <v>7</v>
      </c>
      <c r="O1" s="9"/>
      <c r="P1" s="11" t="s">
        <v>8</v>
      </c>
      <c r="Q1" s="8" t="s">
        <v>9</v>
      </c>
      <c r="R1" s="9"/>
    </row>
    <row r="2" ht="84.75" customHeight="1">
      <c r="A2" s="1"/>
      <c r="B2" s="12"/>
      <c r="C2" s="13"/>
      <c r="D2" s="13"/>
      <c r="E2" s="14" t="s">
        <v>10</v>
      </c>
      <c r="F2" s="14" t="s">
        <v>11</v>
      </c>
      <c r="G2" s="15" t="s">
        <v>12</v>
      </c>
      <c r="H2" s="16"/>
      <c r="I2" s="17" t="s">
        <v>13</v>
      </c>
      <c r="J2" s="17" t="s">
        <v>14</v>
      </c>
      <c r="K2" s="17" t="s">
        <v>15</v>
      </c>
      <c r="L2" s="17" t="s">
        <v>16</v>
      </c>
      <c r="M2" s="17" t="s">
        <v>17</v>
      </c>
      <c r="N2" s="17" t="s">
        <v>18</v>
      </c>
      <c r="O2" s="17" t="s">
        <v>19</v>
      </c>
      <c r="P2" s="13"/>
      <c r="Q2" s="18" t="s">
        <v>20</v>
      </c>
      <c r="R2" s="17" t="s">
        <v>21</v>
      </c>
    </row>
    <row r="3" ht="14.25" customHeight="1">
      <c r="A3" s="19"/>
      <c r="B3" s="20"/>
      <c r="C3" s="21" t="s">
        <v>22</v>
      </c>
      <c r="D3" s="22"/>
      <c r="E3" s="22"/>
      <c r="F3" s="23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ht="14.25" customHeight="1">
      <c r="A4" s="19"/>
      <c r="B4" s="24" t="str">
        <f>"01"</f>
        <v>01</v>
      </c>
      <c r="C4" s="25" t="s">
        <v>23</v>
      </c>
      <c r="D4" s="26" t="s">
        <v>24</v>
      </c>
      <c r="E4" s="27" t="s">
        <v>25</v>
      </c>
      <c r="F4" s="28" t="s">
        <v>26</v>
      </c>
      <c r="G4" s="29"/>
      <c r="H4" s="30">
        <v>1357.98</v>
      </c>
      <c r="I4" s="31">
        <v>160.0</v>
      </c>
      <c r="J4" s="31">
        <v>800.0</v>
      </c>
      <c r="K4" s="31">
        <v>12.0</v>
      </c>
      <c r="L4" s="31">
        <v>12.0</v>
      </c>
      <c r="M4" s="32">
        <v>2.0</v>
      </c>
      <c r="N4" s="31" t="s">
        <v>27</v>
      </c>
      <c r="O4" s="31" t="s">
        <v>28</v>
      </c>
      <c r="P4" s="31">
        <v>2000.0</v>
      </c>
      <c r="Q4" s="31" t="s">
        <v>29</v>
      </c>
      <c r="R4" s="33"/>
    </row>
    <row r="5" ht="14.25" customHeight="1">
      <c r="A5" s="19"/>
      <c r="B5" s="24" t="str">
        <f>"02"</f>
        <v>02</v>
      </c>
      <c r="C5" s="25" t="s">
        <v>30</v>
      </c>
      <c r="D5" s="26" t="s">
        <v>31</v>
      </c>
      <c r="E5" s="27" t="s">
        <v>25</v>
      </c>
      <c r="F5" s="34" t="s">
        <v>26</v>
      </c>
      <c r="G5" s="29"/>
      <c r="H5" s="35">
        <v>1995.13</v>
      </c>
      <c r="I5" s="36">
        <v>200.0</v>
      </c>
      <c r="J5" s="36">
        <v>1000.0</v>
      </c>
      <c r="K5" s="36">
        <v>8.0</v>
      </c>
      <c r="L5" s="36">
        <v>8.0</v>
      </c>
      <c r="M5" s="36">
        <v>1.0</v>
      </c>
      <c r="N5" s="36" t="s">
        <v>32</v>
      </c>
      <c r="O5" s="36" t="s">
        <v>28</v>
      </c>
      <c r="P5" s="36">
        <v>7000.0</v>
      </c>
      <c r="Q5" s="36" t="s">
        <v>29</v>
      </c>
      <c r="R5" s="33"/>
    </row>
    <row r="6" ht="14.25" customHeight="1">
      <c r="A6" s="19"/>
      <c r="B6" s="20"/>
      <c r="C6" s="21" t="s">
        <v>33</v>
      </c>
      <c r="D6" s="22"/>
      <c r="E6" s="22"/>
      <c r="F6" s="23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</row>
    <row r="7" ht="14.25" customHeight="1">
      <c r="A7" s="19">
        <v>1.0</v>
      </c>
      <c r="B7" s="37" t="str">
        <f>"03"</f>
        <v>03</v>
      </c>
      <c r="C7" s="27" t="s">
        <v>34</v>
      </c>
      <c r="D7" s="27" t="s">
        <v>35</v>
      </c>
      <c r="E7" s="27" t="s">
        <v>36</v>
      </c>
      <c r="F7" s="34" t="s">
        <v>37</v>
      </c>
      <c r="G7" s="38"/>
      <c r="H7" s="30">
        <v>224.0</v>
      </c>
      <c r="I7" s="31">
        <v>20.0</v>
      </c>
      <c r="J7" s="31">
        <v>40.0</v>
      </c>
      <c r="K7" s="31">
        <v>0.0</v>
      </c>
      <c r="L7" s="31">
        <v>0.0</v>
      </c>
      <c r="M7" s="31">
        <v>12.0</v>
      </c>
      <c r="N7" s="31" t="s">
        <v>38</v>
      </c>
      <c r="O7" s="31" t="s">
        <v>39</v>
      </c>
      <c r="P7" s="31">
        <v>500.0</v>
      </c>
      <c r="Q7" s="31" t="s">
        <v>29</v>
      </c>
      <c r="R7" s="27" t="s">
        <v>39</v>
      </c>
    </row>
    <row r="8" ht="14.25" customHeight="1">
      <c r="A8" s="19">
        <v>2.0</v>
      </c>
      <c r="B8" s="24" t="str">
        <f>"04"</f>
        <v>04</v>
      </c>
      <c r="C8" s="25" t="s">
        <v>40</v>
      </c>
      <c r="D8" s="25" t="s">
        <v>41</v>
      </c>
      <c r="E8" s="25" t="s">
        <v>25</v>
      </c>
      <c r="F8" s="28" t="s">
        <v>26</v>
      </c>
      <c r="G8" s="39"/>
      <c r="H8" s="35">
        <v>168.0</v>
      </c>
      <c r="I8" s="36">
        <v>30.0</v>
      </c>
      <c r="J8" s="36">
        <v>150.0</v>
      </c>
      <c r="K8" s="36">
        <v>0.0</v>
      </c>
      <c r="L8" s="36">
        <v>0.0</v>
      </c>
      <c r="M8" s="36">
        <v>5.0</v>
      </c>
      <c r="N8" s="36" t="s">
        <v>38</v>
      </c>
      <c r="O8" s="36" t="s">
        <v>39</v>
      </c>
      <c r="P8" s="36">
        <v>400.0</v>
      </c>
      <c r="Q8" s="36" t="s">
        <v>29</v>
      </c>
      <c r="R8" s="25" t="s">
        <v>39</v>
      </c>
    </row>
    <row r="9" ht="14.25" customHeight="1">
      <c r="A9" s="19">
        <v>3.0</v>
      </c>
      <c r="B9" s="37" t="str">
        <f>"05"</f>
        <v>05</v>
      </c>
      <c r="C9" s="27" t="s">
        <v>40</v>
      </c>
      <c r="D9" s="27" t="s">
        <v>41</v>
      </c>
      <c r="E9" s="27" t="s">
        <v>25</v>
      </c>
      <c r="F9" s="34" t="s">
        <v>26</v>
      </c>
      <c r="G9" s="38"/>
      <c r="H9" s="30">
        <v>102.0</v>
      </c>
      <c r="I9" s="31">
        <v>10.0</v>
      </c>
      <c r="J9" s="31">
        <v>50.0</v>
      </c>
      <c r="K9" s="31">
        <v>0.0</v>
      </c>
      <c r="L9" s="31">
        <v>0.0</v>
      </c>
      <c r="M9" s="31">
        <v>1.0</v>
      </c>
      <c r="N9" s="31" t="s">
        <v>38</v>
      </c>
      <c r="O9" s="31" t="s">
        <v>39</v>
      </c>
      <c r="P9" s="31">
        <v>100.0</v>
      </c>
      <c r="Q9" s="31" t="s">
        <v>29</v>
      </c>
      <c r="R9" s="27" t="s">
        <v>39</v>
      </c>
    </row>
    <row r="10" ht="14.25" customHeight="1">
      <c r="A10" s="19"/>
      <c r="B10" s="20"/>
      <c r="C10" s="21" t="s">
        <v>42</v>
      </c>
      <c r="D10" s="22"/>
      <c r="E10" s="22"/>
      <c r="F10" s="23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</row>
    <row r="11" ht="14.25" customHeight="1">
      <c r="A11" s="19">
        <v>4.0</v>
      </c>
      <c r="B11" s="37" t="str">
        <f>"06"</f>
        <v>06</v>
      </c>
      <c r="C11" s="27" t="s">
        <v>43</v>
      </c>
      <c r="D11" s="40" t="s">
        <v>44</v>
      </c>
      <c r="E11" s="27" t="s">
        <v>25</v>
      </c>
      <c r="F11" s="34" t="s">
        <v>45</v>
      </c>
      <c r="G11" s="38"/>
      <c r="H11" s="30">
        <v>255.0</v>
      </c>
      <c r="I11" s="31">
        <v>12.0</v>
      </c>
      <c r="J11" s="31">
        <v>50.0</v>
      </c>
      <c r="K11" s="31">
        <v>2.0</v>
      </c>
      <c r="L11" s="31">
        <v>3.0</v>
      </c>
      <c r="M11" s="31">
        <v>4.0</v>
      </c>
      <c r="N11" s="32" t="s">
        <v>27</v>
      </c>
      <c r="O11" s="41" t="s">
        <v>46</v>
      </c>
      <c r="P11" s="31">
        <v>500.0</v>
      </c>
      <c r="Q11" s="31" t="s">
        <v>47</v>
      </c>
      <c r="R11" s="42">
        <v>10.0</v>
      </c>
    </row>
    <row r="12" ht="14.25" customHeight="1">
      <c r="A12" s="19">
        <v>5.0</v>
      </c>
      <c r="B12" s="24" t="str">
        <f>"07"</f>
        <v>07</v>
      </c>
      <c r="C12" s="25" t="s">
        <v>48</v>
      </c>
      <c r="D12" s="25" t="s">
        <v>49</v>
      </c>
      <c r="E12" s="25" t="s">
        <v>25</v>
      </c>
      <c r="F12" s="28" t="s">
        <v>45</v>
      </c>
      <c r="G12" s="39"/>
      <c r="H12" s="35">
        <v>882.0</v>
      </c>
      <c r="I12" s="36">
        <v>55.0</v>
      </c>
      <c r="J12" s="36">
        <v>220.0</v>
      </c>
      <c r="K12" s="36">
        <v>2.0</v>
      </c>
      <c r="L12" s="36">
        <v>2.0</v>
      </c>
      <c r="M12" s="36">
        <v>6.0</v>
      </c>
      <c r="N12" s="41" t="s">
        <v>50</v>
      </c>
      <c r="O12" s="41" t="s">
        <v>46</v>
      </c>
      <c r="P12" s="36">
        <v>500.0</v>
      </c>
      <c r="Q12" s="36" t="s">
        <v>47</v>
      </c>
      <c r="R12" s="43">
        <v>10.0</v>
      </c>
    </row>
    <row r="13" ht="14.25" customHeight="1">
      <c r="A13" s="19">
        <v>6.0</v>
      </c>
      <c r="B13" s="37" t="str">
        <f>"08"</f>
        <v>08</v>
      </c>
      <c r="C13" s="27" t="s">
        <v>51</v>
      </c>
      <c r="D13" s="27" t="s">
        <v>49</v>
      </c>
      <c r="E13" s="27" t="s">
        <v>25</v>
      </c>
      <c r="F13" s="34" t="s">
        <v>45</v>
      </c>
      <c r="G13" s="38"/>
      <c r="H13" s="30">
        <v>836.0</v>
      </c>
      <c r="I13" s="31">
        <v>52.0</v>
      </c>
      <c r="J13" s="31">
        <v>209.0</v>
      </c>
      <c r="K13" s="31">
        <v>2.0</v>
      </c>
      <c r="L13" s="31">
        <v>2.0</v>
      </c>
      <c r="M13" s="31">
        <v>6.0</v>
      </c>
      <c r="N13" s="41" t="s">
        <v>50</v>
      </c>
      <c r="O13" s="41" t="s">
        <v>46</v>
      </c>
      <c r="P13" s="31">
        <v>500.0</v>
      </c>
      <c r="Q13" s="31" t="s">
        <v>52</v>
      </c>
      <c r="R13" s="27">
        <v>10.0</v>
      </c>
    </row>
    <row r="14" ht="14.25" customHeight="1">
      <c r="A14" s="19">
        <v>7.0</v>
      </c>
      <c r="B14" s="24" t="str">
        <f>"09"</f>
        <v>09</v>
      </c>
      <c r="C14" s="25" t="s">
        <v>53</v>
      </c>
      <c r="D14" s="25" t="s">
        <v>49</v>
      </c>
      <c r="E14" s="25" t="s">
        <v>25</v>
      </c>
      <c r="F14" s="28" t="s">
        <v>45</v>
      </c>
      <c r="G14" s="39"/>
      <c r="H14" s="35">
        <v>3320.0</v>
      </c>
      <c r="I14" s="36">
        <v>200.0</v>
      </c>
      <c r="J14" s="36">
        <v>803.0</v>
      </c>
      <c r="K14" s="36">
        <v>2.0</v>
      </c>
      <c r="L14" s="36">
        <v>2.0</v>
      </c>
      <c r="M14" s="36">
        <v>10.0</v>
      </c>
      <c r="N14" s="41" t="s">
        <v>50</v>
      </c>
      <c r="O14" s="41" t="s">
        <v>46</v>
      </c>
      <c r="P14" s="36">
        <v>500.0</v>
      </c>
      <c r="Q14" s="36" t="s">
        <v>52</v>
      </c>
      <c r="R14" s="25">
        <v>10.0</v>
      </c>
    </row>
    <row r="15" ht="14.25" customHeight="1">
      <c r="A15" s="19"/>
      <c r="B15" s="20"/>
      <c r="C15" s="21" t="s">
        <v>54</v>
      </c>
      <c r="D15" s="22"/>
      <c r="E15" s="22"/>
      <c r="F15" s="23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ht="14.25" customHeight="1">
      <c r="A16" s="19">
        <v>8.0</v>
      </c>
      <c r="B16" s="37">
        <v>10.0</v>
      </c>
      <c r="C16" s="27" t="s">
        <v>55</v>
      </c>
      <c r="D16" s="40" t="s">
        <v>56</v>
      </c>
      <c r="E16" s="27" t="s">
        <v>25</v>
      </c>
      <c r="F16" s="34" t="s">
        <v>57</v>
      </c>
      <c r="G16" s="38"/>
      <c r="H16" s="30">
        <v>1500.0</v>
      </c>
      <c r="I16" s="31">
        <v>300.0</v>
      </c>
      <c r="J16" s="31">
        <v>1000.0</v>
      </c>
      <c r="K16" s="31">
        <v>15.0</v>
      </c>
      <c r="L16" s="31">
        <v>15.0</v>
      </c>
      <c r="M16" s="31">
        <v>0.0</v>
      </c>
      <c r="N16" s="31" t="s">
        <v>58</v>
      </c>
      <c r="O16" s="31" t="s">
        <v>59</v>
      </c>
      <c r="P16" s="31">
        <v>1000.0</v>
      </c>
      <c r="Q16" s="31" t="s">
        <v>29</v>
      </c>
      <c r="R16" s="27" t="s">
        <v>39</v>
      </c>
    </row>
    <row r="17" ht="14.25" customHeight="1">
      <c r="A17" s="19">
        <v>9.0</v>
      </c>
      <c r="B17" s="24">
        <v>11.0</v>
      </c>
      <c r="C17" s="25" t="s">
        <v>60</v>
      </c>
      <c r="D17" s="44" t="s">
        <v>61</v>
      </c>
      <c r="E17" s="27" t="s">
        <v>25</v>
      </c>
      <c r="F17" s="28" t="s">
        <v>57</v>
      </c>
      <c r="G17" s="39"/>
      <c r="H17" s="35">
        <v>264.0</v>
      </c>
      <c r="I17" s="36">
        <v>100.0</v>
      </c>
      <c r="J17" s="36">
        <v>500.0</v>
      </c>
      <c r="K17" s="36">
        <v>2.0</v>
      </c>
      <c r="L17" s="36">
        <v>2.0</v>
      </c>
      <c r="M17" s="36">
        <v>0.0</v>
      </c>
      <c r="N17" s="36" t="s">
        <v>58</v>
      </c>
      <c r="O17" s="36" t="s">
        <v>59</v>
      </c>
      <c r="P17" s="36">
        <v>100.0</v>
      </c>
      <c r="Q17" s="36" t="s">
        <v>29</v>
      </c>
      <c r="R17" s="25" t="s">
        <v>39</v>
      </c>
    </row>
    <row r="18" ht="14.25" customHeight="1">
      <c r="A18" s="19"/>
      <c r="B18" s="20"/>
      <c r="C18" s="21" t="s">
        <v>62</v>
      </c>
      <c r="D18" s="22"/>
      <c r="E18" s="22"/>
      <c r="F18" s="23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ht="14.25" customHeight="1">
      <c r="A19" s="19">
        <v>10.0</v>
      </c>
      <c r="B19" s="37">
        <v>12.0</v>
      </c>
      <c r="C19" s="27" t="s">
        <v>63</v>
      </c>
      <c r="D19" s="45" t="s">
        <v>64</v>
      </c>
      <c r="E19" s="27" t="s">
        <v>25</v>
      </c>
      <c r="F19" s="34" t="s">
        <v>57</v>
      </c>
      <c r="G19" s="38"/>
      <c r="H19" s="30">
        <v>660.0</v>
      </c>
      <c r="I19" s="31">
        <v>21.0</v>
      </c>
      <c r="J19" s="31">
        <v>90.0</v>
      </c>
      <c r="K19" s="31">
        <v>6.0</v>
      </c>
      <c r="L19" s="31">
        <v>6.0</v>
      </c>
      <c r="M19" s="31">
        <v>2.0</v>
      </c>
      <c r="N19" s="31" t="s">
        <v>65</v>
      </c>
      <c r="O19" s="31" t="s">
        <v>39</v>
      </c>
      <c r="P19" s="31">
        <v>1500.0</v>
      </c>
      <c r="Q19" s="31" t="s">
        <v>66</v>
      </c>
      <c r="R19" s="42">
        <v>21.0</v>
      </c>
    </row>
    <row r="20" ht="14.25" customHeight="1">
      <c r="A20" s="19"/>
      <c r="B20" s="37">
        <v>13.0</v>
      </c>
      <c r="C20" s="27" t="s">
        <v>67</v>
      </c>
      <c r="D20" s="27" t="s">
        <v>64</v>
      </c>
      <c r="E20" s="27" t="s">
        <v>25</v>
      </c>
      <c r="F20" s="34" t="s">
        <v>57</v>
      </c>
      <c r="G20" s="38"/>
      <c r="H20" s="30">
        <v>350.0</v>
      </c>
      <c r="I20" s="31">
        <v>30.0</v>
      </c>
      <c r="J20" s="31">
        <v>150.0</v>
      </c>
      <c r="K20" s="31">
        <v>2.0</v>
      </c>
      <c r="L20" s="31">
        <v>2.0</v>
      </c>
      <c r="M20" s="31">
        <v>0.0</v>
      </c>
      <c r="N20" s="31" t="s">
        <v>65</v>
      </c>
      <c r="O20" s="31" t="s">
        <v>59</v>
      </c>
      <c r="P20" s="31">
        <v>0.0</v>
      </c>
      <c r="Q20" s="36" t="s">
        <v>29</v>
      </c>
      <c r="R20" s="42">
        <v>0.0</v>
      </c>
    </row>
    <row r="21" ht="14.25" customHeight="1">
      <c r="A21" s="19"/>
      <c r="B21" s="37">
        <v>14.0</v>
      </c>
      <c r="C21" s="46" t="s">
        <v>68</v>
      </c>
      <c r="D21" s="27" t="s">
        <v>64</v>
      </c>
      <c r="E21" s="27" t="s">
        <v>25</v>
      </c>
      <c r="F21" s="34" t="s">
        <v>57</v>
      </c>
      <c r="G21" s="38"/>
      <c r="H21" s="30">
        <v>300.0</v>
      </c>
      <c r="I21" s="31">
        <v>24.0</v>
      </c>
      <c r="J21" s="31">
        <v>120.0</v>
      </c>
      <c r="K21" s="31">
        <v>1.0</v>
      </c>
      <c r="L21" s="31">
        <v>1.0</v>
      </c>
      <c r="M21" s="31">
        <v>0.0</v>
      </c>
      <c r="N21" s="31" t="s">
        <v>65</v>
      </c>
      <c r="O21" s="31" t="s">
        <v>59</v>
      </c>
      <c r="P21" s="31">
        <v>0.0</v>
      </c>
      <c r="Q21" s="36" t="s">
        <v>29</v>
      </c>
      <c r="R21" s="42">
        <v>0.0</v>
      </c>
    </row>
    <row r="22" ht="14.25" customHeight="1">
      <c r="A22" s="19"/>
      <c r="B22" s="37">
        <v>15.0</v>
      </c>
      <c r="C22" s="46" t="s">
        <v>69</v>
      </c>
      <c r="D22" s="27" t="s">
        <v>64</v>
      </c>
      <c r="E22" s="27" t="s">
        <v>25</v>
      </c>
      <c r="F22" s="34" t="s">
        <v>57</v>
      </c>
      <c r="G22" s="38"/>
      <c r="H22" s="30">
        <v>10000.0</v>
      </c>
      <c r="I22" s="31">
        <v>60.0</v>
      </c>
      <c r="J22" s="31">
        <v>300.0</v>
      </c>
      <c r="K22" s="31">
        <v>0.0</v>
      </c>
      <c r="L22" s="31">
        <v>0.0</v>
      </c>
      <c r="M22" s="31">
        <v>20.0</v>
      </c>
      <c r="N22" s="31" t="s">
        <v>65</v>
      </c>
      <c r="O22" s="31" t="s">
        <v>59</v>
      </c>
      <c r="P22" s="31">
        <v>0.0</v>
      </c>
      <c r="Q22" s="31" t="s">
        <v>66</v>
      </c>
      <c r="R22" s="42">
        <v>30.0</v>
      </c>
    </row>
    <row r="23" ht="14.25" customHeight="1">
      <c r="A23" s="19"/>
      <c r="B23" s="37">
        <v>16.0</v>
      </c>
      <c r="C23" s="25" t="s">
        <v>70</v>
      </c>
      <c r="D23" s="27" t="s">
        <v>64</v>
      </c>
      <c r="E23" s="27" t="s">
        <v>25</v>
      </c>
      <c r="F23" s="34" t="s">
        <v>57</v>
      </c>
      <c r="G23" s="38"/>
      <c r="H23" s="47">
        <v>60.0</v>
      </c>
      <c r="I23" s="48">
        <v>4.0</v>
      </c>
      <c r="J23" s="48">
        <v>20.0</v>
      </c>
      <c r="K23" s="48">
        <v>1.0</v>
      </c>
      <c r="L23" s="48">
        <v>1.0</v>
      </c>
      <c r="M23" s="48">
        <v>0.0</v>
      </c>
      <c r="N23" s="48" t="s">
        <v>65</v>
      </c>
      <c r="O23" s="48" t="s">
        <v>59</v>
      </c>
      <c r="P23" s="48">
        <v>40.0</v>
      </c>
      <c r="Q23" s="48" t="s">
        <v>29</v>
      </c>
      <c r="R23" s="33">
        <v>0.0</v>
      </c>
    </row>
    <row r="24" ht="14.25" customHeight="1">
      <c r="A24" s="19"/>
      <c r="B24" s="37">
        <v>17.0</v>
      </c>
      <c r="C24" s="49" t="s">
        <v>71</v>
      </c>
      <c r="D24" s="46" t="s">
        <v>72</v>
      </c>
      <c r="E24" s="27" t="s">
        <v>25</v>
      </c>
      <c r="F24" s="34" t="s">
        <v>57</v>
      </c>
      <c r="G24" s="50"/>
      <c r="H24" s="47">
        <v>350.0</v>
      </c>
      <c r="I24" s="48">
        <v>30.0</v>
      </c>
      <c r="J24" s="48">
        <v>150.0</v>
      </c>
      <c r="K24" s="48">
        <v>2.0</v>
      </c>
      <c r="L24" s="48">
        <v>2.0</v>
      </c>
      <c r="M24" s="48">
        <v>0.0</v>
      </c>
      <c r="N24" s="48" t="s">
        <v>65</v>
      </c>
      <c r="O24" s="48" t="s">
        <v>59</v>
      </c>
      <c r="P24" s="48">
        <v>0.0</v>
      </c>
      <c r="Q24" s="48" t="s">
        <v>29</v>
      </c>
      <c r="R24" s="33">
        <v>0.0</v>
      </c>
    </row>
    <row r="25" ht="14.25" customHeight="1">
      <c r="A25" s="19"/>
      <c r="B25" s="37">
        <v>18.0</v>
      </c>
      <c r="C25" s="46" t="s">
        <v>73</v>
      </c>
      <c r="D25" s="46" t="s">
        <v>72</v>
      </c>
      <c r="E25" s="27" t="s">
        <v>25</v>
      </c>
      <c r="F25" s="34" t="s">
        <v>57</v>
      </c>
      <c r="G25" s="50"/>
      <c r="H25" s="47">
        <v>60.0</v>
      </c>
      <c r="I25" s="48">
        <v>4.0</v>
      </c>
      <c r="J25" s="48">
        <v>20.0</v>
      </c>
      <c r="K25" s="48">
        <v>1.0</v>
      </c>
      <c r="L25" s="48">
        <v>1.0</v>
      </c>
      <c r="M25" s="48">
        <v>1.0</v>
      </c>
      <c r="N25" s="48" t="s">
        <v>65</v>
      </c>
      <c r="O25" s="48" t="s">
        <v>59</v>
      </c>
      <c r="P25" s="48">
        <v>40.0</v>
      </c>
      <c r="Q25" s="48" t="s">
        <v>29</v>
      </c>
      <c r="R25" s="33">
        <v>0.0</v>
      </c>
    </row>
    <row r="26" ht="14.25" customHeight="1">
      <c r="A26" s="19"/>
      <c r="B26" s="37">
        <v>19.0</v>
      </c>
      <c r="C26" s="46" t="s">
        <v>74</v>
      </c>
      <c r="D26" s="49" t="s">
        <v>75</v>
      </c>
      <c r="E26" s="27" t="s">
        <v>25</v>
      </c>
      <c r="F26" s="34" t="s">
        <v>57</v>
      </c>
      <c r="G26" s="51"/>
      <c r="H26" s="47">
        <v>100.0</v>
      </c>
      <c r="I26" s="48">
        <v>10.0</v>
      </c>
      <c r="J26" s="48">
        <v>50.0</v>
      </c>
      <c r="K26" s="48">
        <v>0.0</v>
      </c>
      <c r="L26" s="48">
        <v>0.0</v>
      </c>
      <c r="M26" s="48">
        <v>7.0</v>
      </c>
      <c r="N26" s="48" t="s">
        <v>65</v>
      </c>
      <c r="O26" s="48" t="s">
        <v>59</v>
      </c>
      <c r="P26" s="48">
        <v>0.0</v>
      </c>
      <c r="Q26" s="48" t="s">
        <v>66</v>
      </c>
      <c r="R26" s="33">
        <v>7.0</v>
      </c>
    </row>
    <row r="27" ht="14.25" customHeight="1">
      <c r="A27" s="19"/>
      <c r="B27" s="37">
        <v>20.0</v>
      </c>
      <c r="C27" s="46" t="s">
        <v>76</v>
      </c>
      <c r="D27" s="49" t="s">
        <v>75</v>
      </c>
      <c r="E27" s="27" t="s">
        <v>25</v>
      </c>
      <c r="F27" s="34" t="s">
        <v>57</v>
      </c>
      <c r="G27" s="51"/>
      <c r="H27" s="47">
        <v>60.0</v>
      </c>
      <c r="I27" s="48">
        <v>10.0</v>
      </c>
      <c r="J27" s="48">
        <v>50.0</v>
      </c>
      <c r="K27" s="48">
        <v>1.0</v>
      </c>
      <c r="L27" s="48">
        <v>1.0</v>
      </c>
      <c r="M27" s="48">
        <v>0.0</v>
      </c>
      <c r="N27" s="48" t="s">
        <v>65</v>
      </c>
      <c r="O27" s="48" t="s">
        <v>59</v>
      </c>
      <c r="P27" s="48">
        <v>40.0</v>
      </c>
      <c r="Q27" s="48" t="s">
        <v>66</v>
      </c>
      <c r="R27" s="33">
        <v>4.0</v>
      </c>
    </row>
    <row r="28" ht="14.25" customHeight="1">
      <c r="A28" s="19"/>
      <c r="B28" s="37">
        <v>21.0</v>
      </c>
      <c r="C28" s="46" t="s">
        <v>74</v>
      </c>
      <c r="D28" s="46" t="s">
        <v>77</v>
      </c>
      <c r="E28" s="27" t="s">
        <v>25</v>
      </c>
      <c r="F28" s="34" t="s">
        <v>57</v>
      </c>
      <c r="G28" s="50"/>
      <c r="H28" s="47">
        <v>150.0</v>
      </c>
      <c r="I28" s="48">
        <v>10.0</v>
      </c>
      <c r="J28" s="48">
        <v>50.0</v>
      </c>
      <c r="K28" s="48">
        <v>0.0</v>
      </c>
      <c r="L28" s="48">
        <v>0.0</v>
      </c>
      <c r="M28" s="48">
        <v>14.0</v>
      </c>
      <c r="N28" s="48" t="s">
        <v>65</v>
      </c>
      <c r="O28" s="48" t="s">
        <v>59</v>
      </c>
      <c r="P28" s="48">
        <v>0.0</v>
      </c>
      <c r="Q28" s="48" t="s">
        <v>66</v>
      </c>
      <c r="R28" s="33">
        <v>14.0</v>
      </c>
    </row>
    <row r="29" ht="14.25" customHeight="1">
      <c r="A29" s="19"/>
      <c r="B29" s="37">
        <v>22.0</v>
      </c>
      <c r="C29" s="46" t="s">
        <v>78</v>
      </c>
      <c r="D29" s="46" t="s">
        <v>77</v>
      </c>
      <c r="E29" s="27" t="s">
        <v>25</v>
      </c>
      <c r="F29" s="34" t="s">
        <v>57</v>
      </c>
      <c r="G29" s="50"/>
      <c r="H29" s="47">
        <v>60.0</v>
      </c>
      <c r="I29" s="48">
        <v>10.0</v>
      </c>
      <c r="J29" s="48">
        <v>50.0</v>
      </c>
      <c r="K29" s="48">
        <v>1.0</v>
      </c>
      <c r="L29" s="48">
        <v>1.0</v>
      </c>
      <c r="M29" s="48">
        <v>0.0</v>
      </c>
      <c r="N29" s="48" t="s">
        <v>65</v>
      </c>
      <c r="O29" s="48" t="s">
        <v>59</v>
      </c>
      <c r="P29" s="48">
        <v>40.0</v>
      </c>
      <c r="Q29" s="48" t="s">
        <v>66</v>
      </c>
      <c r="R29" s="33">
        <v>4.0</v>
      </c>
    </row>
    <row r="30" ht="14.25" customHeight="1">
      <c r="A30" s="19"/>
      <c r="B30" s="37">
        <v>23.0</v>
      </c>
      <c r="C30" s="46" t="s">
        <v>79</v>
      </c>
      <c r="D30" s="46" t="s">
        <v>80</v>
      </c>
      <c r="E30" s="27" t="s">
        <v>25</v>
      </c>
      <c r="F30" s="34" t="s">
        <v>57</v>
      </c>
      <c r="G30" s="50"/>
      <c r="H30" s="47">
        <v>10000.0</v>
      </c>
      <c r="I30" s="48">
        <v>30.0</v>
      </c>
      <c r="J30" s="48">
        <v>150.0</v>
      </c>
      <c r="K30" s="48">
        <v>0.0</v>
      </c>
      <c r="L30" s="48">
        <v>0.0</v>
      </c>
      <c r="M30" s="48">
        <v>20.0</v>
      </c>
      <c r="N30" s="48" t="s">
        <v>65</v>
      </c>
      <c r="O30" s="48" t="s">
        <v>59</v>
      </c>
      <c r="P30" s="48">
        <v>0.0</v>
      </c>
      <c r="Q30" s="48" t="s">
        <v>66</v>
      </c>
      <c r="R30" s="33">
        <v>15.0</v>
      </c>
    </row>
    <row r="31" ht="14.25" customHeight="1">
      <c r="A31" s="19"/>
      <c r="B31" s="37">
        <v>24.0</v>
      </c>
      <c r="C31" s="46" t="s">
        <v>81</v>
      </c>
      <c r="D31" s="46" t="s">
        <v>80</v>
      </c>
      <c r="E31" s="27" t="s">
        <v>25</v>
      </c>
      <c r="F31" s="34" t="s">
        <v>57</v>
      </c>
      <c r="G31" s="50"/>
      <c r="H31" s="47">
        <v>60.0</v>
      </c>
      <c r="I31" s="48">
        <v>10.0</v>
      </c>
      <c r="J31" s="48">
        <v>50.0</v>
      </c>
      <c r="K31" s="48">
        <v>1.0</v>
      </c>
      <c r="L31" s="48">
        <v>1.0</v>
      </c>
      <c r="M31" s="48">
        <v>0.0</v>
      </c>
      <c r="N31" s="48" t="s">
        <v>82</v>
      </c>
      <c r="O31" s="48" t="s">
        <v>83</v>
      </c>
      <c r="P31" s="48">
        <v>40.0</v>
      </c>
      <c r="Q31" s="48" t="s">
        <v>66</v>
      </c>
      <c r="R31" s="33">
        <v>4.0</v>
      </c>
    </row>
    <row r="32" ht="14.25" customHeight="1">
      <c r="A32" s="19"/>
      <c r="B32" s="37">
        <v>25.0</v>
      </c>
      <c r="C32" s="46" t="s">
        <v>84</v>
      </c>
      <c r="D32" s="46" t="s">
        <v>85</v>
      </c>
      <c r="E32" s="27" t="s">
        <v>25</v>
      </c>
      <c r="F32" s="34" t="s">
        <v>57</v>
      </c>
      <c r="G32" s="50"/>
      <c r="H32" s="47">
        <v>800.0</v>
      </c>
      <c r="I32" s="48">
        <v>20.0</v>
      </c>
      <c r="J32" s="48">
        <v>100.0</v>
      </c>
      <c r="K32" s="48">
        <v>0.0</v>
      </c>
      <c r="L32" s="48">
        <v>0.0</v>
      </c>
      <c r="M32" s="48">
        <v>10.0</v>
      </c>
      <c r="N32" s="48" t="s">
        <v>82</v>
      </c>
      <c r="O32" s="48" t="s">
        <v>83</v>
      </c>
      <c r="P32" s="48">
        <v>0.0</v>
      </c>
      <c r="Q32" s="48" t="s">
        <v>66</v>
      </c>
      <c r="R32" s="33">
        <v>12.0</v>
      </c>
    </row>
    <row r="33" ht="14.25" customHeight="1">
      <c r="A33" s="19"/>
      <c r="B33" s="37">
        <v>26.0</v>
      </c>
      <c r="C33" s="46" t="s">
        <v>86</v>
      </c>
      <c r="D33" s="46" t="s">
        <v>85</v>
      </c>
      <c r="E33" s="27" t="s">
        <v>25</v>
      </c>
      <c r="F33" s="52" t="s">
        <v>45</v>
      </c>
      <c r="G33" s="50"/>
      <c r="H33" s="47">
        <v>60.0</v>
      </c>
      <c r="I33" s="48">
        <v>10.0</v>
      </c>
      <c r="J33" s="48">
        <v>50.0</v>
      </c>
      <c r="K33" s="48">
        <v>1.0</v>
      </c>
      <c r="L33" s="48">
        <v>1.0</v>
      </c>
      <c r="M33" s="48">
        <v>0.0</v>
      </c>
      <c r="N33" s="48" t="s">
        <v>82</v>
      </c>
      <c r="O33" s="48" t="s">
        <v>83</v>
      </c>
      <c r="P33" s="48">
        <v>40.0</v>
      </c>
      <c r="Q33" s="48" t="s">
        <v>66</v>
      </c>
      <c r="R33" s="33">
        <v>4.0</v>
      </c>
    </row>
    <row r="34" ht="14.25" customHeight="1">
      <c r="A34" s="19"/>
      <c r="B34" s="37">
        <v>27.0</v>
      </c>
      <c r="C34" s="46" t="s">
        <v>87</v>
      </c>
      <c r="D34" s="46" t="s">
        <v>88</v>
      </c>
      <c r="E34" s="27" t="s">
        <v>25</v>
      </c>
      <c r="F34" s="52" t="s">
        <v>45</v>
      </c>
      <c r="G34" s="50"/>
      <c r="H34" s="47">
        <v>800.0</v>
      </c>
      <c r="I34" s="48">
        <v>20.0</v>
      </c>
      <c r="J34" s="48">
        <v>100.0</v>
      </c>
      <c r="K34" s="48">
        <v>0.0</v>
      </c>
      <c r="L34" s="48">
        <v>0.0</v>
      </c>
      <c r="M34" s="48">
        <v>10.0</v>
      </c>
      <c r="N34" s="48" t="s">
        <v>82</v>
      </c>
      <c r="O34" s="48" t="s">
        <v>83</v>
      </c>
      <c r="P34" s="48">
        <v>0.0</v>
      </c>
      <c r="Q34" s="48" t="s">
        <v>66</v>
      </c>
      <c r="R34" s="33">
        <v>12.0</v>
      </c>
    </row>
    <row r="35" ht="14.25" customHeight="1">
      <c r="A35" s="19"/>
      <c r="B35" s="37">
        <v>28.0</v>
      </c>
      <c r="C35" s="46" t="s">
        <v>89</v>
      </c>
      <c r="D35" s="46" t="s">
        <v>88</v>
      </c>
      <c r="E35" s="27" t="s">
        <v>25</v>
      </c>
      <c r="F35" s="52" t="s">
        <v>45</v>
      </c>
      <c r="G35" s="50"/>
      <c r="H35" s="47">
        <v>60.0</v>
      </c>
      <c r="I35" s="48">
        <v>20.0</v>
      </c>
      <c r="J35" s="48">
        <v>100.0</v>
      </c>
      <c r="K35" s="48">
        <v>1.0</v>
      </c>
      <c r="L35" s="48">
        <v>1.0</v>
      </c>
      <c r="M35" s="48">
        <v>0.0</v>
      </c>
      <c r="N35" s="48" t="s">
        <v>82</v>
      </c>
      <c r="O35" s="48" t="s">
        <v>83</v>
      </c>
      <c r="P35" s="48">
        <v>40.0</v>
      </c>
      <c r="Q35" s="48" t="s">
        <v>66</v>
      </c>
      <c r="R35" s="33">
        <v>4.0</v>
      </c>
    </row>
    <row r="36" ht="14.25" customHeight="1">
      <c r="A36" s="19"/>
      <c r="B36" s="37">
        <v>29.0</v>
      </c>
      <c r="C36" s="46" t="s">
        <v>90</v>
      </c>
      <c r="D36" s="33" t="s">
        <v>91</v>
      </c>
      <c r="E36" s="27" t="s">
        <v>25</v>
      </c>
      <c r="F36" s="53" t="s">
        <v>45</v>
      </c>
      <c r="G36" s="54"/>
      <c r="H36" s="47">
        <v>10000.0</v>
      </c>
      <c r="I36" s="48">
        <v>30.0</v>
      </c>
      <c r="J36" s="48">
        <v>150.0</v>
      </c>
      <c r="K36" s="48">
        <v>0.0</v>
      </c>
      <c r="L36" s="48">
        <v>0.0</v>
      </c>
      <c r="M36" s="48">
        <v>20.0</v>
      </c>
      <c r="N36" s="48" t="s">
        <v>82</v>
      </c>
      <c r="O36" s="48" t="s">
        <v>83</v>
      </c>
      <c r="P36" s="48">
        <v>0.0</v>
      </c>
      <c r="Q36" s="48" t="s">
        <v>66</v>
      </c>
      <c r="R36" s="33">
        <v>15.0</v>
      </c>
    </row>
    <row r="37" ht="14.25" customHeight="1">
      <c r="A37" s="19"/>
      <c r="B37" s="37">
        <v>30.0</v>
      </c>
      <c r="C37" s="46" t="s">
        <v>92</v>
      </c>
      <c r="D37" s="33" t="s">
        <v>91</v>
      </c>
      <c r="E37" s="27" t="s">
        <v>25</v>
      </c>
      <c r="F37" s="53" t="s">
        <v>45</v>
      </c>
      <c r="G37" s="54"/>
      <c r="H37" s="47">
        <v>60.0</v>
      </c>
      <c r="I37" s="48">
        <v>20.0</v>
      </c>
      <c r="J37" s="48">
        <v>100.0</v>
      </c>
      <c r="K37" s="48">
        <v>1.0</v>
      </c>
      <c r="L37" s="48">
        <v>1.0</v>
      </c>
      <c r="M37" s="48">
        <v>0.0</v>
      </c>
      <c r="N37" s="48" t="s">
        <v>82</v>
      </c>
      <c r="O37" s="48" t="s">
        <v>83</v>
      </c>
      <c r="P37" s="48">
        <v>40.0</v>
      </c>
      <c r="Q37" s="48" t="s">
        <v>66</v>
      </c>
      <c r="R37" s="33">
        <v>4.0</v>
      </c>
    </row>
    <row r="38" ht="14.25" customHeight="1">
      <c r="A38" s="19"/>
      <c r="B38" s="37">
        <v>31.0</v>
      </c>
      <c r="C38" s="46" t="s">
        <v>93</v>
      </c>
      <c r="D38" s="46" t="s">
        <v>94</v>
      </c>
      <c r="E38" s="27" t="s">
        <v>25</v>
      </c>
      <c r="F38" s="52" t="s">
        <v>45</v>
      </c>
      <c r="G38" s="50"/>
      <c r="H38" s="47">
        <v>50.0</v>
      </c>
      <c r="I38" s="48">
        <v>10.0</v>
      </c>
      <c r="J38" s="48">
        <v>100.0</v>
      </c>
      <c r="K38" s="48">
        <v>0.0</v>
      </c>
      <c r="L38" s="48">
        <v>0.0</v>
      </c>
      <c r="M38" s="48">
        <v>10.0</v>
      </c>
      <c r="N38" s="48" t="s">
        <v>82</v>
      </c>
      <c r="O38" s="48" t="s">
        <v>83</v>
      </c>
      <c r="P38" s="48">
        <v>0.0</v>
      </c>
      <c r="Q38" s="48" t="s">
        <v>66</v>
      </c>
      <c r="R38" s="33">
        <v>10.0</v>
      </c>
    </row>
    <row r="39" ht="14.25" customHeight="1">
      <c r="A39" s="19"/>
      <c r="B39" s="37">
        <v>32.0</v>
      </c>
      <c r="C39" s="46" t="s">
        <v>95</v>
      </c>
      <c r="D39" s="46" t="s">
        <v>94</v>
      </c>
      <c r="E39" s="27" t="s">
        <v>25</v>
      </c>
      <c r="F39" s="52" t="s">
        <v>45</v>
      </c>
      <c r="G39" s="50"/>
      <c r="H39" s="47">
        <v>60.0</v>
      </c>
      <c r="I39" s="48">
        <v>20.0</v>
      </c>
      <c r="J39" s="48">
        <v>100.0</v>
      </c>
      <c r="K39" s="48">
        <v>1.0</v>
      </c>
      <c r="L39" s="48">
        <v>1.0</v>
      </c>
      <c r="M39" s="48">
        <v>0.0</v>
      </c>
      <c r="N39" s="48" t="s">
        <v>82</v>
      </c>
      <c r="O39" s="48" t="s">
        <v>83</v>
      </c>
      <c r="P39" s="48">
        <v>40.0</v>
      </c>
      <c r="Q39" s="48" t="s">
        <v>66</v>
      </c>
      <c r="R39" s="33">
        <v>4.0</v>
      </c>
    </row>
    <row r="40" ht="14.25" customHeight="1">
      <c r="A40" s="19"/>
      <c r="B40" s="37">
        <v>33.0</v>
      </c>
      <c r="C40" s="46" t="s">
        <v>96</v>
      </c>
      <c r="D40" s="46" t="s">
        <v>97</v>
      </c>
      <c r="E40" s="27" t="s">
        <v>25</v>
      </c>
      <c r="F40" s="52" t="s">
        <v>45</v>
      </c>
      <c r="G40" s="50"/>
      <c r="H40" s="47">
        <v>100.0</v>
      </c>
      <c r="I40" s="48">
        <v>10.0</v>
      </c>
      <c r="J40" s="48">
        <v>50.0</v>
      </c>
      <c r="K40" s="48">
        <v>0.0</v>
      </c>
      <c r="L40" s="48">
        <v>0.0</v>
      </c>
      <c r="M40" s="48">
        <v>15.0</v>
      </c>
      <c r="N40" s="48" t="s">
        <v>82</v>
      </c>
      <c r="O40" s="48" t="s">
        <v>83</v>
      </c>
      <c r="P40" s="48">
        <v>0.0</v>
      </c>
      <c r="Q40" s="48" t="s">
        <v>66</v>
      </c>
      <c r="R40" s="33">
        <v>15.0</v>
      </c>
    </row>
    <row r="41" ht="14.25" customHeight="1">
      <c r="A41" s="19"/>
      <c r="B41" s="37">
        <v>34.0</v>
      </c>
      <c r="C41" s="46" t="s">
        <v>98</v>
      </c>
      <c r="D41" s="46" t="s">
        <v>97</v>
      </c>
      <c r="E41" s="27" t="s">
        <v>25</v>
      </c>
      <c r="F41" s="52" t="s">
        <v>45</v>
      </c>
      <c r="G41" s="50"/>
      <c r="H41" s="47">
        <v>60.0</v>
      </c>
      <c r="I41" s="48">
        <v>20.0</v>
      </c>
      <c r="J41" s="48">
        <v>100.0</v>
      </c>
      <c r="K41" s="48">
        <v>1.0</v>
      </c>
      <c r="L41" s="48">
        <v>1.0</v>
      </c>
      <c r="M41" s="48">
        <v>0.0</v>
      </c>
      <c r="N41" s="48" t="s">
        <v>82</v>
      </c>
      <c r="O41" s="48" t="s">
        <v>83</v>
      </c>
      <c r="P41" s="48">
        <v>40.0</v>
      </c>
      <c r="Q41" s="48" t="s">
        <v>66</v>
      </c>
      <c r="R41" s="33">
        <v>4.0</v>
      </c>
    </row>
    <row r="42" ht="14.25" customHeight="1">
      <c r="A42" s="19"/>
      <c r="B42" s="37">
        <v>35.0</v>
      </c>
      <c r="C42" s="49" t="s">
        <v>99</v>
      </c>
      <c r="D42" s="46" t="s">
        <v>100</v>
      </c>
      <c r="E42" s="27" t="s">
        <v>25</v>
      </c>
      <c r="F42" s="52" t="s">
        <v>45</v>
      </c>
      <c r="G42" s="50"/>
      <c r="H42" s="47">
        <v>100.0</v>
      </c>
      <c r="I42" s="48">
        <v>10.0</v>
      </c>
      <c r="J42" s="48">
        <v>50.0</v>
      </c>
      <c r="K42" s="48">
        <v>0.0</v>
      </c>
      <c r="L42" s="48">
        <v>0.0</v>
      </c>
      <c r="M42" s="48">
        <v>15.0</v>
      </c>
      <c r="N42" s="48" t="s">
        <v>82</v>
      </c>
      <c r="O42" s="48" t="s">
        <v>83</v>
      </c>
      <c r="P42" s="48">
        <v>0.0</v>
      </c>
      <c r="Q42" s="48" t="s">
        <v>66</v>
      </c>
      <c r="R42" s="33">
        <v>15.0</v>
      </c>
    </row>
    <row r="43" ht="14.25" customHeight="1">
      <c r="A43" s="19"/>
      <c r="B43" s="37">
        <v>36.0</v>
      </c>
      <c r="C43" s="46" t="s">
        <v>101</v>
      </c>
      <c r="D43" s="46" t="s">
        <v>100</v>
      </c>
      <c r="E43" s="27" t="s">
        <v>25</v>
      </c>
      <c r="F43" s="52" t="s">
        <v>45</v>
      </c>
      <c r="G43" s="50"/>
      <c r="H43" s="47">
        <v>100.0</v>
      </c>
      <c r="I43" s="48">
        <v>10.0</v>
      </c>
      <c r="J43" s="48">
        <v>50.0</v>
      </c>
      <c r="K43" s="48">
        <v>0.0</v>
      </c>
      <c r="L43" s="48">
        <v>0.0</v>
      </c>
      <c r="M43" s="48">
        <v>15.0</v>
      </c>
      <c r="N43" s="48" t="s">
        <v>82</v>
      </c>
      <c r="O43" s="48" t="s">
        <v>83</v>
      </c>
      <c r="P43" s="48">
        <v>0.0</v>
      </c>
      <c r="Q43" s="48" t="s">
        <v>66</v>
      </c>
      <c r="R43" s="33">
        <v>15.0</v>
      </c>
    </row>
    <row r="44" ht="14.25" customHeight="1">
      <c r="A44" s="19"/>
      <c r="B44" s="37">
        <v>37.0</v>
      </c>
      <c r="C44" s="46" t="s">
        <v>102</v>
      </c>
      <c r="D44" s="46" t="s">
        <v>100</v>
      </c>
      <c r="E44" s="27" t="s">
        <v>25</v>
      </c>
      <c r="F44" s="52" t="s">
        <v>45</v>
      </c>
      <c r="G44" s="50"/>
      <c r="H44" s="47">
        <v>100.0</v>
      </c>
      <c r="I44" s="48">
        <v>20.0</v>
      </c>
      <c r="J44" s="48">
        <v>100.0</v>
      </c>
      <c r="K44" s="48">
        <v>1.0</v>
      </c>
      <c r="L44" s="48">
        <v>1.0</v>
      </c>
      <c r="M44" s="48">
        <v>0.0</v>
      </c>
      <c r="N44" s="48" t="s">
        <v>82</v>
      </c>
      <c r="O44" s="48" t="s">
        <v>83</v>
      </c>
      <c r="P44" s="48">
        <v>40.0</v>
      </c>
      <c r="Q44" s="48" t="s">
        <v>66</v>
      </c>
      <c r="R44" s="33">
        <v>4.0</v>
      </c>
    </row>
    <row r="45" ht="14.25" customHeight="1">
      <c r="A45" s="19"/>
      <c r="B45" s="37">
        <v>38.0</v>
      </c>
      <c r="C45" s="46" t="s">
        <v>103</v>
      </c>
      <c r="D45" s="46" t="s">
        <v>104</v>
      </c>
      <c r="E45" s="27" t="s">
        <v>25</v>
      </c>
      <c r="F45" s="52" t="s">
        <v>45</v>
      </c>
      <c r="G45" s="50"/>
      <c r="H45" s="47">
        <v>100.0</v>
      </c>
      <c r="I45" s="48">
        <v>10.0</v>
      </c>
      <c r="J45" s="48">
        <v>50.0</v>
      </c>
      <c r="K45" s="48">
        <v>0.0</v>
      </c>
      <c r="L45" s="48">
        <v>0.0</v>
      </c>
      <c r="M45" s="48">
        <v>15.0</v>
      </c>
      <c r="N45" s="48" t="s">
        <v>82</v>
      </c>
      <c r="O45" s="48" t="s">
        <v>83</v>
      </c>
      <c r="P45" s="48">
        <v>0.0</v>
      </c>
      <c r="Q45" s="48" t="s">
        <v>66</v>
      </c>
      <c r="R45" s="33">
        <v>15.0</v>
      </c>
    </row>
    <row r="46" ht="14.25" customHeight="1">
      <c r="A46" s="19"/>
      <c r="B46" s="37">
        <v>39.0</v>
      </c>
      <c r="C46" s="46" t="s">
        <v>105</v>
      </c>
      <c r="D46" s="46" t="s">
        <v>104</v>
      </c>
      <c r="E46" s="27" t="s">
        <v>25</v>
      </c>
      <c r="F46" s="52" t="s">
        <v>45</v>
      </c>
      <c r="G46" s="50"/>
      <c r="H46" s="47">
        <v>50.0</v>
      </c>
      <c r="I46" s="48">
        <v>4.0</v>
      </c>
      <c r="J46" s="48">
        <v>20.0</v>
      </c>
      <c r="K46" s="48">
        <v>1.0</v>
      </c>
      <c r="L46" s="48">
        <v>1.0</v>
      </c>
      <c r="M46" s="48">
        <v>0.0</v>
      </c>
      <c r="N46" s="48" t="s">
        <v>82</v>
      </c>
      <c r="O46" s="48" t="s">
        <v>83</v>
      </c>
      <c r="P46" s="48">
        <v>40.0</v>
      </c>
      <c r="Q46" s="48" t="s">
        <v>66</v>
      </c>
      <c r="R46" s="33">
        <v>4.0</v>
      </c>
    </row>
    <row r="47" ht="14.25" customHeight="1">
      <c r="A47" s="19"/>
      <c r="B47" s="37">
        <v>40.0</v>
      </c>
      <c r="C47" s="46" t="s">
        <v>106</v>
      </c>
      <c r="D47" s="46" t="s">
        <v>107</v>
      </c>
      <c r="E47" s="27" t="s">
        <v>25</v>
      </c>
      <c r="F47" s="52" t="s">
        <v>26</v>
      </c>
      <c r="G47" s="50"/>
      <c r="H47" s="47">
        <v>100.0</v>
      </c>
      <c r="I47" s="48">
        <v>10.0</v>
      </c>
      <c r="J47" s="48">
        <v>50.0</v>
      </c>
      <c r="K47" s="48">
        <v>0.0</v>
      </c>
      <c r="L47" s="48">
        <v>0.0</v>
      </c>
      <c r="M47" s="48">
        <v>15.0</v>
      </c>
      <c r="N47" s="48" t="s">
        <v>82</v>
      </c>
      <c r="O47" s="48" t="s">
        <v>83</v>
      </c>
      <c r="P47" s="48">
        <v>0.0</v>
      </c>
      <c r="Q47" s="48" t="s">
        <v>66</v>
      </c>
      <c r="R47" s="33">
        <v>15.0</v>
      </c>
    </row>
    <row r="48" ht="14.25" customHeight="1">
      <c r="A48" s="19"/>
      <c r="B48" s="37">
        <v>41.0</v>
      </c>
      <c r="C48" s="46" t="s">
        <v>108</v>
      </c>
      <c r="D48" s="46" t="s">
        <v>109</v>
      </c>
      <c r="E48" s="27" t="s">
        <v>25</v>
      </c>
      <c r="F48" s="52" t="s">
        <v>26</v>
      </c>
      <c r="G48" s="50"/>
      <c r="H48" s="47">
        <v>100.0</v>
      </c>
      <c r="I48" s="48">
        <v>10.0</v>
      </c>
      <c r="J48" s="48">
        <v>50.0</v>
      </c>
      <c r="K48" s="48">
        <v>0.0</v>
      </c>
      <c r="L48" s="48">
        <v>0.0</v>
      </c>
      <c r="M48" s="48">
        <v>15.0</v>
      </c>
      <c r="N48" s="48" t="s">
        <v>82</v>
      </c>
      <c r="O48" s="48" t="s">
        <v>83</v>
      </c>
      <c r="P48" s="48">
        <v>0.0</v>
      </c>
      <c r="Q48" s="48" t="s">
        <v>66</v>
      </c>
      <c r="R48" s="33">
        <v>15.0</v>
      </c>
    </row>
    <row r="49" ht="14.25" customHeight="1">
      <c r="A49" s="19"/>
      <c r="B49" s="37">
        <v>42.0</v>
      </c>
      <c r="C49" s="46" t="s">
        <v>110</v>
      </c>
      <c r="D49" s="46" t="s">
        <v>107</v>
      </c>
      <c r="E49" s="27" t="s">
        <v>25</v>
      </c>
      <c r="F49" s="52" t="s">
        <v>26</v>
      </c>
      <c r="G49" s="50"/>
      <c r="H49" s="47">
        <v>60.0</v>
      </c>
      <c r="I49" s="48">
        <v>20.0</v>
      </c>
      <c r="J49" s="48">
        <v>100.0</v>
      </c>
      <c r="K49" s="48">
        <v>1.0</v>
      </c>
      <c r="L49" s="48">
        <v>1.0</v>
      </c>
      <c r="M49" s="48">
        <v>0.0</v>
      </c>
      <c r="N49" s="48" t="s">
        <v>82</v>
      </c>
      <c r="O49" s="48" t="s">
        <v>83</v>
      </c>
      <c r="P49" s="48">
        <v>40.0</v>
      </c>
      <c r="Q49" s="48" t="s">
        <v>66</v>
      </c>
      <c r="R49" s="33">
        <v>4.0</v>
      </c>
    </row>
    <row r="50" ht="14.25" customHeight="1">
      <c r="A50" s="19"/>
      <c r="B50" s="37">
        <v>43.0</v>
      </c>
      <c r="C50" s="46" t="s">
        <v>111</v>
      </c>
      <c r="D50" s="46" t="s">
        <v>109</v>
      </c>
      <c r="E50" s="27" t="s">
        <v>25</v>
      </c>
      <c r="F50" s="52" t="s">
        <v>26</v>
      </c>
      <c r="G50" s="50"/>
      <c r="H50" s="47">
        <v>100.0</v>
      </c>
      <c r="I50" s="48">
        <v>10.0</v>
      </c>
      <c r="J50" s="48">
        <v>50.0</v>
      </c>
      <c r="K50" s="48">
        <v>0.0</v>
      </c>
      <c r="L50" s="48">
        <v>0.0</v>
      </c>
      <c r="M50" s="48">
        <v>15.0</v>
      </c>
      <c r="N50" s="48" t="s">
        <v>82</v>
      </c>
      <c r="O50" s="48" t="s">
        <v>83</v>
      </c>
      <c r="P50" s="48">
        <v>0.0</v>
      </c>
      <c r="Q50" s="48" t="s">
        <v>66</v>
      </c>
      <c r="R50" s="33">
        <v>15.0</v>
      </c>
    </row>
    <row r="51" ht="14.25" customHeight="1">
      <c r="A51" s="19"/>
      <c r="B51" s="37">
        <v>44.0</v>
      </c>
      <c r="C51" s="46" t="s">
        <v>112</v>
      </c>
      <c r="D51" s="46" t="s">
        <v>109</v>
      </c>
      <c r="E51" s="27" t="s">
        <v>25</v>
      </c>
      <c r="F51" s="52" t="s">
        <v>26</v>
      </c>
      <c r="G51" s="50"/>
      <c r="H51" s="47">
        <v>60.0</v>
      </c>
      <c r="I51" s="48">
        <v>20.0</v>
      </c>
      <c r="J51" s="48">
        <v>100.0</v>
      </c>
      <c r="K51" s="48">
        <v>1.0</v>
      </c>
      <c r="L51" s="48">
        <v>1.0</v>
      </c>
      <c r="M51" s="48">
        <v>0.0</v>
      </c>
      <c r="N51" s="48" t="s">
        <v>82</v>
      </c>
      <c r="O51" s="48" t="s">
        <v>83</v>
      </c>
      <c r="P51" s="48">
        <v>40.0</v>
      </c>
      <c r="Q51" s="48" t="s">
        <v>66</v>
      </c>
      <c r="R51" s="33">
        <v>4.0</v>
      </c>
    </row>
    <row r="52" ht="14.25" customHeight="1">
      <c r="A52" s="19"/>
      <c r="B52" s="37">
        <v>45.0</v>
      </c>
      <c r="C52" s="46" t="s">
        <v>113</v>
      </c>
      <c r="D52" s="49" t="s">
        <v>114</v>
      </c>
      <c r="E52" s="27" t="s">
        <v>25</v>
      </c>
      <c r="F52" s="55" t="s">
        <v>45</v>
      </c>
      <c r="G52" s="51"/>
      <c r="H52" s="47">
        <v>100.0</v>
      </c>
      <c r="I52" s="48">
        <v>10.0</v>
      </c>
      <c r="J52" s="48">
        <v>50.0</v>
      </c>
      <c r="K52" s="48">
        <v>0.0</v>
      </c>
      <c r="L52" s="48">
        <v>0.0</v>
      </c>
      <c r="M52" s="48">
        <v>15.0</v>
      </c>
      <c r="N52" s="48" t="s">
        <v>82</v>
      </c>
      <c r="O52" s="48" t="s">
        <v>83</v>
      </c>
      <c r="P52" s="48">
        <v>0.0</v>
      </c>
      <c r="Q52" s="48" t="s">
        <v>66</v>
      </c>
      <c r="R52" s="33">
        <v>15.0</v>
      </c>
    </row>
    <row r="53" ht="14.25" customHeight="1">
      <c r="A53" s="19"/>
      <c r="B53" s="37">
        <v>46.0</v>
      </c>
      <c r="C53" s="46" t="s">
        <v>115</v>
      </c>
      <c r="D53" s="49" t="s">
        <v>114</v>
      </c>
      <c r="E53" s="27" t="s">
        <v>25</v>
      </c>
      <c r="F53" s="55" t="s">
        <v>45</v>
      </c>
      <c r="G53" s="51"/>
      <c r="H53" s="47">
        <v>60.0</v>
      </c>
      <c r="I53" s="48">
        <v>20.0</v>
      </c>
      <c r="J53" s="48">
        <v>100.0</v>
      </c>
      <c r="K53" s="48">
        <v>1.0</v>
      </c>
      <c r="L53" s="48">
        <v>1.0</v>
      </c>
      <c r="M53" s="48">
        <v>0.0</v>
      </c>
      <c r="N53" s="48" t="s">
        <v>82</v>
      </c>
      <c r="O53" s="48" t="s">
        <v>83</v>
      </c>
      <c r="P53" s="48">
        <v>40.0</v>
      </c>
      <c r="Q53" s="48" t="s">
        <v>66</v>
      </c>
      <c r="R53" s="33">
        <v>4.0</v>
      </c>
    </row>
    <row r="54" ht="14.25" customHeight="1">
      <c r="A54" s="19"/>
      <c r="B54" s="37">
        <v>47.0</v>
      </c>
      <c r="C54" s="46" t="s">
        <v>116</v>
      </c>
      <c r="D54" s="46" t="s">
        <v>117</v>
      </c>
      <c r="E54" s="27" t="s">
        <v>25</v>
      </c>
      <c r="F54" s="52" t="s">
        <v>45</v>
      </c>
      <c r="G54" s="50"/>
      <c r="H54" s="47">
        <v>100.0</v>
      </c>
      <c r="I54" s="48">
        <v>10.0</v>
      </c>
      <c r="J54" s="48">
        <v>50.0</v>
      </c>
      <c r="K54" s="48">
        <v>0.0</v>
      </c>
      <c r="L54" s="48">
        <v>0.0</v>
      </c>
      <c r="M54" s="48">
        <v>15.0</v>
      </c>
      <c r="N54" s="48" t="s">
        <v>82</v>
      </c>
      <c r="O54" s="48" t="s">
        <v>83</v>
      </c>
      <c r="P54" s="48">
        <v>0.0</v>
      </c>
      <c r="Q54" s="48" t="s">
        <v>66</v>
      </c>
      <c r="R54" s="33">
        <v>15.0</v>
      </c>
    </row>
    <row r="55" ht="14.25" customHeight="1">
      <c r="A55" s="19"/>
      <c r="B55" s="37">
        <v>48.0</v>
      </c>
      <c r="C55" s="46" t="s">
        <v>118</v>
      </c>
      <c r="D55" s="46" t="s">
        <v>117</v>
      </c>
      <c r="E55" s="27" t="s">
        <v>25</v>
      </c>
      <c r="F55" s="52" t="s">
        <v>45</v>
      </c>
      <c r="G55" s="50"/>
      <c r="H55" s="47">
        <v>60.0</v>
      </c>
      <c r="I55" s="48">
        <v>20.0</v>
      </c>
      <c r="J55" s="48">
        <v>100.0</v>
      </c>
      <c r="K55" s="48">
        <v>1.0</v>
      </c>
      <c r="L55" s="48">
        <v>1.0</v>
      </c>
      <c r="M55" s="48">
        <v>0.0</v>
      </c>
      <c r="N55" s="48" t="s">
        <v>82</v>
      </c>
      <c r="O55" s="48" t="s">
        <v>83</v>
      </c>
      <c r="P55" s="48">
        <v>40.0</v>
      </c>
      <c r="Q55" s="48" t="s">
        <v>66</v>
      </c>
      <c r="R55" s="33">
        <v>4.0</v>
      </c>
    </row>
    <row r="56" ht="14.25" customHeight="1">
      <c r="A56" s="19"/>
      <c r="B56" s="37">
        <v>49.0</v>
      </c>
      <c r="C56" s="46" t="s">
        <v>119</v>
      </c>
      <c r="D56" s="46" t="s">
        <v>120</v>
      </c>
      <c r="E56" s="27" t="s">
        <v>25</v>
      </c>
      <c r="F56" s="52" t="s">
        <v>26</v>
      </c>
      <c r="G56" s="50"/>
      <c r="H56" s="47">
        <v>100.0</v>
      </c>
      <c r="I56" s="48">
        <v>10.0</v>
      </c>
      <c r="J56" s="48">
        <v>50.0</v>
      </c>
      <c r="K56" s="48">
        <v>0.0</v>
      </c>
      <c r="L56" s="48">
        <v>0.0</v>
      </c>
      <c r="M56" s="48">
        <v>15.0</v>
      </c>
      <c r="N56" s="48" t="s">
        <v>82</v>
      </c>
      <c r="O56" s="48" t="s">
        <v>83</v>
      </c>
      <c r="P56" s="48">
        <v>0.0</v>
      </c>
      <c r="Q56" s="48" t="s">
        <v>66</v>
      </c>
      <c r="R56" s="33">
        <v>15.0</v>
      </c>
    </row>
    <row r="57" ht="14.25" customHeight="1">
      <c r="A57" s="19"/>
      <c r="B57" s="37">
        <v>50.0</v>
      </c>
      <c r="C57" s="46" t="s">
        <v>121</v>
      </c>
      <c r="D57" s="46" t="s">
        <v>120</v>
      </c>
      <c r="E57" s="27" t="s">
        <v>25</v>
      </c>
      <c r="F57" s="52" t="s">
        <v>45</v>
      </c>
      <c r="G57" s="50"/>
      <c r="H57" s="47">
        <v>60.0</v>
      </c>
      <c r="I57" s="48">
        <v>20.0</v>
      </c>
      <c r="J57" s="48">
        <v>100.0</v>
      </c>
      <c r="K57" s="48">
        <v>1.0</v>
      </c>
      <c r="L57" s="48">
        <v>1.0</v>
      </c>
      <c r="M57" s="48">
        <v>0.0</v>
      </c>
      <c r="N57" s="48" t="s">
        <v>82</v>
      </c>
      <c r="O57" s="48" t="s">
        <v>83</v>
      </c>
      <c r="P57" s="48">
        <v>40.0</v>
      </c>
      <c r="Q57" s="48" t="s">
        <v>66</v>
      </c>
      <c r="R57" s="33">
        <v>4.0</v>
      </c>
    </row>
    <row r="58" ht="14.25" customHeight="1">
      <c r="A58" s="19"/>
      <c r="B58" s="37">
        <v>51.0</v>
      </c>
      <c r="C58" s="46" t="s">
        <v>122</v>
      </c>
      <c r="D58" s="49" t="s">
        <v>123</v>
      </c>
      <c r="E58" s="27" t="s">
        <v>25</v>
      </c>
      <c r="F58" s="55" t="s">
        <v>124</v>
      </c>
      <c r="G58" s="51"/>
      <c r="H58" s="47">
        <v>100.0</v>
      </c>
      <c r="I58" s="48">
        <v>10.0</v>
      </c>
      <c r="J58" s="48">
        <v>50.0</v>
      </c>
      <c r="K58" s="48">
        <v>0.0</v>
      </c>
      <c r="L58" s="48">
        <v>0.0</v>
      </c>
      <c r="M58" s="48">
        <v>15.0</v>
      </c>
      <c r="N58" s="48" t="s">
        <v>82</v>
      </c>
      <c r="O58" s="48" t="s">
        <v>83</v>
      </c>
      <c r="P58" s="48">
        <v>0.0</v>
      </c>
      <c r="Q58" s="48" t="s">
        <v>66</v>
      </c>
      <c r="R58" s="33">
        <v>15.0</v>
      </c>
    </row>
    <row r="59" ht="14.25" customHeight="1">
      <c r="A59" s="19"/>
      <c r="B59" s="37">
        <v>52.0</v>
      </c>
      <c r="C59" s="46" t="s">
        <v>125</v>
      </c>
      <c r="D59" s="49" t="s">
        <v>123</v>
      </c>
      <c r="E59" s="27" t="s">
        <v>25</v>
      </c>
      <c r="F59" s="55" t="s">
        <v>124</v>
      </c>
      <c r="G59" s="51"/>
      <c r="H59" s="47">
        <v>100.0</v>
      </c>
      <c r="I59" s="48">
        <v>10.0</v>
      </c>
      <c r="J59" s="48">
        <v>50.0</v>
      </c>
      <c r="K59" s="48">
        <v>0.0</v>
      </c>
      <c r="L59" s="48">
        <v>0.0</v>
      </c>
      <c r="M59" s="48">
        <v>15.0</v>
      </c>
      <c r="N59" s="48" t="s">
        <v>82</v>
      </c>
      <c r="O59" s="48" t="s">
        <v>83</v>
      </c>
      <c r="P59" s="48">
        <v>0.0</v>
      </c>
      <c r="Q59" s="48" t="s">
        <v>66</v>
      </c>
      <c r="R59" s="33">
        <v>15.0</v>
      </c>
    </row>
    <row r="60" ht="14.25" customHeight="1">
      <c r="A60" s="19"/>
      <c r="B60" s="37">
        <v>53.0</v>
      </c>
      <c r="C60" s="46" t="s">
        <v>126</v>
      </c>
      <c r="D60" s="49" t="s">
        <v>123</v>
      </c>
      <c r="E60" s="27" t="s">
        <v>25</v>
      </c>
      <c r="F60" s="55" t="s">
        <v>45</v>
      </c>
      <c r="G60" s="51"/>
      <c r="H60" s="47">
        <v>60.0</v>
      </c>
      <c r="I60" s="48">
        <v>20.0</v>
      </c>
      <c r="J60" s="48">
        <v>100.0</v>
      </c>
      <c r="K60" s="48">
        <v>1.0</v>
      </c>
      <c r="L60" s="48">
        <v>1.0</v>
      </c>
      <c r="M60" s="48">
        <v>0.0</v>
      </c>
      <c r="N60" s="48" t="s">
        <v>82</v>
      </c>
      <c r="O60" s="48" t="s">
        <v>83</v>
      </c>
      <c r="P60" s="48">
        <v>40.0</v>
      </c>
      <c r="Q60" s="48" t="s">
        <v>66</v>
      </c>
      <c r="R60" s="33">
        <v>4.0</v>
      </c>
    </row>
    <row r="61" ht="14.25" customHeight="1">
      <c r="A61" s="19"/>
      <c r="B61" s="37">
        <v>54.0</v>
      </c>
      <c r="C61" s="46" t="s">
        <v>127</v>
      </c>
      <c r="D61" s="46" t="s">
        <v>128</v>
      </c>
      <c r="E61" s="27" t="s">
        <v>25</v>
      </c>
      <c r="F61" s="52" t="s">
        <v>124</v>
      </c>
      <c r="G61" s="50"/>
      <c r="H61" s="47">
        <v>100.0</v>
      </c>
      <c r="I61" s="48">
        <v>10.0</v>
      </c>
      <c r="J61" s="48">
        <v>50.0</v>
      </c>
      <c r="K61" s="48">
        <v>0.0</v>
      </c>
      <c r="L61" s="48">
        <v>0.0</v>
      </c>
      <c r="M61" s="48">
        <v>15.0</v>
      </c>
      <c r="N61" s="48" t="s">
        <v>82</v>
      </c>
      <c r="O61" s="48" t="s">
        <v>83</v>
      </c>
      <c r="P61" s="48">
        <v>0.0</v>
      </c>
      <c r="Q61" s="48" t="s">
        <v>66</v>
      </c>
      <c r="R61" s="33">
        <v>15.0</v>
      </c>
    </row>
    <row r="62" ht="14.25" customHeight="1">
      <c r="A62" s="19"/>
      <c r="B62" s="37">
        <v>55.0</v>
      </c>
      <c r="C62" s="46" t="s">
        <v>129</v>
      </c>
      <c r="D62" s="46" t="s">
        <v>128</v>
      </c>
      <c r="E62" s="27" t="s">
        <v>25</v>
      </c>
      <c r="F62" s="52" t="s">
        <v>45</v>
      </c>
      <c r="G62" s="50"/>
      <c r="H62" s="47">
        <v>30.0</v>
      </c>
      <c r="I62" s="48">
        <v>4.0</v>
      </c>
      <c r="J62" s="48">
        <v>20.0</v>
      </c>
      <c r="K62" s="48">
        <v>1.0</v>
      </c>
      <c r="L62" s="48">
        <v>1.0</v>
      </c>
      <c r="M62" s="48">
        <v>0.0</v>
      </c>
      <c r="N62" s="48" t="s">
        <v>82</v>
      </c>
      <c r="O62" s="48" t="s">
        <v>83</v>
      </c>
      <c r="P62" s="48">
        <v>40.0</v>
      </c>
      <c r="Q62" s="48" t="s">
        <v>66</v>
      </c>
      <c r="R62" s="33">
        <v>4.0</v>
      </c>
    </row>
    <row r="63" ht="14.25" customHeight="1">
      <c r="A63" s="19"/>
      <c r="B63" s="37">
        <v>56.0</v>
      </c>
      <c r="C63" s="46" t="s">
        <v>130</v>
      </c>
      <c r="D63" s="46" t="s">
        <v>131</v>
      </c>
      <c r="E63" s="27" t="s">
        <v>25</v>
      </c>
      <c r="F63" s="52" t="s">
        <v>45</v>
      </c>
      <c r="G63" s="50"/>
      <c r="H63" s="47">
        <v>60.0</v>
      </c>
      <c r="I63" s="48">
        <v>10.0</v>
      </c>
      <c r="J63" s="48">
        <v>50.0</v>
      </c>
      <c r="K63" s="48">
        <v>0.0</v>
      </c>
      <c r="L63" s="48">
        <v>0.0</v>
      </c>
      <c r="M63" s="48">
        <v>15.0</v>
      </c>
      <c r="N63" s="48" t="s">
        <v>82</v>
      </c>
      <c r="O63" s="48" t="s">
        <v>83</v>
      </c>
      <c r="P63" s="48">
        <v>0.0</v>
      </c>
      <c r="Q63" s="48" t="s">
        <v>66</v>
      </c>
      <c r="R63" s="33">
        <v>15.0</v>
      </c>
    </row>
    <row r="64" ht="14.25" customHeight="1">
      <c r="A64" s="19"/>
      <c r="B64" s="37">
        <v>57.0</v>
      </c>
      <c r="C64" s="46" t="s">
        <v>132</v>
      </c>
      <c r="D64" s="46" t="s">
        <v>131</v>
      </c>
      <c r="E64" s="27" t="s">
        <v>25</v>
      </c>
      <c r="F64" s="52" t="s">
        <v>124</v>
      </c>
      <c r="G64" s="50"/>
      <c r="H64" s="47">
        <v>30.0</v>
      </c>
      <c r="I64" s="48">
        <v>4.0</v>
      </c>
      <c r="J64" s="48">
        <v>20.0</v>
      </c>
      <c r="K64" s="48">
        <v>1.0</v>
      </c>
      <c r="L64" s="48">
        <v>1.0</v>
      </c>
      <c r="M64" s="48">
        <v>0.0</v>
      </c>
      <c r="N64" s="48" t="s">
        <v>82</v>
      </c>
      <c r="O64" s="48" t="s">
        <v>83</v>
      </c>
      <c r="P64" s="48">
        <v>40.0</v>
      </c>
      <c r="Q64" s="48" t="s">
        <v>66</v>
      </c>
      <c r="R64" s="33">
        <v>4.0</v>
      </c>
    </row>
    <row r="65" ht="14.25" customHeight="1">
      <c r="A65" s="19"/>
      <c r="B65" s="20"/>
      <c r="C65" s="21" t="s">
        <v>133</v>
      </c>
      <c r="D65" s="22"/>
      <c r="E65" s="22"/>
      <c r="F65" s="23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</row>
    <row r="66" ht="14.25" customHeight="1">
      <c r="A66" s="19"/>
      <c r="B66" s="37">
        <v>58.0</v>
      </c>
      <c r="C66" s="27" t="s">
        <v>134</v>
      </c>
      <c r="D66" s="27" t="s">
        <v>135</v>
      </c>
      <c r="E66" s="27" t="s">
        <v>25</v>
      </c>
      <c r="F66" s="34" t="s">
        <v>136</v>
      </c>
      <c r="G66" s="38"/>
      <c r="H66" s="30">
        <v>1000.0</v>
      </c>
      <c r="I66" s="31">
        <v>60.0</v>
      </c>
      <c r="J66" s="31">
        <v>300.0</v>
      </c>
      <c r="K66" s="31">
        <v>11.0</v>
      </c>
      <c r="L66" s="31">
        <v>11.0</v>
      </c>
      <c r="M66" s="31">
        <v>9.0</v>
      </c>
      <c r="N66" s="31" t="s">
        <v>137</v>
      </c>
      <c r="O66" s="32" t="s">
        <v>138</v>
      </c>
      <c r="P66" s="31">
        <v>500.0</v>
      </c>
      <c r="Q66" s="31" t="s">
        <v>66</v>
      </c>
      <c r="R66" s="56">
        <v>100.0</v>
      </c>
    </row>
    <row r="67" ht="14.25" customHeight="1">
      <c r="A67" s="19"/>
      <c r="B67" s="37">
        <v>59.0</v>
      </c>
      <c r="C67" s="27" t="s">
        <v>139</v>
      </c>
      <c r="D67" s="27" t="s">
        <v>140</v>
      </c>
      <c r="E67" s="27" t="s">
        <v>25</v>
      </c>
      <c r="F67" s="34" t="s">
        <v>141</v>
      </c>
      <c r="G67" s="38"/>
      <c r="H67" s="30">
        <v>60.0</v>
      </c>
      <c r="I67" s="31">
        <v>10.0</v>
      </c>
      <c r="J67" s="31">
        <v>50.0</v>
      </c>
      <c r="K67" s="31">
        <v>1.0</v>
      </c>
      <c r="L67" s="31">
        <v>1.0</v>
      </c>
      <c r="M67" s="31">
        <v>0.0</v>
      </c>
      <c r="N67" s="31" t="s">
        <v>142</v>
      </c>
      <c r="O67" s="32" t="s">
        <v>143</v>
      </c>
      <c r="P67" s="31">
        <v>40.0</v>
      </c>
      <c r="Q67" s="31" t="s">
        <v>29</v>
      </c>
      <c r="R67" s="56">
        <v>20.0</v>
      </c>
    </row>
    <row r="68" ht="14.25" customHeight="1">
      <c r="A68" s="19"/>
      <c r="B68" s="37">
        <v>60.0</v>
      </c>
      <c r="C68" s="27" t="s">
        <v>144</v>
      </c>
      <c r="D68" s="27" t="s">
        <v>145</v>
      </c>
      <c r="E68" s="27" t="s">
        <v>25</v>
      </c>
      <c r="F68" s="34" t="s">
        <v>146</v>
      </c>
      <c r="G68" s="38"/>
      <c r="H68" s="30">
        <v>60.0</v>
      </c>
      <c r="I68" s="31">
        <v>10.0</v>
      </c>
      <c r="J68" s="31">
        <v>50.0</v>
      </c>
      <c r="K68" s="31">
        <v>1.0</v>
      </c>
      <c r="L68" s="31">
        <v>1.0</v>
      </c>
      <c r="M68" s="31">
        <v>0.0</v>
      </c>
      <c r="N68" s="31" t="s">
        <v>142</v>
      </c>
      <c r="O68" s="32" t="s">
        <v>138</v>
      </c>
      <c r="P68" s="31">
        <v>40.0</v>
      </c>
      <c r="Q68" s="31" t="s">
        <v>29</v>
      </c>
      <c r="R68" s="42">
        <v>15.0</v>
      </c>
    </row>
    <row r="69" ht="14.25" customHeight="1">
      <c r="A69" s="19"/>
      <c r="B69" s="37">
        <v>61.0</v>
      </c>
      <c r="C69" s="27" t="s">
        <v>147</v>
      </c>
      <c r="D69" s="27" t="s">
        <v>148</v>
      </c>
      <c r="E69" s="27" t="s">
        <v>25</v>
      </c>
      <c r="F69" s="34" t="s">
        <v>141</v>
      </c>
      <c r="G69" s="38"/>
      <c r="H69" s="30">
        <v>60.0</v>
      </c>
      <c r="I69" s="31">
        <v>10.0</v>
      </c>
      <c r="J69" s="31">
        <v>50.0</v>
      </c>
      <c r="K69" s="31">
        <v>1.0</v>
      </c>
      <c r="L69" s="31">
        <v>1.0</v>
      </c>
      <c r="M69" s="31">
        <v>0.0</v>
      </c>
      <c r="N69" s="31" t="s">
        <v>142</v>
      </c>
      <c r="O69" s="32" t="s">
        <v>143</v>
      </c>
      <c r="P69" s="31">
        <v>40.0</v>
      </c>
      <c r="Q69" s="31" t="s">
        <v>29</v>
      </c>
      <c r="R69" s="56">
        <v>15.0</v>
      </c>
    </row>
    <row r="70" ht="14.25" customHeight="1">
      <c r="A70" s="19"/>
      <c r="B70" s="37">
        <v>62.0</v>
      </c>
      <c r="C70" s="27" t="s">
        <v>149</v>
      </c>
      <c r="D70" s="27" t="s">
        <v>150</v>
      </c>
      <c r="E70" s="27" t="s">
        <v>25</v>
      </c>
      <c r="F70" s="34" t="s">
        <v>146</v>
      </c>
      <c r="G70" s="38"/>
      <c r="H70" s="30">
        <v>60.0</v>
      </c>
      <c r="I70" s="31">
        <v>10.0</v>
      </c>
      <c r="J70" s="31">
        <v>50.0</v>
      </c>
      <c r="K70" s="31">
        <v>1.0</v>
      </c>
      <c r="L70" s="31">
        <v>1.0</v>
      </c>
      <c r="M70" s="31">
        <v>0.0</v>
      </c>
      <c r="N70" s="31" t="s">
        <v>142</v>
      </c>
      <c r="O70" s="32" t="s">
        <v>138</v>
      </c>
      <c r="P70" s="31">
        <v>40.0</v>
      </c>
      <c r="Q70" s="31" t="s">
        <v>29</v>
      </c>
      <c r="R70" s="56">
        <v>15.0</v>
      </c>
    </row>
    <row r="71" ht="14.25" customHeight="1">
      <c r="A71" s="19"/>
      <c r="B71" s="37">
        <v>63.0</v>
      </c>
      <c r="C71" s="27" t="s">
        <v>151</v>
      </c>
      <c r="D71" s="27" t="s">
        <v>135</v>
      </c>
      <c r="E71" s="27" t="s">
        <v>25</v>
      </c>
      <c r="F71" s="34" t="s">
        <v>146</v>
      </c>
      <c r="G71" s="38"/>
      <c r="H71" s="30">
        <v>60.0</v>
      </c>
      <c r="I71" s="31">
        <v>10.0</v>
      </c>
      <c r="J71" s="31">
        <v>50.0</v>
      </c>
      <c r="K71" s="31">
        <v>1.0</v>
      </c>
      <c r="L71" s="31">
        <v>1.0</v>
      </c>
      <c r="M71" s="31">
        <v>0.0</v>
      </c>
      <c r="N71" s="31" t="s">
        <v>142</v>
      </c>
      <c r="O71" s="32" t="s">
        <v>143</v>
      </c>
      <c r="P71" s="31">
        <v>40.0</v>
      </c>
      <c r="Q71" s="31" t="s">
        <v>29</v>
      </c>
      <c r="R71" s="56">
        <v>20.0</v>
      </c>
    </row>
    <row r="72" ht="14.25" customHeight="1">
      <c r="A72" s="19"/>
      <c r="B72" s="37">
        <v>64.0</v>
      </c>
      <c r="C72" s="27" t="s">
        <v>152</v>
      </c>
      <c r="D72" s="27" t="s">
        <v>153</v>
      </c>
      <c r="E72" s="27" t="s">
        <v>25</v>
      </c>
      <c r="F72" s="34" t="s">
        <v>154</v>
      </c>
      <c r="G72" s="38"/>
      <c r="H72" s="30">
        <v>60.0</v>
      </c>
      <c r="I72" s="31">
        <v>10.0</v>
      </c>
      <c r="J72" s="31">
        <v>50.0</v>
      </c>
      <c r="K72" s="31">
        <v>1.0</v>
      </c>
      <c r="L72" s="31">
        <v>1.0</v>
      </c>
      <c r="M72" s="31">
        <v>0.0</v>
      </c>
      <c r="N72" s="31" t="s">
        <v>142</v>
      </c>
      <c r="O72" s="32" t="s">
        <v>138</v>
      </c>
      <c r="P72" s="31">
        <v>40.0</v>
      </c>
      <c r="Q72" s="31" t="s">
        <v>29</v>
      </c>
      <c r="R72" s="56">
        <v>15.0</v>
      </c>
    </row>
    <row r="73" ht="14.25" customHeight="1">
      <c r="A73" s="19"/>
      <c r="B73" s="37">
        <v>65.0</v>
      </c>
      <c r="C73" s="27" t="s">
        <v>155</v>
      </c>
      <c r="D73" s="27" t="s">
        <v>156</v>
      </c>
      <c r="E73" s="27" t="s">
        <v>25</v>
      </c>
      <c r="F73" s="34" t="s">
        <v>141</v>
      </c>
      <c r="G73" s="38"/>
      <c r="H73" s="30">
        <v>60.0</v>
      </c>
      <c r="I73" s="31">
        <v>10.0</v>
      </c>
      <c r="J73" s="31">
        <v>50.0</v>
      </c>
      <c r="K73" s="31">
        <v>1.0</v>
      </c>
      <c r="L73" s="31">
        <v>1.0</v>
      </c>
      <c r="M73" s="31">
        <v>0.0</v>
      </c>
      <c r="N73" s="31" t="s">
        <v>142</v>
      </c>
      <c r="O73" s="32" t="s">
        <v>138</v>
      </c>
      <c r="P73" s="31">
        <v>40.0</v>
      </c>
      <c r="Q73" s="31" t="s">
        <v>29</v>
      </c>
      <c r="R73" s="56">
        <v>20.0</v>
      </c>
    </row>
    <row r="74" ht="14.25" customHeight="1">
      <c r="A74" s="19"/>
      <c r="B74" s="37">
        <v>66.0</v>
      </c>
      <c r="C74" s="27" t="s">
        <v>157</v>
      </c>
      <c r="D74" s="27" t="s">
        <v>158</v>
      </c>
      <c r="E74" s="27" t="s">
        <v>25</v>
      </c>
      <c r="F74" s="34" t="s">
        <v>159</v>
      </c>
      <c r="G74" s="38"/>
      <c r="H74" s="30">
        <v>60.0</v>
      </c>
      <c r="I74" s="31">
        <v>10.0</v>
      </c>
      <c r="J74" s="31">
        <v>50.0</v>
      </c>
      <c r="K74" s="31">
        <v>1.0</v>
      </c>
      <c r="L74" s="31">
        <v>1.0</v>
      </c>
      <c r="M74" s="31">
        <v>0.0</v>
      </c>
      <c r="N74" s="31" t="s">
        <v>142</v>
      </c>
      <c r="O74" s="32" t="s">
        <v>138</v>
      </c>
      <c r="P74" s="31">
        <v>40.0</v>
      </c>
      <c r="Q74" s="31" t="s">
        <v>29</v>
      </c>
      <c r="R74" s="56">
        <v>20.0</v>
      </c>
    </row>
    <row r="75" ht="14.25" customHeight="1">
      <c r="A75" s="19"/>
      <c r="B75" s="37">
        <v>67.0</v>
      </c>
      <c r="C75" s="27" t="s">
        <v>160</v>
      </c>
      <c r="D75" s="27" t="s">
        <v>161</v>
      </c>
      <c r="E75" s="27" t="s">
        <v>25</v>
      </c>
      <c r="F75" s="34" t="s">
        <v>159</v>
      </c>
      <c r="G75" s="38"/>
      <c r="H75" s="30">
        <v>60.0</v>
      </c>
      <c r="I75" s="31">
        <v>10.0</v>
      </c>
      <c r="J75" s="31">
        <v>50.0</v>
      </c>
      <c r="K75" s="31">
        <v>1.0</v>
      </c>
      <c r="L75" s="31">
        <v>1.0</v>
      </c>
      <c r="M75" s="31">
        <v>0.0</v>
      </c>
      <c r="N75" s="31" t="s">
        <v>162</v>
      </c>
      <c r="O75" s="32" t="s">
        <v>143</v>
      </c>
      <c r="P75" s="31">
        <v>40.0</v>
      </c>
      <c r="Q75" s="31" t="s">
        <v>29</v>
      </c>
      <c r="R75" s="56">
        <v>15.0</v>
      </c>
    </row>
    <row r="76" ht="14.25" customHeight="1">
      <c r="A76" s="19"/>
      <c r="B76" s="37">
        <v>68.0</v>
      </c>
      <c r="C76" s="27" t="s">
        <v>163</v>
      </c>
      <c r="D76" s="27" t="s">
        <v>164</v>
      </c>
      <c r="E76" s="27" t="s">
        <v>25</v>
      </c>
      <c r="F76" s="34" t="s">
        <v>136</v>
      </c>
      <c r="G76" s="38"/>
      <c r="H76" s="30">
        <v>60.0</v>
      </c>
      <c r="I76" s="31">
        <v>10.0</v>
      </c>
      <c r="J76" s="31">
        <v>50.0</v>
      </c>
      <c r="K76" s="31">
        <v>1.0</v>
      </c>
      <c r="L76" s="31">
        <v>1.0</v>
      </c>
      <c r="M76" s="31">
        <v>0.0</v>
      </c>
      <c r="N76" s="31" t="s">
        <v>162</v>
      </c>
      <c r="O76" s="32" t="s">
        <v>138</v>
      </c>
      <c r="P76" s="31">
        <v>40.0</v>
      </c>
      <c r="Q76" s="31" t="s">
        <v>29</v>
      </c>
      <c r="R76" s="56">
        <v>15.0</v>
      </c>
    </row>
    <row r="77" ht="14.25" customHeight="1">
      <c r="A77" s="19"/>
      <c r="B77" s="37">
        <v>69.0</v>
      </c>
      <c r="C77" s="27" t="s">
        <v>165</v>
      </c>
      <c r="D77" s="27" t="s">
        <v>166</v>
      </c>
      <c r="E77" s="27" t="s">
        <v>25</v>
      </c>
      <c r="F77" s="34" t="s">
        <v>167</v>
      </c>
      <c r="G77" s="38"/>
      <c r="H77" s="30">
        <v>60.0</v>
      </c>
      <c r="I77" s="31">
        <v>10.0</v>
      </c>
      <c r="J77" s="31">
        <v>50.0</v>
      </c>
      <c r="K77" s="31">
        <v>1.0</v>
      </c>
      <c r="L77" s="31">
        <v>1.0</v>
      </c>
      <c r="M77" s="31">
        <v>0.0</v>
      </c>
      <c r="N77" s="31" t="s">
        <v>162</v>
      </c>
      <c r="O77" s="32" t="s">
        <v>143</v>
      </c>
      <c r="P77" s="31">
        <v>40.0</v>
      </c>
      <c r="Q77" s="31" t="s">
        <v>29</v>
      </c>
      <c r="R77" s="56">
        <v>20.0</v>
      </c>
    </row>
    <row r="78" ht="14.25" customHeight="1">
      <c r="A78" s="19"/>
      <c r="B78" s="37">
        <v>70.0</v>
      </c>
      <c r="C78" s="27" t="s">
        <v>168</v>
      </c>
      <c r="D78" s="27" t="s">
        <v>169</v>
      </c>
      <c r="E78" s="27" t="s">
        <v>25</v>
      </c>
      <c r="F78" s="34" t="s">
        <v>167</v>
      </c>
      <c r="G78" s="38"/>
      <c r="H78" s="30">
        <v>60.0</v>
      </c>
      <c r="I78" s="31">
        <v>10.0</v>
      </c>
      <c r="J78" s="31">
        <v>50.0</v>
      </c>
      <c r="K78" s="31">
        <v>1.0</v>
      </c>
      <c r="L78" s="31">
        <v>1.0</v>
      </c>
      <c r="M78" s="31">
        <v>0.0</v>
      </c>
      <c r="N78" s="31" t="s">
        <v>162</v>
      </c>
      <c r="O78" s="32" t="s">
        <v>143</v>
      </c>
      <c r="P78" s="31">
        <v>40.0</v>
      </c>
      <c r="Q78" s="31" t="s">
        <v>29</v>
      </c>
      <c r="R78" s="56">
        <v>20.0</v>
      </c>
    </row>
    <row r="79" ht="14.25" customHeight="1">
      <c r="A79" s="19"/>
      <c r="B79" s="37">
        <v>71.0</v>
      </c>
      <c r="C79" s="27" t="s">
        <v>170</v>
      </c>
      <c r="D79" s="27" t="s">
        <v>171</v>
      </c>
      <c r="E79" s="27" t="s">
        <v>25</v>
      </c>
      <c r="F79" s="34" t="s">
        <v>159</v>
      </c>
      <c r="G79" s="38"/>
      <c r="H79" s="30">
        <v>60.0</v>
      </c>
      <c r="I79" s="31">
        <v>10.0</v>
      </c>
      <c r="J79" s="31">
        <v>50.0</v>
      </c>
      <c r="K79" s="31">
        <v>1.0</v>
      </c>
      <c r="L79" s="31">
        <v>1.0</v>
      </c>
      <c r="M79" s="31">
        <v>0.0</v>
      </c>
      <c r="N79" s="31" t="s">
        <v>162</v>
      </c>
      <c r="O79" s="32" t="s">
        <v>172</v>
      </c>
      <c r="P79" s="31">
        <v>40.0</v>
      </c>
      <c r="Q79" s="31" t="s">
        <v>29</v>
      </c>
      <c r="R79" s="56">
        <v>15.0</v>
      </c>
    </row>
    <row r="80" ht="14.25" customHeight="1">
      <c r="A80" s="19"/>
      <c r="B80" s="37">
        <v>72.0</v>
      </c>
      <c r="C80" s="27" t="s">
        <v>173</v>
      </c>
      <c r="D80" s="27" t="s">
        <v>174</v>
      </c>
      <c r="E80" s="27" t="s">
        <v>25</v>
      </c>
      <c r="F80" s="34" t="s">
        <v>175</v>
      </c>
      <c r="G80" s="38"/>
      <c r="H80" s="30">
        <v>60.0</v>
      </c>
      <c r="I80" s="31">
        <v>10.0</v>
      </c>
      <c r="J80" s="31">
        <v>50.0</v>
      </c>
      <c r="K80" s="31">
        <v>1.0</v>
      </c>
      <c r="L80" s="31">
        <v>1.0</v>
      </c>
      <c r="M80" s="31">
        <v>0.0</v>
      </c>
      <c r="N80" s="31" t="s">
        <v>27</v>
      </c>
      <c r="O80" s="32" t="s">
        <v>143</v>
      </c>
      <c r="P80" s="31">
        <v>40.0</v>
      </c>
      <c r="Q80" s="31" t="s">
        <v>29</v>
      </c>
      <c r="R80" s="56">
        <v>15.0</v>
      </c>
    </row>
    <row r="81" ht="14.25" customHeight="1">
      <c r="A81" s="19"/>
      <c r="B81" s="37">
        <v>73.0</v>
      </c>
      <c r="C81" s="27" t="s">
        <v>176</v>
      </c>
      <c r="D81" s="27" t="s">
        <v>135</v>
      </c>
      <c r="E81" s="27" t="s">
        <v>25</v>
      </c>
      <c r="F81" s="34" t="s">
        <v>136</v>
      </c>
      <c r="G81" s="38"/>
      <c r="H81" s="30">
        <v>200.0</v>
      </c>
      <c r="I81" s="31">
        <v>40.0</v>
      </c>
      <c r="J81" s="31">
        <v>200.0</v>
      </c>
      <c r="K81" s="31">
        <v>1.0</v>
      </c>
      <c r="L81" s="31">
        <v>1.0</v>
      </c>
      <c r="M81" s="31">
        <v>0.0</v>
      </c>
      <c r="N81" s="31" t="s">
        <v>142</v>
      </c>
      <c r="O81" s="32" t="s">
        <v>143</v>
      </c>
      <c r="P81" s="31">
        <v>200.0</v>
      </c>
      <c r="Q81" s="31" t="s">
        <v>29</v>
      </c>
      <c r="R81" s="56">
        <v>50.0</v>
      </c>
    </row>
    <row r="82" ht="14.25" customHeight="1">
      <c r="A82" s="19"/>
      <c r="B82" s="37">
        <v>74.0</v>
      </c>
      <c r="C82" s="27" t="s">
        <v>177</v>
      </c>
      <c r="D82" s="27" t="s">
        <v>135</v>
      </c>
      <c r="E82" s="27" t="s">
        <v>25</v>
      </c>
      <c r="F82" s="34" t="s">
        <v>136</v>
      </c>
      <c r="G82" s="38"/>
      <c r="H82" s="30">
        <v>200.0</v>
      </c>
      <c r="I82" s="31">
        <v>40.0</v>
      </c>
      <c r="J82" s="31">
        <v>200.0</v>
      </c>
      <c r="K82" s="31">
        <v>1.0</v>
      </c>
      <c r="L82" s="31">
        <v>1.0</v>
      </c>
      <c r="M82" s="31">
        <v>0.0</v>
      </c>
      <c r="N82" s="31" t="s">
        <v>142</v>
      </c>
      <c r="O82" s="32" t="s">
        <v>143</v>
      </c>
      <c r="P82" s="31">
        <v>200.0</v>
      </c>
      <c r="Q82" s="31" t="s">
        <v>29</v>
      </c>
      <c r="R82" s="56">
        <v>50.0</v>
      </c>
    </row>
    <row r="83" ht="14.25" customHeight="1">
      <c r="A83" s="19">
        <v>11.0</v>
      </c>
      <c r="B83" s="37">
        <v>75.0</v>
      </c>
      <c r="C83" s="27" t="s">
        <v>43</v>
      </c>
      <c r="D83" s="27" t="s">
        <v>178</v>
      </c>
      <c r="E83" s="27" t="s">
        <v>25</v>
      </c>
      <c r="F83" s="34" t="s">
        <v>136</v>
      </c>
      <c r="G83" s="38"/>
      <c r="H83" s="30">
        <v>416.0</v>
      </c>
      <c r="I83" s="31">
        <v>78.0</v>
      </c>
      <c r="J83" s="31">
        <v>312.0</v>
      </c>
      <c r="K83" s="31">
        <v>4.0</v>
      </c>
      <c r="L83" s="31">
        <v>3.0</v>
      </c>
      <c r="M83" s="31">
        <v>1.0</v>
      </c>
      <c r="N83" s="31" t="s">
        <v>142</v>
      </c>
      <c r="O83" s="32" t="s">
        <v>143</v>
      </c>
      <c r="P83" s="31">
        <v>500.0</v>
      </c>
      <c r="Q83" s="32" t="s">
        <v>66</v>
      </c>
      <c r="R83" s="56">
        <v>100.0</v>
      </c>
    </row>
    <row r="84" ht="14.25" customHeight="1">
      <c r="A84" s="19"/>
      <c r="B84" s="20"/>
      <c r="C84" s="21" t="s">
        <v>179</v>
      </c>
      <c r="D84" s="22"/>
      <c r="E84" s="22"/>
      <c r="F84" s="23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</row>
    <row r="85" ht="15.75" customHeight="1">
      <c r="A85" s="19">
        <v>12.0</v>
      </c>
      <c r="B85" s="37">
        <v>76.0</v>
      </c>
      <c r="C85" s="27" t="s">
        <v>180</v>
      </c>
      <c r="D85" s="27" t="s">
        <v>181</v>
      </c>
      <c r="E85" s="27" t="s">
        <v>25</v>
      </c>
      <c r="F85" s="34" t="s">
        <v>57</v>
      </c>
      <c r="G85" s="38"/>
      <c r="H85" s="30">
        <v>900.0</v>
      </c>
      <c r="I85" s="31">
        <v>30.0</v>
      </c>
      <c r="J85" s="31">
        <v>300.0</v>
      </c>
      <c r="K85" s="31">
        <v>2.0</v>
      </c>
      <c r="L85" s="31">
        <v>2.0</v>
      </c>
      <c r="M85" s="31">
        <v>2.0</v>
      </c>
      <c r="N85" s="57" t="s">
        <v>182</v>
      </c>
      <c r="O85" s="36" t="s">
        <v>138</v>
      </c>
      <c r="P85" s="31" t="s">
        <v>39</v>
      </c>
      <c r="Q85" s="31" t="s">
        <v>29</v>
      </c>
      <c r="R85" s="31" t="s">
        <v>39</v>
      </c>
    </row>
    <row r="86" ht="15.75" customHeight="1">
      <c r="A86" s="19"/>
      <c r="B86" s="24">
        <v>77.0</v>
      </c>
      <c r="C86" s="25" t="s">
        <v>183</v>
      </c>
      <c r="D86" s="25" t="s">
        <v>184</v>
      </c>
      <c r="E86" s="27" t="s">
        <v>25</v>
      </c>
      <c r="F86" s="34" t="s">
        <v>57</v>
      </c>
      <c r="G86" s="39"/>
      <c r="H86" s="35">
        <v>1500.0</v>
      </c>
      <c r="I86" s="36">
        <v>25.0</v>
      </c>
      <c r="J86" s="36">
        <v>250.0</v>
      </c>
      <c r="K86" s="36">
        <v>1.0</v>
      </c>
      <c r="L86" s="36">
        <v>1.0</v>
      </c>
      <c r="M86" s="36">
        <v>4.0</v>
      </c>
      <c r="N86" s="57" t="s">
        <v>182</v>
      </c>
      <c r="O86" s="36" t="s">
        <v>138</v>
      </c>
      <c r="P86" s="58">
        <v>2000.0</v>
      </c>
      <c r="Q86" s="36" t="s">
        <v>66</v>
      </c>
      <c r="R86" s="36">
        <v>20.0</v>
      </c>
    </row>
    <row r="87" ht="15.75" customHeight="1">
      <c r="A87" s="19">
        <v>14.0</v>
      </c>
      <c r="B87" s="37">
        <v>78.0</v>
      </c>
      <c r="C87" s="27" t="s">
        <v>185</v>
      </c>
      <c r="D87" s="27" t="s">
        <v>186</v>
      </c>
      <c r="E87" s="27" t="s">
        <v>25</v>
      </c>
      <c r="F87" s="34" t="s">
        <v>57</v>
      </c>
      <c r="G87" s="38"/>
      <c r="H87" s="30">
        <v>1200.0</v>
      </c>
      <c r="I87" s="31">
        <v>20.0</v>
      </c>
      <c r="J87" s="31">
        <v>200.0</v>
      </c>
      <c r="K87" s="31">
        <v>4.0</v>
      </c>
      <c r="L87" s="31">
        <v>4.0</v>
      </c>
      <c r="M87" s="31">
        <v>4.0</v>
      </c>
      <c r="N87" s="57" t="s">
        <v>182</v>
      </c>
      <c r="O87" s="36" t="s">
        <v>138</v>
      </c>
      <c r="P87" s="31" t="s">
        <v>39</v>
      </c>
      <c r="Q87" s="31" t="s">
        <v>29</v>
      </c>
      <c r="R87" s="31" t="s">
        <v>39</v>
      </c>
    </row>
    <row r="88" ht="15.75" customHeight="1">
      <c r="A88" s="19"/>
      <c r="B88" s="37">
        <v>79.0</v>
      </c>
      <c r="C88" s="34" t="s">
        <v>187</v>
      </c>
      <c r="D88" s="27" t="s">
        <v>188</v>
      </c>
      <c r="E88" s="27" t="s">
        <v>25</v>
      </c>
      <c r="F88" s="34" t="s">
        <v>189</v>
      </c>
      <c r="G88" s="38"/>
      <c r="H88" s="30">
        <v>100.0</v>
      </c>
      <c r="I88" s="31">
        <v>2.0</v>
      </c>
      <c r="J88" s="31">
        <v>7.0</v>
      </c>
      <c r="K88" s="31">
        <v>0.0</v>
      </c>
      <c r="L88" s="31">
        <v>0.0</v>
      </c>
      <c r="M88" s="31">
        <v>1.0</v>
      </c>
      <c r="N88" s="57" t="s">
        <v>190</v>
      </c>
      <c r="O88" s="36" t="s">
        <v>138</v>
      </c>
      <c r="P88" s="31">
        <v>50.0</v>
      </c>
      <c r="Q88" s="31" t="s">
        <v>29</v>
      </c>
      <c r="R88" s="31" t="s">
        <v>39</v>
      </c>
    </row>
    <row r="89" ht="15.75" customHeight="1">
      <c r="A89" s="19"/>
      <c r="B89" s="37">
        <v>80.0</v>
      </c>
      <c r="C89" s="34" t="s">
        <v>191</v>
      </c>
      <c r="D89" s="27" t="s">
        <v>192</v>
      </c>
      <c r="E89" s="27" t="s">
        <v>25</v>
      </c>
      <c r="F89" s="34" t="s">
        <v>57</v>
      </c>
      <c r="G89" s="38"/>
      <c r="H89" s="30">
        <v>80.0</v>
      </c>
      <c r="I89" s="31">
        <v>1.0</v>
      </c>
      <c r="J89" s="31">
        <v>5.0</v>
      </c>
      <c r="K89" s="31">
        <v>0.0</v>
      </c>
      <c r="L89" s="31">
        <v>0.0</v>
      </c>
      <c r="M89" s="31">
        <v>1.0</v>
      </c>
      <c r="N89" s="59" t="s">
        <v>190</v>
      </c>
      <c r="O89" s="36" t="s">
        <v>138</v>
      </c>
      <c r="P89" s="31">
        <v>50.0</v>
      </c>
      <c r="Q89" s="31" t="s">
        <v>29</v>
      </c>
      <c r="R89" s="31" t="s">
        <v>39</v>
      </c>
    </row>
    <row r="90" ht="15.75" customHeight="1">
      <c r="A90" s="19"/>
      <c r="B90" s="37">
        <v>81.0</v>
      </c>
      <c r="C90" s="25" t="s">
        <v>193</v>
      </c>
      <c r="D90" s="25" t="s">
        <v>181</v>
      </c>
      <c r="E90" s="27" t="s">
        <v>25</v>
      </c>
      <c r="F90" s="34" t="s">
        <v>57</v>
      </c>
      <c r="G90" s="38"/>
      <c r="H90" s="35">
        <v>1000.0</v>
      </c>
      <c r="I90" s="35" t="s">
        <v>39</v>
      </c>
      <c r="J90" s="31">
        <v>100.0</v>
      </c>
      <c r="K90" s="35" t="s">
        <v>39</v>
      </c>
      <c r="L90" s="35" t="s">
        <v>39</v>
      </c>
      <c r="M90" s="35" t="s">
        <v>39</v>
      </c>
      <c r="N90" s="59" t="s">
        <v>190</v>
      </c>
      <c r="O90" s="36" t="s">
        <v>138</v>
      </c>
      <c r="P90" s="35" t="s">
        <v>39</v>
      </c>
      <c r="Q90" s="31" t="s">
        <v>29</v>
      </c>
      <c r="R90" s="35" t="s">
        <v>39</v>
      </c>
    </row>
    <row r="91" ht="15.75" customHeight="1">
      <c r="A91" s="19"/>
      <c r="B91" s="37">
        <v>82.0</v>
      </c>
      <c r="C91" s="34" t="s">
        <v>194</v>
      </c>
      <c r="D91" s="25" t="s">
        <v>195</v>
      </c>
      <c r="E91" s="27" t="s">
        <v>25</v>
      </c>
      <c r="F91" s="34" t="s">
        <v>57</v>
      </c>
      <c r="G91" s="38"/>
      <c r="H91" s="30">
        <v>100.0</v>
      </c>
      <c r="I91" s="31">
        <v>2.0</v>
      </c>
      <c r="J91" s="31">
        <v>7.0</v>
      </c>
      <c r="K91" s="31">
        <v>0.0</v>
      </c>
      <c r="L91" s="31">
        <v>0.0</v>
      </c>
      <c r="M91" s="31">
        <v>1.0</v>
      </c>
      <c r="N91" s="59" t="s">
        <v>190</v>
      </c>
      <c r="O91" s="36" t="s">
        <v>138</v>
      </c>
      <c r="P91" s="31">
        <v>50.0</v>
      </c>
      <c r="Q91" s="31" t="s">
        <v>29</v>
      </c>
      <c r="R91" s="31" t="s">
        <v>39</v>
      </c>
    </row>
    <row r="92" ht="15.75" customHeight="1">
      <c r="A92" s="19"/>
      <c r="B92" s="37">
        <v>83.0</v>
      </c>
      <c r="C92" s="34" t="s">
        <v>196</v>
      </c>
      <c r="D92" s="25" t="s">
        <v>197</v>
      </c>
      <c r="E92" s="27" t="s">
        <v>25</v>
      </c>
      <c r="F92" s="34" t="s">
        <v>57</v>
      </c>
      <c r="G92" s="38"/>
      <c r="H92" s="30">
        <v>150.0</v>
      </c>
      <c r="I92" s="31">
        <v>2.0</v>
      </c>
      <c r="J92" s="31">
        <v>6.0</v>
      </c>
      <c r="K92" s="31">
        <v>0.0</v>
      </c>
      <c r="L92" s="31">
        <v>0.0</v>
      </c>
      <c r="M92" s="31">
        <v>1.0</v>
      </c>
      <c r="N92" s="59" t="s">
        <v>190</v>
      </c>
      <c r="O92" s="36" t="s">
        <v>138</v>
      </c>
      <c r="P92" s="31">
        <v>50.0</v>
      </c>
      <c r="Q92" s="31" t="s">
        <v>29</v>
      </c>
      <c r="R92" s="31" t="s">
        <v>39</v>
      </c>
    </row>
    <row r="93" ht="15.75" customHeight="1">
      <c r="A93" s="19"/>
      <c r="B93" s="37">
        <v>84.0</v>
      </c>
      <c r="C93" s="27" t="s">
        <v>198</v>
      </c>
      <c r="D93" s="25" t="s">
        <v>197</v>
      </c>
      <c r="E93" s="27" t="s">
        <v>25</v>
      </c>
      <c r="F93" s="34" t="s">
        <v>57</v>
      </c>
      <c r="G93" s="38"/>
      <c r="H93" s="30">
        <v>80.0</v>
      </c>
      <c r="I93" s="31">
        <v>1.0</v>
      </c>
      <c r="J93" s="31">
        <v>5.0</v>
      </c>
      <c r="K93" s="31">
        <v>0.0</v>
      </c>
      <c r="L93" s="31">
        <v>0.0</v>
      </c>
      <c r="M93" s="31">
        <v>1.0</v>
      </c>
      <c r="N93" s="59" t="s">
        <v>190</v>
      </c>
      <c r="O93" s="36" t="s">
        <v>138</v>
      </c>
      <c r="P93" s="35" t="s">
        <v>39</v>
      </c>
      <c r="Q93" s="31" t="s">
        <v>29</v>
      </c>
      <c r="R93" s="35" t="s">
        <v>39</v>
      </c>
    </row>
    <row r="94" ht="15.75" customHeight="1">
      <c r="A94" s="19"/>
      <c r="B94" s="37">
        <v>85.0</v>
      </c>
      <c r="C94" s="34" t="s">
        <v>199</v>
      </c>
      <c r="D94" s="25" t="s">
        <v>200</v>
      </c>
      <c r="E94" s="27" t="s">
        <v>25</v>
      </c>
      <c r="F94" s="34" t="s">
        <v>57</v>
      </c>
      <c r="G94" s="38"/>
      <c r="H94" s="30">
        <v>100.0</v>
      </c>
      <c r="I94" s="31">
        <v>2.0</v>
      </c>
      <c r="J94" s="31">
        <v>6.0</v>
      </c>
      <c r="K94" s="31">
        <v>0.0</v>
      </c>
      <c r="L94" s="31">
        <v>0.0</v>
      </c>
      <c r="M94" s="31">
        <v>1.0</v>
      </c>
      <c r="N94" s="59" t="s">
        <v>190</v>
      </c>
      <c r="O94" s="36" t="s">
        <v>138</v>
      </c>
      <c r="P94" s="35">
        <v>50.0</v>
      </c>
      <c r="Q94" s="31" t="s">
        <v>29</v>
      </c>
      <c r="R94" s="35" t="s">
        <v>39</v>
      </c>
    </row>
    <row r="95" ht="15.75" customHeight="1">
      <c r="A95" s="19"/>
      <c r="B95" s="37">
        <v>86.0</v>
      </c>
      <c r="C95" s="27" t="s">
        <v>201</v>
      </c>
      <c r="D95" s="27" t="s">
        <v>202</v>
      </c>
      <c r="E95" s="27" t="s">
        <v>25</v>
      </c>
      <c r="F95" s="34" t="s">
        <v>57</v>
      </c>
      <c r="G95" s="38"/>
      <c r="H95" s="30">
        <v>1000.0</v>
      </c>
      <c r="I95" s="31">
        <v>12.0</v>
      </c>
      <c r="J95" s="31">
        <v>100.0</v>
      </c>
      <c r="K95" s="31" t="s">
        <v>39</v>
      </c>
      <c r="L95" s="35" t="s">
        <v>39</v>
      </c>
      <c r="M95" s="35" t="s">
        <v>39</v>
      </c>
      <c r="N95" s="59" t="s">
        <v>190</v>
      </c>
      <c r="O95" s="36" t="s">
        <v>138</v>
      </c>
      <c r="P95" s="35" t="s">
        <v>39</v>
      </c>
      <c r="Q95" s="31" t="s">
        <v>29</v>
      </c>
      <c r="R95" s="35" t="s">
        <v>39</v>
      </c>
    </row>
    <row r="96" ht="15.75" customHeight="1">
      <c r="A96" s="19"/>
      <c r="B96" s="37">
        <v>87.0</v>
      </c>
      <c r="C96" s="34" t="s">
        <v>203</v>
      </c>
      <c r="D96" s="27" t="s">
        <v>204</v>
      </c>
      <c r="E96" s="27" t="s">
        <v>25</v>
      </c>
      <c r="F96" s="34" t="s">
        <v>57</v>
      </c>
      <c r="G96" s="38"/>
      <c r="H96" s="30">
        <v>80.0</v>
      </c>
      <c r="I96" s="31">
        <v>1.0</v>
      </c>
      <c r="J96" s="31">
        <v>5.0</v>
      </c>
      <c r="K96" s="31">
        <v>0.0</v>
      </c>
      <c r="L96" s="31">
        <v>0.0</v>
      </c>
      <c r="M96" s="31">
        <v>1.0</v>
      </c>
      <c r="N96" s="59" t="s">
        <v>190</v>
      </c>
      <c r="O96" s="36" t="s">
        <v>138</v>
      </c>
      <c r="P96" s="31">
        <v>50.0</v>
      </c>
      <c r="Q96" s="31" t="s">
        <v>29</v>
      </c>
      <c r="R96" s="35" t="s">
        <v>39</v>
      </c>
    </row>
    <row r="97" ht="15.75" customHeight="1">
      <c r="A97" s="19"/>
      <c r="B97" s="37">
        <v>88.0</v>
      </c>
      <c r="C97" s="34" t="s">
        <v>205</v>
      </c>
      <c r="D97" s="27" t="s">
        <v>206</v>
      </c>
      <c r="E97" s="27" t="s">
        <v>25</v>
      </c>
      <c r="F97" s="34" t="s">
        <v>57</v>
      </c>
      <c r="G97" s="38"/>
      <c r="H97" s="30">
        <v>40.0</v>
      </c>
      <c r="I97" s="31">
        <v>1.0</v>
      </c>
      <c r="J97" s="31">
        <v>3.0</v>
      </c>
      <c r="K97" s="31">
        <v>0.0</v>
      </c>
      <c r="L97" s="31">
        <v>0.0</v>
      </c>
      <c r="M97" s="31">
        <v>1.0</v>
      </c>
      <c r="N97" s="59" t="s">
        <v>190</v>
      </c>
      <c r="O97" s="36" t="s">
        <v>138</v>
      </c>
      <c r="P97" s="31">
        <v>50.0</v>
      </c>
      <c r="Q97" s="31" t="s">
        <v>29</v>
      </c>
      <c r="R97" s="35" t="s">
        <v>39</v>
      </c>
    </row>
    <row r="98" ht="15.75" customHeight="1">
      <c r="A98" s="19"/>
      <c r="B98" s="37">
        <v>89.0</v>
      </c>
      <c r="C98" s="34" t="s">
        <v>207</v>
      </c>
      <c r="D98" s="27" t="s">
        <v>208</v>
      </c>
      <c r="E98" s="27" t="s">
        <v>25</v>
      </c>
      <c r="F98" s="34" t="s">
        <v>57</v>
      </c>
      <c r="G98" s="38"/>
      <c r="H98" s="30">
        <v>75.0</v>
      </c>
      <c r="I98" s="31">
        <v>1.0</v>
      </c>
      <c r="J98" s="31">
        <v>4.0</v>
      </c>
      <c r="K98" s="31">
        <v>0.0</v>
      </c>
      <c r="L98" s="31">
        <v>0.0</v>
      </c>
      <c r="M98" s="31">
        <v>1.0</v>
      </c>
      <c r="N98" s="59" t="s">
        <v>190</v>
      </c>
      <c r="O98" s="36" t="s">
        <v>138</v>
      </c>
      <c r="P98" s="31">
        <v>50.0</v>
      </c>
      <c r="Q98" s="31" t="s">
        <v>29</v>
      </c>
      <c r="R98" s="35" t="s">
        <v>39</v>
      </c>
    </row>
    <row r="99" ht="15.75" customHeight="1">
      <c r="A99" s="19"/>
      <c r="B99" s="37">
        <v>90.0</v>
      </c>
      <c r="C99" s="34" t="s">
        <v>209</v>
      </c>
      <c r="D99" s="27" t="s">
        <v>210</v>
      </c>
      <c r="E99" s="27" t="s">
        <v>25</v>
      </c>
      <c r="F99" s="34" t="s">
        <v>57</v>
      </c>
      <c r="G99" s="38"/>
      <c r="H99" s="30">
        <v>60.0</v>
      </c>
      <c r="I99" s="31">
        <v>1.0</v>
      </c>
      <c r="J99" s="31">
        <v>4.0</v>
      </c>
      <c r="K99" s="31">
        <v>0.0</v>
      </c>
      <c r="L99" s="31">
        <v>0.0</v>
      </c>
      <c r="M99" s="31">
        <v>1.0</v>
      </c>
      <c r="N99" s="59" t="s">
        <v>190</v>
      </c>
      <c r="O99" s="36" t="s">
        <v>138</v>
      </c>
      <c r="P99" s="31">
        <v>50.0</v>
      </c>
      <c r="Q99" s="31" t="s">
        <v>29</v>
      </c>
      <c r="R99" s="35" t="s">
        <v>39</v>
      </c>
    </row>
    <row r="100" ht="15.75" customHeight="1">
      <c r="A100" s="19"/>
      <c r="B100" s="37">
        <v>91.0</v>
      </c>
      <c r="C100" s="25" t="s">
        <v>211</v>
      </c>
      <c r="D100" s="25" t="s">
        <v>210</v>
      </c>
      <c r="E100" s="27" t="s">
        <v>25</v>
      </c>
      <c r="F100" s="34" t="s">
        <v>57</v>
      </c>
      <c r="G100" s="38"/>
      <c r="H100" s="30">
        <v>2500.0</v>
      </c>
      <c r="I100" s="31">
        <v>30.0</v>
      </c>
      <c r="J100" s="31">
        <v>300.0</v>
      </c>
      <c r="K100" s="31" t="s">
        <v>39</v>
      </c>
      <c r="L100" s="35" t="s">
        <v>39</v>
      </c>
      <c r="M100" s="35" t="s">
        <v>39</v>
      </c>
      <c r="N100" s="59" t="s">
        <v>190</v>
      </c>
      <c r="O100" s="36" t="s">
        <v>138</v>
      </c>
      <c r="P100" s="35" t="s">
        <v>39</v>
      </c>
      <c r="Q100" s="31" t="s">
        <v>29</v>
      </c>
      <c r="R100" s="35" t="s">
        <v>39</v>
      </c>
    </row>
    <row r="101" ht="15.75" customHeight="1">
      <c r="A101" s="19"/>
      <c r="B101" s="37">
        <v>92.0</v>
      </c>
      <c r="C101" s="27" t="s">
        <v>212</v>
      </c>
      <c r="D101" s="25" t="s">
        <v>213</v>
      </c>
      <c r="E101" s="27" t="s">
        <v>25</v>
      </c>
      <c r="F101" s="34" t="s">
        <v>57</v>
      </c>
      <c r="G101" s="38"/>
      <c r="H101" s="30">
        <v>150.0</v>
      </c>
      <c r="I101" s="31">
        <v>5.0</v>
      </c>
      <c r="J101" s="31">
        <v>30.0</v>
      </c>
      <c r="K101" s="31">
        <v>0.0</v>
      </c>
      <c r="L101" s="31">
        <v>0.0</v>
      </c>
      <c r="M101" s="31">
        <v>1.0</v>
      </c>
      <c r="N101" s="59" t="s">
        <v>190</v>
      </c>
      <c r="O101" s="36" t="s">
        <v>138</v>
      </c>
      <c r="P101" s="35" t="s">
        <v>39</v>
      </c>
      <c r="Q101" s="31" t="s">
        <v>29</v>
      </c>
      <c r="R101" s="35" t="s">
        <v>39</v>
      </c>
    </row>
    <row r="102" ht="15.75" customHeight="1">
      <c r="A102" s="19"/>
      <c r="B102" s="37">
        <v>93.0</v>
      </c>
      <c r="C102" s="34" t="s">
        <v>214</v>
      </c>
      <c r="D102" s="25" t="s">
        <v>215</v>
      </c>
      <c r="E102" s="27" t="s">
        <v>25</v>
      </c>
      <c r="F102" s="34" t="s">
        <v>57</v>
      </c>
      <c r="G102" s="38"/>
      <c r="H102" s="30">
        <v>80.0</v>
      </c>
      <c r="I102" s="31">
        <v>1.0</v>
      </c>
      <c r="J102" s="31">
        <v>4.0</v>
      </c>
      <c r="K102" s="31">
        <v>0.0</v>
      </c>
      <c r="L102" s="31">
        <v>0.0</v>
      </c>
      <c r="M102" s="31">
        <v>1.0</v>
      </c>
      <c r="N102" s="59" t="s">
        <v>190</v>
      </c>
      <c r="O102" s="36" t="s">
        <v>138</v>
      </c>
      <c r="P102" s="31">
        <v>50.0</v>
      </c>
      <c r="Q102" s="31" t="s">
        <v>29</v>
      </c>
      <c r="R102" s="35" t="s">
        <v>39</v>
      </c>
    </row>
    <row r="103" ht="15.75" customHeight="1">
      <c r="A103" s="19"/>
      <c r="B103" s="37">
        <v>94.0</v>
      </c>
      <c r="C103" s="34" t="s">
        <v>216</v>
      </c>
      <c r="D103" s="25" t="s">
        <v>217</v>
      </c>
      <c r="E103" s="27" t="s">
        <v>25</v>
      </c>
      <c r="F103" s="34" t="s">
        <v>57</v>
      </c>
      <c r="G103" s="38"/>
      <c r="H103" s="30">
        <v>100.0</v>
      </c>
      <c r="I103" s="31">
        <v>2.0</v>
      </c>
      <c r="J103" s="31">
        <v>7.0</v>
      </c>
      <c r="K103" s="31">
        <v>0.0</v>
      </c>
      <c r="L103" s="31">
        <v>0.0</v>
      </c>
      <c r="M103" s="31">
        <v>1.0</v>
      </c>
      <c r="N103" s="59" t="s">
        <v>190</v>
      </c>
      <c r="O103" s="36" t="s">
        <v>138</v>
      </c>
      <c r="P103" s="31">
        <v>50.0</v>
      </c>
      <c r="Q103" s="31" t="s">
        <v>29</v>
      </c>
      <c r="R103" s="35" t="s">
        <v>39</v>
      </c>
    </row>
    <row r="104" ht="15.75" customHeight="1">
      <c r="A104" s="19"/>
      <c r="B104" s="37">
        <v>95.0</v>
      </c>
      <c r="C104" s="34" t="s">
        <v>218</v>
      </c>
      <c r="D104" s="25" t="s">
        <v>219</v>
      </c>
      <c r="E104" s="27" t="s">
        <v>25</v>
      </c>
      <c r="F104" s="34" t="s">
        <v>57</v>
      </c>
      <c r="G104" s="38"/>
      <c r="H104" s="30">
        <v>100.0</v>
      </c>
      <c r="I104" s="31">
        <v>2.0</v>
      </c>
      <c r="J104" s="31">
        <v>7.0</v>
      </c>
      <c r="K104" s="31">
        <v>0.0</v>
      </c>
      <c r="L104" s="31">
        <v>0.0</v>
      </c>
      <c r="M104" s="31">
        <v>1.0</v>
      </c>
      <c r="N104" s="59" t="s">
        <v>190</v>
      </c>
      <c r="O104" s="36" t="s">
        <v>138</v>
      </c>
      <c r="P104" s="31">
        <v>50.0</v>
      </c>
      <c r="Q104" s="31" t="s">
        <v>29</v>
      </c>
      <c r="R104" s="35" t="s">
        <v>39</v>
      </c>
    </row>
    <row r="105" ht="15.75" customHeight="1">
      <c r="A105" s="19"/>
      <c r="B105" s="37">
        <v>96.0</v>
      </c>
      <c r="C105" s="34" t="s">
        <v>220</v>
      </c>
      <c r="D105" s="25" t="s">
        <v>221</v>
      </c>
      <c r="E105" s="27" t="s">
        <v>25</v>
      </c>
      <c r="F105" s="34" t="s">
        <v>57</v>
      </c>
      <c r="G105" s="38"/>
      <c r="H105" s="30">
        <v>70.0</v>
      </c>
      <c r="I105" s="31">
        <v>1.0</v>
      </c>
      <c r="J105" s="31">
        <v>5.0</v>
      </c>
      <c r="K105" s="31">
        <v>0.0</v>
      </c>
      <c r="L105" s="31">
        <v>0.0</v>
      </c>
      <c r="M105" s="31">
        <v>1.0</v>
      </c>
      <c r="N105" s="59" t="s">
        <v>190</v>
      </c>
      <c r="O105" s="36" t="s">
        <v>138</v>
      </c>
      <c r="P105" s="31">
        <v>50.0</v>
      </c>
      <c r="Q105" s="31" t="s">
        <v>29</v>
      </c>
      <c r="R105" s="35" t="s">
        <v>39</v>
      </c>
    </row>
    <row r="106" ht="15.75" customHeight="1">
      <c r="A106" s="19"/>
      <c r="B106" s="37">
        <v>97.0</v>
      </c>
      <c r="C106" s="34" t="s">
        <v>222</v>
      </c>
      <c r="D106" s="25" t="s">
        <v>223</v>
      </c>
      <c r="E106" s="27" t="s">
        <v>25</v>
      </c>
      <c r="F106" s="34" t="s">
        <v>57</v>
      </c>
      <c r="G106" s="38"/>
      <c r="H106" s="30">
        <v>140.0</v>
      </c>
      <c r="I106" s="31">
        <v>3.0</v>
      </c>
      <c r="J106" s="31">
        <v>12.0</v>
      </c>
      <c r="K106" s="31">
        <v>0.0</v>
      </c>
      <c r="L106" s="31">
        <v>0.0</v>
      </c>
      <c r="M106" s="31">
        <v>1.0</v>
      </c>
      <c r="N106" s="59" t="s">
        <v>190</v>
      </c>
      <c r="O106" s="36" t="s">
        <v>138</v>
      </c>
      <c r="P106" s="31">
        <v>60.0</v>
      </c>
      <c r="Q106" s="31" t="s">
        <v>29</v>
      </c>
      <c r="R106" s="35" t="s">
        <v>39</v>
      </c>
    </row>
    <row r="107" ht="15.75" customHeight="1">
      <c r="A107" s="19"/>
      <c r="B107" s="37">
        <v>98.0</v>
      </c>
      <c r="C107" s="27" t="s">
        <v>224</v>
      </c>
      <c r="D107" s="25" t="s">
        <v>223</v>
      </c>
      <c r="E107" s="27" t="s">
        <v>25</v>
      </c>
      <c r="F107" s="34" t="s">
        <v>57</v>
      </c>
      <c r="G107" s="38"/>
      <c r="H107" s="30">
        <v>30.0</v>
      </c>
      <c r="I107" s="31">
        <v>1.0</v>
      </c>
      <c r="J107" s="31">
        <v>3.0</v>
      </c>
      <c r="K107" s="31">
        <v>0.0</v>
      </c>
      <c r="L107" s="31">
        <v>0.0</v>
      </c>
      <c r="M107" s="31">
        <v>1.0</v>
      </c>
      <c r="N107" s="59" t="s">
        <v>190</v>
      </c>
      <c r="O107" s="36" t="s">
        <v>138</v>
      </c>
      <c r="P107" s="35" t="s">
        <v>39</v>
      </c>
      <c r="Q107" s="31" t="s">
        <v>29</v>
      </c>
      <c r="R107" s="35" t="s">
        <v>39</v>
      </c>
    </row>
    <row r="108" ht="15.75" customHeight="1">
      <c r="A108" s="19"/>
      <c r="B108" s="37">
        <v>99.0</v>
      </c>
      <c r="C108" s="34" t="s">
        <v>225</v>
      </c>
      <c r="D108" s="25" t="s">
        <v>226</v>
      </c>
      <c r="E108" s="27" t="s">
        <v>25</v>
      </c>
      <c r="F108" s="34" t="s">
        <v>57</v>
      </c>
      <c r="G108" s="38"/>
      <c r="H108" s="30">
        <v>150.0</v>
      </c>
      <c r="I108" s="31">
        <v>2.0</v>
      </c>
      <c r="J108" s="31">
        <v>8.0</v>
      </c>
      <c r="K108" s="31">
        <v>0.0</v>
      </c>
      <c r="L108" s="31">
        <v>0.0</v>
      </c>
      <c r="M108" s="31">
        <v>1.0</v>
      </c>
      <c r="N108" s="59" t="s">
        <v>190</v>
      </c>
      <c r="O108" s="36" t="s">
        <v>138</v>
      </c>
      <c r="P108" s="31">
        <v>50.0</v>
      </c>
      <c r="Q108" s="31" t="s">
        <v>29</v>
      </c>
      <c r="R108" s="35" t="s">
        <v>39</v>
      </c>
    </row>
    <row r="109" ht="15.75" customHeight="1">
      <c r="A109" s="19"/>
      <c r="B109" s="37">
        <v>100.0</v>
      </c>
      <c r="C109" s="27" t="s">
        <v>227</v>
      </c>
      <c r="D109" s="25" t="s">
        <v>226</v>
      </c>
      <c r="E109" s="27" t="s">
        <v>25</v>
      </c>
      <c r="F109" s="34" t="s">
        <v>57</v>
      </c>
      <c r="G109" s="38"/>
      <c r="H109" s="30">
        <v>800.0</v>
      </c>
      <c r="I109" s="31">
        <v>20.0</v>
      </c>
      <c r="J109" s="31">
        <v>150.0</v>
      </c>
      <c r="K109" s="35" t="s">
        <v>39</v>
      </c>
      <c r="L109" s="35" t="s">
        <v>39</v>
      </c>
      <c r="M109" s="35" t="s">
        <v>39</v>
      </c>
      <c r="N109" s="59" t="s">
        <v>190</v>
      </c>
      <c r="O109" s="36" t="s">
        <v>138</v>
      </c>
      <c r="P109" s="35" t="s">
        <v>39</v>
      </c>
      <c r="Q109" s="31" t="s">
        <v>29</v>
      </c>
      <c r="R109" s="35" t="s">
        <v>39</v>
      </c>
    </row>
    <row r="110" ht="15.75" customHeight="1">
      <c r="A110" s="19"/>
      <c r="B110" s="37">
        <v>101.0</v>
      </c>
      <c r="C110" s="34" t="s">
        <v>228</v>
      </c>
      <c r="D110" s="25" t="s">
        <v>229</v>
      </c>
      <c r="E110" s="27" t="s">
        <v>25</v>
      </c>
      <c r="F110" s="34" t="s">
        <v>57</v>
      </c>
      <c r="G110" s="38"/>
      <c r="H110" s="30">
        <v>40.0</v>
      </c>
      <c r="I110" s="31">
        <v>1.0</v>
      </c>
      <c r="J110" s="31">
        <v>3.0</v>
      </c>
      <c r="K110" s="31">
        <v>0.0</v>
      </c>
      <c r="L110" s="31">
        <v>0.0</v>
      </c>
      <c r="M110" s="31">
        <v>1.0</v>
      </c>
      <c r="N110" s="59" t="s">
        <v>190</v>
      </c>
      <c r="O110" s="36" t="s">
        <v>138</v>
      </c>
      <c r="P110" s="31">
        <v>50.0</v>
      </c>
      <c r="Q110" s="31" t="s">
        <v>29</v>
      </c>
      <c r="R110" s="35" t="s">
        <v>39</v>
      </c>
    </row>
    <row r="111" ht="15.75" customHeight="1">
      <c r="A111" s="19"/>
      <c r="B111" s="37">
        <v>102.0</v>
      </c>
      <c r="C111" s="34" t="s">
        <v>230</v>
      </c>
      <c r="D111" s="25" t="s">
        <v>231</v>
      </c>
      <c r="E111" s="27" t="s">
        <v>25</v>
      </c>
      <c r="F111" s="34" t="s">
        <v>57</v>
      </c>
      <c r="G111" s="38"/>
      <c r="H111" s="30">
        <v>60.0</v>
      </c>
      <c r="I111" s="31">
        <v>1.0</v>
      </c>
      <c r="J111" s="31">
        <v>4.0</v>
      </c>
      <c r="K111" s="31">
        <v>0.0</v>
      </c>
      <c r="L111" s="31">
        <v>0.0</v>
      </c>
      <c r="M111" s="31">
        <v>1.0</v>
      </c>
      <c r="N111" s="59" t="s">
        <v>190</v>
      </c>
      <c r="O111" s="36" t="s">
        <v>138</v>
      </c>
      <c r="P111" s="31">
        <v>50.0</v>
      </c>
      <c r="Q111" s="31" t="s">
        <v>29</v>
      </c>
      <c r="R111" s="35" t="s">
        <v>39</v>
      </c>
    </row>
    <row r="112" ht="15.75" customHeight="1">
      <c r="A112" s="19"/>
      <c r="B112" s="37">
        <v>103.0</v>
      </c>
      <c r="C112" s="27" t="s">
        <v>232</v>
      </c>
      <c r="D112" s="27" t="s">
        <v>233</v>
      </c>
      <c r="E112" s="27" t="s">
        <v>25</v>
      </c>
      <c r="F112" s="34" t="s">
        <v>57</v>
      </c>
      <c r="G112" s="38"/>
      <c r="H112" s="30">
        <v>900.0</v>
      </c>
      <c r="I112" s="31">
        <v>25.0</v>
      </c>
      <c r="J112" s="31">
        <v>200.0</v>
      </c>
      <c r="K112" s="35" t="s">
        <v>39</v>
      </c>
      <c r="L112" s="35" t="s">
        <v>39</v>
      </c>
      <c r="M112" s="35" t="s">
        <v>39</v>
      </c>
      <c r="N112" s="59" t="s">
        <v>190</v>
      </c>
      <c r="O112" s="36" t="s">
        <v>138</v>
      </c>
      <c r="P112" s="35" t="s">
        <v>39</v>
      </c>
      <c r="Q112" s="31" t="s">
        <v>29</v>
      </c>
      <c r="R112" s="35" t="s">
        <v>39</v>
      </c>
    </row>
    <row r="113" ht="15.75" customHeight="1">
      <c r="A113" s="19"/>
      <c r="B113" s="37">
        <v>104.0</v>
      </c>
      <c r="C113" s="34" t="s">
        <v>234</v>
      </c>
      <c r="D113" s="27" t="s">
        <v>235</v>
      </c>
      <c r="E113" s="27" t="s">
        <v>25</v>
      </c>
      <c r="F113" s="34" t="s">
        <v>57</v>
      </c>
      <c r="G113" s="38"/>
      <c r="H113" s="30">
        <v>150.0</v>
      </c>
      <c r="I113" s="31">
        <v>2.0</v>
      </c>
      <c r="J113" s="31">
        <v>10.0</v>
      </c>
      <c r="K113" s="31">
        <v>0.0</v>
      </c>
      <c r="L113" s="31">
        <v>0.0</v>
      </c>
      <c r="M113" s="31">
        <v>1.0</v>
      </c>
      <c r="N113" s="59" t="s">
        <v>190</v>
      </c>
      <c r="O113" s="36" t="s">
        <v>138</v>
      </c>
      <c r="P113" s="31">
        <v>50.0</v>
      </c>
      <c r="Q113" s="31" t="s">
        <v>66</v>
      </c>
      <c r="R113" s="31">
        <v>2.0</v>
      </c>
    </row>
    <row r="114" ht="15.75" customHeight="1">
      <c r="A114" s="19"/>
      <c r="B114" s="37">
        <v>105.0</v>
      </c>
      <c r="C114" s="27" t="s">
        <v>236</v>
      </c>
      <c r="D114" s="27" t="s">
        <v>237</v>
      </c>
      <c r="E114" s="27" t="s">
        <v>25</v>
      </c>
      <c r="F114" s="34" t="s">
        <v>57</v>
      </c>
      <c r="G114" s="38"/>
      <c r="H114" s="30">
        <v>1500.0</v>
      </c>
      <c r="I114" s="31">
        <v>20.0</v>
      </c>
      <c r="J114" s="31">
        <v>200.0</v>
      </c>
      <c r="K114" s="35" t="s">
        <v>39</v>
      </c>
      <c r="L114" s="35" t="s">
        <v>39</v>
      </c>
      <c r="M114" s="35" t="s">
        <v>39</v>
      </c>
      <c r="N114" s="59" t="s">
        <v>190</v>
      </c>
      <c r="O114" s="36" t="s">
        <v>138</v>
      </c>
      <c r="P114" s="35" t="s">
        <v>39</v>
      </c>
      <c r="Q114" s="31" t="s">
        <v>29</v>
      </c>
      <c r="R114" s="35" t="s">
        <v>39</v>
      </c>
    </row>
    <row r="115" ht="15.75" customHeight="1">
      <c r="A115" s="19"/>
      <c r="B115" s="37">
        <v>106.0</v>
      </c>
      <c r="C115" s="34" t="s">
        <v>238</v>
      </c>
      <c r="D115" s="27" t="s">
        <v>239</v>
      </c>
      <c r="E115" s="27" t="s">
        <v>25</v>
      </c>
      <c r="F115" s="34" t="s">
        <v>57</v>
      </c>
      <c r="G115" s="38"/>
      <c r="H115" s="30">
        <v>250.0</v>
      </c>
      <c r="I115" s="31">
        <v>2.0</v>
      </c>
      <c r="J115" s="31">
        <v>10.0</v>
      </c>
      <c r="K115" s="31">
        <v>0.0</v>
      </c>
      <c r="L115" s="31">
        <v>0.0</v>
      </c>
      <c r="M115" s="31">
        <v>1.0</v>
      </c>
      <c r="N115" s="59" t="s">
        <v>27</v>
      </c>
      <c r="O115" s="36" t="s">
        <v>138</v>
      </c>
      <c r="P115" s="31">
        <v>50.0</v>
      </c>
      <c r="Q115" s="31" t="s">
        <v>66</v>
      </c>
      <c r="R115" s="31">
        <v>2.0</v>
      </c>
    </row>
    <row r="116" ht="15.75" customHeight="1">
      <c r="A116" s="19"/>
      <c r="B116" s="37">
        <v>107.0</v>
      </c>
      <c r="C116" s="25" t="s">
        <v>240</v>
      </c>
      <c r="D116" s="25" t="s">
        <v>239</v>
      </c>
      <c r="E116" s="27" t="s">
        <v>25</v>
      </c>
      <c r="F116" s="34" t="s">
        <v>57</v>
      </c>
      <c r="G116" s="38"/>
      <c r="H116" s="30">
        <v>2000.0</v>
      </c>
      <c r="I116" s="31">
        <v>15.0</v>
      </c>
      <c r="J116" s="31">
        <v>150.0</v>
      </c>
      <c r="K116" s="35" t="s">
        <v>39</v>
      </c>
      <c r="L116" s="35" t="s">
        <v>39</v>
      </c>
      <c r="M116" s="35" t="s">
        <v>39</v>
      </c>
      <c r="N116" s="59" t="s">
        <v>27</v>
      </c>
      <c r="O116" s="36" t="s">
        <v>138</v>
      </c>
      <c r="P116" s="35" t="s">
        <v>39</v>
      </c>
      <c r="Q116" s="31" t="s">
        <v>29</v>
      </c>
      <c r="R116" s="35" t="s">
        <v>39</v>
      </c>
    </row>
    <row r="117" ht="15.75" customHeight="1">
      <c r="A117" s="19"/>
      <c r="B117" s="37">
        <v>108.0</v>
      </c>
      <c r="C117" s="34" t="s">
        <v>241</v>
      </c>
      <c r="D117" s="25" t="s">
        <v>242</v>
      </c>
      <c r="E117" s="27" t="s">
        <v>25</v>
      </c>
      <c r="F117" s="34" t="s">
        <v>57</v>
      </c>
      <c r="G117" s="38"/>
      <c r="H117" s="30">
        <v>70.0</v>
      </c>
      <c r="I117" s="31">
        <v>1.0</v>
      </c>
      <c r="J117" s="31">
        <v>4.0</v>
      </c>
      <c r="K117" s="31">
        <v>0.0</v>
      </c>
      <c r="L117" s="31">
        <v>0.0</v>
      </c>
      <c r="M117" s="31">
        <v>1.0</v>
      </c>
      <c r="N117" s="59" t="s">
        <v>27</v>
      </c>
      <c r="O117" s="36" t="s">
        <v>138</v>
      </c>
      <c r="P117" s="31">
        <v>50.0</v>
      </c>
      <c r="Q117" s="31" t="s">
        <v>66</v>
      </c>
      <c r="R117" s="31">
        <v>2.0</v>
      </c>
    </row>
    <row r="118" ht="15.75" customHeight="1">
      <c r="A118" s="19"/>
      <c r="B118" s="37">
        <v>109.0</v>
      </c>
      <c r="C118" s="34" t="s">
        <v>243</v>
      </c>
      <c r="D118" s="25" t="s">
        <v>244</v>
      </c>
      <c r="E118" s="27" t="s">
        <v>25</v>
      </c>
      <c r="F118" s="34" t="s">
        <v>57</v>
      </c>
      <c r="G118" s="38"/>
      <c r="H118" s="30">
        <v>150.0</v>
      </c>
      <c r="I118" s="31">
        <v>2.0</v>
      </c>
      <c r="J118" s="31">
        <v>6.0</v>
      </c>
      <c r="K118" s="31">
        <v>0.0</v>
      </c>
      <c r="L118" s="31">
        <v>0.0</v>
      </c>
      <c r="M118" s="31">
        <v>1.0</v>
      </c>
      <c r="N118" s="59" t="s">
        <v>27</v>
      </c>
      <c r="O118" s="36" t="s">
        <v>138</v>
      </c>
      <c r="P118" s="31">
        <v>50.0</v>
      </c>
      <c r="Q118" s="31" t="s">
        <v>66</v>
      </c>
      <c r="R118" s="31">
        <v>2.0</v>
      </c>
    </row>
    <row r="119" ht="15.75" customHeight="1">
      <c r="A119" s="19"/>
      <c r="B119" s="37">
        <v>110.0</v>
      </c>
      <c r="C119" s="25" t="s">
        <v>245</v>
      </c>
      <c r="D119" s="25" t="s">
        <v>246</v>
      </c>
      <c r="E119" s="27" t="s">
        <v>25</v>
      </c>
      <c r="F119" s="34" t="s">
        <v>57</v>
      </c>
      <c r="G119" s="38"/>
      <c r="H119" s="30">
        <v>1800.0</v>
      </c>
      <c r="I119" s="31">
        <v>15.0</v>
      </c>
      <c r="J119" s="31">
        <v>150.0</v>
      </c>
      <c r="K119" s="35" t="s">
        <v>39</v>
      </c>
      <c r="L119" s="35" t="s">
        <v>39</v>
      </c>
      <c r="M119" s="35" t="s">
        <v>39</v>
      </c>
      <c r="N119" s="59" t="s">
        <v>27</v>
      </c>
      <c r="O119" s="36" t="s">
        <v>138</v>
      </c>
      <c r="P119" s="35" t="s">
        <v>39</v>
      </c>
      <c r="Q119" s="31" t="s">
        <v>29</v>
      </c>
      <c r="R119" s="35" t="s">
        <v>39</v>
      </c>
    </row>
    <row r="120" ht="15.75" customHeight="1">
      <c r="A120" s="19"/>
      <c r="B120" s="37">
        <v>111.0</v>
      </c>
      <c r="C120" s="25" t="s">
        <v>247</v>
      </c>
      <c r="D120" s="25" t="s">
        <v>246</v>
      </c>
      <c r="E120" s="27" t="s">
        <v>25</v>
      </c>
      <c r="F120" s="34" t="s">
        <v>57</v>
      </c>
      <c r="G120" s="38"/>
      <c r="H120" s="30">
        <v>300.0</v>
      </c>
      <c r="I120" s="31">
        <v>3.0</v>
      </c>
      <c r="J120" s="31">
        <v>30.0</v>
      </c>
      <c r="K120" s="35" t="s">
        <v>39</v>
      </c>
      <c r="L120" s="35" t="s">
        <v>39</v>
      </c>
      <c r="M120" s="35" t="s">
        <v>39</v>
      </c>
      <c r="N120" s="59" t="s">
        <v>27</v>
      </c>
      <c r="O120" s="36" t="s">
        <v>138</v>
      </c>
      <c r="P120" s="35" t="s">
        <v>39</v>
      </c>
      <c r="Q120" s="31" t="s">
        <v>29</v>
      </c>
      <c r="R120" s="35" t="s">
        <v>39</v>
      </c>
    </row>
    <row r="121" ht="15.75" customHeight="1">
      <c r="A121" s="19"/>
      <c r="B121" s="37">
        <v>112.0</v>
      </c>
      <c r="C121" s="34" t="s">
        <v>248</v>
      </c>
      <c r="D121" s="25" t="s">
        <v>249</v>
      </c>
      <c r="E121" s="27" t="s">
        <v>25</v>
      </c>
      <c r="F121" s="34" t="s">
        <v>57</v>
      </c>
      <c r="G121" s="38"/>
      <c r="H121" s="30">
        <v>125.0</v>
      </c>
      <c r="I121" s="31">
        <v>2.0</v>
      </c>
      <c r="J121" s="31">
        <v>8.0</v>
      </c>
      <c r="K121" s="31">
        <v>0.0</v>
      </c>
      <c r="L121" s="31">
        <v>0.0</v>
      </c>
      <c r="M121" s="31">
        <v>1.0</v>
      </c>
      <c r="N121" s="59" t="s">
        <v>27</v>
      </c>
      <c r="O121" s="36" t="s">
        <v>138</v>
      </c>
      <c r="P121" s="31">
        <v>50.0</v>
      </c>
      <c r="Q121" s="31" t="s">
        <v>66</v>
      </c>
      <c r="R121" s="31">
        <v>2.0</v>
      </c>
    </row>
    <row r="122" ht="15.75" customHeight="1">
      <c r="A122" s="19"/>
      <c r="B122" s="37">
        <v>113.0</v>
      </c>
      <c r="C122" s="34" t="s">
        <v>250</v>
      </c>
      <c r="D122" s="25" t="s">
        <v>251</v>
      </c>
      <c r="E122" s="27" t="s">
        <v>25</v>
      </c>
      <c r="F122" s="34" t="s">
        <v>57</v>
      </c>
      <c r="G122" s="38"/>
      <c r="H122" s="30">
        <v>30.0</v>
      </c>
      <c r="I122" s="31">
        <v>1.0</v>
      </c>
      <c r="J122" s="31">
        <v>3.0</v>
      </c>
      <c r="K122" s="31">
        <v>0.0</v>
      </c>
      <c r="L122" s="31">
        <v>0.0</v>
      </c>
      <c r="M122" s="31">
        <v>1.0</v>
      </c>
      <c r="N122" s="59" t="s">
        <v>190</v>
      </c>
      <c r="O122" s="36" t="s">
        <v>138</v>
      </c>
      <c r="P122" s="31">
        <v>50.0</v>
      </c>
      <c r="Q122" s="31" t="s">
        <v>29</v>
      </c>
      <c r="R122" s="35" t="s">
        <v>39</v>
      </c>
    </row>
    <row r="123" ht="15.75" customHeight="1">
      <c r="A123" s="19"/>
      <c r="B123" s="37">
        <v>114.0</v>
      </c>
      <c r="C123" s="27" t="s">
        <v>252</v>
      </c>
      <c r="D123" s="25" t="s">
        <v>251</v>
      </c>
      <c r="E123" s="27" t="s">
        <v>25</v>
      </c>
      <c r="F123" s="34" t="s">
        <v>57</v>
      </c>
      <c r="G123" s="38"/>
      <c r="H123" s="30">
        <v>100.0</v>
      </c>
      <c r="I123" s="31">
        <v>2.0</v>
      </c>
      <c r="J123" s="31">
        <v>10.0</v>
      </c>
      <c r="K123" s="35">
        <v>0.0</v>
      </c>
      <c r="L123" s="31">
        <v>0.0</v>
      </c>
      <c r="M123" s="31">
        <v>1.0</v>
      </c>
      <c r="N123" s="59" t="s">
        <v>190</v>
      </c>
      <c r="O123" s="36" t="s">
        <v>138</v>
      </c>
      <c r="P123" s="35" t="s">
        <v>39</v>
      </c>
      <c r="Q123" s="31" t="s">
        <v>29</v>
      </c>
      <c r="R123" s="35" t="s">
        <v>39</v>
      </c>
    </row>
    <row r="124" ht="15.75" customHeight="1">
      <c r="A124" s="19"/>
      <c r="B124" s="37">
        <v>115.0</v>
      </c>
      <c r="C124" s="34" t="s">
        <v>253</v>
      </c>
      <c r="D124" s="25" t="s">
        <v>254</v>
      </c>
      <c r="E124" s="27" t="s">
        <v>25</v>
      </c>
      <c r="F124" s="34" t="s">
        <v>57</v>
      </c>
      <c r="G124" s="38"/>
      <c r="H124" s="30">
        <v>600.0</v>
      </c>
      <c r="I124" s="31">
        <v>3.0</v>
      </c>
      <c r="J124" s="31">
        <v>25.0</v>
      </c>
      <c r="K124" s="31">
        <v>0.0</v>
      </c>
      <c r="L124" s="31">
        <v>0.0</v>
      </c>
      <c r="M124" s="31">
        <v>1.0</v>
      </c>
      <c r="N124" s="59" t="s">
        <v>27</v>
      </c>
      <c r="O124" s="36" t="s">
        <v>138</v>
      </c>
      <c r="P124" s="35">
        <v>50.0</v>
      </c>
      <c r="Q124" s="31" t="s">
        <v>29</v>
      </c>
      <c r="R124" s="35" t="s">
        <v>39</v>
      </c>
    </row>
    <row r="125" ht="15.75" customHeight="1">
      <c r="A125" s="19"/>
      <c r="B125" s="37">
        <v>116.0</v>
      </c>
      <c r="C125" s="27" t="s">
        <v>255</v>
      </c>
      <c r="D125" s="25" t="s">
        <v>254</v>
      </c>
      <c r="E125" s="27" t="s">
        <v>25</v>
      </c>
      <c r="F125" s="34" t="s">
        <v>57</v>
      </c>
      <c r="G125" s="38"/>
      <c r="H125" s="30">
        <v>1600.0</v>
      </c>
      <c r="I125" s="31">
        <v>10.0</v>
      </c>
      <c r="J125" s="31">
        <v>100.0</v>
      </c>
      <c r="K125" s="35" t="s">
        <v>39</v>
      </c>
      <c r="L125" s="35" t="s">
        <v>39</v>
      </c>
      <c r="M125" s="35" t="s">
        <v>39</v>
      </c>
      <c r="N125" s="59" t="s">
        <v>27</v>
      </c>
      <c r="O125" s="36" t="s">
        <v>138</v>
      </c>
      <c r="P125" s="35" t="s">
        <v>39</v>
      </c>
      <c r="Q125" s="31" t="s">
        <v>29</v>
      </c>
      <c r="R125" s="35" t="s">
        <v>39</v>
      </c>
    </row>
    <row r="126" ht="15.75" customHeight="1">
      <c r="A126" s="19"/>
      <c r="B126" s="37">
        <v>117.0</v>
      </c>
      <c r="C126" s="27" t="s">
        <v>256</v>
      </c>
      <c r="D126" s="25" t="s">
        <v>254</v>
      </c>
      <c r="E126" s="27" t="s">
        <v>25</v>
      </c>
      <c r="F126" s="34" t="s">
        <v>57</v>
      </c>
      <c r="G126" s="38"/>
      <c r="H126" s="30">
        <v>2000.0</v>
      </c>
      <c r="I126" s="31">
        <v>10.0</v>
      </c>
      <c r="J126" s="31">
        <v>100.0</v>
      </c>
      <c r="K126" s="35" t="s">
        <v>39</v>
      </c>
      <c r="L126" s="35" t="s">
        <v>39</v>
      </c>
      <c r="M126" s="35" t="s">
        <v>39</v>
      </c>
      <c r="N126" s="59" t="s">
        <v>27</v>
      </c>
      <c r="O126" s="36" t="s">
        <v>138</v>
      </c>
      <c r="P126" s="35" t="s">
        <v>39</v>
      </c>
      <c r="Q126" s="31" t="s">
        <v>29</v>
      </c>
      <c r="R126" s="35" t="s">
        <v>39</v>
      </c>
    </row>
    <row r="127" ht="15.75" customHeight="1">
      <c r="A127" s="19"/>
      <c r="B127" s="37">
        <v>118.0</v>
      </c>
      <c r="C127" s="34" t="s">
        <v>257</v>
      </c>
      <c r="D127" s="25" t="s">
        <v>258</v>
      </c>
      <c r="E127" s="27" t="s">
        <v>25</v>
      </c>
      <c r="F127" s="34" t="s">
        <v>57</v>
      </c>
      <c r="G127" s="39"/>
      <c r="H127" s="35">
        <v>150.0</v>
      </c>
      <c r="I127" s="36">
        <v>2.0</v>
      </c>
      <c r="J127" s="36">
        <v>6.0</v>
      </c>
      <c r="K127" s="36">
        <v>0.0</v>
      </c>
      <c r="L127" s="36">
        <v>0.0</v>
      </c>
      <c r="M127" s="35">
        <v>1.0</v>
      </c>
      <c r="N127" s="59" t="s">
        <v>27</v>
      </c>
      <c r="O127" s="36" t="s">
        <v>138</v>
      </c>
      <c r="P127" s="36">
        <v>50.0</v>
      </c>
      <c r="Q127" s="36" t="s">
        <v>29</v>
      </c>
      <c r="R127" s="35" t="s">
        <v>39</v>
      </c>
    </row>
    <row r="128" ht="15.75" customHeight="1">
      <c r="A128" s="19"/>
      <c r="B128" s="37">
        <v>119.0</v>
      </c>
      <c r="C128" s="25" t="s">
        <v>259</v>
      </c>
      <c r="D128" s="25" t="s">
        <v>260</v>
      </c>
      <c r="E128" s="27" t="s">
        <v>25</v>
      </c>
      <c r="F128" s="34" t="s">
        <v>57</v>
      </c>
      <c r="G128" s="38"/>
      <c r="H128" s="30">
        <v>2100.0</v>
      </c>
      <c r="I128" s="31">
        <v>10.0</v>
      </c>
      <c r="J128" s="31">
        <v>100.0</v>
      </c>
      <c r="K128" s="35" t="s">
        <v>39</v>
      </c>
      <c r="L128" s="35" t="s">
        <v>39</v>
      </c>
      <c r="M128" s="35" t="s">
        <v>39</v>
      </c>
      <c r="N128" s="59" t="s">
        <v>27</v>
      </c>
      <c r="O128" s="36" t="s">
        <v>138</v>
      </c>
      <c r="P128" s="35" t="s">
        <v>39</v>
      </c>
      <c r="Q128" s="31" t="s">
        <v>29</v>
      </c>
      <c r="R128" s="35" t="s">
        <v>39</v>
      </c>
    </row>
    <row r="129" ht="15.75" customHeight="1">
      <c r="A129" s="19"/>
      <c r="B129" s="24">
        <v>120.0</v>
      </c>
      <c r="C129" s="34" t="s">
        <v>261</v>
      </c>
      <c r="D129" s="25" t="s">
        <v>262</v>
      </c>
      <c r="E129" s="27" t="s">
        <v>25</v>
      </c>
      <c r="F129" s="34" t="s">
        <v>57</v>
      </c>
      <c r="G129" s="39"/>
      <c r="H129" s="35">
        <v>1400.0</v>
      </c>
      <c r="I129" s="36">
        <v>2.0</v>
      </c>
      <c r="J129" s="36">
        <v>8.0</v>
      </c>
      <c r="K129" s="36">
        <v>0.0</v>
      </c>
      <c r="L129" s="36">
        <v>0.0</v>
      </c>
      <c r="M129" s="36">
        <v>1.0</v>
      </c>
      <c r="N129" s="59" t="s">
        <v>27</v>
      </c>
      <c r="O129" s="36" t="s">
        <v>138</v>
      </c>
      <c r="P129" s="36">
        <v>50.0</v>
      </c>
      <c r="Q129" s="36" t="s">
        <v>29</v>
      </c>
      <c r="R129" s="35" t="s">
        <v>39</v>
      </c>
    </row>
    <row r="130" ht="15.75" customHeight="1">
      <c r="A130" s="19"/>
      <c r="B130" s="37">
        <v>121.0</v>
      </c>
      <c r="C130" s="27" t="s">
        <v>263</v>
      </c>
      <c r="D130" s="27" t="s">
        <v>264</v>
      </c>
      <c r="E130" s="27" t="s">
        <v>25</v>
      </c>
      <c r="F130" s="34" t="s">
        <v>57</v>
      </c>
      <c r="G130" s="38"/>
      <c r="H130" s="30">
        <v>2700.0</v>
      </c>
      <c r="I130" s="31">
        <v>2.0</v>
      </c>
      <c r="J130" s="31">
        <v>10.0</v>
      </c>
      <c r="K130" s="31">
        <v>0.0</v>
      </c>
      <c r="L130" s="31">
        <v>0.0</v>
      </c>
      <c r="M130" s="31">
        <v>1.0</v>
      </c>
      <c r="N130" s="59" t="s">
        <v>27</v>
      </c>
      <c r="O130" s="36" t="s">
        <v>138</v>
      </c>
      <c r="P130" s="31">
        <v>50.0</v>
      </c>
      <c r="Q130" s="31" t="s">
        <v>29</v>
      </c>
      <c r="R130" s="35" t="s">
        <v>39</v>
      </c>
    </row>
    <row r="131" ht="15.75" customHeight="1">
      <c r="A131" s="19"/>
      <c r="B131" s="24">
        <v>122.0</v>
      </c>
      <c r="C131" s="34" t="s">
        <v>265</v>
      </c>
      <c r="D131" s="27" t="s">
        <v>266</v>
      </c>
      <c r="E131" s="27" t="s">
        <v>25</v>
      </c>
      <c r="F131" s="34" t="s">
        <v>57</v>
      </c>
      <c r="G131" s="39"/>
      <c r="H131" s="35">
        <v>2000.0</v>
      </c>
      <c r="I131" s="36">
        <v>2.0</v>
      </c>
      <c r="J131" s="36">
        <v>8.0</v>
      </c>
      <c r="K131" s="36">
        <v>0.0</v>
      </c>
      <c r="L131" s="36">
        <v>0.0</v>
      </c>
      <c r="M131" s="36">
        <v>1.0</v>
      </c>
      <c r="N131" s="59" t="s">
        <v>27</v>
      </c>
      <c r="O131" s="36" t="s">
        <v>138</v>
      </c>
      <c r="P131" s="36">
        <v>50.0</v>
      </c>
      <c r="Q131" s="36" t="s">
        <v>66</v>
      </c>
      <c r="R131" s="36">
        <v>2.0</v>
      </c>
    </row>
    <row r="132" ht="15.75" customHeight="1">
      <c r="A132" s="19"/>
      <c r="B132" s="37">
        <v>123.0</v>
      </c>
      <c r="C132" s="25" t="s">
        <v>267</v>
      </c>
      <c r="D132" s="25" t="s">
        <v>268</v>
      </c>
      <c r="E132" s="27" t="s">
        <v>25</v>
      </c>
      <c r="F132" s="34" t="s">
        <v>57</v>
      </c>
      <c r="G132" s="38"/>
      <c r="H132" s="30">
        <v>2100.0</v>
      </c>
      <c r="I132" s="31">
        <v>15.0</v>
      </c>
      <c r="J132" s="31">
        <v>150.0</v>
      </c>
      <c r="K132" s="35" t="s">
        <v>39</v>
      </c>
      <c r="L132" s="35" t="s">
        <v>39</v>
      </c>
      <c r="M132" s="35" t="s">
        <v>39</v>
      </c>
      <c r="N132" s="59" t="s">
        <v>27</v>
      </c>
      <c r="O132" s="36" t="s">
        <v>138</v>
      </c>
      <c r="P132" s="35" t="s">
        <v>39</v>
      </c>
      <c r="Q132" s="31" t="s">
        <v>29</v>
      </c>
      <c r="R132" s="35" t="s">
        <v>39</v>
      </c>
    </row>
    <row r="133" ht="15.75" customHeight="1">
      <c r="A133" s="19"/>
      <c r="B133" s="24">
        <v>124.0</v>
      </c>
      <c r="C133" s="34" t="s">
        <v>269</v>
      </c>
      <c r="D133" s="25" t="s">
        <v>270</v>
      </c>
      <c r="E133" s="27" t="s">
        <v>25</v>
      </c>
      <c r="F133" s="34" t="s">
        <v>57</v>
      </c>
      <c r="G133" s="39"/>
      <c r="H133" s="35">
        <v>150.0</v>
      </c>
      <c r="I133" s="36">
        <v>1.0</v>
      </c>
      <c r="J133" s="36">
        <v>4.0</v>
      </c>
      <c r="K133" s="36">
        <v>0.0</v>
      </c>
      <c r="L133" s="36">
        <v>0.0</v>
      </c>
      <c r="M133" s="36">
        <v>1.0</v>
      </c>
      <c r="N133" s="59" t="s">
        <v>27</v>
      </c>
      <c r="O133" s="36" t="s">
        <v>138</v>
      </c>
      <c r="P133" s="36">
        <v>50.0</v>
      </c>
      <c r="Q133" s="36" t="s">
        <v>29</v>
      </c>
      <c r="R133" s="35" t="s">
        <v>39</v>
      </c>
    </row>
    <row r="134" ht="15.75" customHeight="1">
      <c r="A134" s="19"/>
      <c r="B134" s="37">
        <v>125.0</v>
      </c>
      <c r="C134" s="27" t="s">
        <v>271</v>
      </c>
      <c r="D134" s="25" t="s">
        <v>270</v>
      </c>
      <c r="E134" s="27" t="s">
        <v>25</v>
      </c>
      <c r="F134" s="34" t="s">
        <v>57</v>
      </c>
      <c r="G134" s="38"/>
      <c r="H134" s="30">
        <v>1800.0</v>
      </c>
      <c r="I134" s="31">
        <v>10.0</v>
      </c>
      <c r="J134" s="31">
        <v>100.0</v>
      </c>
      <c r="K134" s="35" t="s">
        <v>39</v>
      </c>
      <c r="L134" s="35" t="s">
        <v>39</v>
      </c>
      <c r="M134" s="35" t="s">
        <v>39</v>
      </c>
      <c r="N134" s="59" t="s">
        <v>27</v>
      </c>
      <c r="O134" s="36" t="s">
        <v>138</v>
      </c>
      <c r="P134" s="35" t="s">
        <v>39</v>
      </c>
      <c r="Q134" s="31" t="s">
        <v>29</v>
      </c>
      <c r="R134" s="35" t="s">
        <v>39</v>
      </c>
    </row>
    <row r="135" ht="15.75" customHeight="1">
      <c r="A135" s="19"/>
      <c r="B135" s="24">
        <v>126.0</v>
      </c>
      <c r="C135" s="34" t="s">
        <v>272</v>
      </c>
      <c r="D135" s="25" t="s">
        <v>273</v>
      </c>
      <c r="E135" s="27" t="s">
        <v>25</v>
      </c>
      <c r="F135" s="34" t="s">
        <v>57</v>
      </c>
      <c r="G135" s="39"/>
      <c r="H135" s="35">
        <v>45.0</v>
      </c>
      <c r="I135" s="36">
        <v>1.0</v>
      </c>
      <c r="J135" s="36">
        <v>4.0</v>
      </c>
      <c r="K135" s="36">
        <v>0.0</v>
      </c>
      <c r="L135" s="36">
        <v>0.0</v>
      </c>
      <c r="M135" s="36">
        <v>1.0</v>
      </c>
      <c r="N135" s="59" t="s">
        <v>27</v>
      </c>
      <c r="O135" s="36" t="s">
        <v>138</v>
      </c>
      <c r="P135" s="36">
        <v>50.0</v>
      </c>
      <c r="Q135" s="36" t="s">
        <v>29</v>
      </c>
      <c r="R135" s="35" t="s">
        <v>39</v>
      </c>
    </row>
    <row r="136" ht="15.75" customHeight="1">
      <c r="A136" s="19"/>
      <c r="B136" s="37">
        <v>127.0</v>
      </c>
      <c r="C136" s="27" t="s">
        <v>274</v>
      </c>
      <c r="D136" s="25" t="s">
        <v>273</v>
      </c>
      <c r="E136" s="27" t="s">
        <v>25</v>
      </c>
      <c r="F136" s="34" t="s">
        <v>57</v>
      </c>
      <c r="G136" s="38"/>
      <c r="H136" s="30">
        <v>2100.0</v>
      </c>
      <c r="I136" s="31">
        <v>10.0</v>
      </c>
      <c r="J136" s="31">
        <v>100.0</v>
      </c>
      <c r="K136" s="35" t="s">
        <v>39</v>
      </c>
      <c r="L136" s="35" t="s">
        <v>39</v>
      </c>
      <c r="M136" s="35" t="s">
        <v>39</v>
      </c>
      <c r="N136" s="59" t="s">
        <v>27</v>
      </c>
      <c r="O136" s="36" t="s">
        <v>138</v>
      </c>
      <c r="P136" s="35" t="s">
        <v>39</v>
      </c>
      <c r="Q136" s="31" t="s">
        <v>29</v>
      </c>
      <c r="R136" s="35" t="s">
        <v>39</v>
      </c>
    </row>
    <row r="137" ht="15.75" customHeight="1">
      <c r="A137" s="19"/>
      <c r="B137" s="24">
        <v>128.0</v>
      </c>
      <c r="C137" s="34" t="s">
        <v>275</v>
      </c>
      <c r="D137" s="27" t="s">
        <v>276</v>
      </c>
      <c r="E137" s="27" t="s">
        <v>25</v>
      </c>
      <c r="F137" s="34" t="s">
        <v>57</v>
      </c>
      <c r="G137" s="39"/>
      <c r="H137" s="35">
        <v>400.0</v>
      </c>
      <c r="I137" s="36">
        <v>1.0</v>
      </c>
      <c r="J137" s="36">
        <v>5.0</v>
      </c>
      <c r="K137" s="36">
        <v>0.0</v>
      </c>
      <c r="L137" s="36">
        <v>0.0</v>
      </c>
      <c r="M137" s="36">
        <v>1.0</v>
      </c>
      <c r="N137" s="59" t="s">
        <v>27</v>
      </c>
      <c r="O137" s="36" t="s">
        <v>138</v>
      </c>
      <c r="P137" s="36">
        <v>50.0</v>
      </c>
      <c r="Q137" s="36" t="s">
        <v>29</v>
      </c>
      <c r="R137" s="35" t="s">
        <v>39</v>
      </c>
    </row>
    <row r="138" ht="15.75" customHeight="1">
      <c r="A138" s="19"/>
      <c r="B138" s="37">
        <v>129.0</v>
      </c>
      <c r="C138" s="27" t="s">
        <v>277</v>
      </c>
      <c r="D138" s="27" t="s">
        <v>276</v>
      </c>
      <c r="E138" s="27" t="s">
        <v>25</v>
      </c>
      <c r="F138" s="34" t="s">
        <v>57</v>
      </c>
      <c r="G138" s="38"/>
      <c r="H138" s="30">
        <v>1500.0</v>
      </c>
      <c r="I138" s="31">
        <v>10.0</v>
      </c>
      <c r="J138" s="31">
        <v>80.0</v>
      </c>
      <c r="K138" s="35" t="s">
        <v>39</v>
      </c>
      <c r="L138" s="35" t="s">
        <v>39</v>
      </c>
      <c r="M138" s="35" t="s">
        <v>39</v>
      </c>
      <c r="N138" s="59" t="s">
        <v>27</v>
      </c>
      <c r="O138" s="36" t="s">
        <v>138</v>
      </c>
      <c r="P138" s="35" t="s">
        <v>39</v>
      </c>
      <c r="Q138" s="31" t="s">
        <v>29</v>
      </c>
      <c r="R138" s="35" t="s">
        <v>39</v>
      </c>
    </row>
    <row r="139" ht="15.75" customHeight="1">
      <c r="A139" s="19"/>
      <c r="B139" s="24">
        <v>130.0</v>
      </c>
      <c r="C139" s="34" t="s">
        <v>278</v>
      </c>
      <c r="D139" s="25" t="s">
        <v>279</v>
      </c>
      <c r="E139" s="27" t="s">
        <v>25</v>
      </c>
      <c r="F139" s="34" t="s">
        <v>57</v>
      </c>
      <c r="G139" s="39"/>
      <c r="H139" s="35">
        <v>500.0</v>
      </c>
      <c r="I139" s="36">
        <v>2.0</v>
      </c>
      <c r="J139" s="36">
        <v>10.0</v>
      </c>
      <c r="K139" s="36">
        <v>0.0</v>
      </c>
      <c r="L139" s="36">
        <v>0.0</v>
      </c>
      <c r="M139" s="36">
        <v>1.0</v>
      </c>
      <c r="N139" s="59" t="s">
        <v>27</v>
      </c>
      <c r="O139" s="36" t="s">
        <v>138</v>
      </c>
      <c r="P139" s="36">
        <v>50.0</v>
      </c>
      <c r="Q139" s="36" t="s">
        <v>66</v>
      </c>
      <c r="R139" s="36">
        <v>2.0</v>
      </c>
    </row>
    <row r="140" ht="15.75" customHeight="1">
      <c r="A140" s="19"/>
      <c r="B140" s="24">
        <v>131.0</v>
      </c>
      <c r="C140" s="25" t="s">
        <v>280</v>
      </c>
      <c r="D140" s="25" t="s">
        <v>279</v>
      </c>
      <c r="E140" s="27" t="s">
        <v>25</v>
      </c>
      <c r="F140" s="34" t="s">
        <v>57</v>
      </c>
      <c r="G140" s="39"/>
      <c r="H140" s="35">
        <v>1100.0</v>
      </c>
      <c r="I140" s="36">
        <v>10.0</v>
      </c>
      <c r="J140" s="36">
        <v>100.0</v>
      </c>
      <c r="K140" s="35" t="s">
        <v>39</v>
      </c>
      <c r="L140" s="35" t="s">
        <v>39</v>
      </c>
      <c r="M140" s="35" t="s">
        <v>39</v>
      </c>
      <c r="N140" s="59" t="s">
        <v>27</v>
      </c>
      <c r="O140" s="36" t="s">
        <v>138</v>
      </c>
      <c r="P140" s="35" t="s">
        <v>39</v>
      </c>
      <c r="Q140" s="36" t="s">
        <v>29</v>
      </c>
      <c r="R140" s="35" t="s">
        <v>39</v>
      </c>
    </row>
    <row r="141" ht="15.75" customHeight="1">
      <c r="A141" s="19"/>
      <c r="B141" s="37">
        <v>132.0</v>
      </c>
      <c r="C141" s="34" t="s">
        <v>281</v>
      </c>
      <c r="D141" s="27" t="s">
        <v>186</v>
      </c>
      <c r="E141" s="27" t="s">
        <v>25</v>
      </c>
      <c r="F141" s="34" t="s">
        <v>57</v>
      </c>
      <c r="G141" s="38"/>
      <c r="H141" s="30">
        <v>150.0</v>
      </c>
      <c r="I141" s="31">
        <v>1.0</v>
      </c>
      <c r="J141" s="31">
        <v>3.0</v>
      </c>
      <c r="K141" s="31">
        <v>0.0</v>
      </c>
      <c r="L141" s="31">
        <v>0.0</v>
      </c>
      <c r="M141" s="31">
        <v>1.0</v>
      </c>
      <c r="N141" s="59" t="s">
        <v>190</v>
      </c>
      <c r="O141" s="36" t="s">
        <v>138</v>
      </c>
      <c r="P141" s="31">
        <v>50.0</v>
      </c>
      <c r="Q141" s="31" t="s">
        <v>29</v>
      </c>
      <c r="R141" s="35" t="s">
        <v>39</v>
      </c>
    </row>
    <row r="142" ht="15.75" customHeight="1">
      <c r="A142" s="19"/>
      <c r="B142" s="37">
        <v>133.0</v>
      </c>
      <c r="C142" s="27" t="s">
        <v>282</v>
      </c>
      <c r="D142" s="27" t="s">
        <v>186</v>
      </c>
      <c r="E142" s="27" t="s">
        <v>25</v>
      </c>
      <c r="F142" s="34" t="s">
        <v>57</v>
      </c>
      <c r="G142" s="38"/>
      <c r="H142" s="30">
        <v>1700.0</v>
      </c>
      <c r="I142" s="31">
        <v>10.0</v>
      </c>
      <c r="J142" s="31">
        <v>120.0</v>
      </c>
      <c r="K142" s="35" t="s">
        <v>39</v>
      </c>
      <c r="L142" s="35" t="s">
        <v>39</v>
      </c>
      <c r="M142" s="35" t="s">
        <v>39</v>
      </c>
      <c r="N142" s="59" t="s">
        <v>190</v>
      </c>
      <c r="O142" s="36" t="s">
        <v>138</v>
      </c>
      <c r="P142" s="35" t="s">
        <v>39</v>
      </c>
      <c r="Q142" s="31" t="s">
        <v>29</v>
      </c>
      <c r="R142" s="35" t="s">
        <v>39</v>
      </c>
    </row>
    <row r="143" ht="14.25" customHeight="1">
      <c r="A143" s="19"/>
      <c r="B143" s="20"/>
      <c r="C143" s="21" t="s">
        <v>283</v>
      </c>
      <c r="D143" s="22"/>
      <c r="E143" s="22"/>
      <c r="F143" s="23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</row>
    <row r="144" ht="14.25" customHeight="1">
      <c r="A144" s="19">
        <v>47.0</v>
      </c>
      <c r="B144" s="60">
        <v>134.0</v>
      </c>
      <c r="C144" s="27" t="s">
        <v>284</v>
      </c>
      <c r="D144" s="27" t="s">
        <v>285</v>
      </c>
      <c r="E144" s="27" t="s">
        <v>25</v>
      </c>
      <c r="F144" s="34" t="s">
        <v>286</v>
      </c>
      <c r="G144" s="38"/>
      <c r="H144" s="30">
        <v>600.0</v>
      </c>
      <c r="I144" s="31">
        <v>76.0</v>
      </c>
      <c r="J144" s="31">
        <v>344.0</v>
      </c>
      <c r="K144" s="31">
        <v>1.0</v>
      </c>
      <c r="L144" s="31">
        <v>1.0</v>
      </c>
      <c r="M144" s="31">
        <v>0.0</v>
      </c>
      <c r="N144" s="31" t="s">
        <v>287</v>
      </c>
      <c r="O144" s="31" t="s">
        <v>138</v>
      </c>
      <c r="P144" s="31">
        <v>0.0</v>
      </c>
      <c r="Q144" s="31" t="s">
        <v>29</v>
      </c>
      <c r="R144" s="27" t="s">
        <v>39</v>
      </c>
    </row>
    <row r="145" ht="14.25" customHeight="1">
      <c r="A145" s="19">
        <v>48.0</v>
      </c>
      <c r="B145" s="60">
        <v>135.0</v>
      </c>
      <c r="C145" s="25" t="s">
        <v>177</v>
      </c>
      <c r="D145" s="25" t="s">
        <v>285</v>
      </c>
      <c r="E145" s="27" t="s">
        <v>25</v>
      </c>
      <c r="F145" s="34" t="s">
        <v>286</v>
      </c>
      <c r="G145" s="39"/>
      <c r="H145" s="35">
        <v>600.0</v>
      </c>
      <c r="I145" s="36">
        <v>33.0</v>
      </c>
      <c r="J145" s="36">
        <v>150.0</v>
      </c>
      <c r="K145" s="36">
        <v>0.0</v>
      </c>
      <c r="L145" s="36">
        <v>0.0</v>
      </c>
      <c r="M145" s="36">
        <v>2.0</v>
      </c>
      <c r="N145" s="36" t="s">
        <v>287</v>
      </c>
      <c r="O145" s="36" t="s">
        <v>138</v>
      </c>
      <c r="P145" s="36">
        <v>0.0</v>
      </c>
      <c r="Q145" s="36" t="s">
        <v>29</v>
      </c>
      <c r="R145" s="25" t="s">
        <v>39</v>
      </c>
    </row>
    <row r="146" ht="14.25" customHeight="1">
      <c r="A146" s="19">
        <v>49.0</v>
      </c>
      <c r="B146" s="60">
        <v>136.0</v>
      </c>
      <c r="C146" s="27" t="s">
        <v>288</v>
      </c>
      <c r="D146" s="27" t="s">
        <v>285</v>
      </c>
      <c r="E146" s="27" t="s">
        <v>25</v>
      </c>
      <c r="F146" s="34" t="s">
        <v>286</v>
      </c>
      <c r="G146" s="38"/>
      <c r="H146" s="30">
        <v>690.0</v>
      </c>
      <c r="I146" s="31">
        <v>33.0</v>
      </c>
      <c r="J146" s="31">
        <v>150.0</v>
      </c>
      <c r="K146" s="31">
        <v>3.0</v>
      </c>
      <c r="L146" s="31">
        <v>3.0</v>
      </c>
      <c r="M146" s="31">
        <v>6.0</v>
      </c>
      <c r="N146" s="31" t="s">
        <v>287</v>
      </c>
      <c r="O146" s="31" t="s">
        <v>138</v>
      </c>
      <c r="P146" s="31">
        <v>0.0</v>
      </c>
      <c r="Q146" s="31" t="s">
        <v>29</v>
      </c>
      <c r="R146" s="27" t="s">
        <v>39</v>
      </c>
    </row>
    <row r="147" ht="14.25" customHeight="1">
      <c r="A147" s="19">
        <v>50.0</v>
      </c>
      <c r="B147" s="60">
        <v>137.0</v>
      </c>
      <c r="C147" s="25" t="s">
        <v>289</v>
      </c>
      <c r="D147" s="25" t="s">
        <v>290</v>
      </c>
      <c r="E147" s="27" t="s">
        <v>25</v>
      </c>
      <c r="F147" s="34" t="s">
        <v>286</v>
      </c>
      <c r="G147" s="39"/>
      <c r="H147" s="35">
        <v>56.0</v>
      </c>
      <c r="I147" s="36">
        <v>35.0</v>
      </c>
      <c r="J147" s="36">
        <v>160.0</v>
      </c>
      <c r="K147" s="36">
        <v>2.0</v>
      </c>
      <c r="L147" s="36">
        <v>2.0</v>
      </c>
      <c r="M147" s="36">
        <v>6.0</v>
      </c>
      <c r="N147" s="36" t="s">
        <v>287</v>
      </c>
      <c r="O147" s="36" t="s">
        <v>138</v>
      </c>
      <c r="P147" s="36">
        <v>0.0</v>
      </c>
      <c r="Q147" s="36" t="s">
        <v>29</v>
      </c>
      <c r="R147" s="25" t="s">
        <v>39</v>
      </c>
    </row>
    <row r="148" ht="14.25" customHeight="1">
      <c r="A148" s="19">
        <v>51.0</v>
      </c>
      <c r="B148" s="60">
        <v>138.0</v>
      </c>
      <c r="C148" s="27" t="s">
        <v>291</v>
      </c>
      <c r="D148" s="27" t="s">
        <v>292</v>
      </c>
      <c r="E148" s="27" t="s">
        <v>25</v>
      </c>
      <c r="F148" s="34" t="s">
        <v>286</v>
      </c>
      <c r="G148" s="38"/>
      <c r="H148" s="30">
        <v>56.0</v>
      </c>
      <c r="I148" s="31">
        <v>35.0</v>
      </c>
      <c r="J148" s="31">
        <v>160.0</v>
      </c>
      <c r="K148" s="31">
        <v>1.0</v>
      </c>
      <c r="L148" s="31">
        <v>1.0</v>
      </c>
      <c r="M148" s="31">
        <v>4.0</v>
      </c>
      <c r="N148" s="31" t="s">
        <v>287</v>
      </c>
      <c r="O148" s="31" t="s">
        <v>138</v>
      </c>
      <c r="P148" s="31">
        <v>0.0</v>
      </c>
      <c r="Q148" s="31" t="s">
        <v>29</v>
      </c>
      <c r="R148" s="27" t="s">
        <v>39</v>
      </c>
    </row>
    <row r="149" ht="14.25" customHeight="1">
      <c r="A149" s="19">
        <v>52.0</v>
      </c>
      <c r="B149" s="60">
        <v>139.0</v>
      </c>
      <c r="C149" s="25" t="s">
        <v>293</v>
      </c>
      <c r="D149" s="25" t="s">
        <v>285</v>
      </c>
      <c r="E149" s="27" t="s">
        <v>25</v>
      </c>
      <c r="F149" s="34" t="s">
        <v>286</v>
      </c>
      <c r="G149" s="39"/>
      <c r="H149" s="35">
        <v>56.0</v>
      </c>
      <c r="I149" s="36">
        <v>35.0</v>
      </c>
      <c r="J149" s="36">
        <v>160.0</v>
      </c>
      <c r="K149" s="36">
        <v>3.0</v>
      </c>
      <c r="L149" s="36">
        <v>3.0</v>
      </c>
      <c r="M149" s="36">
        <v>14.0</v>
      </c>
      <c r="N149" s="36" t="s">
        <v>287</v>
      </c>
      <c r="O149" s="36" t="s">
        <v>138</v>
      </c>
      <c r="P149" s="36">
        <v>0.0</v>
      </c>
      <c r="Q149" s="36" t="s">
        <v>29</v>
      </c>
      <c r="R149" s="25" t="s">
        <v>39</v>
      </c>
    </row>
    <row r="150" ht="14.25" customHeight="1">
      <c r="A150" s="19">
        <v>53.0</v>
      </c>
      <c r="B150" s="60">
        <v>140.0</v>
      </c>
      <c r="C150" s="27" t="s">
        <v>294</v>
      </c>
      <c r="D150" s="27" t="s">
        <v>295</v>
      </c>
      <c r="E150" s="27" t="s">
        <v>25</v>
      </c>
      <c r="F150" s="34" t="s">
        <v>286</v>
      </c>
      <c r="G150" s="38"/>
      <c r="H150" s="30">
        <v>56.0</v>
      </c>
      <c r="I150" s="31">
        <v>35.0</v>
      </c>
      <c r="J150" s="31">
        <v>160.0</v>
      </c>
      <c r="K150" s="31">
        <v>2.0</v>
      </c>
      <c r="L150" s="31">
        <v>2.0</v>
      </c>
      <c r="M150" s="31">
        <v>12.0</v>
      </c>
      <c r="N150" s="31" t="s">
        <v>138</v>
      </c>
      <c r="O150" s="31" t="s">
        <v>82</v>
      </c>
      <c r="P150" s="31">
        <v>0.0</v>
      </c>
      <c r="Q150" s="31" t="s">
        <v>29</v>
      </c>
      <c r="R150" s="27" t="s">
        <v>39</v>
      </c>
    </row>
    <row r="151" ht="14.25" customHeight="1">
      <c r="A151" s="19">
        <v>54.0</v>
      </c>
      <c r="B151" s="60">
        <v>141.0</v>
      </c>
      <c r="C151" s="25" t="s">
        <v>296</v>
      </c>
      <c r="D151" s="25" t="s">
        <v>297</v>
      </c>
      <c r="E151" s="27" t="s">
        <v>25</v>
      </c>
      <c r="F151" s="34" t="s">
        <v>286</v>
      </c>
      <c r="G151" s="39"/>
      <c r="H151" s="35">
        <v>56.0</v>
      </c>
      <c r="I151" s="36">
        <v>35.0</v>
      </c>
      <c r="J151" s="36">
        <v>160.0</v>
      </c>
      <c r="K151" s="36">
        <v>0.0</v>
      </c>
      <c r="L151" s="36">
        <v>0.0</v>
      </c>
      <c r="M151" s="36">
        <v>7.0</v>
      </c>
      <c r="N151" s="36" t="s">
        <v>138</v>
      </c>
      <c r="O151" s="36" t="s">
        <v>82</v>
      </c>
      <c r="P151" s="36">
        <v>0.0</v>
      </c>
      <c r="Q151" s="36" t="s">
        <v>29</v>
      </c>
      <c r="R151" s="25" t="s">
        <v>39</v>
      </c>
    </row>
    <row r="152" ht="14.25" customHeight="1">
      <c r="A152" s="19">
        <v>55.0</v>
      </c>
      <c r="B152" s="60">
        <v>142.0</v>
      </c>
      <c r="C152" s="27" t="s">
        <v>298</v>
      </c>
      <c r="D152" s="27" t="s">
        <v>299</v>
      </c>
      <c r="E152" s="27" t="s">
        <v>25</v>
      </c>
      <c r="F152" s="34" t="s">
        <v>286</v>
      </c>
      <c r="G152" s="38"/>
      <c r="H152" s="30">
        <v>56.0</v>
      </c>
      <c r="I152" s="31">
        <v>35.0</v>
      </c>
      <c r="J152" s="31">
        <v>160.0</v>
      </c>
      <c r="K152" s="31">
        <v>2.0</v>
      </c>
      <c r="L152" s="31">
        <v>2.0</v>
      </c>
      <c r="M152" s="31">
        <v>12.0</v>
      </c>
      <c r="N152" s="31" t="s">
        <v>300</v>
      </c>
      <c r="O152" s="31" t="s">
        <v>138</v>
      </c>
      <c r="P152" s="31">
        <v>0.0</v>
      </c>
      <c r="Q152" s="31" t="s">
        <v>29</v>
      </c>
      <c r="R152" s="27" t="s">
        <v>39</v>
      </c>
    </row>
    <row r="153" ht="14.25" customHeight="1">
      <c r="A153" s="19">
        <v>56.0</v>
      </c>
      <c r="B153" s="60">
        <v>143.0</v>
      </c>
      <c r="C153" s="25" t="s">
        <v>301</v>
      </c>
      <c r="D153" s="25" t="s">
        <v>302</v>
      </c>
      <c r="E153" s="27" t="s">
        <v>25</v>
      </c>
      <c r="F153" s="34" t="s">
        <v>286</v>
      </c>
      <c r="G153" s="39"/>
      <c r="H153" s="35">
        <v>56.0</v>
      </c>
      <c r="I153" s="36">
        <v>35.0</v>
      </c>
      <c r="J153" s="36">
        <v>160.0</v>
      </c>
      <c r="K153" s="36">
        <v>2.0</v>
      </c>
      <c r="L153" s="36">
        <v>2.0</v>
      </c>
      <c r="M153" s="36">
        <v>6.0</v>
      </c>
      <c r="N153" s="36" t="s">
        <v>287</v>
      </c>
      <c r="O153" s="36" t="s">
        <v>138</v>
      </c>
      <c r="P153" s="36">
        <v>0.0</v>
      </c>
      <c r="Q153" s="36" t="s">
        <v>29</v>
      </c>
      <c r="R153" s="25" t="s">
        <v>39</v>
      </c>
    </row>
    <row r="154" ht="14.25" customHeight="1">
      <c r="A154" s="19">
        <v>57.0</v>
      </c>
      <c r="B154" s="60">
        <v>144.0</v>
      </c>
      <c r="C154" s="27" t="s">
        <v>303</v>
      </c>
      <c r="D154" s="27" t="s">
        <v>304</v>
      </c>
      <c r="E154" s="27" t="s">
        <v>25</v>
      </c>
      <c r="F154" s="34" t="s">
        <v>286</v>
      </c>
      <c r="G154" s="38"/>
      <c r="H154" s="30">
        <v>56.0</v>
      </c>
      <c r="I154" s="31">
        <v>35.0</v>
      </c>
      <c r="J154" s="31">
        <v>160.0</v>
      </c>
      <c r="K154" s="31">
        <v>2.0</v>
      </c>
      <c r="L154" s="31">
        <v>2.0</v>
      </c>
      <c r="M154" s="31">
        <v>6.0</v>
      </c>
      <c r="N154" s="31" t="s">
        <v>300</v>
      </c>
      <c r="O154" s="31" t="s">
        <v>138</v>
      </c>
      <c r="P154" s="31">
        <v>0.0</v>
      </c>
      <c r="Q154" s="31" t="s">
        <v>29</v>
      </c>
      <c r="R154" s="27" t="s">
        <v>39</v>
      </c>
    </row>
    <row r="155" ht="14.25" customHeight="1">
      <c r="A155" s="19">
        <v>58.0</v>
      </c>
      <c r="B155" s="60">
        <v>145.0</v>
      </c>
      <c r="C155" s="25" t="s">
        <v>305</v>
      </c>
      <c r="D155" s="25" t="s">
        <v>306</v>
      </c>
      <c r="E155" s="27" t="s">
        <v>25</v>
      </c>
      <c r="F155" s="34" t="s">
        <v>286</v>
      </c>
      <c r="G155" s="39"/>
      <c r="H155" s="35">
        <v>56.0</v>
      </c>
      <c r="I155" s="36">
        <v>35.0</v>
      </c>
      <c r="J155" s="36">
        <v>160.0</v>
      </c>
      <c r="K155" s="36">
        <v>2.0</v>
      </c>
      <c r="L155" s="36">
        <v>2.0</v>
      </c>
      <c r="M155" s="36">
        <v>6.0</v>
      </c>
      <c r="N155" s="36" t="s">
        <v>138</v>
      </c>
      <c r="O155" s="36" t="s">
        <v>82</v>
      </c>
      <c r="P155" s="36">
        <v>0.0</v>
      </c>
      <c r="Q155" s="36" t="s">
        <v>29</v>
      </c>
      <c r="R155" s="25" t="s">
        <v>39</v>
      </c>
    </row>
    <row r="156" ht="14.25" customHeight="1">
      <c r="A156" s="19">
        <v>59.0</v>
      </c>
      <c r="B156" s="60">
        <v>146.0</v>
      </c>
      <c r="C156" s="27" t="s">
        <v>307</v>
      </c>
      <c r="D156" s="27" t="s">
        <v>308</v>
      </c>
      <c r="E156" s="27" t="s">
        <v>25</v>
      </c>
      <c r="F156" s="34" t="s">
        <v>286</v>
      </c>
      <c r="G156" s="38"/>
      <c r="H156" s="30">
        <v>56.0</v>
      </c>
      <c r="I156" s="31">
        <v>35.0</v>
      </c>
      <c r="J156" s="31">
        <v>160.0</v>
      </c>
      <c r="K156" s="31">
        <v>1.0</v>
      </c>
      <c r="L156" s="31">
        <v>1.0</v>
      </c>
      <c r="M156" s="31">
        <v>6.0</v>
      </c>
      <c r="N156" s="31" t="s">
        <v>287</v>
      </c>
      <c r="O156" s="31" t="s">
        <v>138</v>
      </c>
      <c r="P156" s="31">
        <v>0.0</v>
      </c>
      <c r="Q156" s="31" t="s">
        <v>29</v>
      </c>
      <c r="R156" s="27" t="s">
        <v>39</v>
      </c>
    </row>
    <row r="157" ht="14.25" customHeight="1">
      <c r="A157" s="19">
        <v>60.0</v>
      </c>
      <c r="B157" s="60">
        <v>147.0</v>
      </c>
      <c r="C157" s="25" t="s">
        <v>309</v>
      </c>
      <c r="D157" s="25" t="s">
        <v>285</v>
      </c>
      <c r="E157" s="27" t="s">
        <v>25</v>
      </c>
      <c r="F157" s="34" t="s">
        <v>286</v>
      </c>
      <c r="G157" s="39"/>
      <c r="H157" s="35">
        <v>56.0</v>
      </c>
      <c r="I157" s="36">
        <v>35.0</v>
      </c>
      <c r="J157" s="36">
        <v>160.0</v>
      </c>
      <c r="K157" s="36">
        <v>7.0</v>
      </c>
      <c r="L157" s="36">
        <v>7.0</v>
      </c>
      <c r="M157" s="36">
        <v>0.0</v>
      </c>
      <c r="N157" s="36" t="s">
        <v>287</v>
      </c>
      <c r="O157" s="36" t="s">
        <v>138</v>
      </c>
      <c r="P157" s="36">
        <v>0.0</v>
      </c>
      <c r="Q157" s="36" t="s">
        <v>29</v>
      </c>
      <c r="R157" s="25" t="s">
        <v>39</v>
      </c>
    </row>
    <row r="158" ht="14.25" customHeight="1">
      <c r="A158" s="19">
        <v>61.0</v>
      </c>
      <c r="B158" s="60">
        <v>148.0</v>
      </c>
      <c r="C158" s="27" t="s">
        <v>310</v>
      </c>
      <c r="D158" s="27" t="s">
        <v>304</v>
      </c>
      <c r="E158" s="27" t="s">
        <v>25</v>
      </c>
      <c r="F158" s="34" t="s">
        <v>286</v>
      </c>
      <c r="G158" s="38"/>
      <c r="H158" s="30">
        <v>72.0</v>
      </c>
      <c r="I158" s="31">
        <v>5.0</v>
      </c>
      <c r="J158" s="31">
        <v>25.0</v>
      </c>
      <c r="K158" s="31">
        <v>0.0</v>
      </c>
      <c r="L158" s="31">
        <v>0.0</v>
      </c>
      <c r="M158" s="31">
        <v>1.0</v>
      </c>
      <c r="N158" s="31" t="s">
        <v>300</v>
      </c>
      <c r="O158" s="31" t="s">
        <v>138</v>
      </c>
      <c r="P158" s="31">
        <v>0.0</v>
      </c>
      <c r="Q158" s="31" t="s">
        <v>29</v>
      </c>
      <c r="R158" s="27" t="s">
        <v>39</v>
      </c>
    </row>
    <row r="159" ht="14.25" customHeight="1">
      <c r="A159" s="19">
        <v>62.0</v>
      </c>
      <c r="B159" s="60">
        <v>149.0</v>
      </c>
      <c r="C159" s="25" t="s">
        <v>311</v>
      </c>
      <c r="D159" s="25" t="s">
        <v>299</v>
      </c>
      <c r="E159" s="27" t="s">
        <v>25</v>
      </c>
      <c r="F159" s="34" t="s">
        <v>286</v>
      </c>
      <c r="G159" s="39"/>
      <c r="H159" s="35">
        <v>72.0</v>
      </c>
      <c r="I159" s="36">
        <v>5.0</v>
      </c>
      <c r="J159" s="36">
        <v>25.0</v>
      </c>
      <c r="K159" s="36">
        <v>0.0</v>
      </c>
      <c r="L159" s="36">
        <v>0.0</v>
      </c>
      <c r="M159" s="36">
        <v>1.0</v>
      </c>
      <c r="N159" s="36" t="s">
        <v>300</v>
      </c>
      <c r="O159" s="36" t="s">
        <v>138</v>
      </c>
      <c r="P159" s="36">
        <v>0.0</v>
      </c>
      <c r="Q159" s="36" t="s">
        <v>29</v>
      </c>
      <c r="R159" s="25" t="s">
        <v>39</v>
      </c>
    </row>
    <row r="160" ht="14.25" customHeight="1">
      <c r="A160" s="19">
        <v>63.0</v>
      </c>
      <c r="B160" s="60">
        <v>150.0</v>
      </c>
      <c r="C160" s="27" t="s">
        <v>312</v>
      </c>
      <c r="D160" s="27" t="s">
        <v>297</v>
      </c>
      <c r="E160" s="27" t="s">
        <v>25</v>
      </c>
      <c r="F160" s="34" t="s">
        <v>286</v>
      </c>
      <c r="G160" s="38"/>
      <c r="H160" s="30">
        <v>72.0</v>
      </c>
      <c r="I160" s="31">
        <v>5.0</v>
      </c>
      <c r="J160" s="31">
        <v>25.0</v>
      </c>
      <c r="K160" s="31">
        <v>0.0</v>
      </c>
      <c r="L160" s="31">
        <v>0.0</v>
      </c>
      <c r="M160" s="31">
        <v>1.0</v>
      </c>
      <c r="N160" s="31" t="s">
        <v>138</v>
      </c>
      <c r="O160" s="31" t="s">
        <v>82</v>
      </c>
      <c r="P160" s="31">
        <v>0.0</v>
      </c>
      <c r="Q160" s="31" t="s">
        <v>29</v>
      </c>
      <c r="R160" s="27" t="s">
        <v>39</v>
      </c>
    </row>
    <row r="161" ht="14.25" customHeight="1">
      <c r="A161" s="19">
        <v>64.0</v>
      </c>
      <c r="B161" s="60">
        <v>151.0</v>
      </c>
      <c r="C161" s="25" t="s">
        <v>313</v>
      </c>
      <c r="D161" s="25" t="s">
        <v>295</v>
      </c>
      <c r="E161" s="27" t="s">
        <v>25</v>
      </c>
      <c r="F161" s="34" t="s">
        <v>286</v>
      </c>
      <c r="G161" s="39"/>
      <c r="H161" s="35">
        <v>72.0</v>
      </c>
      <c r="I161" s="36">
        <v>5.0</v>
      </c>
      <c r="J161" s="36">
        <v>25.0</v>
      </c>
      <c r="K161" s="36">
        <v>0.0</v>
      </c>
      <c r="L161" s="36">
        <v>0.0</v>
      </c>
      <c r="M161" s="36">
        <v>1.0</v>
      </c>
      <c r="N161" s="36" t="s">
        <v>138</v>
      </c>
      <c r="O161" s="36" t="s">
        <v>82</v>
      </c>
      <c r="P161" s="36">
        <v>0.0</v>
      </c>
      <c r="Q161" s="36" t="s">
        <v>29</v>
      </c>
      <c r="R161" s="25" t="s">
        <v>39</v>
      </c>
    </row>
    <row r="162" ht="14.25" customHeight="1">
      <c r="A162" s="19">
        <v>65.0</v>
      </c>
      <c r="B162" s="60">
        <v>152.0</v>
      </c>
      <c r="C162" s="27" t="s">
        <v>314</v>
      </c>
      <c r="D162" s="27" t="s">
        <v>315</v>
      </c>
      <c r="E162" s="27" t="s">
        <v>25</v>
      </c>
      <c r="F162" s="34" t="s">
        <v>286</v>
      </c>
      <c r="G162" s="38"/>
      <c r="H162" s="30">
        <v>72.0</v>
      </c>
      <c r="I162" s="31">
        <v>5.0</v>
      </c>
      <c r="J162" s="31">
        <v>25.0</v>
      </c>
      <c r="K162" s="31">
        <v>0.0</v>
      </c>
      <c r="L162" s="31">
        <v>0.0</v>
      </c>
      <c r="M162" s="31">
        <v>1.0</v>
      </c>
      <c r="N162" s="31" t="s">
        <v>138</v>
      </c>
      <c r="O162" s="31" t="s">
        <v>82</v>
      </c>
      <c r="P162" s="31">
        <v>0.0</v>
      </c>
      <c r="Q162" s="31" t="s">
        <v>29</v>
      </c>
      <c r="R162" s="27" t="s">
        <v>39</v>
      </c>
    </row>
    <row r="163" ht="14.25" customHeight="1">
      <c r="A163" s="19">
        <v>66.0</v>
      </c>
      <c r="B163" s="60">
        <v>153.0</v>
      </c>
      <c r="C163" s="25" t="s">
        <v>316</v>
      </c>
      <c r="D163" s="25" t="s">
        <v>306</v>
      </c>
      <c r="E163" s="27" t="s">
        <v>25</v>
      </c>
      <c r="F163" s="34" t="s">
        <v>286</v>
      </c>
      <c r="G163" s="39"/>
      <c r="H163" s="35">
        <v>72.0</v>
      </c>
      <c r="I163" s="36">
        <v>5.0</v>
      </c>
      <c r="J163" s="36">
        <v>25.0</v>
      </c>
      <c r="K163" s="36">
        <v>0.0</v>
      </c>
      <c r="L163" s="36">
        <v>0.0</v>
      </c>
      <c r="M163" s="36">
        <v>1.0</v>
      </c>
      <c r="N163" s="36" t="s">
        <v>138</v>
      </c>
      <c r="O163" s="36" t="s">
        <v>82</v>
      </c>
      <c r="P163" s="36">
        <v>0.0</v>
      </c>
      <c r="Q163" s="36" t="s">
        <v>29</v>
      </c>
      <c r="R163" s="25" t="s">
        <v>39</v>
      </c>
    </row>
    <row r="164" ht="14.25" customHeight="1">
      <c r="A164" s="19">
        <v>67.0</v>
      </c>
      <c r="B164" s="60">
        <v>154.0</v>
      </c>
      <c r="C164" s="27" t="s">
        <v>317</v>
      </c>
      <c r="D164" s="27" t="s">
        <v>285</v>
      </c>
      <c r="E164" s="27" t="s">
        <v>25</v>
      </c>
      <c r="F164" s="34" t="s">
        <v>286</v>
      </c>
      <c r="G164" s="38"/>
      <c r="H164" s="30">
        <v>72.0</v>
      </c>
      <c r="I164" s="31">
        <v>5.0</v>
      </c>
      <c r="J164" s="31">
        <v>25.0</v>
      </c>
      <c r="K164" s="31">
        <v>0.0</v>
      </c>
      <c r="L164" s="31">
        <v>0.0</v>
      </c>
      <c r="M164" s="31">
        <v>1.0</v>
      </c>
      <c r="N164" s="31" t="s">
        <v>287</v>
      </c>
      <c r="O164" s="31" t="s">
        <v>138</v>
      </c>
      <c r="P164" s="31">
        <v>0.0</v>
      </c>
      <c r="Q164" s="31" t="s">
        <v>29</v>
      </c>
      <c r="R164" s="27" t="s">
        <v>39</v>
      </c>
    </row>
    <row r="165" ht="14.25" customHeight="1">
      <c r="A165" s="19">
        <v>68.0</v>
      </c>
      <c r="B165" s="60">
        <v>155.0</v>
      </c>
      <c r="C165" s="25" t="s">
        <v>318</v>
      </c>
      <c r="D165" s="25" t="s">
        <v>292</v>
      </c>
      <c r="E165" s="27" t="s">
        <v>25</v>
      </c>
      <c r="F165" s="34" t="s">
        <v>286</v>
      </c>
      <c r="G165" s="39"/>
      <c r="H165" s="35">
        <v>72.0</v>
      </c>
      <c r="I165" s="36">
        <v>5.0</v>
      </c>
      <c r="J165" s="36">
        <v>25.0</v>
      </c>
      <c r="K165" s="36">
        <v>0.0</v>
      </c>
      <c r="L165" s="36">
        <v>0.0</v>
      </c>
      <c r="M165" s="36">
        <v>1.0</v>
      </c>
      <c r="N165" s="36" t="s">
        <v>287</v>
      </c>
      <c r="O165" s="36" t="s">
        <v>138</v>
      </c>
      <c r="P165" s="36">
        <v>0.0</v>
      </c>
      <c r="Q165" s="36" t="s">
        <v>29</v>
      </c>
      <c r="R165" s="25" t="s">
        <v>39</v>
      </c>
    </row>
    <row r="166" ht="14.25" customHeight="1">
      <c r="A166" s="19">
        <v>69.0</v>
      </c>
      <c r="B166" s="60">
        <v>156.0</v>
      </c>
      <c r="C166" s="27" t="s">
        <v>319</v>
      </c>
      <c r="D166" s="27" t="s">
        <v>302</v>
      </c>
      <c r="E166" s="27" t="s">
        <v>25</v>
      </c>
      <c r="F166" s="34" t="s">
        <v>286</v>
      </c>
      <c r="G166" s="38"/>
      <c r="H166" s="30">
        <v>72.0</v>
      </c>
      <c r="I166" s="31">
        <v>5.0</v>
      </c>
      <c r="J166" s="31">
        <v>25.0</v>
      </c>
      <c r="K166" s="31">
        <v>0.0</v>
      </c>
      <c r="L166" s="31">
        <v>0.0</v>
      </c>
      <c r="M166" s="31">
        <v>1.0</v>
      </c>
      <c r="N166" s="31" t="s">
        <v>287</v>
      </c>
      <c r="O166" s="31" t="s">
        <v>138</v>
      </c>
      <c r="P166" s="31">
        <v>0.0</v>
      </c>
      <c r="Q166" s="31" t="s">
        <v>29</v>
      </c>
      <c r="R166" s="27" t="s">
        <v>39</v>
      </c>
    </row>
    <row r="167" ht="14.25" customHeight="1">
      <c r="A167" s="19"/>
      <c r="B167" s="20"/>
      <c r="C167" s="21" t="s">
        <v>320</v>
      </c>
      <c r="D167" s="22"/>
      <c r="E167" s="22"/>
      <c r="F167" s="23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</row>
    <row r="168" ht="14.25" customHeight="1">
      <c r="A168" s="19">
        <v>70.0</v>
      </c>
      <c r="B168" s="60">
        <v>157.0</v>
      </c>
      <c r="C168" s="27" t="s">
        <v>321</v>
      </c>
      <c r="D168" s="27" t="s">
        <v>322</v>
      </c>
      <c r="E168" s="27" t="s">
        <v>25</v>
      </c>
      <c r="F168" s="34" t="s">
        <v>57</v>
      </c>
      <c r="G168" s="38"/>
      <c r="H168" s="30">
        <v>1452.0</v>
      </c>
      <c r="I168" s="31">
        <v>57.0</v>
      </c>
      <c r="J168" s="31">
        <v>400.0</v>
      </c>
      <c r="K168" s="31">
        <v>1.0</v>
      </c>
      <c r="L168" s="31">
        <v>1.0</v>
      </c>
      <c r="M168" s="31">
        <v>0.0</v>
      </c>
      <c r="N168" s="31" t="s">
        <v>323</v>
      </c>
      <c r="O168" s="31" t="s">
        <v>46</v>
      </c>
      <c r="P168" s="31">
        <v>30.0</v>
      </c>
      <c r="Q168" s="31" t="s">
        <v>66</v>
      </c>
      <c r="R168" s="61">
        <v>20.0</v>
      </c>
    </row>
    <row r="169" ht="14.25" customHeight="1">
      <c r="A169" s="19">
        <v>71.0</v>
      </c>
      <c r="B169" s="62">
        <v>158.0</v>
      </c>
      <c r="C169" s="25" t="s">
        <v>68</v>
      </c>
      <c r="D169" s="25" t="s">
        <v>322</v>
      </c>
      <c r="E169" s="27" t="s">
        <v>25</v>
      </c>
      <c r="F169" s="34" t="s">
        <v>324</v>
      </c>
      <c r="G169" s="39"/>
      <c r="H169" s="35">
        <v>124.41</v>
      </c>
      <c r="I169" s="36">
        <v>15.0</v>
      </c>
      <c r="J169" s="36">
        <v>35.0</v>
      </c>
      <c r="K169" s="36">
        <v>0.0</v>
      </c>
      <c r="L169" s="36">
        <v>0.0</v>
      </c>
      <c r="M169" s="36">
        <v>1.0</v>
      </c>
      <c r="N169" s="31" t="s">
        <v>323</v>
      </c>
      <c r="O169" s="31" t="s">
        <v>46</v>
      </c>
      <c r="P169" s="36">
        <v>15.0</v>
      </c>
      <c r="Q169" s="36" t="s">
        <v>29</v>
      </c>
      <c r="R169" s="63">
        <v>0.0</v>
      </c>
    </row>
    <row r="170" ht="14.25" customHeight="1">
      <c r="A170" s="19">
        <v>72.0</v>
      </c>
      <c r="B170" s="60">
        <v>159.0</v>
      </c>
      <c r="C170" s="27" t="s">
        <v>325</v>
      </c>
      <c r="D170" s="27" t="s">
        <v>326</v>
      </c>
      <c r="E170" s="27" t="s">
        <v>25</v>
      </c>
      <c r="F170" s="34" t="s">
        <v>324</v>
      </c>
      <c r="G170" s="38"/>
      <c r="H170" s="30">
        <v>55.2</v>
      </c>
      <c r="I170" s="31">
        <v>7.0</v>
      </c>
      <c r="J170" s="31">
        <v>25.0</v>
      </c>
      <c r="K170" s="31">
        <v>1.0</v>
      </c>
      <c r="L170" s="31">
        <v>1.0</v>
      </c>
      <c r="M170" s="31">
        <v>0.0</v>
      </c>
      <c r="N170" s="31" t="s">
        <v>323</v>
      </c>
      <c r="O170" s="31" t="s">
        <v>46</v>
      </c>
      <c r="P170" s="31">
        <v>20.0</v>
      </c>
      <c r="Q170" s="31" t="s">
        <v>29</v>
      </c>
      <c r="R170" s="61">
        <v>0.0</v>
      </c>
    </row>
    <row r="171" ht="14.25" customHeight="1">
      <c r="A171" s="19">
        <v>73.0</v>
      </c>
      <c r="B171" s="62">
        <v>160.0</v>
      </c>
      <c r="C171" s="25" t="s">
        <v>327</v>
      </c>
      <c r="D171" s="25" t="s">
        <v>328</v>
      </c>
      <c r="E171" s="27" t="s">
        <v>25</v>
      </c>
      <c r="F171" s="34" t="s">
        <v>324</v>
      </c>
      <c r="G171" s="39"/>
      <c r="H171" s="35">
        <v>53.76</v>
      </c>
      <c r="I171" s="36">
        <v>5.0</v>
      </c>
      <c r="J171" s="36">
        <v>15.0</v>
      </c>
      <c r="K171" s="36">
        <v>0.0</v>
      </c>
      <c r="L171" s="36">
        <v>0.0</v>
      </c>
      <c r="M171" s="36">
        <v>1.0</v>
      </c>
      <c r="N171" s="31" t="s">
        <v>323</v>
      </c>
      <c r="O171" s="31" t="s">
        <v>46</v>
      </c>
      <c r="P171" s="36">
        <v>20.0</v>
      </c>
      <c r="Q171" s="36" t="s">
        <v>29</v>
      </c>
      <c r="R171" s="63">
        <v>0.0</v>
      </c>
    </row>
    <row r="172" ht="14.25" customHeight="1">
      <c r="A172" s="19"/>
      <c r="B172" s="20"/>
      <c r="C172" s="21" t="s">
        <v>329</v>
      </c>
      <c r="D172" s="22"/>
      <c r="E172" s="22"/>
      <c r="F172" s="23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</row>
    <row r="173" ht="14.25" customHeight="1">
      <c r="A173" s="19">
        <v>74.0</v>
      </c>
      <c r="B173" s="60">
        <v>161.0</v>
      </c>
      <c r="C173" s="27" t="s">
        <v>330</v>
      </c>
      <c r="D173" s="27" t="s">
        <v>331</v>
      </c>
      <c r="E173" s="27" t="s">
        <v>25</v>
      </c>
      <c r="F173" s="34" t="s">
        <v>57</v>
      </c>
      <c r="G173" s="38"/>
      <c r="H173" s="30">
        <v>360.0</v>
      </c>
      <c r="I173" s="31" t="s">
        <v>39</v>
      </c>
      <c r="J173" s="31">
        <v>250.0</v>
      </c>
      <c r="K173" s="31">
        <v>1.0</v>
      </c>
      <c r="L173" s="31">
        <v>1.0</v>
      </c>
      <c r="M173" s="31" t="s">
        <v>39</v>
      </c>
      <c r="N173" s="31" t="s">
        <v>332</v>
      </c>
      <c r="O173" s="31" t="s">
        <v>27</v>
      </c>
      <c r="P173" s="31" t="s">
        <v>39</v>
      </c>
      <c r="Q173" s="36" t="s">
        <v>66</v>
      </c>
      <c r="R173" s="64">
        <v>44326.0</v>
      </c>
    </row>
    <row r="174" ht="14.25" customHeight="1">
      <c r="A174" s="19">
        <v>75.0</v>
      </c>
      <c r="B174" s="62">
        <v>162.0</v>
      </c>
      <c r="C174" s="25" t="s">
        <v>333</v>
      </c>
      <c r="D174" s="25" t="s">
        <v>334</v>
      </c>
      <c r="E174" s="27" t="s">
        <v>25</v>
      </c>
      <c r="F174" s="28" t="s">
        <v>57</v>
      </c>
      <c r="G174" s="39"/>
      <c r="H174" s="35">
        <v>320.0</v>
      </c>
      <c r="I174" s="36" t="s">
        <v>39</v>
      </c>
      <c r="J174" s="36">
        <v>250.0</v>
      </c>
      <c r="K174" s="36">
        <v>1.0</v>
      </c>
      <c r="L174" s="36">
        <v>1.0</v>
      </c>
      <c r="M174" s="36" t="s">
        <v>39</v>
      </c>
      <c r="N174" s="36" t="s">
        <v>332</v>
      </c>
      <c r="O174" s="36" t="s">
        <v>27</v>
      </c>
      <c r="P174" s="36" t="s">
        <v>39</v>
      </c>
      <c r="Q174" s="36" t="s">
        <v>335</v>
      </c>
      <c r="R174" s="63" t="s">
        <v>39</v>
      </c>
    </row>
    <row r="175" ht="14.25" customHeight="1">
      <c r="A175" s="19">
        <v>76.0</v>
      </c>
      <c r="B175" s="60">
        <v>163.0</v>
      </c>
      <c r="C175" s="27" t="s">
        <v>336</v>
      </c>
      <c r="D175" s="27" t="s">
        <v>337</v>
      </c>
      <c r="E175" s="27" t="s">
        <v>25</v>
      </c>
      <c r="F175" s="34" t="s">
        <v>57</v>
      </c>
      <c r="G175" s="38"/>
      <c r="H175" s="30">
        <v>360.0</v>
      </c>
      <c r="I175" s="31" t="s">
        <v>39</v>
      </c>
      <c r="J175" s="31">
        <v>250.0</v>
      </c>
      <c r="K175" s="31">
        <v>1.0</v>
      </c>
      <c r="L175" s="31">
        <v>1.0</v>
      </c>
      <c r="M175" s="31" t="s">
        <v>39</v>
      </c>
      <c r="N175" s="31" t="s">
        <v>332</v>
      </c>
      <c r="O175" s="31" t="s">
        <v>27</v>
      </c>
      <c r="P175" s="31" t="s">
        <v>39</v>
      </c>
      <c r="Q175" s="36" t="s">
        <v>335</v>
      </c>
      <c r="R175" s="63" t="s">
        <v>39</v>
      </c>
    </row>
    <row r="176" ht="14.25" customHeight="1">
      <c r="A176" s="19">
        <v>77.0</v>
      </c>
      <c r="B176" s="60">
        <v>164.0</v>
      </c>
      <c r="C176" s="25" t="s">
        <v>338</v>
      </c>
      <c r="D176" s="25" t="s">
        <v>339</v>
      </c>
      <c r="E176" s="27" t="s">
        <v>25</v>
      </c>
      <c r="F176" s="28" t="s">
        <v>57</v>
      </c>
      <c r="G176" s="39"/>
      <c r="H176" s="35">
        <v>1500.0</v>
      </c>
      <c r="I176" s="36" t="s">
        <v>39</v>
      </c>
      <c r="J176" s="36">
        <v>750.0</v>
      </c>
      <c r="K176" s="36">
        <v>2.0</v>
      </c>
      <c r="L176" s="36">
        <v>2.0</v>
      </c>
      <c r="M176" s="36" t="s">
        <v>39</v>
      </c>
      <c r="N176" s="36" t="s">
        <v>332</v>
      </c>
      <c r="O176" s="36" t="s">
        <v>27</v>
      </c>
      <c r="P176" s="36" t="s">
        <v>39</v>
      </c>
      <c r="Q176" s="36" t="s">
        <v>47</v>
      </c>
      <c r="R176" s="63" t="s">
        <v>340</v>
      </c>
    </row>
    <row r="177" ht="14.25" customHeight="1">
      <c r="A177" s="19">
        <v>78.0</v>
      </c>
      <c r="B177" s="62">
        <v>165.0</v>
      </c>
      <c r="C177" s="27" t="s">
        <v>341</v>
      </c>
      <c r="D177" s="27" t="s">
        <v>339</v>
      </c>
      <c r="E177" s="27" t="s">
        <v>25</v>
      </c>
      <c r="F177" s="34" t="s">
        <v>57</v>
      </c>
      <c r="G177" s="38"/>
      <c r="H177" s="30" t="s">
        <v>39</v>
      </c>
      <c r="I177" s="31" t="s">
        <v>39</v>
      </c>
      <c r="J177" s="31" t="s">
        <v>39</v>
      </c>
      <c r="K177" s="31">
        <v>2.0</v>
      </c>
      <c r="L177" s="31">
        <v>2.0</v>
      </c>
      <c r="M177" s="31" t="s">
        <v>39</v>
      </c>
      <c r="N177" s="31" t="s">
        <v>332</v>
      </c>
      <c r="O177" s="31" t="s">
        <v>27</v>
      </c>
      <c r="P177" s="31" t="s">
        <v>39</v>
      </c>
      <c r="Q177" s="36" t="s">
        <v>47</v>
      </c>
      <c r="R177" s="64">
        <v>44484.0</v>
      </c>
    </row>
    <row r="178" ht="14.25" customHeight="1">
      <c r="A178" s="19">
        <v>79.0</v>
      </c>
      <c r="B178" s="60">
        <v>166.0</v>
      </c>
      <c r="C178" s="25" t="s">
        <v>342</v>
      </c>
      <c r="D178" s="25" t="s">
        <v>331</v>
      </c>
      <c r="E178" s="27" t="s">
        <v>25</v>
      </c>
      <c r="F178" s="28" t="s">
        <v>57</v>
      </c>
      <c r="G178" s="39"/>
      <c r="H178" s="35" t="s">
        <v>39</v>
      </c>
      <c r="I178" s="36" t="s">
        <v>39</v>
      </c>
      <c r="J178" s="36" t="s">
        <v>39</v>
      </c>
      <c r="K178" s="36" t="s">
        <v>39</v>
      </c>
      <c r="L178" s="36" t="s">
        <v>39</v>
      </c>
      <c r="M178" s="36" t="s">
        <v>39</v>
      </c>
      <c r="N178" s="36" t="s">
        <v>332</v>
      </c>
      <c r="O178" s="36" t="s">
        <v>27</v>
      </c>
      <c r="P178" s="36" t="s">
        <v>39</v>
      </c>
      <c r="Q178" s="36" t="s">
        <v>29</v>
      </c>
      <c r="R178" s="63" t="s">
        <v>39</v>
      </c>
    </row>
    <row r="179" ht="14.25" customHeight="1">
      <c r="A179" s="19"/>
      <c r="B179" s="20"/>
      <c r="C179" s="21" t="s">
        <v>343</v>
      </c>
      <c r="D179" s="22"/>
      <c r="E179" s="22"/>
      <c r="F179" s="23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</row>
    <row r="180" ht="14.25" customHeight="1">
      <c r="A180" s="19">
        <v>80.0</v>
      </c>
      <c r="B180" s="60">
        <v>167.0</v>
      </c>
      <c r="C180" s="27" t="s">
        <v>344</v>
      </c>
      <c r="D180" s="61" t="s">
        <v>345</v>
      </c>
      <c r="E180" s="27" t="s">
        <v>25</v>
      </c>
      <c r="F180" s="65" t="s">
        <v>189</v>
      </c>
      <c r="G180" s="66"/>
      <c r="H180" s="30">
        <v>1200.0</v>
      </c>
      <c r="I180" s="31">
        <v>40.0</v>
      </c>
      <c r="J180" s="31">
        <v>200.0</v>
      </c>
      <c r="K180" s="31">
        <v>1.0</v>
      </c>
      <c r="L180" s="31">
        <v>1.0</v>
      </c>
      <c r="M180" s="31">
        <v>0.0</v>
      </c>
      <c r="N180" s="31" t="s">
        <v>47</v>
      </c>
      <c r="O180" s="31">
        <v>0.0</v>
      </c>
      <c r="P180" s="31">
        <v>1000.0</v>
      </c>
      <c r="Q180" s="31" t="s">
        <v>29</v>
      </c>
      <c r="R180" s="61">
        <v>0.0</v>
      </c>
    </row>
    <row r="181" ht="14.25" customHeight="1">
      <c r="A181" s="19">
        <v>81.0</v>
      </c>
      <c r="B181" s="62">
        <v>168.0</v>
      </c>
      <c r="C181" s="25" t="s">
        <v>346</v>
      </c>
      <c r="D181" s="63" t="s">
        <v>345</v>
      </c>
      <c r="E181" s="27" t="s">
        <v>25</v>
      </c>
      <c r="F181" s="65" t="s">
        <v>189</v>
      </c>
      <c r="G181" s="67"/>
      <c r="H181" s="35">
        <v>2500.0</v>
      </c>
      <c r="I181" s="36">
        <v>120.0</v>
      </c>
      <c r="J181" s="36">
        <v>600.0</v>
      </c>
      <c r="K181" s="36">
        <v>1.0</v>
      </c>
      <c r="L181" s="36">
        <v>1.0</v>
      </c>
      <c r="M181" s="36">
        <v>0.0</v>
      </c>
      <c r="N181" s="36" t="s">
        <v>47</v>
      </c>
      <c r="O181" s="36" t="s">
        <v>27</v>
      </c>
      <c r="P181" s="36">
        <v>50000.0</v>
      </c>
      <c r="Q181" s="36" t="s">
        <v>66</v>
      </c>
      <c r="R181" s="63">
        <v>10.0</v>
      </c>
    </row>
    <row r="182" ht="14.25" customHeight="1">
      <c r="A182" s="19">
        <v>82.0</v>
      </c>
      <c r="B182" s="60">
        <v>169.0</v>
      </c>
      <c r="C182" s="27" t="s">
        <v>347</v>
      </c>
      <c r="D182" s="61" t="s">
        <v>348</v>
      </c>
      <c r="E182" s="27" t="s">
        <v>25</v>
      </c>
      <c r="F182" s="65" t="s">
        <v>189</v>
      </c>
      <c r="G182" s="66"/>
      <c r="H182" s="30">
        <v>400.0</v>
      </c>
      <c r="I182" s="31">
        <v>20.0</v>
      </c>
      <c r="J182" s="31">
        <v>100.0</v>
      </c>
      <c r="K182" s="31">
        <v>1.0</v>
      </c>
      <c r="L182" s="31">
        <v>1.0</v>
      </c>
      <c r="M182" s="31">
        <v>0.0</v>
      </c>
      <c r="N182" s="31" t="s">
        <v>47</v>
      </c>
      <c r="O182" s="31" t="s">
        <v>39</v>
      </c>
      <c r="P182" s="31">
        <v>1000.0</v>
      </c>
      <c r="Q182" s="31" t="s">
        <v>29</v>
      </c>
      <c r="R182" s="61" t="s">
        <v>39</v>
      </c>
    </row>
    <row r="183" ht="14.25" customHeight="1">
      <c r="A183" s="19">
        <v>83.0</v>
      </c>
      <c r="B183" s="60">
        <v>170.0</v>
      </c>
      <c r="C183" s="25" t="s">
        <v>349</v>
      </c>
      <c r="D183" s="63" t="s">
        <v>350</v>
      </c>
      <c r="E183" s="27" t="s">
        <v>25</v>
      </c>
      <c r="F183" s="65" t="s">
        <v>351</v>
      </c>
      <c r="G183" s="67"/>
      <c r="H183" s="35">
        <v>400.0</v>
      </c>
      <c r="I183" s="36">
        <v>20.0</v>
      </c>
      <c r="J183" s="36">
        <v>100.0</v>
      </c>
      <c r="K183" s="36">
        <v>1.0</v>
      </c>
      <c r="L183" s="36">
        <v>1.0</v>
      </c>
      <c r="M183" s="36" t="s">
        <v>39</v>
      </c>
      <c r="N183" s="36" t="s">
        <v>47</v>
      </c>
      <c r="O183" s="36" t="s">
        <v>39</v>
      </c>
      <c r="P183" s="36">
        <v>1000.0</v>
      </c>
      <c r="Q183" s="36" t="s">
        <v>29</v>
      </c>
      <c r="R183" s="63" t="s">
        <v>39</v>
      </c>
    </row>
    <row r="184" ht="14.25" customHeight="1">
      <c r="A184" s="19">
        <v>84.0</v>
      </c>
      <c r="B184" s="62">
        <v>171.0</v>
      </c>
      <c r="C184" s="27" t="s">
        <v>352</v>
      </c>
      <c r="D184" s="61" t="s">
        <v>353</v>
      </c>
      <c r="E184" s="27" t="s">
        <v>25</v>
      </c>
      <c r="F184" s="65" t="s">
        <v>189</v>
      </c>
      <c r="G184" s="66"/>
      <c r="H184" s="30">
        <v>400.0</v>
      </c>
      <c r="I184" s="31">
        <v>20.0</v>
      </c>
      <c r="J184" s="31">
        <v>100.0</v>
      </c>
      <c r="K184" s="31">
        <v>1.0</v>
      </c>
      <c r="L184" s="31">
        <v>1.0</v>
      </c>
      <c r="M184" s="31" t="s">
        <v>39</v>
      </c>
      <c r="N184" s="31" t="s">
        <v>47</v>
      </c>
      <c r="O184" s="31" t="s">
        <v>39</v>
      </c>
      <c r="P184" s="31">
        <v>1000.0</v>
      </c>
      <c r="Q184" s="31" t="s">
        <v>29</v>
      </c>
      <c r="R184" s="61" t="s">
        <v>39</v>
      </c>
    </row>
    <row r="185" ht="14.25" customHeight="1">
      <c r="A185" s="19">
        <v>85.0</v>
      </c>
      <c r="B185" s="60">
        <v>172.0</v>
      </c>
      <c r="C185" s="25" t="s">
        <v>354</v>
      </c>
      <c r="D185" s="63" t="s">
        <v>355</v>
      </c>
      <c r="E185" s="27" t="s">
        <v>25</v>
      </c>
      <c r="F185" s="65" t="s">
        <v>189</v>
      </c>
      <c r="G185" s="67"/>
      <c r="H185" s="35">
        <v>440.0</v>
      </c>
      <c r="I185" s="36">
        <v>22.0</v>
      </c>
      <c r="J185" s="36">
        <v>110.0</v>
      </c>
      <c r="K185" s="36">
        <v>1.0</v>
      </c>
      <c r="L185" s="36">
        <v>1.0</v>
      </c>
      <c r="M185" s="36" t="s">
        <v>39</v>
      </c>
      <c r="N185" s="36" t="s">
        <v>47</v>
      </c>
      <c r="O185" s="36" t="s">
        <v>39</v>
      </c>
      <c r="P185" s="36">
        <v>1000.0</v>
      </c>
      <c r="Q185" s="36" t="s">
        <v>29</v>
      </c>
      <c r="R185" s="63" t="s">
        <v>39</v>
      </c>
    </row>
    <row r="186" ht="14.25" customHeight="1">
      <c r="A186" s="19">
        <v>86.0</v>
      </c>
      <c r="B186" s="60">
        <v>173.0</v>
      </c>
      <c r="C186" s="27" t="s">
        <v>356</v>
      </c>
      <c r="D186" s="61" t="s">
        <v>357</v>
      </c>
      <c r="E186" s="27" t="s">
        <v>25</v>
      </c>
      <c r="F186" s="65" t="s">
        <v>189</v>
      </c>
      <c r="G186" s="66"/>
      <c r="H186" s="30">
        <v>560.0</v>
      </c>
      <c r="I186" s="31">
        <v>28.0</v>
      </c>
      <c r="J186" s="31">
        <v>140.0</v>
      </c>
      <c r="K186" s="31">
        <v>1.0</v>
      </c>
      <c r="L186" s="31">
        <v>1.0</v>
      </c>
      <c r="M186" s="31" t="s">
        <v>39</v>
      </c>
      <c r="N186" s="31" t="s">
        <v>47</v>
      </c>
      <c r="O186" s="31" t="s">
        <v>39</v>
      </c>
      <c r="P186" s="31">
        <v>1000.0</v>
      </c>
      <c r="Q186" s="31" t="s">
        <v>29</v>
      </c>
      <c r="R186" s="61" t="s">
        <v>39</v>
      </c>
    </row>
    <row r="187" ht="14.25" customHeight="1">
      <c r="A187" s="19">
        <v>87.0</v>
      </c>
      <c r="B187" s="62">
        <v>174.0</v>
      </c>
      <c r="C187" s="25" t="s">
        <v>358</v>
      </c>
      <c r="D187" s="63" t="s">
        <v>357</v>
      </c>
      <c r="E187" s="27" t="s">
        <v>25</v>
      </c>
      <c r="F187" s="65" t="s">
        <v>189</v>
      </c>
      <c r="G187" s="67"/>
      <c r="H187" s="35">
        <v>300.0</v>
      </c>
      <c r="I187" s="36">
        <v>15.0</v>
      </c>
      <c r="J187" s="36">
        <v>75.0</v>
      </c>
      <c r="K187" s="36">
        <v>1.0</v>
      </c>
      <c r="L187" s="36">
        <v>1.0</v>
      </c>
      <c r="M187" s="36" t="s">
        <v>39</v>
      </c>
      <c r="N187" s="36" t="s">
        <v>47</v>
      </c>
      <c r="O187" s="36" t="s">
        <v>39</v>
      </c>
      <c r="P187" s="36">
        <v>1000.0</v>
      </c>
      <c r="Q187" s="36" t="s">
        <v>29</v>
      </c>
      <c r="R187" s="63" t="s">
        <v>39</v>
      </c>
    </row>
    <row r="188" ht="14.25" customHeight="1">
      <c r="A188" s="19">
        <v>88.0</v>
      </c>
      <c r="B188" s="60">
        <v>175.0</v>
      </c>
      <c r="C188" s="27" t="s">
        <v>359</v>
      </c>
      <c r="D188" s="61" t="s">
        <v>360</v>
      </c>
      <c r="E188" s="27" t="s">
        <v>25</v>
      </c>
      <c r="F188" s="65" t="s">
        <v>189</v>
      </c>
      <c r="G188" s="66"/>
      <c r="H188" s="30">
        <v>520.0</v>
      </c>
      <c r="I188" s="31">
        <v>26.0</v>
      </c>
      <c r="J188" s="31">
        <v>130.0</v>
      </c>
      <c r="K188" s="31">
        <v>1.0</v>
      </c>
      <c r="L188" s="31">
        <v>1.0</v>
      </c>
      <c r="M188" s="31" t="s">
        <v>39</v>
      </c>
      <c r="N188" s="31" t="s">
        <v>47</v>
      </c>
      <c r="O188" s="31" t="s">
        <v>39</v>
      </c>
      <c r="P188" s="31">
        <v>1000.0</v>
      </c>
      <c r="Q188" s="31" t="s">
        <v>29</v>
      </c>
      <c r="R188" s="61" t="s">
        <v>39</v>
      </c>
    </row>
    <row r="189" ht="14.25" customHeight="1">
      <c r="A189" s="19">
        <v>89.0</v>
      </c>
      <c r="B189" s="60">
        <v>176.0</v>
      </c>
      <c r="C189" s="25" t="s">
        <v>361</v>
      </c>
      <c r="D189" s="63" t="s">
        <v>362</v>
      </c>
      <c r="E189" s="27" t="s">
        <v>25</v>
      </c>
      <c r="F189" s="65" t="s">
        <v>351</v>
      </c>
      <c r="G189" s="67"/>
      <c r="H189" s="35">
        <v>400.0</v>
      </c>
      <c r="I189" s="36">
        <v>20.0</v>
      </c>
      <c r="J189" s="36">
        <v>100.0</v>
      </c>
      <c r="K189" s="36">
        <v>1.0</v>
      </c>
      <c r="L189" s="36">
        <v>1.0</v>
      </c>
      <c r="M189" s="36" t="s">
        <v>39</v>
      </c>
      <c r="N189" s="36" t="s">
        <v>47</v>
      </c>
      <c r="O189" s="36" t="s">
        <v>39</v>
      </c>
      <c r="P189" s="36">
        <v>1000.0</v>
      </c>
      <c r="Q189" s="36" t="s">
        <v>29</v>
      </c>
      <c r="R189" s="63" t="s">
        <v>39</v>
      </c>
    </row>
    <row r="190" ht="14.25" customHeight="1">
      <c r="A190" s="19">
        <v>90.0</v>
      </c>
      <c r="B190" s="62">
        <v>177.0</v>
      </c>
      <c r="C190" s="27" t="s">
        <v>363</v>
      </c>
      <c r="D190" s="61" t="s">
        <v>364</v>
      </c>
      <c r="E190" s="27" t="s">
        <v>25</v>
      </c>
      <c r="F190" s="65" t="s">
        <v>189</v>
      </c>
      <c r="G190" s="66"/>
      <c r="H190" s="30">
        <v>320.0</v>
      </c>
      <c r="I190" s="31">
        <v>16.0</v>
      </c>
      <c r="J190" s="31">
        <v>80.0</v>
      </c>
      <c r="K190" s="31">
        <v>1.0</v>
      </c>
      <c r="L190" s="31">
        <v>1.0</v>
      </c>
      <c r="M190" s="31" t="s">
        <v>39</v>
      </c>
      <c r="N190" s="31" t="s">
        <v>47</v>
      </c>
      <c r="O190" s="31" t="s">
        <v>39</v>
      </c>
      <c r="P190" s="31">
        <v>1000.0</v>
      </c>
      <c r="Q190" s="31" t="s">
        <v>29</v>
      </c>
      <c r="R190" s="61" t="s">
        <v>39</v>
      </c>
    </row>
    <row r="191" ht="14.25" customHeight="1">
      <c r="A191" s="19">
        <v>91.0</v>
      </c>
      <c r="B191" s="60">
        <v>178.0</v>
      </c>
      <c r="C191" s="25" t="s">
        <v>365</v>
      </c>
      <c r="D191" s="63" t="s">
        <v>366</v>
      </c>
      <c r="E191" s="27" t="s">
        <v>25</v>
      </c>
      <c r="F191" s="65" t="s">
        <v>351</v>
      </c>
      <c r="G191" s="67"/>
      <c r="H191" s="35">
        <v>240.0</v>
      </c>
      <c r="I191" s="36">
        <v>12.0</v>
      </c>
      <c r="J191" s="36">
        <v>60.0</v>
      </c>
      <c r="K191" s="36">
        <v>1.0</v>
      </c>
      <c r="L191" s="36">
        <v>1.0</v>
      </c>
      <c r="M191" s="36" t="s">
        <v>39</v>
      </c>
      <c r="N191" s="36" t="s">
        <v>47</v>
      </c>
      <c r="O191" s="36" t="s">
        <v>39</v>
      </c>
      <c r="P191" s="36">
        <v>1000.0</v>
      </c>
      <c r="Q191" s="36" t="s">
        <v>29</v>
      </c>
      <c r="R191" s="63" t="s">
        <v>39</v>
      </c>
    </row>
    <row r="192" ht="14.25" customHeight="1">
      <c r="A192" s="19">
        <v>92.0</v>
      </c>
      <c r="B192" s="60">
        <v>179.0</v>
      </c>
      <c r="C192" s="27" t="s">
        <v>367</v>
      </c>
      <c r="D192" s="61" t="s">
        <v>368</v>
      </c>
      <c r="E192" s="27" t="s">
        <v>25</v>
      </c>
      <c r="F192" s="65" t="s">
        <v>189</v>
      </c>
      <c r="G192" s="66"/>
      <c r="H192" s="30">
        <v>400.0</v>
      </c>
      <c r="I192" s="31">
        <v>20.0</v>
      </c>
      <c r="J192" s="31">
        <v>100.0</v>
      </c>
      <c r="K192" s="31">
        <v>1.0</v>
      </c>
      <c r="L192" s="31">
        <v>1.0</v>
      </c>
      <c r="M192" s="31" t="s">
        <v>39</v>
      </c>
      <c r="N192" s="31" t="s">
        <v>47</v>
      </c>
      <c r="O192" s="31" t="s">
        <v>39</v>
      </c>
      <c r="P192" s="31">
        <v>1000.0</v>
      </c>
      <c r="Q192" s="31" t="s">
        <v>29</v>
      </c>
      <c r="R192" s="61" t="s">
        <v>39</v>
      </c>
    </row>
    <row r="193" ht="14.25" customHeight="1">
      <c r="A193" s="19">
        <v>93.0</v>
      </c>
      <c r="B193" s="62">
        <v>180.0</v>
      </c>
      <c r="C193" s="25" t="s">
        <v>369</v>
      </c>
      <c r="D193" s="63" t="s">
        <v>370</v>
      </c>
      <c r="E193" s="27" t="s">
        <v>25</v>
      </c>
      <c r="F193" s="65" t="s">
        <v>351</v>
      </c>
      <c r="G193" s="67"/>
      <c r="H193" s="35">
        <v>280.0</v>
      </c>
      <c r="I193" s="36">
        <v>14.0</v>
      </c>
      <c r="J193" s="36">
        <v>70.0</v>
      </c>
      <c r="K193" s="36">
        <v>1.0</v>
      </c>
      <c r="L193" s="36">
        <v>1.0</v>
      </c>
      <c r="M193" s="36" t="s">
        <v>39</v>
      </c>
      <c r="N193" s="36" t="s">
        <v>47</v>
      </c>
      <c r="O193" s="36" t="s">
        <v>39</v>
      </c>
      <c r="P193" s="36">
        <v>1000.0</v>
      </c>
      <c r="Q193" s="36" t="s">
        <v>29</v>
      </c>
      <c r="R193" s="63" t="s">
        <v>39</v>
      </c>
    </row>
    <row r="194" ht="14.25" customHeight="1">
      <c r="A194" s="19">
        <v>94.0</v>
      </c>
      <c r="B194" s="60">
        <v>181.0</v>
      </c>
      <c r="C194" s="27" t="s">
        <v>371</v>
      </c>
      <c r="D194" s="61" t="s">
        <v>372</v>
      </c>
      <c r="E194" s="27" t="s">
        <v>25</v>
      </c>
      <c r="F194" s="65" t="s">
        <v>189</v>
      </c>
      <c r="G194" s="66"/>
      <c r="H194" s="30">
        <v>200.0</v>
      </c>
      <c r="I194" s="31">
        <v>10.0</v>
      </c>
      <c r="J194" s="31">
        <v>50.0</v>
      </c>
      <c r="K194" s="31">
        <v>1.0</v>
      </c>
      <c r="L194" s="31">
        <v>1.0</v>
      </c>
      <c r="M194" s="31" t="s">
        <v>39</v>
      </c>
      <c r="N194" s="31" t="s">
        <v>47</v>
      </c>
      <c r="O194" s="31" t="s">
        <v>39</v>
      </c>
      <c r="P194" s="31">
        <v>1000.0</v>
      </c>
      <c r="Q194" s="31" t="s">
        <v>29</v>
      </c>
      <c r="R194" s="61" t="s">
        <v>39</v>
      </c>
    </row>
    <row r="195" ht="14.25" customHeight="1">
      <c r="A195" s="19">
        <v>95.0</v>
      </c>
      <c r="B195" s="60">
        <v>182.0</v>
      </c>
      <c r="C195" s="25" t="s">
        <v>373</v>
      </c>
      <c r="D195" s="63" t="s">
        <v>374</v>
      </c>
      <c r="E195" s="27" t="s">
        <v>25</v>
      </c>
      <c r="F195" s="65" t="s">
        <v>189</v>
      </c>
      <c r="G195" s="67"/>
      <c r="H195" s="35">
        <v>480.0</v>
      </c>
      <c r="I195" s="36">
        <v>24.0</v>
      </c>
      <c r="J195" s="36">
        <v>120.0</v>
      </c>
      <c r="K195" s="36">
        <v>1.0</v>
      </c>
      <c r="L195" s="36">
        <v>1.0</v>
      </c>
      <c r="M195" s="36" t="s">
        <v>39</v>
      </c>
      <c r="N195" s="36" t="s">
        <v>47</v>
      </c>
      <c r="O195" s="36" t="s">
        <v>39</v>
      </c>
      <c r="P195" s="36">
        <v>1000.0</v>
      </c>
      <c r="Q195" s="36" t="s">
        <v>29</v>
      </c>
      <c r="R195" s="63" t="s">
        <v>39</v>
      </c>
    </row>
    <row r="196" ht="14.25" customHeight="1">
      <c r="A196" s="19">
        <v>96.0</v>
      </c>
      <c r="B196" s="62">
        <v>183.0</v>
      </c>
      <c r="C196" s="27" t="s">
        <v>375</v>
      </c>
      <c r="D196" s="61" t="s">
        <v>376</v>
      </c>
      <c r="E196" s="27" t="s">
        <v>25</v>
      </c>
      <c r="F196" s="65" t="s">
        <v>189</v>
      </c>
      <c r="G196" s="66"/>
      <c r="H196" s="30">
        <v>400.0</v>
      </c>
      <c r="I196" s="31">
        <v>20.0</v>
      </c>
      <c r="J196" s="31">
        <v>100.0</v>
      </c>
      <c r="K196" s="31">
        <v>1.0</v>
      </c>
      <c r="L196" s="31">
        <v>1.0</v>
      </c>
      <c r="M196" s="31" t="s">
        <v>39</v>
      </c>
      <c r="N196" s="31" t="s">
        <v>47</v>
      </c>
      <c r="O196" s="31" t="s">
        <v>39</v>
      </c>
      <c r="P196" s="31">
        <v>1000.0</v>
      </c>
      <c r="Q196" s="31" t="s">
        <v>29</v>
      </c>
      <c r="R196" s="61" t="s">
        <v>39</v>
      </c>
    </row>
    <row r="197" ht="14.25" customHeight="1">
      <c r="A197" s="19">
        <v>97.0</v>
      </c>
      <c r="B197" s="60">
        <v>184.0</v>
      </c>
      <c r="C197" s="25" t="s">
        <v>377</v>
      </c>
      <c r="D197" s="63" t="s">
        <v>378</v>
      </c>
      <c r="E197" s="27" t="s">
        <v>25</v>
      </c>
      <c r="F197" s="65" t="s">
        <v>189</v>
      </c>
      <c r="G197" s="67"/>
      <c r="H197" s="35">
        <v>200.0</v>
      </c>
      <c r="I197" s="36">
        <v>10.0</v>
      </c>
      <c r="J197" s="36">
        <v>50.0</v>
      </c>
      <c r="K197" s="36">
        <v>1.0</v>
      </c>
      <c r="L197" s="36">
        <v>1.0</v>
      </c>
      <c r="M197" s="36" t="s">
        <v>39</v>
      </c>
      <c r="N197" s="36" t="s">
        <v>47</v>
      </c>
      <c r="O197" s="36" t="s">
        <v>39</v>
      </c>
      <c r="P197" s="36">
        <v>1000.0</v>
      </c>
      <c r="Q197" s="36" t="s">
        <v>29</v>
      </c>
      <c r="R197" s="63" t="s">
        <v>39</v>
      </c>
    </row>
    <row r="198" ht="14.25" customHeight="1">
      <c r="A198" s="19">
        <v>98.0</v>
      </c>
      <c r="B198" s="60">
        <v>185.0</v>
      </c>
      <c r="C198" s="27" t="s">
        <v>379</v>
      </c>
      <c r="D198" s="61" t="s">
        <v>380</v>
      </c>
      <c r="E198" s="27" t="s">
        <v>25</v>
      </c>
      <c r="F198" s="65" t="s">
        <v>351</v>
      </c>
      <c r="G198" s="66"/>
      <c r="H198" s="30">
        <v>680.0</v>
      </c>
      <c r="I198" s="31">
        <v>34.0</v>
      </c>
      <c r="J198" s="31">
        <v>170.0</v>
      </c>
      <c r="K198" s="31">
        <v>1.0</v>
      </c>
      <c r="L198" s="31">
        <v>1.0</v>
      </c>
      <c r="M198" s="31" t="s">
        <v>39</v>
      </c>
      <c r="N198" s="31" t="s">
        <v>47</v>
      </c>
      <c r="O198" s="31" t="s">
        <v>39</v>
      </c>
      <c r="P198" s="31">
        <v>1000.0</v>
      </c>
      <c r="Q198" s="31" t="s">
        <v>29</v>
      </c>
      <c r="R198" s="61" t="s">
        <v>39</v>
      </c>
    </row>
    <row r="199" ht="14.25" customHeight="1">
      <c r="A199" s="19">
        <v>99.0</v>
      </c>
      <c r="B199" s="62">
        <v>186.0</v>
      </c>
      <c r="C199" s="25" t="s">
        <v>381</v>
      </c>
      <c r="D199" s="63" t="s">
        <v>380</v>
      </c>
      <c r="E199" s="27" t="s">
        <v>25</v>
      </c>
      <c r="F199" s="65" t="s">
        <v>351</v>
      </c>
      <c r="G199" s="67"/>
      <c r="H199" s="35">
        <v>360.0</v>
      </c>
      <c r="I199" s="36">
        <v>18.0</v>
      </c>
      <c r="J199" s="36">
        <v>90.0</v>
      </c>
      <c r="K199" s="36">
        <v>1.0</v>
      </c>
      <c r="L199" s="36">
        <v>1.0</v>
      </c>
      <c r="M199" s="36" t="s">
        <v>39</v>
      </c>
      <c r="N199" s="36" t="s">
        <v>47</v>
      </c>
      <c r="O199" s="36" t="s">
        <v>39</v>
      </c>
      <c r="P199" s="36">
        <v>1000.0</v>
      </c>
      <c r="Q199" s="36" t="s">
        <v>29</v>
      </c>
      <c r="R199" s="63" t="s">
        <v>39</v>
      </c>
    </row>
    <row r="200" ht="14.25" customHeight="1">
      <c r="A200" s="19">
        <v>100.0</v>
      </c>
      <c r="B200" s="60">
        <v>187.0</v>
      </c>
      <c r="C200" s="27" t="s">
        <v>382</v>
      </c>
      <c r="D200" s="61" t="s">
        <v>383</v>
      </c>
      <c r="E200" s="27" t="s">
        <v>25</v>
      </c>
      <c r="F200" s="65" t="s">
        <v>189</v>
      </c>
      <c r="G200" s="66"/>
      <c r="H200" s="30">
        <v>200.0</v>
      </c>
      <c r="I200" s="31">
        <v>10.0</v>
      </c>
      <c r="J200" s="31">
        <v>50.0</v>
      </c>
      <c r="K200" s="31">
        <v>1.0</v>
      </c>
      <c r="L200" s="31">
        <v>1.0</v>
      </c>
      <c r="M200" s="31" t="s">
        <v>39</v>
      </c>
      <c r="N200" s="31" t="s">
        <v>47</v>
      </c>
      <c r="O200" s="31" t="s">
        <v>39</v>
      </c>
      <c r="P200" s="31">
        <v>1000.0</v>
      </c>
      <c r="Q200" s="31" t="s">
        <v>29</v>
      </c>
      <c r="R200" s="61" t="s">
        <v>39</v>
      </c>
    </row>
    <row r="201" ht="14.25" customHeight="1">
      <c r="A201" s="19">
        <v>101.0</v>
      </c>
      <c r="B201" s="60">
        <v>188.0</v>
      </c>
      <c r="C201" s="25" t="s">
        <v>384</v>
      </c>
      <c r="D201" s="63" t="s">
        <v>385</v>
      </c>
      <c r="E201" s="27" t="s">
        <v>25</v>
      </c>
      <c r="F201" s="65" t="s">
        <v>189</v>
      </c>
      <c r="G201" s="67"/>
      <c r="H201" s="35">
        <v>500.0</v>
      </c>
      <c r="I201" s="36">
        <v>25.0</v>
      </c>
      <c r="J201" s="36">
        <v>125.0</v>
      </c>
      <c r="K201" s="36">
        <v>1.0</v>
      </c>
      <c r="L201" s="36">
        <v>1.0</v>
      </c>
      <c r="M201" s="36" t="s">
        <v>39</v>
      </c>
      <c r="N201" s="36" t="s">
        <v>47</v>
      </c>
      <c r="O201" s="36" t="s">
        <v>39</v>
      </c>
      <c r="P201" s="36">
        <v>1000.0</v>
      </c>
      <c r="Q201" s="36" t="s">
        <v>29</v>
      </c>
      <c r="R201" s="63" t="s">
        <v>39</v>
      </c>
    </row>
    <row r="202" ht="14.25" customHeight="1">
      <c r="A202" s="19">
        <v>102.0</v>
      </c>
      <c r="B202" s="62">
        <v>189.0</v>
      </c>
      <c r="C202" s="27" t="s">
        <v>386</v>
      </c>
      <c r="D202" s="61" t="s">
        <v>387</v>
      </c>
      <c r="E202" s="27" t="s">
        <v>25</v>
      </c>
      <c r="F202" s="65" t="s">
        <v>189</v>
      </c>
      <c r="G202" s="66"/>
      <c r="H202" s="30">
        <v>280.0</v>
      </c>
      <c r="I202" s="31">
        <v>14.0</v>
      </c>
      <c r="J202" s="31">
        <v>70.0</v>
      </c>
      <c r="K202" s="31">
        <v>1.0</v>
      </c>
      <c r="L202" s="31">
        <v>1.0</v>
      </c>
      <c r="M202" s="31" t="s">
        <v>39</v>
      </c>
      <c r="N202" s="31" t="s">
        <v>47</v>
      </c>
      <c r="O202" s="31" t="s">
        <v>39</v>
      </c>
      <c r="P202" s="31">
        <v>1000.0</v>
      </c>
      <c r="Q202" s="31" t="s">
        <v>29</v>
      </c>
      <c r="R202" s="61" t="s">
        <v>39</v>
      </c>
    </row>
    <row r="203" ht="14.25" customHeight="1">
      <c r="A203" s="19">
        <v>103.0</v>
      </c>
      <c r="B203" s="60">
        <v>190.0</v>
      </c>
      <c r="C203" s="25" t="s">
        <v>388</v>
      </c>
      <c r="D203" s="63" t="s">
        <v>387</v>
      </c>
      <c r="E203" s="27" t="s">
        <v>25</v>
      </c>
      <c r="F203" s="65" t="s">
        <v>189</v>
      </c>
      <c r="G203" s="67"/>
      <c r="H203" s="35">
        <v>400.0</v>
      </c>
      <c r="I203" s="36">
        <v>20.0</v>
      </c>
      <c r="J203" s="36">
        <v>100.0</v>
      </c>
      <c r="K203" s="36">
        <v>1.0</v>
      </c>
      <c r="L203" s="36">
        <v>1.0</v>
      </c>
      <c r="M203" s="36" t="s">
        <v>39</v>
      </c>
      <c r="N203" s="36" t="s">
        <v>47</v>
      </c>
      <c r="O203" s="36" t="s">
        <v>39</v>
      </c>
      <c r="P203" s="36">
        <v>1000.0</v>
      </c>
      <c r="Q203" s="36" t="s">
        <v>29</v>
      </c>
      <c r="R203" s="63" t="s">
        <v>39</v>
      </c>
    </row>
    <row r="204" ht="14.25" customHeight="1">
      <c r="A204" s="19"/>
      <c r="B204" s="60">
        <v>191.0</v>
      </c>
      <c r="C204" s="27" t="s">
        <v>389</v>
      </c>
      <c r="D204" s="61" t="s">
        <v>390</v>
      </c>
      <c r="E204" s="27" t="s">
        <v>25</v>
      </c>
      <c r="F204" s="65" t="s">
        <v>189</v>
      </c>
      <c r="G204" s="66"/>
      <c r="H204" s="30">
        <v>300.0</v>
      </c>
      <c r="I204" s="31">
        <v>15.0</v>
      </c>
      <c r="J204" s="31">
        <v>50.0</v>
      </c>
      <c r="K204" s="36">
        <v>1.0</v>
      </c>
      <c r="L204" s="36">
        <v>1.0</v>
      </c>
      <c r="M204" s="36" t="s">
        <v>39</v>
      </c>
      <c r="N204" s="36" t="s">
        <v>47</v>
      </c>
      <c r="O204" s="36" t="s">
        <v>39</v>
      </c>
      <c r="P204" s="36">
        <v>1000.0</v>
      </c>
      <c r="Q204" s="36" t="s">
        <v>29</v>
      </c>
      <c r="R204" s="63" t="s">
        <v>39</v>
      </c>
    </row>
    <row r="205" ht="14.25" customHeight="1">
      <c r="A205" s="19">
        <v>104.0</v>
      </c>
      <c r="B205" s="62">
        <v>192.0</v>
      </c>
      <c r="C205" s="27" t="s">
        <v>391</v>
      </c>
      <c r="D205" s="61" t="s">
        <v>392</v>
      </c>
      <c r="E205" s="27" t="s">
        <v>25</v>
      </c>
      <c r="F205" s="65" t="s">
        <v>189</v>
      </c>
      <c r="G205" s="66"/>
      <c r="H205" s="30">
        <v>280.0</v>
      </c>
      <c r="I205" s="31">
        <v>14.0</v>
      </c>
      <c r="J205" s="31">
        <v>70.0</v>
      </c>
      <c r="K205" s="31">
        <v>1.0</v>
      </c>
      <c r="L205" s="31">
        <v>1.0</v>
      </c>
      <c r="M205" s="36" t="s">
        <v>39</v>
      </c>
      <c r="N205" s="31" t="s">
        <v>47</v>
      </c>
      <c r="O205" s="31" t="s">
        <v>39</v>
      </c>
      <c r="P205" s="31">
        <v>1000.0</v>
      </c>
      <c r="Q205" s="31" t="s">
        <v>29</v>
      </c>
      <c r="R205" s="63" t="s">
        <v>39</v>
      </c>
    </row>
    <row r="206" ht="14.25" customHeight="1">
      <c r="A206" s="19"/>
      <c r="B206" s="20"/>
      <c r="C206" s="21" t="s">
        <v>393</v>
      </c>
      <c r="D206" s="22"/>
      <c r="E206" s="22"/>
      <c r="F206" s="23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</row>
    <row r="207" ht="14.25" customHeight="1">
      <c r="A207" s="19">
        <v>105.0</v>
      </c>
      <c r="B207" s="60">
        <v>193.0</v>
      </c>
      <c r="C207" s="68" t="s">
        <v>394</v>
      </c>
      <c r="D207" s="40" t="s">
        <v>395</v>
      </c>
      <c r="E207" s="27" t="s">
        <v>25</v>
      </c>
      <c r="F207" s="69" t="s">
        <v>57</v>
      </c>
      <c r="G207" s="38"/>
      <c r="H207" s="30">
        <v>263.2</v>
      </c>
      <c r="I207" s="31">
        <v>50.0</v>
      </c>
      <c r="J207" s="31">
        <v>250.0</v>
      </c>
      <c r="K207" s="31">
        <v>1.0</v>
      </c>
      <c r="L207" s="31">
        <v>1.0</v>
      </c>
      <c r="M207" s="31">
        <v>0.0</v>
      </c>
      <c r="N207" s="31" t="s">
        <v>396</v>
      </c>
      <c r="O207" s="31" t="s">
        <v>397</v>
      </c>
      <c r="P207" s="31">
        <v>200.0</v>
      </c>
      <c r="Q207" s="31" t="s">
        <v>66</v>
      </c>
      <c r="R207" s="61">
        <v>25.0</v>
      </c>
    </row>
    <row r="208" ht="14.25" customHeight="1">
      <c r="A208" s="19"/>
      <c r="B208" s="20"/>
      <c r="C208" s="21" t="s">
        <v>398</v>
      </c>
      <c r="D208" s="22"/>
      <c r="E208" s="22"/>
      <c r="F208" s="23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</row>
    <row r="209" ht="14.25" customHeight="1">
      <c r="A209" s="19">
        <v>106.0</v>
      </c>
      <c r="B209" s="60">
        <v>194.0</v>
      </c>
      <c r="C209" s="27" t="s">
        <v>399</v>
      </c>
      <c r="D209" s="70" t="s">
        <v>400</v>
      </c>
      <c r="E209" s="27" t="s">
        <v>36</v>
      </c>
      <c r="F209" s="34" t="s">
        <v>45</v>
      </c>
      <c r="G209" s="38"/>
      <c r="H209" s="71">
        <v>400.0</v>
      </c>
      <c r="I209" s="72">
        <v>25.0</v>
      </c>
      <c r="J209" s="72">
        <v>100.0</v>
      </c>
      <c r="K209" s="72">
        <v>2.0</v>
      </c>
      <c r="L209" s="72">
        <v>2.0</v>
      </c>
      <c r="M209" s="72">
        <v>7.0</v>
      </c>
      <c r="N209" s="72" t="s">
        <v>66</v>
      </c>
      <c r="O209" s="72" t="s">
        <v>401</v>
      </c>
      <c r="P209" s="72">
        <v>33.0</v>
      </c>
      <c r="Q209" s="72" t="s">
        <v>29</v>
      </c>
      <c r="R209" s="73">
        <v>0.0</v>
      </c>
    </row>
    <row r="210" ht="14.25" customHeight="1">
      <c r="A210" s="19">
        <v>107.0</v>
      </c>
      <c r="B210" s="60">
        <v>195.0</v>
      </c>
      <c r="C210" s="27" t="s">
        <v>402</v>
      </c>
      <c r="D210" s="70" t="s">
        <v>403</v>
      </c>
      <c r="E210" s="27" t="s">
        <v>36</v>
      </c>
      <c r="F210" s="34" t="s">
        <v>45</v>
      </c>
      <c r="G210" s="38"/>
      <c r="H210" s="71">
        <v>819.0</v>
      </c>
      <c r="I210" s="72">
        <v>60.0</v>
      </c>
      <c r="J210" s="72">
        <v>250.0</v>
      </c>
      <c r="K210" s="72">
        <v>2.0</v>
      </c>
      <c r="L210" s="72">
        <v>2.0</v>
      </c>
      <c r="M210" s="72">
        <v>0.0</v>
      </c>
      <c r="N210" s="72" t="s">
        <v>66</v>
      </c>
      <c r="O210" s="72" t="s">
        <v>401</v>
      </c>
      <c r="P210" s="72">
        <v>83.0</v>
      </c>
      <c r="Q210" s="72" t="s">
        <v>29</v>
      </c>
      <c r="R210" s="73">
        <v>0.0</v>
      </c>
    </row>
    <row r="211" ht="14.25" customHeight="1">
      <c r="A211" s="19">
        <v>108.0</v>
      </c>
      <c r="B211" s="60">
        <v>196.0</v>
      </c>
      <c r="C211" s="27" t="s">
        <v>404</v>
      </c>
      <c r="D211" s="74" t="s">
        <v>405</v>
      </c>
      <c r="E211" s="27" t="s">
        <v>36</v>
      </c>
      <c r="F211" s="34" t="s">
        <v>45</v>
      </c>
      <c r="G211" s="39"/>
      <c r="H211" s="75">
        <v>882.0</v>
      </c>
      <c r="I211" s="76">
        <v>30.0</v>
      </c>
      <c r="J211" s="76">
        <v>420.0</v>
      </c>
      <c r="K211" s="76">
        <v>5.0</v>
      </c>
      <c r="L211" s="76">
        <v>5.0</v>
      </c>
      <c r="M211" s="76">
        <v>14.0</v>
      </c>
      <c r="N211" s="76" t="s">
        <v>66</v>
      </c>
      <c r="O211" s="76" t="s">
        <v>401</v>
      </c>
      <c r="P211" s="76">
        <v>420.0</v>
      </c>
      <c r="Q211" s="76" t="s">
        <v>29</v>
      </c>
      <c r="R211" s="77">
        <v>0.0</v>
      </c>
    </row>
    <row r="212" ht="14.25" customHeight="1">
      <c r="A212" s="19">
        <v>109.0</v>
      </c>
      <c r="B212" s="60">
        <v>197.0</v>
      </c>
      <c r="C212" s="27" t="s">
        <v>406</v>
      </c>
      <c r="D212" s="70" t="s">
        <v>407</v>
      </c>
      <c r="E212" s="27" t="s">
        <v>36</v>
      </c>
      <c r="F212" s="34" t="s">
        <v>45</v>
      </c>
      <c r="G212" s="38"/>
      <c r="H212" s="71">
        <v>385.0</v>
      </c>
      <c r="I212" s="72">
        <v>25.0</v>
      </c>
      <c r="J212" s="72">
        <v>100.0</v>
      </c>
      <c r="K212" s="72">
        <v>0.0</v>
      </c>
      <c r="L212" s="72">
        <v>0.0</v>
      </c>
      <c r="M212" s="72">
        <v>7.0</v>
      </c>
      <c r="N212" s="72" t="s">
        <v>66</v>
      </c>
      <c r="O212" s="72" t="s">
        <v>401</v>
      </c>
      <c r="P212" s="72">
        <v>33.0</v>
      </c>
      <c r="Q212" s="72" t="s">
        <v>29</v>
      </c>
      <c r="R212" s="73">
        <v>0.0</v>
      </c>
    </row>
    <row r="213" ht="14.25" customHeight="1">
      <c r="A213" s="19">
        <v>110.0</v>
      </c>
      <c r="B213" s="60">
        <v>198.0</v>
      </c>
      <c r="C213" s="27" t="s">
        <v>408</v>
      </c>
      <c r="D213" s="74" t="s">
        <v>409</v>
      </c>
      <c r="E213" s="27" t="s">
        <v>36</v>
      </c>
      <c r="F213" s="34" t="s">
        <v>45</v>
      </c>
      <c r="G213" s="39"/>
      <c r="H213" s="75">
        <v>7560.0</v>
      </c>
      <c r="I213" s="76">
        <v>200.0</v>
      </c>
      <c r="J213" s="76">
        <v>1050.0</v>
      </c>
      <c r="K213" s="76">
        <v>0.0</v>
      </c>
      <c r="L213" s="76">
        <v>0.0</v>
      </c>
      <c r="M213" s="76">
        <v>20.0</v>
      </c>
      <c r="N213" s="76" t="s">
        <v>66</v>
      </c>
      <c r="O213" s="76" t="s">
        <v>401</v>
      </c>
      <c r="P213" s="76">
        <v>350.0</v>
      </c>
      <c r="Q213" s="76" t="s">
        <v>29</v>
      </c>
      <c r="R213" s="77">
        <v>0.0</v>
      </c>
    </row>
    <row r="214" ht="14.25" customHeight="1">
      <c r="A214" s="19">
        <v>111.0</v>
      </c>
      <c r="B214" s="60">
        <v>199.0</v>
      </c>
      <c r="C214" s="27" t="s">
        <v>410</v>
      </c>
      <c r="D214" s="70" t="s">
        <v>411</v>
      </c>
      <c r="E214" s="27" t="s">
        <v>36</v>
      </c>
      <c r="F214" s="34" t="s">
        <v>45</v>
      </c>
      <c r="G214" s="38"/>
      <c r="H214" s="71">
        <v>882.0</v>
      </c>
      <c r="I214" s="72">
        <v>30.0</v>
      </c>
      <c r="J214" s="72">
        <v>140.0</v>
      </c>
      <c r="K214" s="72">
        <v>0.0</v>
      </c>
      <c r="L214" s="72">
        <v>0.0</v>
      </c>
      <c r="M214" s="72">
        <v>4.0</v>
      </c>
      <c r="N214" s="72" t="s">
        <v>66</v>
      </c>
      <c r="O214" s="72" t="s">
        <v>401</v>
      </c>
      <c r="P214" s="72">
        <v>46.0</v>
      </c>
      <c r="Q214" s="72" t="s">
        <v>29</v>
      </c>
      <c r="R214" s="73">
        <v>0.0</v>
      </c>
    </row>
    <row r="215" ht="14.25" customHeight="1">
      <c r="A215" s="19">
        <v>112.0</v>
      </c>
      <c r="B215" s="60">
        <v>200.0</v>
      </c>
      <c r="C215" s="27" t="s">
        <v>412</v>
      </c>
      <c r="D215" s="74" t="s">
        <v>413</v>
      </c>
      <c r="E215" s="27" t="s">
        <v>36</v>
      </c>
      <c r="F215" s="34" t="s">
        <v>45</v>
      </c>
      <c r="G215" s="39"/>
      <c r="H215" s="75">
        <v>720.0</v>
      </c>
      <c r="I215" s="76">
        <v>25.0</v>
      </c>
      <c r="J215" s="76">
        <v>114.0</v>
      </c>
      <c r="K215" s="76">
        <v>0.0</v>
      </c>
      <c r="L215" s="76">
        <v>0.0</v>
      </c>
      <c r="M215" s="76">
        <v>2.0</v>
      </c>
      <c r="N215" s="76" t="s">
        <v>66</v>
      </c>
      <c r="O215" s="76" t="s">
        <v>401</v>
      </c>
      <c r="P215" s="76">
        <v>38.0</v>
      </c>
      <c r="Q215" s="76" t="s">
        <v>29</v>
      </c>
      <c r="R215" s="77">
        <v>0.0</v>
      </c>
    </row>
    <row r="216" ht="14.25" customHeight="1">
      <c r="A216" s="78">
        <v>113.0</v>
      </c>
      <c r="B216" s="60">
        <v>201.0</v>
      </c>
      <c r="C216" s="27" t="s">
        <v>414</v>
      </c>
      <c r="D216" s="70" t="s">
        <v>415</v>
      </c>
      <c r="E216" s="27" t="s">
        <v>36</v>
      </c>
      <c r="F216" s="34" t="s">
        <v>45</v>
      </c>
      <c r="G216" s="38"/>
      <c r="H216" s="71">
        <v>882.0</v>
      </c>
      <c r="I216" s="72">
        <v>20.0</v>
      </c>
      <c r="J216" s="72">
        <v>75.0</v>
      </c>
      <c r="K216" s="72">
        <v>0.0</v>
      </c>
      <c r="L216" s="72">
        <v>0.0</v>
      </c>
      <c r="M216" s="72">
        <v>5.0</v>
      </c>
      <c r="N216" s="72" t="s">
        <v>66</v>
      </c>
      <c r="O216" s="72" t="s">
        <v>401</v>
      </c>
      <c r="P216" s="72">
        <v>75.0</v>
      </c>
      <c r="Q216" s="72" t="s">
        <v>29</v>
      </c>
      <c r="R216" s="73">
        <v>0.0</v>
      </c>
    </row>
    <row r="217" ht="14.25" customHeight="1">
      <c r="A217" s="78">
        <v>114.0</v>
      </c>
      <c r="B217" s="60">
        <v>202.0</v>
      </c>
      <c r="C217" s="27" t="s">
        <v>416</v>
      </c>
      <c r="D217" s="74" t="s">
        <v>417</v>
      </c>
      <c r="E217" s="27" t="s">
        <v>36</v>
      </c>
      <c r="F217" s="34" t="s">
        <v>45</v>
      </c>
      <c r="G217" s="39"/>
      <c r="H217" s="75">
        <v>945.0</v>
      </c>
      <c r="I217" s="76">
        <v>33.0</v>
      </c>
      <c r="J217" s="76">
        <v>150.0</v>
      </c>
      <c r="K217" s="76">
        <v>0.0</v>
      </c>
      <c r="L217" s="76">
        <v>0.0</v>
      </c>
      <c r="M217" s="76">
        <v>18.0</v>
      </c>
      <c r="N217" s="76" t="s">
        <v>66</v>
      </c>
      <c r="O217" s="76" t="s">
        <v>401</v>
      </c>
      <c r="P217" s="76">
        <v>50.0</v>
      </c>
      <c r="Q217" s="76" t="s">
        <v>29</v>
      </c>
      <c r="R217" s="77">
        <v>0.0</v>
      </c>
    </row>
    <row r="218" ht="14.25" customHeight="1">
      <c r="A218" s="78">
        <v>115.0</v>
      </c>
      <c r="B218" s="60">
        <v>203.0</v>
      </c>
      <c r="C218" s="27" t="s">
        <v>418</v>
      </c>
      <c r="D218" s="70" t="s">
        <v>419</v>
      </c>
      <c r="E218" s="27" t="s">
        <v>36</v>
      </c>
      <c r="F218" s="34" t="s">
        <v>45</v>
      </c>
      <c r="G218" s="38"/>
      <c r="H218" s="71">
        <v>800.0</v>
      </c>
      <c r="I218" s="72">
        <v>25.0</v>
      </c>
      <c r="J218" s="72">
        <v>100.0</v>
      </c>
      <c r="K218" s="72">
        <v>0.0</v>
      </c>
      <c r="L218" s="72">
        <v>0.0</v>
      </c>
      <c r="M218" s="72">
        <v>1.0</v>
      </c>
      <c r="N218" s="72" t="s">
        <v>66</v>
      </c>
      <c r="O218" s="72" t="s">
        <v>401</v>
      </c>
      <c r="P218" s="72">
        <v>33.0</v>
      </c>
      <c r="Q218" s="72" t="s">
        <v>29</v>
      </c>
      <c r="R218" s="73">
        <v>0.0</v>
      </c>
    </row>
    <row r="219" ht="14.25" customHeight="1">
      <c r="A219" s="78">
        <v>116.0</v>
      </c>
      <c r="B219" s="60">
        <v>204.0</v>
      </c>
      <c r="C219" s="27" t="s">
        <v>420</v>
      </c>
      <c r="D219" s="74" t="s">
        <v>421</v>
      </c>
      <c r="E219" s="27" t="s">
        <v>36</v>
      </c>
      <c r="F219" s="34" t="s">
        <v>45</v>
      </c>
      <c r="G219" s="39"/>
      <c r="H219" s="35">
        <v>300.0</v>
      </c>
      <c r="I219" s="36">
        <v>50.0</v>
      </c>
      <c r="J219" s="36">
        <v>200.0</v>
      </c>
      <c r="K219" s="36">
        <v>2.0</v>
      </c>
      <c r="L219" s="36">
        <v>2.0</v>
      </c>
      <c r="M219" s="36">
        <v>0.0</v>
      </c>
      <c r="N219" s="36" t="s">
        <v>66</v>
      </c>
      <c r="O219" s="36" t="s">
        <v>401</v>
      </c>
      <c r="P219" s="36">
        <v>66.0</v>
      </c>
      <c r="Q219" s="36" t="s">
        <v>66</v>
      </c>
      <c r="R219" s="63">
        <v>7.0</v>
      </c>
    </row>
    <row r="220" ht="14.25" customHeight="1">
      <c r="A220" s="78">
        <v>117.0</v>
      </c>
      <c r="B220" s="60">
        <v>205.0</v>
      </c>
      <c r="C220" s="27" t="s">
        <v>422</v>
      </c>
      <c r="D220" s="46" t="s">
        <v>423</v>
      </c>
      <c r="E220" s="27" t="s">
        <v>36</v>
      </c>
      <c r="F220" s="34" t="s">
        <v>45</v>
      </c>
      <c r="G220" s="50"/>
      <c r="H220" s="79">
        <v>1471.27</v>
      </c>
      <c r="I220" s="80">
        <v>100.0</v>
      </c>
      <c r="J220" s="81">
        <v>18.0</v>
      </c>
      <c r="K220" s="81">
        <v>0.0</v>
      </c>
      <c r="L220" s="81">
        <v>0.0</v>
      </c>
      <c r="M220" s="81">
        <v>46.0</v>
      </c>
      <c r="N220" s="72" t="s">
        <v>66</v>
      </c>
      <c r="O220" s="72" t="s">
        <v>401</v>
      </c>
      <c r="P220" s="81">
        <v>18.0</v>
      </c>
      <c r="Q220" s="81" t="s">
        <v>66</v>
      </c>
      <c r="R220" s="82">
        <v>18.0</v>
      </c>
    </row>
    <row r="221" ht="14.25" customHeight="1">
      <c r="A221" s="78"/>
      <c r="B221" s="20"/>
      <c r="C221" s="21" t="s">
        <v>424</v>
      </c>
      <c r="D221" s="22"/>
      <c r="E221" s="22"/>
      <c r="F221" s="23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</row>
    <row r="222" ht="14.25" customHeight="1">
      <c r="A222" s="78">
        <v>118.0</v>
      </c>
      <c r="B222" s="83">
        <v>206.0</v>
      </c>
      <c r="C222" s="45" t="s">
        <v>425</v>
      </c>
      <c r="D222" s="27" t="s">
        <v>426</v>
      </c>
      <c r="E222" s="27" t="s">
        <v>36</v>
      </c>
      <c r="F222" s="34" t="s">
        <v>45</v>
      </c>
      <c r="G222" s="38"/>
      <c r="H222" s="30">
        <v>390.0</v>
      </c>
      <c r="I222" s="31">
        <v>52.0</v>
      </c>
      <c r="J222" s="31">
        <v>260.0</v>
      </c>
      <c r="K222" s="31">
        <v>8.0</v>
      </c>
      <c r="L222" s="31">
        <v>8.0</v>
      </c>
      <c r="M222" s="31">
        <v>2.0</v>
      </c>
      <c r="N222" s="31" t="s">
        <v>427</v>
      </c>
      <c r="O222" s="31" t="s">
        <v>401</v>
      </c>
      <c r="P222" s="84">
        <v>2000.0</v>
      </c>
      <c r="Q222" s="31" t="s">
        <v>29</v>
      </c>
      <c r="R222" s="61">
        <v>0.0</v>
      </c>
    </row>
    <row r="223" ht="14.25" customHeight="1">
      <c r="A223" s="78">
        <v>119.0</v>
      </c>
      <c r="B223" s="83">
        <v>207.0</v>
      </c>
      <c r="C223" s="45" t="s">
        <v>428</v>
      </c>
      <c r="D223" s="25" t="s">
        <v>429</v>
      </c>
      <c r="E223" s="27" t="s">
        <v>36</v>
      </c>
      <c r="F223" s="34" t="s">
        <v>45</v>
      </c>
      <c r="G223" s="39"/>
      <c r="H223" s="35">
        <v>24.0</v>
      </c>
      <c r="I223" s="36">
        <v>3.0</v>
      </c>
      <c r="J223" s="36">
        <v>16.0</v>
      </c>
      <c r="K223" s="36">
        <v>0.0</v>
      </c>
      <c r="L223" s="36">
        <v>0.0</v>
      </c>
      <c r="M223" s="36">
        <v>1.0</v>
      </c>
      <c r="N223" s="36" t="s">
        <v>46</v>
      </c>
      <c r="O223" s="36" t="s">
        <v>401</v>
      </c>
      <c r="P223" s="36" t="s">
        <v>401</v>
      </c>
      <c r="Q223" s="36" t="s">
        <v>29</v>
      </c>
      <c r="R223" s="63">
        <v>0.0</v>
      </c>
    </row>
    <row r="224" ht="14.25" customHeight="1">
      <c r="A224" s="78">
        <v>120.0</v>
      </c>
      <c r="B224" s="83">
        <v>208.0</v>
      </c>
      <c r="C224" s="45" t="s">
        <v>430</v>
      </c>
      <c r="D224" s="27" t="s">
        <v>431</v>
      </c>
      <c r="E224" s="27" t="s">
        <v>36</v>
      </c>
      <c r="F224" s="34" t="s">
        <v>45</v>
      </c>
      <c r="G224" s="38"/>
      <c r="H224" s="30">
        <v>32.0</v>
      </c>
      <c r="I224" s="31">
        <v>4.0</v>
      </c>
      <c r="J224" s="31">
        <v>21.0</v>
      </c>
      <c r="K224" s="31">
        <v>0.0</v>
      </c>
      <c r="L224" s="31">
        <v>0.0</v>
      </c>
      <c r="M224" s="31">
        <v>1.0</v>
      </c>
      <c r="N224" s="31" t="s">
        <v>432</v>
      </c>
      <c r="O224" s="31" t="s">
        <v>401</v>
      </c>
      <c r="P224" s="31" t="s">
        <v>401</v>
      </c>
      <c r="Q224" s="31" t="s">
        <v>29</v>
      </c>
      <c r="R224" s="61">
        <v>0.0</v>
      </c>
    </row>
    <row r="225" ht="14.25" customHeight="1">
      <c r="A225" s="78">
        <v>121.0</v>
      </c>
      <c r="B225" s="83">
        <v>209.0</v>
      </c>
      <c r="C225" s="45" t="s">
        <v>433</v>
      </c>
      <c r="D225" s="25" t="s">
        <v>434</v>
      </c>
      <c r="E225" s="27" t="s">
        <v>36</v>
      </c>
      <c r="F225" s="34" t="s">
        <v>45</v>
      </c>
      <c r="G225" s="39"/>
      <c r="H225" s="35">
        <v>48.0</v>
      </c>
      <c r="I225" s="36">
        <v>6.0</v>
      </c>
      <c r="J225" s="36">
        <v>32.0</v>
      </c>
      <c r="K225" s="36">
        <v>0.0</v>
      </c>
      <c r="L225" s="36">
        <v>0.0</v>
      </c>
      <c r="M225" s="36">
        <v>1.0</v>
      </c>
      <c r="N225" s="36" t="s">
        <v>427</v>
      </c>
      <c r="O225" s="36" t="s">
        <v>401</v>
      </c>
      <c r="P225" s="36">
        <v>100.0</v>
      </c>
      <c r="Q225" s="36" t="s">
        <v>29</v>
      </c>
      <c r="R225" s="63">
        <v>0.0</v>
      </c>
    </row>
    <row r="226" ht="14.25" customHeight="1">
      <c r="A226" s="78">
        <v>122.0</v>
      </c>
      <c r="B226" s="83">
        <v>210.0</v>
      </c>
      <c r="C226" s="45" t="s">
        <v>435</v>
      </c>
      <c r="D226" s="27" t="s">
        <v>436</v>
      </c>
      <c r="E226" s="27" t="s">
        <v>36</v>
      </c>
      <c r="F226" s="34" t="s">
        <v>45</v>
      </c>
      <c r="G226" s="38"/>
      <c r="H226" s="30">
        <v>48.0</v>
      </c>
      <c r="I226" s="31">
        <v>6.0</v>
      </c>
      <c r="J226" s="31">
        <v>32.0</v>
      </c>
      <c r="K226" s="31">
        <v>0.0</v>
      </c>
      <c r="L226" s="31">
        <v>0.0</v>
      </c>
      <c r="M226" s="31">
        <v>1.0</v>
      </c>
      <c r="N226" s="31" t="s">
        <v>427</v>
      </c>
      <c r="O226" s="31" t="s">
        <v>401</v>
      </c>
      <c r="P226" s="31">
        <v>100.0</v>
      </c>
      <c r="Q226" s="31" t="s">
        <v>29</v>
      </c>
      <c r="R226" s="61">
        <v>0.0</v>
      </c>
    </row>
    <row r="227" ht="14.25" customHeight="1">
      <c r="A227" s="78">
        <v>123.0</v>
      </c>
      <c r="B227" s="83">
        <v>211.0</v>
      </c>
      <c r="C227" s="45" t="s">
        <v>437</v>
      </c>
      <c r="D227" s="25" t="s">
        <v>438</v>
      </c>
      <c r="E227" s="27" t="s">
        <v>36</v>
      </c>
      <c r="F227" s="34" t="s">
        <v>45</v>
      </c>
      <c r="G227" s="39"/>
      <c r="H227" s="35">
        <v>36.0</v>
      </c>
      <c r="I227" s="36">
        <v>5.0</v>
      </c>
      <c r="J227" s="36">
        <v>24.0</v>
      </c>
      <c r="K227" s="36">
        <v>0.0</v>
      </c>
      <c r="L227" s="36">
        <v>0.0</v>
      </c>
      <c r="M227" s="36">
        <v>1.0</v>
      </c>
      <c r="N227" s="36" t="s">
        <v>427</v>
      </c>
      <c r="O227" s="36" t="s">
        <v>401</v>
      </c>
      <c r="P227" s="36">
        <v>100.0</v>
      </c>
      <c r="Q227" s="36" t="s">
        <v>29</v>
      </c>
      <c r="R227" s="63">
        <v>0.0</v>
      </c>
    </row>
    <row r="228" ht="14.25" customHeight="1">
      <c r="A228" s="78">
        <v>124.0</v>
      </c>
      <c r="B228" s="83">
        <v>212.0</v>
      </c>
      <c r="C228" s="45" t="s">
        <v>439</v>
      </c>
      <c r="D228" s="27" t="s">
        <v>440</v>
      </c>
      <c r="E228" s="27" t="s">
        <v>36</v>
      </c>
      <c r="F228" s="34" t="s">
        <v>45</v>
      </c>
      <c r="G228" s="38"/>
      <c r="H228" s="30">
        <v>24.0</v>
      </c>
      <c r="I228" s="31">
        <v>3.0</v>
      </c>
      <c r="J228" s="31">
        <v>16.0</v>
      </c>
      <c r="K228" s="31">
        <v>0.0</v>
      </c>
      <c r="L228" s="31">
        <v>0.0</v>
      </c>
      <c r="M228" s="31">
        <v>1.0</v>
      </c>
      <c r="N228" s="31" t="s">
        <v>432</v>
      </c>
      <c r="O228" s="31" t="s">
        <v>401</v>
      </c>
      <c r="P228" s="31">
        <v>100.0</v>
      </c>
      <c r="Q228" s="31" t="s">
        <v>29</v>
      </c>
      <c r="R228" s="61">
        <v>0.0</v>
      </c>
    </row>
    <row r="229" ht="14.25" customHeight="1">
      <c r="A229" s="78">
        <v>125.0</v>
      </c>
      <c r="B229" s="83">
        <v>213.0</v>
      </c>
      <c r="C229" s="45" t="s">
        <v>441</v>
      </c>
      <c r="D229" s="25" t="s">
        <v>442</v>
      </c>
      <c r="E229" s="27" t="s">
        <v>36</v>
      </c>
      <c r="F229" s="34" t="s">
        <v>45</v>
      </c>
      <c r="G229" s="39"/>
      <c r="H229" s="35">
        <v>80.0</v>
      </c>
      <c r="I229" s="36">
        <v>10.0</v>
      </c>
      <c r="J229" s="36">
        <v>53.0</v>
      </c>
      <c r="K229" s="36">
        <v>0.0</v>
      </c>
      <c r="L229" s="36">
        <v>0.0</v>
      </c>
      <c r="M229" s="36">
        <v>1.0</v>
      </c>
      <c r="N229" s="36" t="s">
        <v>427</v>
      </c>
      <c r="O229" s="36" t="s">
        <v>401</v>
      </c>
      <c r="P229" s="36">
        <v>100.0</v>
      </c>
      <c r="Q229" s="36" t="s">
        <v>29</v>
      </c>
      <c r="R229" s="63">
        <v>0.0</v>
      </c>
    </row>
    <row r="230" ht="14.25" customHeight="1">
      <c r="A230" s="78">
        <v>126.0</v>
      </c>
      <c r="B230" s="83">
        <v>214.0</v>
      </c>
      <c r="C230" s="45" t="s">
        <v>443</v>
      </c>
      <c r="D230" s="27" t="s">
        <v>444</v>
      </c>
      <c r="E230" s="27" t="s">
        <v>36</v>
      </c>
      <c r="F230" s="34" t="s">
        <v>45</v>
      </c>
      <c r="G230" s="38"/>
      <c r="H230" s="30">
        <v>48.0</v>
      </c>
      <c r="I230" s="31">
        <v>6.0</v>
      </c>
      <c r="J230" s="31">
        <v>32.0</v>
      </c>
      <c r="K230" s="31">
        <v>0.0</v>
      </c>
      <c r="L230" s="31">
        <v>0.0</v>
      </c>
      <c r="M230" s="31">
        <v>1.0</v>
      </c>
      <c r="N230" s="31" t="s">
        <v>432</v>
      </c>
      <c r="O230" s="31" t="s">
        <v>401</v>
      </c>
      <c r="P230" s="31">
        <v>100.0</v>
      </c>
      <c r="Q230" s="31" t="s">
        <v>29</v>
      </c>
      <c r="R230" s="61">
        <v>0.0</v>
      </c>
    </row>
    <row r="231" ht="14.25" customHeight="1">
      <c r="A231" s="78">
        <v>127.0</v>
      </c>
      <c r="B231" s="83">
        <v>215.0</v>
      </c>
      <c r="C231" s="45" t="s">
        <v>445</v>
      </c>
      <c r="D231" s="25" t="s">
        <v>446</v>
      </c>
      <c r="E231" s="27" t="s">
        <v>36</v>
      </c>
      <c r="F231" s="34" t="s">
        <v>45</v>
      </c>
      <c r="G231" s="39"/>
      <c r="H231" s="35">
        <v>64.0</v>
      </c>
      <c r="I231" s="36">
        <v>8.0</v>
      </c>
      <c r="J231" s="36">
        <v>42.0</v>
      </c>
      <c r="K231" s="36">
        <v>0.0</v>
      </c>
      <c r="L231" s="36">
        <v>0.0</v>
      </c>
      <c r="M231" s="36">
        <v>1.0</v>
      </c>
      <c r="N231" s="36" t="s">
        <v>427</v>
      </c>
      <c r="O231" s="36" t="s">
        <v>401</v>
      </c>
      <c r="P231" s="36">
        <v>100.0</v>
      </c>
      <c r="Q231" s="36" t="s">
        <v>29</v>
      </c>
      <c r="R231" s="63">
        <v>0.0</v>
      </c>
    </row>
    <row r="232" ht="14.25" hidden="1" customHeight="1">
      <c r="A232" s="78">
        <v>128.0</v>
      </c>
      <c r="B232" s="83">
        <v>216.0</v>
      </c>
      <c r="C232" s="45" t="s">
        <v>447</v>
      </c>
      <c r="D232" s="27" t="s">
        <v>448</v>
      </c>
      <c r="E232" s="27" t="s">
        <v>36</v>
      </c>
      <c r="F232" s="34" t="s">
        <v>45</v>
      </c>
      <c r="G232" s="38"/>
      <c r="H232" s="30">
        <v>299.0</v>
      </c>
      <c r="I232" s="31" t="s">
        <v>39</v>
      </c>
      <c r="J232" s="31">
        <v>100.0</v>
      </c>
      <c r="K232" s="31">
        <v>0.0</v>
      </c>
      <c r="L232" s="31">
        <v>0.0</v>
      </c>
      <c r="M232" s="31">
        <v>1.0</v>
      </c>
      <c r="N232" s="31" t="s">
        <v>449</v>
      </c>
      <c r="O232" s="31" t="s">
        <v>39</v>
      </c>
      <c r="P232" s="31" t="s">
        <v>39</v>
      </c>
      <c r="Q232" s="31" t="s">
        <v>29</v>
      </c>
      <c r="R232" s="61" t="s">
        <v>39</v>
      </c>
    </row>
    <row r="233" ht="14.25" hidden="1" customHeight="1">
      <c r="A233" s="78">
        <v>129.0</v>
      </c>
      <c r="B233" s="83">
        <v>217.0</v>
      </c>
      <c r="C233" s="45" t="s">
        <v>450</v>
      </c>
      <c r="D233" s="25" t="s">
        <v>451</v>
      </c>
      <c r="E233" s="27" t="s">
        <v>36</v>
      </c>
      <c r="F233" s="34" t="s">
        <v>45</v>
      </c>
      <c r="G233" s="39"/>
      <c r="H233" s="35">
        <v>551.0</v>
      </c>
      <c r="I233" s="36" t="s">
        <v>39</v>
      </c>
      <c r="J233" s="36">
        <v>100.0</v>
      </c>
      <c r="K233" s="36">
        <v>1.0</v>
      </c>
      <c r="L233" s="36">
        <v>1.0</v>
      </c>
      <c r="M233" s="36">
        <v>0.0</v>
      </c>
      <c r="N233" s="36" t="s">
        <v>449</v>
      </c>
      <c r="O233" s="36" t="s">
        <v>39</v>
      </c>
      <c r="P233" s="36" t="s">
        <v>39</v>
      </c>
      <c r="Q233" s="36" t="s">
        <v>29</v>
      </c>
      <c r="R233" s="63" t="s">
        <v>39</v>
      </c>
    </row>
    <row r="234" ht="14.25" hidden="1" customHeight="1">
      <c r="A234" s="78">
        <v>130.0</v>
      </c>
      <c r="B234" s="83">
        <v>218.0</v>
      </c>
      <c r="C234" s="45" t="s">
        <v>452</v>
      </c>
      <c r="D234" s="27" t="s">
        <v>453</v>
      </c>
      <c r="E234" s="27" t="s">
        <v>36</v>
      </c>
      <c r="F234" s="34" t="s">
        <v>45</v>
      </c>
      <c r="G234" s="38"/>
      <c r="H234" s="30">
        <v>338.0</v>
      </c>
      <c r="I234" s="31" t="s">
        <v>39</v>
      </c>
      <c r="J234" s="31">
        <v>100.0</v>
      </c>
      <c r="K234" s="31">
        <v>0.0</v>
      </c>
      <c r="L234" s="31">
        <v>0.0</v>
      </c>
      <c r="M234" s="31">
        <v>2.0</v>
      </c>
      <c r="N234" s="31" t="s">
        <v>449</v>
      </c>
      <c r="O234" s="31" t="s">
        <v>39</v>
      </c>
      <c r="P234" s="31" t="s">
        <v>39</v>
      </c>
      <c r="Q234" s="31" t="s">
        <v>29</v>
      </c>
      <c r="R234" s="61" t="s">
        <v>39</v>
      </c>
    </row>
    <row r="235" ht="14.25" customHeight="1">
      <c r="A235" s="78">
        <v>131.0</v>
      </c>
      <c r="B235" s="83">
        <v>219.0</v>
      </c>
      <c r="C235" s="45" t="s">
        <v>454</v>
      </c>
      <c r="D235" s="25" t="s">
        <v>455</v>
      </c>
      <c r="E235" s="27" t="s">
        <v>36</v>
      </c>
      <c r="F235" s="34" t="s">
        <v>45</v>
      </c>
      <c r="G235" s="39"/>
      <c r="H235" s="35">
        <v>24.0</v>
      </c>
      <c r="I235" s="36">
        <v>3.0</v>
      </c>
      <c r="J235" s="36">
        <v>16.0</v>
      </c>
      <c r="K235" s="36">
        <v>0.0</v>
      </c>
      <c r="L235" s="36">
        <v>0.0</v>
      </c>
      <c r="M235" s="36">
        <v>1.0</v>
      </c>
      <c r="N235" s="36" t="s">
        <v>427</v>
      </c>
      <c r="O235" s="36" t="s">
        <v>401</v>
      </c>
      <c r="P235" s="36">
        <v>100.0</v>
      </c>
      <c r="Q235" s="36" t="s">
        <v>29</v>
      </c>
      <c r="R235" s="63">
        <v>0.0</v>
      </c>
    </row>
    <row r="236" ht="14.25" customHeight="1">
      <c r="A236" s="78"/>
      <c r="B236" s="83">
        <v>220.0</v>
      </c>
      <c r="C236" s="45" t="s">
        <v>456</v>
      </c>
      <c r="D236" s="27" t="s">
        <v>457</v>
      </c>
      <c r="E236" s="27" t="s">
        <v>36</v>
      </c>
      <c r="F236" s="34" t="s">
        <v>45</v>
      </c>
      <c r="G236" s="38"/>
      <c r="H236" s="30">
        <v>36.0</v>
      </c>
      <c r="I236" s="31">
        <v>4.0</v>
      </c>
      <c r="J236" s="31">
        <v>24.0</v>
      </c>
      <c r="K236" s="31">
        <v>0.0</v>
      </c>
      <c r="L236" s="31">
        <v>0.0</v>
      </c>
      <c r="M236" s="31">
        <v>1.0</v>
      </c>
      <c r="N236" s="31" t="s">
        <v>427</v>
      </c>
      <c r="O236" s="31" t="s">
        <v>401</v>
      </c>
      <c r="P236" s="31">
        <v>100.0</v>
      </c>
      <c r="Q236" s="31" t="s">
        <v>29</v>
      </c>
      <c r="R236" s="61">
        <v>0.0</v>
      </c>
    </row>
    <row r="237" ht="14.25" customHeight="1">
      <c r="A237" s="78">
        <v>134.0</v>
      </c>
      <c r="B237" s="83">
        <v>221.0</v>
      </c>
      <c r="C237" s="45" t="s">
        <v>458</v>
      </c>
      <c r="D237" s="27" t="s">
        <v>459</v>
      </c>
      <c r="E237" s="27" t="s">
        <v>36</v>
      </c>
      <c r="F237" s="34" t="s">
        <v>45</v>
      </c>
      <c r="G237" s="38"/>
      <c r="H237" s="30">
        <v>80.0</v>
      </c>
      <c r="I237" s="31">
        <v>10.0</v>
      </c>
      <c r="J237" s="31">
        <v>53.0</v>
      </c>
      <c r="K237" s="31">
        <v>0.0</v>
      </c>
      <c r="L237" s="31">
        <v>0.0</v>
      </c>
      <c r="M237" s="31">
        <v>1.0</v>
      </c>
      <c r="N237" s="31" t="s">
        <v>427</v>
      </c>
      <c r="O237" s="31" t="s">
        <v>401</v>
      </c>
      <c r="P237" s="31">
        <v>100.0</v>
      </c>
      <c r="Q237" s="31" t="s">
        <v>29</v>
      </c>
      <c r="R237" s="61">
        <v>0.0</v>
      </c>
    </row>
    <row r="238" ht="14.25" customHeight="1">
      <c r="A238" s="78">
        <v>137.0</v>
      </c>
      <c r="B238" s="83">
        <v>222.0</v>
      </c>
      <c r="C238" s="45" t="s">
        <v>460</v>
      </c>
      <c r="D238" s="25" t="s">
        <v>461</v>
      </c>
      <c r="E238" s="27" t="s">
        <v>36</v>
      </c>
      <c r="F238" s="34" t="s">
        <v>45</v>
      </c>
      <c r="G238" s="39"/>
      <c r="H238" s="35">
        <v>24.0</v>
      </c>
      <c r="I238" s="36">
        <v>4.0</v>
      </c>
      <c r="J238" s="36">
        <v>16.0</v>
      </c>
      <c r="K238" s="36">
        <v>0.0</v>
      </c>
      <c r="L238" s="36">
        <v>0.0</v>
      </c>
      <c r="M238" s="36">
        <v>1.0</v>
      </c>
      <c r="N238" s="36" t="s">
        <v>432</v>
      </c>
      <c r="O238" s="36" t="s">
        <v>401</v>
      </c>
      <c r="P238" s="36">
        <v>100.0</v>
      </c>
      <c r="Q238" s="36" t="s">
        <v>29</v>
      </c>
      <c r="R238" s="63">
        <v>0.0</v>
      </c>
    </row>
    <row r="239" ht="14.25" customHeight="1">
      <c r="A239" s="78"/>
      <c r="B239" s="85"/>
      <c r="C239" s="86" t="s">
        <v>462</v>
      </c>
      <c r="D239" s="22"/>
      <c r="E239" s="22"/>
      <c r="F239" s="23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</row>
    <row r="240" ht="14.25" customHeight="1">
      <c r="A240" s="78">
        <v>138.0</v>
      </c>
      <c r="B240" s="60">
        <v>223.0</v>
      </c>
      <c r="C240" s="27" t="s">
        <v>463</v>
      </c>
      <c r="D240" s="40" t="s">
        <v>464</v>
      </c>
      <c r="E240" s="27" t="s">
        <v>25</v>
      </c>
      <c r="F240" s="34" t="s">
        <v>465</v>
      </c>
      <c r="G240" s="38"/>
      <c r="H240" s="30">
        <v>920.0</v>
      </c>
      <c r="I240" s="31">
        <v>100.0</v>
      </c>
      <c r="J240" s="31">
        <v>600.0</v>
      </c>
      <c r="K240" s="31">
        <v>1.0</v>
      </c>
      <c r="L240" s="31">
        <v>1.0</v>
      </c>
      <c r="M240" s="31">
        <v>0.0</v>
      </c>
      <c r="N240" s="31" t="s">
        <v>466</v>
      </c>
      <c r="O240" s="31">
        <v>0.0</v>
      </c>
      <c r="P240" s="31">
        <v>120.0</v>
      </c>
      <c r="Q240" s="31" t="s">
        <v>29</v>
      </c>
      <c r="R240" s="27" t="s">
        <v>401</v>
      </c>
    </row>
    <row r="241" ht="14.25" customHeight="1">
      <c r="A241" s="78">
        <v>139.0</v>
      </c>
      <c r="B241" s="62">
        <v>224.0</v>
      </c>
      <c r="C241" s="25" t="s">
        <v>467</v>
      </c>
      <c r="D241" s="44" t="s">
        <v>468</v>
      </c>
      <c r="E241" s="27" t="s">
        <v>25</v>
      </c>
      <c r="F241" s="34" t="s">
        <v>465</v>
      </c>
      <c r="G241" s="39"/>
      <c r="H241" s="35">
        <v>400.0</v>
      </c>
      <c r="I241" s="36">
        <v>50.0</v>
      </c>
      <c r="J241" s="36">
        <v>260.0</v>
      </c>
      <c r="K241" s="36">
        <v>1.0</v>
      </c>
      <c r="L241" s="36">
        <v>1.0</v>
      </c>
      <c r="M241" s="36">
        <v>0.0</v>
      </c>
      <c r="N241" s="36" t="s">
        <v>466</v>
      </c>
      <c r="O241" s="36">
        <v>0.0</v>
      </c>
      <c r="P241" s="36">
        <v>60.0</v>
      </c>
      <c r="Q241" s="36" t="s">
        <v>29</v>
      </c>
      <c r="R241" s="25" t="s">
        <v>401</v>
      </c>
    </row>
    <row r="242" ht="14.25" customHeight="1">
      <c r="A242" s="78">
        <v>140.0</v>
      </c>
      <c r="B242" s="60">
        <v>225.0</v>
      </c>
      <c r="C242" s="27" t="s">
        <v>469</v>
      </c>
      <c r="D242" s="40" t="s">
        <v>470</v>
      </c>
      <c r="E242" s="27" t="s">
        <v>25</v>
      </c>
      <c r="F242" s="34" t="s">
        <v>471</v>
      </c>
      <c r="G242" s="38"/>
      <c r="H242" s="30">
        <v>480.0</v>
      </c>
      <c r="I242" s="31">
        <v>64.0</v>
      </c>
      <c r="J242" s="31">
        <v>300.0</v>
      </c>
      <c r="K242" s="31">
        <v>1.0</v>
      </c>
      <c r="L242" s="31">
        <v>1.0</v>
      </c>
      <c r="M242" s="31">
        <v>0.0</v>
      </c>
      <c r="N242" s="31" t="s">
        <v>466</v>
      </c>
      <c r="O242" s="31">
        <v>0.0</v>
      </c>
      <c r="P242" s="31">
        <v>77.0</v>
      </c>
      <c r="Q242" s="31" t="s">
        <v>29</v>
      </c>
      <c r="R242" s="27" t="s">
        <v>401</v>
      </c>
    </row>
    <row r="243" ht="14.25" customHeight="1">
      <c r="A243" s="78">
        <v>141.0</v>
      </c>
      <c r="B243" s="60">
        <v>226.0</v>
      </c>
      <c r="C243" s="25" t="s">
        <v>472</v>
      </c>
      <c r="D243" s="44" t="s">
        <v>473</v>
      </c>
      <c r="E243" s="27" t="s">
        <v>25</v>
      </c>
      <c r="F243" s="34" t="s">
        <v>471</v>
      </c>
      <c r="G243" s="39"/>
      <c r="H243" s="35">
        <v>480.0</v>
      </c>
      <c r="I243" s="36">
        <v>64.0</v>
      </c>
      <c r="J243" s="36">
        <v>300.0</v>
      </c>
      <c r="K243" s="36">
        <v>1.0</v>
      </c>
      <c r="L243" s="36">
        <v>1.0</v>
      </c>
      <c r="M243" s="36">
        <v>0.0</v>
      </c>
      <c r="N243" s="36" t="s">
        <v>466</v>
      </c>
      <c r="O243" s="36">
        <v>0.0</v>
      </c>
      <c r="P243" s="36">
        <v>77.0</v>
      </c>
      <c r="Q243" s="36" t="s">
        <v>66</v>
      </c>
      <c r="R243" s="25">
        <v>15.0</v>
      </c>
    </row>
    <row r="244" ht="14.25" customHeight="1">
      <c r="A244" s="78">
        <v>142.0</v>
      </c>
      <c r="B244" s="62">
        <v>227.0</v>
      </c>
      <c r="C244" s="27" t="s">
        <v>474</v>
      </c>
      <c r="D244" s="40" t="s">
        <v>475</v>
      </c>
      <c r="E244" s="27" t="s">
        <v>25</v>
      </c>
      <c r="F244" s="34" t="s">
        <v>465</v>
      </c>
      <c r="G244" s="38"/>
      <c r="H244" s="30">
        <v>420.0</v>
      </c>
      <c r="I244" s="31">
        <v>56.0</v>
      </c>
      <c r="J244" s="31">
        <v>280.0</v>
      </c>
      <c r="K244" s="31">
        <v>1.0</v>
      </c>
      <c r="L244" s="31">
        <v>1.0</v>
      </c>
      <c r="M244" s="31">
        <v>0.0</v>
      </c>
      <c r="N244" s="31" t="s">
        <v>466</v>
      </c>
      <c r="O244" s="31">
        <v>0.0</v>
      </c>
      <c r="P244" s="31">
        <v>67.0</v>
      </c>
      <c r="Q244" s="31" t="s">
        <v>66</v>
      </c>
      <c r="R244" s="27">
        <v>15.0</v>
      </c>
    </row>
    <row r="245" ht="14.25" customHeight="1">
      <c r="A245" s="78">
        <v>143.0</v>
      </c>
      <c r="B245" s="60">
        <v>228.0</v>
      </c>
      <c r="C245" s="25" t="s">
        <v>476</v>
      </c>
      <c r="D245" s="44" t="s">
        <v>477</v>
      </c>
      <c r="E245" s="27" t="s">
        <v>25</v>
      </c>
      <c r="F245" s="34" t="s">
        <v>465</v>
      </c>
      <c r="G245" s="39"/>
      <c r="H245" s="35">
        <v>640.0</v>
      </c>
      <c r="I245" s="36">
        <v>80.0</v>
      </c>
      <c r="J245" s="36">
        <v>420.0</v>
      </c>
      <c r="K245" s="36">
        <v>1.0</v>
      </c>
      <c r="L245" s="36">
        <v>1.0</v>
      </c>
      <c r="M245" s="36">
        <v>0.0</v>
      </c>
      <c r="N245" s="36" t="s">
        <v>466</v>
      </c>
      <c r="O245" s="36">
        <v>0.0</v>
      </c>
      <c r="P245" s="36">
        <v>96.0</v>
      </c>
      <c r="Q245" s="36" t="s">
        <v>29</v>
      </c>
      <c r="R245" s="25" t="s">
        <v>401</v>
      </c>
    </row>
    <row r="246" ht="14.25" customHeight="1">
      <c r="A246" s="78">
        <v>144.0</v>
      </c>
      <c r="B246" s="60">
        <v>229.0</v>
      </c>
      <c r="C246" s="27" t="s">
        <v>478</v>
      </c>
      <c r="D246" s="40" t="s">
        <v>479</v>
      </c>
      <c r="E246" s="27" t="s">
        <v>25</v>
      </c>
      <c r="F246" s="34" t="s">
        <v>465</v>
      </c>
      <c r="G246" s="38"/>
      <c r="H246" s="30">
        <v>640.0</v>
      </c>
      <c r="I246" s="31">
        <v>80.0</v>
      </c>
      <c r="J246" s="31">
        <v>420.0</v>
      </c>
      <c r="K246" s="31">
        <v>1.0</v>
      </c>
      <c r="L246" s="31">
        <v>1.0</v>
      </c>
      <c r="M246" s="31">
        <v>0.0</v>
      </c>
      <c r="N246" s="31" t="s">
        <v>466</v>
      </c>
      <c r="O246" s="31">
        <v>0.0</v>
      </c>
      <c r="P246" s="31">
        <v>96.0</v>
      </c>
      <c r="Q246" s="31" t="s">
        <v>29</v>
      </c>
      <c r="R246" s="27" t="s">
        <v>401</v>
      </c>
    </row>
    <row r="247" ht="14.25" customHeight="1">
      <c r="A247" s="78">
        <v>145.0</v>
      </c>
      <c r="B247" s="62">
        <v>230.0</v>
      </c>
      <c r="C247" s="25" t="s">
        <v>480</v>
      </c>
      <c r="D247" s="44" t="s">
        <v>481</v>
      </c>
      <c r="E247" s="27" t="s">
        <v>25</v>
      </c>
      <c r="F247" s="34" t="s">
        <v>465</v>
      </c>
      <c r="G247" s="39"/>
      <c r="H247" s="35">
        <v>400.0</v>
      </c>
      <c r="I247" s="36">
        <v>50.0</v>
      </c>
      <c r="J247" s="36">
        <v>260.0</v>
      </c>
      <c r="K247" s="36">
        <v>1.0</v>
      </c>
      <c r="L247" s="36">
        <v>1.0</v>
      </c>
      <c r="M247" s="36">
        <v>0.0</v>
      </c>
      <c r="N247" s="36" t="s">
        <v>466</v>
      </c>
      <c r="O247" s="36">
        <v>0.0</v>
      </c>
      <c r="P247" s="36">
        <v>60.0</v>
      </c>
      <c r="Q247" s="36" t="s">
        <v>29</v>
      </c>
      <c r="R247" s="25" t="s">
        <v>401</v>
      </c>
    </row>
    <row r="248" ht="14.25" customHeight="1">
      <c r="A248" s="78">
        <v>146.0</v>
      </c>
      <c r="B248" s="60">
        <v>231.0</v>
      </c>
      <c r="C248" s="27" t="s">
        <v>482</v>
      </c>
      <c r="D248" s="40" t="s">
        <v>483</v>
      </c>
      <c r="E248" s="27" t="s">
        <v>25</v>
      </c>
      <c r="F248" s="34" t="s">
        <v>465</v>
      </c>
      <c r="G248" s="38"/>
      <c r="H248" s="30">
        <v>400.0</v>
      </c>
      <c r="I248" s="31">
        <v>50.0</v>
      </c>
      <c r="J248" s="31">
        <v>260.0</v>
      </c>
      <c r="K248" s="31">
        <v>1.0</v>
      </c>
      <c r="L248" s="31">
        <v>1.0</v>
      </c>
      <c r="M248" s="31">
        <v>0.0</v>
      </c>
      <c r="N248" s="31" t="s">
        <v>466</v>
      </c>
      <c r="O248" s="31">
        <v>0.0</v>
      </c>
      <c r="P248" s="31">
        <v>60.0</v>
      </c>
      <c r="Q248" s="31" t="s">
        <v>29</v>
      </c>
      <c r="R248" s="27" t="s">
        <v>401</v>
      </c>
    </row>
    <row r="249" ht="14.25" customHeight="1">
      <c r="A249" s="78">
        <v>147.0</v>
      </c>
      <c r="B249" s="60">
        <v>232.0</v>
      </c>
      <c r="C249" s="25" t="s">
        <v>484</v>
      </c>
      <c r="D249" s="44" t="s">
        <v>485</v>
      </c>
      <c r="E249" s="27" t="s">
        <v>25</v>
      </c>
      <c r="F249" s="34" t="s">
        <v>471</v>
      </c>
      <c r="G249" s="39"/>
      <c r="H249" s="35">
        <v>1104.0</v>
      </c>
      <c r="I249" s="36">
        <v>140.0</v>
      </c>
      <c r="J249" s="36">
        <v>720.0</v>
      </c>
      <c r="K249" s="36">
        <v>1.0</v>
      </c>
      <c r="L249" s="36">
        <v>1.0</v>
      </c>
      <c r="M249" s="36">
        <v>0.0</v>
      </c>
      <c r="N249" s="36" t="s">
        <v>466</v>
      </c>
      <c r="O249" s="36">
        <v>0.0</v>
      </c>
      <c r="P249" s="36">
        <v>160.0</v>
      </c>
      <c r="Q249" s="36" t="s">
        <v>29</v>
      </c>
      <c r="R249" s="25" t="s">
        <v>401</v>
      </c>
    </row>
    <row r="250" ht="14.25" customHeight="1">
      <c r="A250" s="78">
        <v>148.0</v>
      </c>
      <c r="B250" s="62">
        <v>233.0</v>
      </c>
      <c r="C250" s="27" t="s">
        <v>486</v>
      </c>
      <c r="D250" s="40" t="s">
        <v>487</v>
      </c>
      <c r="E250" s="27" t="s">
        <v>25</v>
      </c>
      <c r="F250" s="34" t="s">
        <v>471</v>
      </c>
      <c r="G250" s="38"/>
      <c r="H250" s="30">
        <v>560.0</v>
      </c>
      <c r="I250" s="31">
        <v>70.0</v>
      </c>
      <c r="J250" s="31">
        <v>370.0</v>
      </c>
      <c r="K250" s="31">
        <v>1.0</v>
      </c>
      <c r="L250" s="31">
        <v>1.0</v>
      </c>
      <c r="M250" s="31">
        <v>0.0</v>
      </c>
      <c r="N250" s="31" t="s">
        <v>466</v>
      </c>
      <c r="O250" s="31">
        <v>0.0</v>
      </c>
      <c r="P250" s="31">
        <v>84.0</v>
      </c>
      <c r="Q250" s="31" t="s">
        <v>29</v>
      </c>
      <c r="R250" s="27" t="s">
        <v>401</v>
      </c>
    </row>
    <row r="251" ht="14.25" customHeight="1">
      <c r="A251" s="78"/>
      <c r="B251" s="20"/>
      <c r="C251" s="21" t="s">
        <v>488</v>
      </c>
      <c r="D251" s="22"/>
      <c r="E251" s="22"/>
      <c r="F251" s="23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</row>
    <row r="252" ht="14.25" customHeight="1">
      <c r="A252" s="78">
        <v>149.0</v>
      </c>
      <c r="B252" s="60">
        <v>234.0</v>
      </c>
      <c r="C252" s="27" t="s">
        <v>63</v>
      </c>
      <c r="D252" s="40" t="s">
        <v>489</v>
      </c>
      <c r="E252" s="27" t="s">
        <v>25</v>
      </c>
      <c r="F252" s="34" t="s">
        <v>45</v>
      </c>
      <c r="G252" s="38"/>
      <c r="H252" s="30">
        <v>3000.0</v>
      </c>
      <c r="I252" s="31">
        <v>141.0</v>
      </c>
      <c r="J252" s="31">
        <v>750.0</v>
      </c>
      <c r="K252" s="31">
        <v>1.0</v>
      </c>
      <c r="L252" s="31">
        <v>1.0</v>
      </c>
      <c r="M252" s="31">
        <v>1.0</v>
      </c>
      <c r="N252" s="31" t="s">
        <v>490</v>
      </c>
      <c r="O252" s="31" t="s">
        <v>138</v>
      </c>
      <c r="P252" s="31">
        <v>6000.0</v>
      </c>
      <c r="Q252" s="31" t="s">
        <v>29</v>
      </c>
      <c r="R252" s="27" t="s">
        <v>401</v>
      </c>
    </row>
    <row r="253" ht="14.25" customHeight="1">
      <c r="A253" s="78">
        <v>150.0</v>
      </c>
      <c r="B253" s="60">
        <v>235.0</v>
      </c>
      <c r="C253" s="27" t="s">
        <v>491</v>
      </c>
      <c r="D253" s="27" t="s">
        <v>492</v>
      </c>
      <c r="E253" s="27" t="s">
        <v>25</v>
      </c>
      <c r="F253" s="34" t="s">
        <v>45</v>
      </c>
      <c r="G253" s="38"/>
      <c r="H253" s="30">
        <v>100.0</v>
      </c>
      <c r="I253" s="31">
        <v>9.0</v>
      </c>
      <c r="J253" s="31">
        <v>50.0</v>
      </c>
      <c r="K253" s="31">
        <v>1.0</v>
      </c>
      <c r="L253" s="31">
        <v>1.0</v>
      </c>
      <c r="M253" s="31">
        <v>1.0</v>
      </c>
      <c r="N253" s="31" t="s">
        <v>493</v>
      </c>
      <c r="O253" s="31" t="s">
        <v>138</v>
      </c>
      <c r="P253" s="31">
        <v>200.0</v>
      </c>
      <c r="Q253" s="31" t="s">
        <v>29</v>
      </c>
      <c r="R253" s="27" t="s">
        <v>401</v>
      </c>
    </row>
    <row r="254" ht="14.25" customHeight="1">
      <c r="A254" s="78">
        <v>151.0</v>
      </c>
      <c r="B254" s="60">
        <v>236.0</v>
      </c>
      <c r="C254" s="25" t="s">
        <v>494</v>
      </c>
      <c r="D254" s="25" t="s">
        <v>495</v>
      </c>
      <c r="E254" s="27" t="s">
        <v>25</v>
      </c>
      <c r="F254" s="34" t="s">
        <v>45</v>
      </c>
      <c r="G254" s="39"/>
      <c r="H254" s="35">
        <v>240.0</v>
      </c>
      <c r="I254" s="36">
        <v>23.0</v>
      </c>
      <c r="J254" s="36">
        <v>120.0</v>
      </c>
      <c r="K254" s="36">
        <v>1.0</v>
      </c>
      <c r="L254" s="36">
        <v>1.0</v>
      </c>
      <c r="M254" s="36">
        <v>1.0</v>
      </c>
      <c r="N254" s="36" t="s">
        <v>496</v>
      </c>
      <c r="O254" s="36" t="s">
        <v>138</v>
      </c>
      <c r="P254" s="36">
        <v>200.0</v>
      </c>
      <c r="Q254" s="36" t="s">
        <v>29</v>
      </c>
      <c r="R254" s="27" t="s">
        <v>401</v>
      </c>
    </row>
    <row r="255" ht="14.25" customHeight="1">
      <c r="A255" s="78">
        <v>152.0</v>
      </c>
      <c r="B255" s="60">
        <v>237.0</v>
      </c>
      <c r="C255" s="27" t="s">
        <v>497</v>
      </c>
      <c r="D255" s="27" t="s">
        <v>498</v>
      </c>
      <c r="E255" s="27" t="s">
        <v>25</v>
      </c>
      <c r="F255" s="34" t="s">
        <v>45</v>
      </c>
      <c r="G255" s="38"/>
      <c r="H255" s="30">
        <v>450.0</v>
      </c>
      <c r="I255" s="31">
        <v>42.0</v>
      </c>
      <c r="J255" s="31">
        <v>225.0</v>
      </c>
      <c r="K255" s="31">
        <v>1.0</v>
      </c>
      <c r="L255" s="31">
        <v>1.0</v>
      </c>
      <c r="M255" s="31">
        <v>1.0</v>
      </c>
      <c r="N255" s="31" t="s">
        <v>496</v>
      </c>
      <c r="O255" s="31" t="s">
        <v>138</v>
      </c>
      <c r="P255" s="31">
        <v>200.0</v>
      </c>
      <c r="Q255" s="31" t="s">
        <v>29</v>
      </c>
      <c r="R255" s="27" t="s">
        <v>401</v>
      </c>
    </row>
    <row r="256" ht="14.25" customHeight="1">
      <c r="A256" s="78">
        <v>153.0</v>
      </c>
      <c r="B256" s="60">
        <v>238.0</v>
      </c>
      <c r="C256" s="25" t="s">
        <v>499</v>
      </c>
      <c r="D256" s="25" t="s">
        <v>500</v>
      </c>
      <c r="E256" s="27" t="s">
        <v>25</v>
      </c>
      <c r="F256" s="34" t="s">
        <v>45</v>
      </c>
      <c r="G256" s="39"/>
      <c r="H256" s="35">
        <v>450.0</v>
      </c>
      <c r="I256" s="36">
        <v>42.0</v>
      </c>
      <c r="J256" s="36">
        <v>225.0</v>
      </c>
      <c r="K256" s="36">
        <v>1.0</v>
      </c>
      <c r="L256" s="36">
        <v>1.0</v>
      </c>
      <c r="M256" s="36">
        <v>1.0</v>
      </c>
      <c r="N256" s="36" t="s">
        <v>496</v>
      </c>
      <c r="O256" s="36" t="s">
        <v>138</v>
      </c>
      <c r="P256" s="36">
        <v>200.0</v>
      </c>
      <c r="Q256" s="36" t="s">
        <v>29</v>
      </c>
      <c r="R256" s="27" t="s">
        <v>401</v>
      </c>
    </row>
    <row r="257" ht="14.25" customHeight="1">
      <c r="A257" s="78">
        <v>154.0</v>
      </c>
      <c r="B257" s="60">
        <v>239.0</v>
      </c>
      <c r="C257" s="27" t="s">
        <v>501</v>
      </c>
      <c r="D257" s="25" t="s">
        <v>502</v>
      </c>
      <c r="E257" s="27" t="s">
        <v>25</v>
      </c>
      <c r="F257" s="34" t="s">
        <v>45</v>
      </c>
      <c r="G257" s="39"/>
      <c r="H257" s="30">
        <v>240.0</v>
      </c>
      <c r="I257" s="31">
        <v>23.0</v>
      </c>
      <c r="J257" s="31">
        <v>120.0</v>
      </c>
      <c r="K257" s="31">
        <v>1.0</v>
      </c>
      <c r="L257" s="31">
        <v>1.0</v>
      </c>
      <c r="M257" s="31">
        <v>1.0</v>
      </c>
      <c r="N257" s="36" t="s">
        <v>496</v>
      </c>
      <c r="O257" s="36" t="s">
        <v>138</v>
      </c>
      <c r="P257" s="31">
        <v>200.0</v>
      </c>
      <c r="Q257" s="31" t="s">
        <v>29</v>
      </c>
      <c r="R257" s="27" t="s">
        <v>401</v>
      </c>
    </row>
    <row r="258" ht="14.25" customHeight="1">
      <c r="A258" s="78">
        <v>155.0</v>
      </c>
      <c r="B258" s="60">
        <v>240.0</v>
      </c>
      <c r="C258" s="27" t="s">
        <v>503</v>
      </c>
      <c r="D258" s="27" t="s">
        <v>504</v>
      </c>
      <c r="E258" s="27" t="s">
        <v>25</v>
      </c>
      <c r="F258" s="34" t="s">
        <v>45</v>
      </c>
      <c r="G258" s="38"/>
      <c r="H258" s="30">
        <v>96.0</v>
      </c>
      <c r="I258" s="31">
        <v>9.0</v>
      </c>
      <c r="J258" s="31">
        <v>50.0</v>
      </c>
      <c r="K258" s="31">
        <v>1.0</v>
      </c>
      <c r="L258" s="31">
        <v>1.0</v>
      </c>
      <c r="M258" s="31">
        <v>1.0</v>
      </c>
      <c r="N258" s="31" t="s">
        <v>493</v>
      </c>
      <c r="O258" s="36" t="s">
        <v>138</v>
      </c>
      <c r="P258" s="31">
        <v>100.0</v>
      </c>
      <c r="Q258" s="31" t="s">
        <v>29</v>
      </c>
      <c r="R258" s="27" t="s">
        <v>401</v>
      </c>
    </row>
    <row r="259" ht="14.25" customHeight="1">
      <c r="A259" s="78">
        <v>156.0</v>
      </c>
      <c r="B259" s="60">
        <v>241.0</v>
      </c>
      <c r="C259" s="25" t="s">
        <v>505</v>
      </c>
      <c r="D259" s="25" t="s">
        <v>506</v>
      </c>
      <c r="E259" s="27" t="s">
        <v>25</v>
      </c>
      <c r="F259" s="34" t="s">
        <v>45</v>
      </c>
      <c r="G259" s="39"/>
      <c r="H259" s="35">
        <v>56.0</v>
      </c>
      <c r="I259" s="36">
        <v>4.0</v>
      </c>
      <c r="J259" s="36">
        <v>15.0</v>
      </c>
      <c r="K259" s="36">
        <v>1.0</v>
      </c>
      <c r="L259" s="36">
        <v>1.0</v>
      </c>
      <c r="M259" s="36">
        <v>1.0</v>
      </c>
      <c r="N259" s="36" t="s">
        <v>496</v>
      </c>
      <c r="O259" s="36" t="s">
        <v>138</v>
      </c>
      <c r="P259" s="36">
        <v>100.0</v>
      </c>
      <c r="Q259" s="36" t="s">
        <v>29</v>
      </c>
      <c r="R259" s="27" t="s">
        <v>401</v>
      </c>
    </row>
    <row r="260" ht="14.25" customHeight="1">
      <c r="A260" s="78">
        <v>157.0</v>
      </c>
      <c r="B260" s="60">
        <v>242.0</v>
      </c>
      <c r="C260" s="27" t="s">
        <v>507</v>
      </c>
      <c r="D260" s="25" t="s">
        <v>506</v>
      </c>
      <c r="E260" s="27" t="s">
        <v>25</v>
      </c>
      <c r="F260" s="34" t="s">
        <v>45</v>
      </c>
      <c r="G260" s="39"/>
      <c r="H260" s="30">
        <v>630.0</v>
      </c>
      <c r="I260" s="31">
        <v>28.0</v>
      </c>
      <c r="J260" s="31">
        <v>150.0</v>
      </c>
      <c r="K260" s="31">
        <v>1.0</v>
      </c>
      <c r="L260" s="31">
        <v>1.0</v>
      </c>
      <c r="M260" s="31">
        <v>1.0</v>
      </c>
      <c r="N260" s="36" t="s">
        <v>496</v>
      </c>
      <c r="O260" s="36" t="s">
        <v>138</v>
      </c>
      <c r="P260" s="31">
        <v>500.0</v>
      </c>
      <c r="Q260" s="31" t="s">
        <v>66</v>
      </c>
      <c r="R260" s="27">
        <v>20.0</v>
      </c>
    </row>
    <row r="261" ht="14.25" customHeight="1">
      <c r="A261" s="78">
        <v>158.0</v>
      </c>
      <c r="B261" s="60">
        <v>243.0</v>
      </c>
      <c r="C261" s="27" t="s">
        <v>508</v>
      </c>
      <c r="D261" s="27" t="s">
        <v>492</v>
      </c>
      <c r="E261" s="27" t="s">
        <v>25</v>
      </c>
      <c r="F261" s="34" t="s">
        <v>45</v>
      </c>
      <c r="G261" s="38"/>
      <c r="H261" s="30">
        <v>245.0</v>
      </c>
      <c r="I261" s="31">
        <v>11.0</v>
      </c>
      <c r="J261" s="31">
        <v>60.0</v>
      </c>
      <c r="K261" s="31">
        <v>1.0</v>
      </c>
      <c r="L261" s="31">
        <v>1.0</v>
      </c>
      <c r="M261" s="31">
        <v>1.0</v>
      </c>
      <c r="N261" s="31" t="s">
        <v>496</v>
      </c>
      <c r="O261" s="36" t="s">
        <v>138</v>
      </c>
      <c r="P261" s="31">
        <v>200.0</v>
      </c>
      <c r="Q261" s="31" t="s">
        <v>29</v>
      </c>
      <c r="R261" s="27" t="s">
        <v>401</v>
      </c>
    </row>
    <row r="262" ht="14.25" customHeight="1">
      <c r="A262" s="78">
        <v>159.0</v>
      </c>
      <c r="B262" s="60">
        <v>244.0</v>
      </c>
      <c r="C262" s="27" t="s">
        <v>509</v>
      </c>
      <c r="D262" s="27" t="s">
        <v>510</v>
      </c>
      <c r="E262" s="27" t="s">
        <v>25</v>
      </c>
      <c r="F262" s="34" t="s">
        <v>45</v>
      </c>
      <c r="G262" s="38"/>
      <c r="H262" s="30">
        <v>56.0</v>
      </c>
      <c r="I262" s="31">
        <v>4.0</v>
      </c>
      <c r="J262" s="31">
        <v>15.0</v>
      </c>
      <c r="K262" s="31">
        <v>1.0</v>
      </c>
      <c r="L262" s="31">
        <v>1.0</v>
      </c>
      <c r="M262" s="31">
        <v>1.0</v>
      </c>
      <c r="N262" s="31" t="s">
        <v>496</v>
      </c>
      <c r="O262" s="36" t="s">
        <v>138</v>
      </c>
      <c r="P262" s="31">
        <v>100.0</v>
      </c>
      <c r="Q262" s="31" t="s">
        <v>29</v>
      </c>
      <c r="R262" s="27" t="s">
        <v>401</v>
      </c>
    </row>
    <row r="263" ht="14.25" customHeight="1">
      <c r="A263" s="78">
        <v>160.0</v>
      </c>
      <c r="B263" s="60">
        <v>245.0</v>
      </c>
      <c r="C263" s="25" t="s">
        <v>511</v>
      </c>
      <c r="D263" s="25" t="s">
        <v>512</v>
      </c>
      <c r="E263" s="27" t="s">
        <v>25</v>
      </c>
      <c r="F263" s="34" t="s">
        <v>45</v>
      </c>
      <c r="G263" s="39"/>
      <c r="H263" s="35">
        <v>290.0</v>
      </c>
      <c r="I263" s="36">
        <v>13.0</v>
      </c>
      <c r="J263" s="36">
        <v>70.0</v>
      </c>
      <c r="K263" s="36">
        <v>1.0</v>
      </c>
      <c r="L263" s="36">
        <v>1.0</v>
      </c>
      <c r="M263" s="36">
        <v>1.0</v>
      </c>
      <c r="N263" s="36" t="s">
        <v>493</v>
      </c>
      <c r="O263" s="36" t="s">
        <v>138</v>
      </c>
      <c r="P263" s="36">
        <v>200.0</v>
      </c>
      <c r="Q263" s="36" t="s">
        <v>29</v>
      </c>
      <c r="R263" s="27" t="s">
        <v>401</v>
      </c>
    </row>
    <row r="264" ht="14.25" customHeight="1">
      <c r="A264" s="78">
        <v>161.0</v>
      </c>
      <c r="B264" s="60">
        <v>246.0</v>
      </c>
      <c r="C264" s="27" t="s">
        <v>513</v>
      </c>
      <c r="D264" s="27" t="s">
        <v>514</v>
      </c>
      <c r="E264" s="27" t="s">
        <v>25</v>
      </c>
      <c r="F264" s="34" t="s">
        <v>45</v>
      </c>
      <c r="G264" s="38"/>
      <c r="H264" s="30">
        <v>560.0</v>
      </c>
      <c r="I264" s="31">
        <v>27.0</v>
      </c>
      <c r="J264" s="31">
        <v>140.0</v>
      </c>
      <c r="K264" s="31">
        <v>1.0</v>
      </c>
      <c r="L264" s="31">
        <v>1.0</v>
      </c>
      <c r="M264" s="31">
        <v>1.0</v>
      </c>
      <c r="N264" s="31" t="s">
        <v>496</v>
      </c>
      <c r="O264" s="31" t="s">
        <v>138</v>
      </c>
      <c r="P264" s="31">
        <v>200.0</v>
      </c>
      <c r="Q264" s="31" t="s">
        <v>29</v>
      </c>
      <c r="R264" s="27" t="s">
        <v>401</v>
      </c>
    </row>
    <row r="265" ht="14.25" customHeight="1">
      <c r="A265" s="78">
        <v>162.0</v>
      </c>
      <c r="B265" s="60">
        <v>247.0</v>
      </c>
      <c r="C265" s="27" t="s">
        <v>515</v>
      </c>
      <c r="D265" s="27" t="s">
        <v>514</v>
      </c>
      <c r="E265" s="27" t="s">
        <v>25</v>
      </c>
      <c r="F265" s="34" t="s">
        <v>45</v>
      </c>
      <c r="G265" s="38"/>
      <c r="H265" s="30">
        <v>168.0</v>
      </c>
      <c r="I265" s="31">
        <v>7.0</v>
      </c>
      <c r="J265" s="31">
        <v>42.0</v>
      </c>
      <c r="K265" s="31">
        <v>1.0</v>
      </c>
      <c r="L265" s="31">
        <v>1.0</v>
      </c>
      <c r="M265" s="31">
        <v>1.0</v>
      </c>
      <c r="N265" s="31" t="s">
        <v>496</v>
      </c>
      <c r="O265" s="31" t="s">
        <v>138</v>
      </c>
      <c r="P265" s="31">
        <v>200.0</v>
      </c>
      <c r="Q265" s="31" t="s">
        <v>29</v>
      </c>
      <c r="R265" s="27" t="s">
        <v>401</v>
      </c>
    </row>
    <row r="266" ht="14.25" customHeight="1">
      <c r="A266" s="78">
        <v>163.0</v>
      </c>
      <c r="B266" s="60">
        <v>248.0</v>
      </c>
      <c r="C266" s="25" t="s">
        <v>516</v>
      </c>
      <c r="D266" s="25" t="s">
        <v>517</v>
      </c>
      <c r="E266" s="27" t="s">
        <v>25</v>
      </c>
      <c r="F266" s="34" t="s">
        <v>45</v>
      </c>
      <c r="G266" s="39"/>
      <c r="H266" s="35">
        <v>63.0</v>
      </c>
      <c r="I266" s="36">
        <v>4.0</v>
      </c>
      <c r="J266" s="36">
        <v>15.0</v>
      </c>
      <c r="K266" s="36">
        <v>1.0</v>
      </c>
      <c r="L266" s="36">
        <v>1.0</v>
      </c>
      <c r="M266" s="36">
        <v>1.0</v>
      </c>
      <c r="N266" s="36" t="s">
        <v>496</v>
      </c>
      <c r="O266" s="36" t="s">
        <v>138</v>
      </c>
      <c r="P266" s="36">
        <v>100.0</v>
      </c>
      <c r="Q266" s="36" t="s">
        <v>29</v>
      </c>
      <c r="R266" s="27" t="s">
        <v>401</v>
      </c>
    </row>
    <row r="267" ht="14.25" customHeight="1">
      <c r="A267" s="78">
        <v>164.0</v>
      </c>
      <c r="B267" s="60">
        <v>249.0</v>
      </c>
      <c r="C267" s="27" t="s">
        <v>518</v>
      </c>
      <c r="D267" s="27" t="s">
        <v>500</v>
      </c>
      <c r="E267" s="27" t="s">
        <v>25</v>
      </c>
      <c r="F267" s="34" t="s">
        <v>45</v>
      </c>
      <c r="G267" s="38"/>
      <c r="H267" s="30">
        <v>70.0</v>
      </c>
      <c r="I267" s="31">
        <v>9.0</v>
      </c>
      <c r="J267" s="31">
        <v>50.0</v>
      </c>
      <c r="K267" s="31">
        <v>1.0</v>
      </c>
      <c r="L267" s="31">
        <v>1.0</v>
      </c>
      <c r="M267" s="31">
        <v>1.0</v>
      </c>
      <c r="N267" s="31" t="s">
        <v>490</v>
      </c>
      <c r="O267" s="31" t="s">
        <v>138</v>
      </c>
      <c r="P267" s="31">
        <v>100.0</v>
      </c>
      <c r="Q267" s="31" t="s">
        <v>29</v>
      </c>
      <c r="R267" s="27" t="s">
        <v>401</v>
      </c>
    </row>
    <row r="268" ht="14.25" customHeight="1">
      <c r="A268" s="78"/>
      <c r="B268" s="20"/>
      <c r="C268" s="21" t="s">
        <v>519</v>
      </c>
      <c r="D268" s="22"/>
      <c r="E268" s="22"/>
      <c r="F268" s="23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</row>
    <row r="269" ht="14.25" customHeight="1">
      <c r="A269" s="78">
        <v>168.0</v>
      </c>
      <c r="B269" s="60">
        <v>250.0</v>
      </c>
      <c r="C269" s="27" t="s">
        <v>520</v>
      </c>
      <c r="D269" s="27" t="s">
        <v>521</v>
      </c>
      <c r="E269" s="27" t="s">
        <v>25</v>
      </c>
      <c r="F269" s="65" t="s">
        <v>189</v>
      </c>
      <c r="G269" s="27"/>
      <c r="H269" s="87">
        <v>1028.0</v>
      </c>
      <c r="I269" s="31">
        <v>128.0</v>
      </c>
      <c r="J269" s="31">
        <v>514.0</v>
      </c>
      <c r="K269" s="31">
        <v>3.0</v>
      </c>
      <c r="L269" s="31">
        <v>4.0</v>
      </c>
      <c r="M269" s="31">
        <v>2.0</v>
      </c>
      <c r="N269" s="31" t="s">
        <v>522</v>
      </c>
      <c r="O269" s="31" t="s">
        <v>523</v>
      </c>
      <c r="P269" s="31">
        <v>500.0</v>
      </c>
      <c r="Q269" s="31" t="s">
        <v>29</v>
      </c>
      <c r="R269" s="27" t="s">
        <v>401</v>
      </c>
    </row>
    <row r="270" ht="14.25" customHeight="1">
      <c r="A270" s="78"/>
      <c r="B270" s="60">
        <v>251.0</v>
      </c>
      <c r="C270" s="27" t="s">
        <v>524</v>
      </c>
      <c r="D270" s="27" t="s">
        <v>525</v>
      </c>
      <c r="E270" s="27" t="s">
        <v>25</v>
      </c>
      <c r="F270" s="65" t="s">
        <v>189</v>
      </c>
      <c r="G270" s="27"/>
      <c r="H270" s="87">
        <v>819.0</v>
      </c>
      <c r="I270" s="32" t="s">
        <v>526</v>
      </c>
      <c r="J270" s="32">
        <v>455.0</v>
      </c>
      <c r="K270" s="31">
        <v>1.0</v>
      </c>
      <c r="L270" s="31">
        <v>1.0</v>
      </c>
      <c r="M270" s="31">
        <v>2.0</v>
      </c>
      <c r="N270" s="31" t="s">
        <v>522</v>
      </c>
      <c r="O270" s="31" t="s">
        <v>523</v>
      </c>
      <c r="P270" s="31">
        <v>500.0</v>
      </c>
      <c r="Q270" s="32" t="s">
        <v>29</v>
      </c>
      <c r="R270" s="27" t="s">
        <v>401</v>
      </c>
    </row>
    <row r="271" ht="14.25" customHeight="1">
      <c r="A271" s="78"/>
      <c r="B271" s="60">
        <v>252.0</v>
      </c>
      <c r="C271" s="27" t="s">
        <v>527</v>
      </c>
      <c r="D271" s="27" t="s">
        <v>528</v>
      </c>
      <c r="E271" s="27" t="s">
        <v>25</v>
      </c>
      <c r="F271" s="65" t="s">
        <v>189</v>
      </c>
      <c r="G271" s="27"/>
      <c r="H271" s="87">
        <v>882.0</v>
      </c>
      <c r="I271" s="32" t="s">
        <v>526</v>
      </c>
      <c r="J271" s="32">
        <v>392.0</v>
      </c>
      <c r="K271" s="32">
        <v>0.0</v>
      </c>
      <c r="L271" s="32">
        <v>0.0</v>
      </c>
      <c r="M271" s="32">
        <v>15.0</v>
      </c>
      <c r="N271" s="31" t="s">
        <v>522</v>
      </c>
      <c r="O271" s="31" t="s">
        <v>523</v>
      </c>
      <c r="P271" s="31">
        <v>500.0</v>
      </c>
      <c r="Q271" s="32" t="s">
        <v>29</v>
      </c>
      <c r="R271" s="27" t="s">
        <v>401</v>
      </c>
    </row>
    <row r="272" ht="14.25" customHeight="1">
      <c r="A272" s="78"/>
      <c r="B272" s="60">
        <v>253.0</v>
      </c>
      <c r="C272" s="27" t="s">
        <v>529</v>
      </c>
      <c r="D272" s="27" t="s">
        <v>530</v>
      </c>
      <c r="E272" s="27" t="s">
        <v>25</v>
      </c>
      <c r="F272" s="65" t="s">
        <v>189</v>
      </c>
      <c r="G272" s="27"/>
      <c r="H272" s="87">
        <v>1449.0</v>
      </c>
      <c r="I272" s="32" t="s">
        <v>526</v>
      </c>
      <c r="J272" s="32">
        <v>805.0</v>
      </c>
      <c r="K272" s="32">
        <v>0.0</v>
      </c>
      <c r="L272" s="32">
        <v>0.0</v>
      </c>
      <c r="M272" s="32">
        <v>23.0</v>
      </c>
      <c r="N272" s="31" t="s">
        <v>522</v>
      </c>
      <c r="O272" s="31" t="s">
        <v>523</v>
      </c>
      <c r="P272" s="31">
        <v>500.0</v>
      </c>
      <c r="Q272" s="32" t="s">
        <v>29</v>
      </c>
      <c r="R272" s="27" t="s">
        <v>401</v>
      </c>
    </row>
    <row r="273" ht="14.25" customHeight="1">
      <c r="A273" s="78"/>
      <c r="B273" s="60">
        <v>254.0</v>
      </c>
      <c r="C273" s="27" t="s">
        <v>531</v>
      </c>
      <c r="D273" s="27" t="s">
        <v>532</v>
      </c>
      <c r="E273" s="27" t="s">
        <v>25</v>
      </c>
      <c r="F273" s="65" t="s">
        <v>189</v>
      </c>
      <c r="G273" s="27"/>
      <c r="H273" s="87">
        <v>315.0</v>
      </c>
      <c r="I273" s="32" t="s">
        <v>526</v>
      </c>
      <c r="J273" s="32">
        <v>63.0</v>
      </c>
      <c r="K273" s="32">
        <v>0.0</v>
      </c>
      <c r="L273" s="32">
        <v>0.0</v>
      </c>
      <c r="M273" s="32">
        <v>3.0</v>
      </c>
      <c r="N273" s="31" t="s">
        <v>522</v>
      </c>
      <c r="O273" s="31" t="s">
        <v>523</v>
      </c>
      <c r="P273" s="31">
        <v>500.0</v>
      </c>
      <c r="Q273" s="32" t="s">
        <v>29</v>
      </c>
      <c r="R273" s="27" t="s">
        <v>401</v>
      </c>
    </row>
    <row r="274" ht="14.25" customHeight="1">
      <c r="A274" s="78"/>
      <c r="B274" s="60">
        <v>255.0</v>
      </c>
      <c r="C274" s="27" t="s">
        <v>533</v>
      </c>
      <c r="D274" s="27" t="s">
        <v>534</v>
      </c>
      <c r="E274" s="27" t="s">
        <v>25</v>
      </c>
      <c r="F274" s="65" t="s">
        <v>189</v>
      </c>
      <c r="G274" s="27"/>
      <c r="H274" s="87">
        <v>441.0</v>
      </c>
      <c r="I274" s="32" t="s">
        <v>526</v>
      </c>
      <c r="J274" s="32">
        <v>175.0</v>
      </c>
      <c r="K274" s="32">
        <v>0.0</v>
      </c>
      <c r="L274" s="32">
        <v>0.0</v>
      </c>
      <c r="M274" s="32">
        <v>7.0</v>
      </c>
      <c r="N274" s="31" t="s">
        <v>522</v>
      </c>
      <c r="O274" s="31" t="s">
        <v>523</v>
      </c>
      <c r="P274" s="31">
        <v>500.0</v>
      </c>
      <c r="Q274" s="32" t="s">
        <v>29</v>
      </c>
      <c r="R274" s="27" t="s">
        <v>401</v>
      </c>
    </row>
    <row r="275" ht="14.25" customHeight="1">
      <c r="A275" s="78"/>
      <c r="B275" s="60">
        <v>256.0</v>
      </c>
      <c r="C275" s="27" t="s">
        <v>274</v>
      </c>
      <c r="D275" s="27" t="s">
        <v>535</v>
      </c>
      <c r="E275" s="27" t="s">
        <v>25</v>
      </c>
      <c r="F275" s="65" t="s">
        <v>189</v>
      </c>
      <c r="G275" s="27"/>
      <c r="H275" s="87">
        <v>1008.0</v>
      </c>
      <c r="I275" s="32" t="s">
        <v>526</v>
      </c>
      <c r="J275" s="32">
        <v>480.0</v>
      </c>
      <c r="K275" s="32">
        <v>0.0</v>
      </c>
      <c r="L275" s="32">
        <v>0.0</v>
      </c>
      <c r="M275" s="32">
        <v>16.0</v>
      </c>
      <c r="N275" s="31" t="s">
        <v>522</v>
      </c>
      <c r="O275" s="31" t="s">
        <v>523</v>
      </c>
      <c r="P275" s="31">
        <v>500.0</v>
      </c>
      <c r="Q275" s="32" t="s">
        <v>29</v>
      </c>
      <c r="R275" s="27" t="s">
        <v>401</v>
      </c>
    </row>
    <row r="276" ht="14.25" customHeight="1">
      <c r="A276" s="78"/>
      <c r="B276" s="60">
        <v>257.0</v>
      </c>
      <c r="C276" s="27" t="s">
        <v>536</v>
      </c>
      <c r="D276" s="27" t="s">
        <v>537</v>
      </c>
      <c r="E276" s="27" t="s">
        <v>25</v>
      </c>
      <c r="F276" s="65" t="s">
        <v>189</v>
      </c>
      <c r="G276" s="27"/>
      <c r="H276" s="87">
        <v>1000.0</v>
      </c>
      <c r="I276" s="32" t="s">
        <v>526</v>
      </c>
      <c r="J276" s="32" t="s">
        <v>401</v>
      </c>
      <c r="K276" s="32">
        <v>0.0</v>
      </c>
      <c r="L276" s="32">
        <v>0.0</v>
      </c>
      <c r="M276" s="32">
        <v>1.0</v>
      </c>
      <c r="N276" s="31" t="s">
        <v>522</v>
      </c>
      <c r="O276" s="31" t="s">
        <v>523</v>
      </c>
      <c r="P276" s="31">
        <v>500.0</v>
      </c>
      <c r="Q276" s="32" t="s">
        <v>29</v>
      </c>
      <c r="R276" s="27" t="s">
        <v>401</v>
      </c>
    </row>
    <row r="277" ht="14.25" customHeight="1">
      <c r="A277" s="78"/>
      <c r="B277" s="60">
        <v>258.0</v>
      </c>
      <c r="C277" s="27" t="s">
        <v>538</v>
      </c>
      <c r="D277" s="40" t="s">
        <v>539</v>
      </c>
      <c r="E277" s="27" t="s">
        <v>25</v>
      </c>
      <c r="F277" s="65" t="s">
        <v>189</v>
      </c>
      <c r="G277" s="27"/>
      <c r="H277" s="87">
        <v>882.0</v>
      </c>
      <c r="I277" s="32" t="s">
        <v>526</v>
      </c>
      <c r="J277" s="31">
        <v>490.0</v>
      </c>
      <c r="K277" s="32">
        <v>0.0</v>
      </c>
      <c r="L277" s="32">
        <v>0.0</v>
      </c>
      <c r="M277" s="32">
        <v>14.0</v>
      </c>
      <c r="N277" s="31" t="s">
        <v>522</v>
      </c>
      <c r="O277" s="31" t="s">
        <v>523</v>
      </c>
      <c r="P277" s="31">
        <v>500.0</v>
      </c>
      <c r="Q277" s="32" t="s">
        <v>29</v>
      </c>
      <c r="R277" s="27" t="s">
        <v>401</v>
      </c>
    </row>
    <row r="278" ht="14.25" customHeight="1">
      <c r="A278" s="78"/>
      <c r="B278" s="60">
        <v>259.0</v>
      </c>
      <c r="C278" s="27" t="s">
        <v>540</v>
      </c>
      <c r="D278" s="40" t="s">
        <v>539</v>
      </c>
      <c r="E278" s="27" t="s">
        <v>25</v>
      </c>
      <c r="F278" s="65" t="s">
        <v>189</v>
      </c>
      <c r="G278" s="27"/>
      <c r="H278" s="87">
        <v>315.0</v>
      </c>
      <c r="I278" s="32" t="s">
        <v>526</v>
      </c>
      <c r="J278" s="31">
        <v>175.0</v>
      </c>
      <c r="K278" s="32">
        <v>9.0</v>
      </c>
      <c r="L278" s="32">
        <v>9.0</v>
      </c>
      <c r="M278" s="32">
        <v>0.0</v>
      </c>
      <c r="N278" s="31" t="s">
        <v>522</v>
      </c>
      <c r="O278" s="31" t="s">
        <v>523</v>
      </c>
      <c r="P278" s="31">
        <v>500.0</v>
      </c>
      <c r="Q278" s="32" t="s">
        <v>29</v>
      </c>
      <c r="R278" s="27" t="s">
        <v>401</v>
      </c>
    </row>
    <row r="279" ht="14.25" customHeight="1">
      <c r="A279" s="78"/>
      <c r="B279" s="60">
        <v>260.0</v>
      </c>
      <c r="C279" s="27" t="s">
        <v>541</v>
      </c>
      <c r="D279" s="27" t="s">
        <v>542</v>
      </c>
      <c r="E279" s="27" t="s">
        <v>25</v>
      </c>
      <c r="F279" s="65" t="s">
        <v>189</v>
      </c>
      <c r="G279" s="27"/>
      <c r="H279" s="87">
        <v>56.0</v>
      </c>
      <c r="I279" s="32" t="s">
        <v>526</v>
      </c>
      <c r="J279" s="32" t="s">
        <v>526</v>
      </c>
      <c r="K279" s="32">
        <v>0.0</v>
      </c>
      <c r="L279" s="32">
        <v>0.0</v>
      </c>
      <c r="M279" s="32">
        <v>0.0</v>
      </c>
      <c r="N279" s="31" t="s">
        <v>522</v>
      </c>
      <c r="O279" s="31" t="s">
        <v>523</v>
      </c>
      <c r="P279" s="31">
        <v>500.0</v>
      </c>
      <c r="Q279" s="32" t="s">
        <v>29</v>
      </c>
      <c r="R279" s="27" t="s">
        <v>401</v>
      </c>
    </row>
    <row r="280" ht="14.25" customHeight="1">
      <c r="A280" s="78"/>
      <c r="B280" s="60">
        <v>261.0</v>
      </c>
      <c r="C280" s="27" t="s">
        <v>543</v>
      </c>
      <c r="D280" s="27" t="s">
        <v>528</v>
      </c>
      <c r="E280" s="27" t="s">
        <v>25</v>
      </c>
      <c r="F280" s="65" t="s">
        <v>189</v>
      </c>
      <c r="G280" s="27"/>
      <c r="H280" s="87">
        <v>56.0</v>
      </c>
      <c r="I280" s="32" t="s">
        <v>526</v>
      </c>
      <c r="J280" s="32" t="s">
        <v>526</v>
      </c>
      <c r="K280" s="32">
        <v>0.0</v>
      </c>
      <c r="L280" s="32">
        <v>0.0</v>
      </c>
      <c r="M280" s="32">
        <v>0.0</v>
      </c>
      <c r="N280" s="31" t="s">
        <v>522</v>
      </c>
      <c r="O280" s="31" t="s">
        <v>523</v>
      </c>
      <c r="P280" s="31">
        <v>500.0</v>
      </c>
      <c r="Q280" s="32" t="s">
        <v>29</v>
      </c>
      <c r="R280" s="27" t="s">
        <v>401</v>
      </c>
    </row>
    <row r="281" ht="14.25" customHeight="1">
      <c r="A281" s="78"/>
      <c r="B281" s="60">
        <v>262.0</v>
      </c>
      <c r="C281" s="27" t="s">
        <v>544</v>
      </c>
      <c r="D281" s="27" t="s">
        <v>528</v>
      </c>
      <c r="E281" s="27" t="s">
        <v>25</v>
      </c>
      <c r="F281" s="65" t="s">
        <v>189</v>
      </c>
      <c r="G281" s="27"/>
      <c r="H281" s="87">
        <v>70.0</v>
      </c>
      <c r="I281" s="32" t="s">
        <v>526</v>
      </c>
      <c r="J281" s="32" t="s">
        <v>526</v>
      </c>
      <c r="K281" s="32">
        <v>0.0</v>
      </c>
      <c r="L281" s="32">
        <v>0.0</v>
      </c>
      <c r="M281" s="32">
        <v>0.0</v>
      </c>
      <c r="N281" s="31" t="s">
        <v>522</v>
      </c>
      <c r="O281" s="31" t="s">
        <v>523</v>
      </c>
      <c r="P281" s="31">
        <v>500.0</v>
      </c>
      <c r="Q281" s="32" t="s">
        <v>29</v>
      </c>
      <c r="R281" s="27" t="s">
        <v>401</v>
      </c>
    </row>
    <row r="282" ht="14.25" customHeight="1">
      <c r="A282" s="78"/>
      <c r="B282" s="60">
        <v>263.0</v>
      </c>
      <c r="C282" s="27" t="s">
        <v>545</v>
      </c>
      <c r="D282" s="27" t="s">
        <v>535</v>
      </c>
      <c r="E282" s="27" t="s">
        <v>25</v>
      </c>
      <c r="F282" s="65" t="s">
        <v>189</v>
      </c>
      <c r="G282" s="27"/>
      <c r="H282" s="87">
        <v>56.0</v>
      </c>
      <c r="I282" s="32" t="s">
        <v>526</v>
      </c>
      <c r="J282" s="31">
        <v>320.0</v>
      </c>
      <c r="K282" s="32">
        <v>2.0</v>
      </c>
      <c r="L282" s="32">
        <v>2.0</v>
      </c>
      <c r="M282" s="32">
        <v>0.0</v>
      </c>
      <c r="N282" s="31" t="s">
        <v>522</v>
      </c>
      <c r="O282" s="31" t="s">
        <v>523</v>
      </c>
      <c r="P282" s="31">
        <v>500.0</v>
      </c>
      <c r="Q282" s="32" t="s">
        <v>29</v>
      </c>
      <c r="R282" s="27" t="s">
        <v>401</v>
      </c>
    </row>
    <row r="283" ht="14.25" customHeight="1">
      <c r="A283" s="78"/>
      <c r="B283" s="60">
        <v>264.0</v>
      </c>
      <c r="C283" s="27" t="s">
        <v>546</v>
      </c>
      <c r="D283" s="27" t="s">
        <v>547</v>
      </c>
      <c r="E283" s="27" t="s">
        <v>25</v>
      </c>
      <c r="F283" s="65" t="s">
        <v>189</v>
      </c>
      <c r="G283" s="27"/>
      <c r="H283" s="87">
        <v>56.0</v>
      </c>
      <c r="I283" s="32" t="s">
        <v>526</v>
      </c>
      <c r="J283" s="31">
        <v>90.0</v>
      </c>
      <c r="K283" s="32">
        <v>0.0</v>
      </c>
      <c r="L283" s="32">
        <v>0.0</v>
      </c>
      <c r="M283" s="32">
        <v>6.0</v>
      </c>
      <c r="N283" s="31" t="s">
        <v>522</v>
      </c>
      <c r="O283" s="31" t="s">
        <v>523</v>
      </c>
      <c r="P283" s="31">
        <v>500.0</v>
      </c>
      <c r="Q283" s="32" t="s">
        <v>29</v>
      </c>
      <c r="R283" s="27" t="s">
        <v>401</v>
      </c>
    </row>
    <row r="284" ht="14.25" customHeight="1">
      <c r="A284" s="78"/>
      <c r="B284" s="60">
        <v>265.0</v>
      </c>
      <c r="C284" s="27" t="s">
        <v>548</v>
      </c>
      <c r="D284" s="27" t="s">
        <v>549</v>
      </c>
      <c r="E284" s="27" t="s">
        <v>25</v>
      </c>
      <c r="F284" s="65" t="s">
        <v>189</v>
      </c>
      <c r="G284" s="27"/>
      <c r="H284" s="87">
        <v>1500.0</v>
      </c>
      <c r="I284" s="32" t="s">
        <v>526</v>
      </c>
      <c r="J284" s="32" t="s">
        <v>526</v>
      </c>
      <c r="K284" s="32">
        <v>0.0</v>
      </c>
      <c r="L284" s="32">
        <v>0.0</v>
      </c>
      <c r="M284" s="32">
        <v>0.0</v>
      </c>
      <c r="N284" s="31" t="s">
        <v>522</v>
      </c>
      <c r="O284" s="31" t="s">
        <v>523</v>
      </c>
      <c r="P284" s="31">
        <v>500.0</v>
      </c>
      <c r="Q284" s="32" t="s">
        <v>29</v>
      </c>
      <c r="R284" s="27" t="s">
        <v>401</v>
      </c>
    </row>
    <row r="285" ht="14.25" customHeight="1">
      <c r="A285" s="78"/>
      <c r="B285" s="60">
        <v>266.0</v>
      </c>
      <c r="C285" s="27" t="s">
        <v>550</v>
      </c>
      <c r="D285" s="27" t="s">
        <v>549</v>
      </c>
      <c r="E285" s="27" t="s">
        <v>25</v>
      </c>
      <c r="F285" s="65" t="s">
        <v>189</v>
      </c>
      <c r="G285" s="27"/>
      <c r="H285" s="87">
        <v>1000.0</v>
      </c>
      <c r="I285" s="32" t="s">
        <v>526</v>
      </c>
      <c r="J285" s="31">
        <v>75.0</v>
      </c>
      <c r="K285" s="32">
        <v>0.0</v>
      </c>
      <c r="L285" s="32">
        <v>0.0</v>
      </c>
      <c r="M285" s="32">
        <v>0.0</v>
      </c>
      <c r="N285" s="31" t="s">
        <v>522</v>
      </c>
      <c r="O285" s="31" t="s">
        <v>523</v>
      </c>
      <c r="P285" s="31">
        <v>500.0</v>
      </c>
      <c r="Q285" s="32" t="s">
        <v>29</v>
      </c>
      <c r="R285" s="27" t="s">
        <v>401</v>
      </c>
    </row>
    <row r="286" ht="14.25" customHeight="1">
      <c r="A286" s="78"/>
      <c r="B286" s="20"/>
      <c r="C286" s="21" t="s">
        <v>551</v>
      </c>
      <c r="D286" s="22"/>
      <c r="E286" s="86"/>
      <c r="F286" s="23"/>
      <c r="G286" s="22"/>
      <c r="H286" s="22"/>
      <c r="I286" s="22"/>
      <c r="J286" s="22" t="s">
        <v>552</v>
      </c>
      <c r="K286" s="22"/>
      <c r="L286" s="22"/>
      <c r="M286" s="22"/>
      <c r="N286" s="22"/>
      <c r="O286" s="22"/>
      <c r="P286" s="22"/>
      <c r="Q286" s="22"/>
      <c r="R286" s="22"/>
    </row>
    <row r="287" ht="14.25" customHeight="1">
      <c r="A287" s="78">
        <v>169.0</v>
      </c>
      <c r="B287" s="60">
        <v>267.0</v>
      </c>
      <c r="C287" s="27" t="s">
        <v>553</v>
      </c>
      <c r="D287" s="40" t="s">
        <v>284</v>
      </c>
      <c r="E287" s="27" t="s">
        <v>25</v>
      </c>
      <c r="F287" s="34" t="s">
        <v>554</v>
      </c>
      <c r="G287" s="38"/>
      <c r="H287" s="30">
        <v>1000.0</v>
      </c>
      <c r="I287" s="31">
        <v>30.0</v>
      </c>
      <c r="J287" s="31">
        <v>150.0</v>
      </c>
      <c r="K287" s="31">
        <v>2.0</v>
      </c>
      <c r="L287" s="31">
        <v>2.0</v>
      </c>
      <c r="M287" s="31">
        <v>4.0</v>
      </c>
      <c r="N287" s="31" t="s">
        <v>38</v>
      </c>
      <c r="O287" s="31" t="s">
        <v>39</v>
      </c>
      <c r="P287" s="31">
        <v>30.0</v>
      </c>
      <c r="Q287" s="31" t="s">
        <v>29</v>
      </c>
      <c r="R287" s="61" t="s">
        <v>39</v>
      </c>
    </row>
    <row r="288" ht="14.25" customHeight="1">
      <c r="A288" s="78">
        <v>170.0</v>
      </c>
      <c r="B288" s="62">
        <v>268.0</v>
      </c>
      <c r="C288" s="25" t="s">
        <v>555</v>
      </c>
      <c r="D288" s="44" t="s">
        <v>556</v>
      </c>
      <c r="E288" s="27" t="s">
        <v>25</v>
      </c>
      <c r="F288" s="34" t="s">
        <v>554</v>
      </c>
      <c r="G288" s="39"/>
      <c r="H288" s="35">
        <v>800.0</v>
      </c>
      <c r="I288" s="36">
        <v>15.0</v>
      </c>
      <c r="J288" s="36">
        <v>75.0</v>
      </c>
      <c r="K288" s="36">
        <v>3.0</v>
      </c>
      <c r="L288" s="36">
        <v>3.0</v>
      </c>
      <c r="M288" s="36">
        <v>2.0</v>
      </c>
      <c r="N288" s="36" t="s">
        <v>39</v>
      </c>
      <c r="O288" s="36" t="s">
        <v>557</v>
      </c>
      <c r="P288" s="36">
        <v>15.0</v>
      </c>
      <c r="Q288" s="36" t="s">
        <v>66</v>
      </c>
      <c r="R288" s="63">
        <v>15.0</v>
      </c>
    </row>
    <row r="289" ht="14.25" customHeight="1">
      <c r="A289" s="78">
        <v>171.0</v>
      </c>
      <c r="B289" s="60">
        <v>269.0</v>
      </c>
      <c r="C289" s="27" t="s">
        <v>558</v>
      </c>
      <c r="D289" s="40" t="s">
        <v>559</v>
      </c>
      <c r="E289" s="27" t="s">
        <v>25</v>
      </c>
      <c r="F289" s="34" t="s">
        <v>554</v>
      </c>
      <c r="G289" s="38"/>
      <c r="H289" s="30">
        <v>1000.0</v>
      </c>
      <c r="I289" s="31">
        <v>20.0</v>
      </c>
      <c r="J289" s="31">
        <v>100.0</v>
      </c>
      <c r="K289" s="31">
        <v>5.0</v>
      </c>
      <c r="L289" s="31">
        <v>5.0</v>
      </c>
      <c r="M289" s="31">
        <v>8.0</v>
      </c>
      <c r="N289" s="31" t="s">
        <v>38</v>
      </c>
      <c r="O289" s="31" t="s">
        <v>39</v>
      </c>
      <c r="P289" s="31">
        <v>20.0</v>
      </c>
      <c r="Q289" s="31" t="s">
        <v>29</v>
      </c>
      <c r="R289" s="61" t="s">
        <v>39</v>
      </c>
    </row>
    <row r="290" ht="14.25" customHeight="1">
      <c r="A290" s="78">
        <v>172.0</v>
      </c>
      <c r="B290" s="60">
        <v>270.0</v>
      </c>
      <c r="C290" s="25" t="s">
        <v>560</v>
      </c>
      <c r="D290" s="44" t="s">
        <v>559</v>
      </c>
      <c r="E290" s="27" t="s">
        <v>25</v>
      </c>
      <c r="F290" s="34" t="s">
        <v>554</v>
      </c>
      <c r="G290" s="39"/>
      <c r="H290" s="35">
        <v>800.0</v>
      </c>
      <c r="I290" s="36">
        <v>20.0</v>
      </c>
      <c r="J290" s="36">
        <v>100.0</v>
      </c>
      <c r="K290" s="36" t="s">
        <v>39</v>
      </c>
      <c r="L290" s="36" t="s">
        <v>39</v>
      </c>
      <c r="M290" s="36">
        <v>8.0</v>
      </c>
      <c r="N290" s="36" t="s">
        <v>38</v>
      </c>
      <c r="O290" s="36" t="s">
        <v>39</v>
      </c>
      <c r="P290" s="36">
        <v>20.0</v>
      </c>
      <c r="Q290" s="36" t="s">
        <v>29</v>
      </c>
      <c r="R290" s="63" t="s">
        <v>39</v>
      </c>
    </row>
    <row r="291" ht="14.25" customHeight="1">
      <c r="A291" s="78">
        <v>173.0</v>
      </c>
      <c r="B291" s="62">
        <v>271.0</v>
      </c>
      <c r="C291" s="27" t="s">
        <v>561</v>
      </c>
      <c r="D291" s="40" t="s">
        <v>562</v>
      </c>
      <c r="E291" s="27" t="s">
        <v>25</v>
      </c>
      <c r="F291" s="34" t="s">
        <v>554</v>
      </c>
      <c r="G291" s="38"/>
      <c r="H291" s="30">
        <v>800.0</v>
      </c>
      <c r="I291" s="31">
        <v>20.0</v>
      </c>
      <c r="J291" s="31">
        <v>100.0</v>
      </c>
      <c r="K291" s="31" t="s">
        <v>39</v>
      </c>
      <c r="L291" s="31" t="s">
        <v>39</v>
      </c>
      <c r="M291" s="31">
        <v>8.0</v>
      </c>
      <c r="N291" s="31" t="s">
        <v>38</v>
      </c>
      <c r="O291" s="31" t="s">
        <v>39</v>
      </c>
      <c r="P291" s="31">
        <v>20.0</v>
      </c>
      <c r="Q291" s="31" t="s">
        <v>29</v>
      </c>
      <c r="R291" s="61" t="s">
        <v>39</v>
      </c>
    </row>
    <row r="292" ht="14.25" customHeight="1">
      <c r="A292" s="78"/>
      <c r="B292" s="60">
        <v>272.0</v>
      </c>
      <c r="C292" s="45" t="s">
        <v>563</v>
      </c>
      <c r="D292" s="88" t="s">
        <v>564</v>
      </c>
      <c r="E292" s="27" t="s">
        <v>25</v>
      </c>
      <c r="F292" s="34" t="s">
        <v>554</v>
      </c>
      <c r="G292" s="50"/>
      <c r="H292" s="89">
        <v>500.0</v>
      </c>
      <c r="I292" s="81">
        <v>15.0</v>
      </c>
      <c r="J292" s="81">
        <v>70.0</v>
      </c>
      <c r="K292" s="31" t="s">
        <v>39</v>
      </c>
      <c r="L292" s="31" t="s">
        <v>39</v>
      </c>
      <c r="M292" s="81">
        <v>3.0</v>
      </c>
      <c r="N292" s="31" t="s">
        <v>38</v>
      </c>
      <c r="O292" s="31" t="s">
        <v>39</v>
      </c>
      <c r="P292" s="81">
        <v>20.0</v>
      </c>
      <c r="Q292" s="31" t="s">
        <v>29</v>
      </c>
      <c r="R292" s="63" t="s">
        <v>39</v>
      </c>
    </row>
    <row r="293" ht="14.25" customHeight="1">
      <c r="A293" s="78"/>
      <c r="B293" s="60">
        <v>273.0</v>
      </c>
      <c r="C293" s="45" t="s">
        <v>565</v>
      </c>
      <c r="D293" s="88" t="s">
        <v>566</v>
      </c>
      <c r="E293" s="27" t="s">
        <v>25</v>
      </c>
      <c r="F293" s="34" t="s">
        <v>554</v>
      </c>
      <c r="G293" s="50"/>
      <c r="H293" s="89">
        <v>1000.0</v>
      </c>
      <c r="I293" s="81">
        <v>30.0</v>
      </c>
      <c r="J293" s="81">
        <v>150.0</v>
      </c>
      <c r="K293" s="31" t="s">
        <v>39</v>
      </c>
      <c r="L293" s="31" t="s">
        <v>39</v>
      </c>
      <c r="M293" s="81">
        <v>10.0</v>
      </c>
      <c r="N293" s="31" t="s">
        <v>38</v>
      </c>
      <c r="O293" s="31" t="s">
        <v>39</v>
      </c>
      <c r="P293" s="81">
        <v>30.0</v>
      </c>
      <c r="Q293" s="31" t="s">
        <v>29</v>
      </c>
      <c r="R293" s="63" t="s">
        <v>39</v>
      </c>
    </row>
    <row r="294" ht="14.25" customHeight="1">
      <c r="A294" s="78"/>
      <c r="B294" s="62">
        <v>274.0</v>
      </c>
      <c r="C294" s="45" t="s">
        <v>567</v>
      </c>
      <c r="D294" s="88" t="s">
        <v>566</v>
      </c>
      <c r="E294" s="27" t="s">
        <v>25</v>
      </c>
      <c r="F294" s="34" t="s">
        <v>554</v>
      </c>
      <c r="G294" s="50"/>
      <c r="H294" s="89">
        <v>800.0</v>
      </c>
      <c r="I294" s="81">
        <v>20.0</v>
      </c>
      <c r="J294" s="81">
        <v>100.0</v>
      </c>
      <c r="K294" s="31" t="s">
        <v>39</v>
      </c>
      <c r="L294" s="31" t="s">
        <v>39</v>
      </c>
      <c r="M294" s="81">
        <v>3.0</v>
      </c>
      <c r="N294" s="31" t="s">
        <v>38</v>
      </c>
      <c r="O294" s="31" t="s">
        <v>39</v>
      </c>
      <c r="P294" s="81">
        <v>20.0</v>
      </c>
      <c r="Q294" s="31" t="s">
        <v>29</v>
      </c>
      <c r="R294" s="63" t="s">
        <v>39</v>
      </c>
    </row>
    <row r="295" ht="14.25" customHeight="1">
      <c r="A295" s="78"/>
      <c r="B295" s="60">
        <v>275.0</v>
      </c>
      <c r="C295" s="45" t="s">
        <v>568</v>
      </c>
      <c r="D295" s="88" t="s">
        <v>566</v>
      </c>
      <c r="E295" s="27" t="s">
        <v>25</v>
      </c>
      <c r="F295" s="34" t="s">
        <v>554</v>
      </c>
      <c r="G295" s="50"/>
      <c r="H295" s="89">
        <v>800.0</v>
      </c>
      <c r="I295" s="81">
        <v>20.0</v>
      </c>
      <c r="J295" s="81">
        <v>100.0</v>
      </c>
      <c r="K295" s="31" t="s">
        <v>39</v>
      </c>
      <c r="L295" s="31" t="s">
        <v>39</v>
      </c>
      <c r="M295" s="81">
        <v>3.0</v>
      </c>
      <c r="N295" s="31" t="s">
        <v>38</v>
      </c>
      <c r="O295" s="31" t="s">
        <v>39</v>
      </c>
      <c r="P295" s="81">
        <v>20.0</v>
      </c>
      <c r="Q295" s="31" t="s">
        <v>29</v>
      </c>
      <c r="R295" s="63" t="s">
        <v>39</v>
      </c>
    </row>
    <row r="296" ht="14.25" customHeight="1">
      <c r="A296" s="78"/>
      <c r="B296" s="60">
        <v>276.0</v>
      </c>
      <c r="C296" s="45" t="s">
        <v>569</v>
      </c>
      <c r="D296" s="88" t="s">
        <v>570</v>
      </c>
      <c r="E296" s="27" t="s">
        <v>25</v>
      </c>
      <c r="F296" s="34" t="s">
        <v>554</v>
      </c>
      <c r="G296" s="50"/>
      <c r="H296" s="89">
        <v>500.0</v>
      </c>
      <c r="I296" s="81">
        <v>15.0</v>
      </c>
      <c r="J296" s="81">
        <v>70.0</v>
      </c>
      <c r="K296" s="31" t="s">
        <v>39</v>
      </c>
      <c r="L296" s="31" t="s">
        <v>39</v>
      </c>
      <c r="M296" s="81">
        <v>3.0</v>
      </c>
      <c r="N296" s="31" t="s">
        <v>38</v>
      </c>
      <c r="O296" s="31" t="s">
        <v>39</v>
      </c>
      <c r="P296" s="81">
        <v>15.0</v>
      </c>
      <c r="Q296" s="31" t="s">
        <v>29</v>
      </c>
      <c r="R296" s="63" t="s">
        <v>39</v>
      </c>
    </row>
    <row r="297" ht="14.25" customHeight="1">
      <c r="A297" s="78"/>
      <c r="B297" s="20"/>
      <c r="C297" s="21" t="s">
        <v>571</v>
      </c>
      <c r="D297" s="22"/>
      <c r="E297" s="22"/>
      <c r="F297" s="23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</row>
    <row r="298" ht="14.25" customHeight="1">
      <c r="A298" s="78">
        <v>174.0</v>
      </c>
      <c r="B298" s="60">
        <v>277.0</v>
      </c>
      <c r="C298" s="27" t="s">
        <v>572</v>
      </c>
      <c r="D298" s="61" t="s">
        <v>573</v>
      </c>
      <c r="E298" s="61" t="s">
        <v>25</v>
      </c>
      <c r="F298" s="34" t="s">
        <v>57</v>
      </c>
      <c r="G298" s="66"/>
      <c r="H298" s="30">
        <v>58.0</v>
      </c>
      <c r="I298" s="31">
        <v>4.0</v>
      </c>
      <c r="J298" s="31">
        <v>25.0</v>
      </c>
      <c r="K298" s="31">
        <v>1.0</v>
      </c>
      <c r="L298" s="31">
        <v>1.0</v>
      </c>
      <c r="M298" s="31">
        <v>0.0</v>
      </c>
      <c r="N298" s="31" t="s">
        <v>574</v>
      </c>
      <c r="O298" s="31" t="s">
        <v>138</v>
      </c>
      <c r="P298" s="31">
        <v>174.0</v>
      </c>
      <c r="Q298" s="31" t="s">
        <v>66</v>
      </c>
      <c r="R298" s="61">
        <v>25.0</v>
      </c>
    </row>
    <row r="299" ht="14.25" customHeight="1">
      <c r="A299" s="78">
        <v>175.0</v>
      </c>
      <c r="B299" s="62">
        <v>278.0</v>
      </c>
      <c r="C299" s="25" t="s">
        <v>575</v>
      </c>
      <c r="D299" s="63" t="s">
        <v>576</v>
      </c>
      <c r="E299" s="61" t="s">
        <v>25</v>
      </c>
      <c r="F299" s="34" t="s">
        <v>57</v>
      </c>
      <c r="G299" s="67"/>
      <c r="H299" s="35">
        <v>500.0</v>
      </c>
      <c r="I299" s="36">
        <v>33.0</v>
      </c>
      <c r="J299" s="36">
        <v>200.0</v>
      </c>
      <c r="K299" s="36">
        <v>0.0</v>
      </c>
      <c r="L299" s="36">
        <v>0.0</v>
      </c>
      <c r="M299" s="36">
        <v>0.0</v>
      </c>
      <c r="N299" s="36" t="s">
        <v>138</v>
      </c>
      <c r="O299" s="36" t="s">
        <v>138</v>
      </c>
      <c r="P299" s="36">
        <v>1500.0</v>
      </c>
      <c r="Q299" s="36" t="s">
        <v>29</v>
      </c>
      <c r="R299" s="63" t="s">
        <v>39</v>
      </c>
    </row>
    <row r="300" ht="14.25" customHeight="1">
      <c r="A300" s="78">
        <v>176.0</v>
      </c>
      <c r="B300" s="60">
        <v>279.0</v>
      </c>
      <c r="C300" s="27" t="s">
        <v>577</v>
      </c>
      <c r="D300" s="61" t="s">
        <v>578</v>
      </c>
      <c r="E300" s="61" t="s">
        <v>25</v>
      </c>
      <c r="F300" s="34" t="s">
        <v>57</v>
      </c>
      <c r="G300" s="66"/>
      <c r="H300" s="30">
        <v>250.0</v>
      </c>
      <c r="I300" s="31">
        <v>16.0</v>
      </c>
      <c r="J300" s="31">
        <v>100.0</v>
      </c>
      <c r="K300" s="31">
        <v>2.0</v>
      </c>
      <c r="L300" s="31">
        <v>2.0</v>
      </c>
      <c r="M300" s="31">
        <v>0.0</v>
      </c>
      <c r="N300" s="31" t="s">
        <v>579</v>
      </c>
      <c r="O300" s="31" t="s">
        <v>138</v>
      </c>
      <c r="P300" s="31">
        <v>750.0</v>
      </c>
      <c r="Q300" s="31" t="s">
        <v>29</v>
      </c>
      <c r="R300" s="61" t="s">
        <v>39</v>
      </c>
    </row>
    <row r="301" ht="14.25" customHeight="1">
      <c r="A301" s="78">
        <v>177.0</v>
      </c>
      <c r="B301" s="60">
        <v>280.0</v>
      </c>
      <c r="C301" s="25" t="s">
        <v>580</v>
      </c>
      <c r="D301" s="63" t="s">
        <v>581</v>
      </c>
      <c r="E301" s="61" t="s">
        <v>25</v>
      </c>
      <c r="F301" s="34" t="s">
        <v>57</v>
      </c>
      <c r="G301" s="67"/>
      <c r="H301" s="35">
        <v>280.0</v>
      </c>
      <c r="I301" s="36">
        <v>18.0</v>
      </c>
      <c r="J301" s="36">
        <v>110.0</v>
      </c>
      <c r="K301" s="36">
        <v>1.0</v>
      </c>
      <c r="L301" s="36">
        <v>1.0</v>
      </c>
      <c r="M301" s="36">
        <v>0.0</v>
      </c>
      <c r="N301" s="36" t="s">
        <v>579</v>
      </c>
      <c r="O301" s="36" t="s">
        <v>138</v>
      </c>
      <c r="P301" s="36">
        <v>840.0</v>
      </c>
      <c r="Q301" s="36" t="s">
        <v>29</v>
      </c>
      <c r="R301" s="63" t="s">
        <v>39</v>
      </c>
    </row>
    <row r="302" ht="14.25" customHeight="1">
      <c r="A302" s="78">
        <v>178.0</v>
      </c>
      <c r="B302" s="62">
        <v>281.0</v>
      </c>
      <c r="C302" s="27" t="s">
        <v>582</v>
      </c>
      <c r="D302" s="61" t="s">
        <v>576</v>
      </c>
      <c r="E302" s="61" t="s">
        <v>25</v>
      </c>
      <c r="F302" s="34" t="s">
        <v>57</v>
      </c>
      <c r="G302" s="66"/>
      <c r="H302" s="30">
        <v>54.0</v>
      </c>
      <c r="I302" s="31">
        <v>2.0</v>
      </c>
      <c r="J302" s="31">
        <v>15.0</v>
      </c>
      <c r="K302" s="31">
        <v>1.0</v>
      </c>
      <c r="L302" s="31">
        <v>1.0</v>
      </c>
      <c r="M302" s="31">
        <v>0.0</v>
      </c>
      <c r="N302" s="31" t="s">
        <v>579</v>
      </c>
      <c r="O302" s="31" t="s">
        <v>138</v>
      </c>
      <c r="P302" s="31">
        <v>162.0</v>
      </c>
      <c r="Q302" s="31" t="s">
        <v>29</v>
      </c>
      <c r="R302" s="61" t="s">
        <v>39</v>
      </c>
    </row>
    <row r="303" ht="14.25" customHeight="1">
      <c r="A303" s="78">
        <v>179.0</v>
      </c>
      <c r="B303" s="60">
        <v>282.0</v>
      </c>
      <c r="C303" s="25" t="s">
        <v>583</v>
      </c>
      <c r="D303" s="63" t="s">
        <v>576</v>
      </c>
      <c r="E303" s="61" t="s">
        <v>25</v>
      </c>
      <c r="F303" s="34" t="s">
        <v>57</v>
      </c>
      <c r="G303" s="67"/>
      <c r="H303" s="35">
        <v>300.0</v>
      </c>
      <c r="I303" s="36">
        <v>33.0</v>
      </c>
      <c r="J303" s="36">
        <v>200.0</v>
      </c>
      <c r="K303" s="36">
        <v>16.0</v>
      </c>
      <c r="L303" s="36">
        <v>16.0</v>
      </c>
      <c r="M303" s="36">
        <v>0.0</v>
      </c>
      <c r="N303" s="36" t="s">
        <v>574</v>
      </c>
      <c r="O303" s="36" t="s">
        <v>138</v>
      </c>
      <c r="P303" s="36">
        <v>900.0</v>
      </c>
      <c r="Q303" s="36" t="s">
        <v>66</v>
      </c>
      <c r="R303" s="63">
        <v>9.0</v>
      </c>
    </row>
    <row r="304" ht="14.25" customHeight="1">
      <c r="A304" s="78">
        <v>180.0</v>
      </c>
      <c r="B304" s="60">
        <v>283.0</v>
      </c>
      <c r="C304" s="27" t="s">
        <v>584</v>
      </c>
      <c r="D304" s="61" t="s">
        <v>576</v>
      </c>
      <c r="E304" s="61" t="s">
        <v>25</v>
      </c>
      <c r="F304" s="34" t="s">
        <v>57</v>
      </c>
      <c r="G304" s="66"/>
      <c r="H304" s="30">
        <v>300.0</v>
      </c>
      <c r="I304" s="31">
        <v>33.0</v>
      </c>
      <c r="J304" s="31">
        <v>200.0</v>
      </c>
      <c r="K304" s="31">
        <v>10.0</v>
      </c>
      <c r="L304" s="31">
        <v>10.0</v>
      </c>
      <c r="M304" s="31">
        <v>0.0</v>
      </c>
      <c r="N304" s="31" t="s">
        <v>574</v>
      </c>
      <c r="O304" s="31" t="s">
        <v>138</v>
      </c>
      <c r="P304" s="31">
        <v>900.0</v>
      </c>
      <c r="Q304" s="31" t="s">
        <v>29</v>
      </c>
      <c r="R304" s="61" t="s">
        <v>39</v>
      </c>
    </row>
    <row r="305" ht="14.25" customHeight="1">
      <c r="A305" s="78">
        <v>181.0</v>
      </c>
      <c r="B305" s="62">
        <v>284.0</v>
      </c>
      <c r="C305" s="25" t="s">
        <v>585</v>
      </c>
      <c r="D305" s="63" t="s">
        <v>586</v>
      </c>
      <c r="E305" s="61" t="s">
        <v>25</v>
      </c>
      <c r="F305" s="34" t="s">
        <v>57</v>
      </c>
      <c r="G305" s="67"/>
      <c r="H305" s="35">
        <v>54.0</v>
      </c>
      <c r="I305" s="36">
        <v>2.0</v>
      </c>
      <c r="J305" s="36">
        <v>15.0</v>
      </c>
      <c r="K305" s="36">
        <v>0.0</v>
      </c>
      <c r="L305" s="36">
        <v>0.0</v>
      </c>
      <c r="M305" s="36">
        <v>0.0</v>
      </c>
      <c r="N305" s="36" t="s">
        <v>138</v>
      </c>
      <c r="O305" s="36" t="s">
        <v>579</v>
      </c>
      <c r="P305" s="36">
        <v>162.0</v>
      </c>
      <c r="Q305" s="36" t="s">
        <v>29</v>
      </c>
      <c r="R305" s="63" t="s">
        <v>39</v>
      </c>
    </row>
    <row r="306" ht="14.25" customHeight="1">
      <c r="A306" s="78">
        <v>182.0</v>
      </c>
      <c r="B306" s="60">
        <v>285.0</v>
      </c>
      <c r="C306" s="27" t="s">
        <v>587</v>
      </c>
      <c r="D306" s="61" t="s">
        <v>588</v>
      </c>
      <c r="E306" s="61" t="s">
        <v>25</v>
      </c>
      <c r="F306" s="34" t="s">
        <v>57</v>
      </c>
      <c r="G306" s="66"/>
      <c r="H306" s="30">
        <v>54.0</v>
      </c>
      <c r="I306" s="31">
        <v>1.0</v>
      </c>
      <c r="J306" s="31">
        <v>10.0</v>
      </c>
      <c r="K306" s="31">
        <v>0.0</v>
      </c>
      <c r="L306" s="31">
        <v>0.0</v>
      </c>
      <c r="M306" s="31">
        <v>0.0</v>
      </c>
      <c r="N306" s="31" t="s">
        <v>138</v>
      </c>
      <c r="O306" s="31" t="s">
        <v>46</v>
      </c>
      <c r="P306" s="31">
        <v>162.0</v>
      </c>
      <c r="Q306" s="31" t="s">
        <v>29</v>
      </c>
      <c r="R306" s="61" t="s">
        <v>39</v>
      </c>
    </row>
    <row r="307" ht="14.25" customHeight="1">
      <c r="A307" s="78">
        <v>183.0</v>
      </c>
      <c r="B307" s="60">
        <v>286.0</v>
      </c>
      <c r="C307" s="25" t="s">
        <v>589</v>
      </c>
      <c r="D307" s="63" t="s">
        <v>590</v>
      </c>
      <c r="E307" s="61" t="s">
        <v>25</v>
      </c>
      <c r="F307" s="34" t="s">
        <v>57</v>
      </c>
      <c r="G307" s="67"/>
      <c r="H307" s="35">
        <v>54.0</v>
      </c>
      <c r="I307" s="36">
        <v>1.0</v>
      </c>
      <c r="J307" s="36">
        <v>10.0</v>
      </c>
      <c r="K307" s="36">
        <v>1.0</v>
      </c>
      <c r="L307" s="36">
        <v>1.0</v>
      </c>
      <c r="M307" s="36">
        <v>0.0</v>
      </c>
      <c r="N307" s="36" t="s">
        <v>138</v>
      </c>
      <c r="O307" s="36" t="s">
        <v>579</v>
      </c>
      <c r="P307" s="36">
        <v>162.0</v>
      </c>
      <c r="Q307" s="36" t="s">
        <v>66</v>
      </c>
      <c r="R307" s="63">
        <v>3.0</v>
      </c>
    </row>
    <row r="308" ht="14.25" customHeight="1">
      <c r="A308" s="78">
        <v>184.0</v>
      </c>
      <c r="B308" s="62">
        <v>287.0</v>
      </c>
      <c r="C308" s="27" t="s">
        <v>591</v>
      </c>
      <c r="D308" s="61" t="s">
        <v>578</v>
      </c>
      <c r="E308" s="61" t="s">
        <v>25</v>
      </c>
      <c r="F308" s="34" t="s">
        <v>57</v>
      </c>
      <c r="G308" s="66"/>
      <c r="H308" s="30">
        <v>54.0</v>
      </c>
      <c r="I308" s="31">
        <v>1.0</v>
      </c>
      <c r="J308" s="31">
        <v>10.0</v>
      </c>
      <c r="K308" s="31">
        <v>1.0</v>
      </c>
      <c r="L308" s="31">
        <v>1.0</v>
      </c>
      <c r="M308" s="31">
        <v>0.0</v>
      </c>
      <c r="N308" s="31" t="s">
        <v>138</v>
      </c>
      <c r="O308" s="31" t="s">
        <v>579</v>
      </c>
      <c r="P308" s="31">
        <v>162.0</v>
      </c>
      <c r="Q308" s="31" t="s">
        <v>66</v>
      </c>
      <c r="R308" s="61">
        <v>3.0</v>
      </c>
    </row>
    <row r="309" ht="14.25" customHeight="1">
      <c r="A309" s="78">
        <v>185.0</v>
      </c>
      <c r="B309" s="60">
        <v>288.0</v>
      </c>
      <c r="C309" s="25" t="s">
        <v>592</v>
      </c>
      <c r="D309" s="63" t="s">
        <v>593</v>
      </c>
      <c r="E309" s="61" t="s">
        <v>25</v>
      </c>
      <c r="F309" s="34" t="s">
        <v>57</v>
      </c>
      <c r="G309" s="67"/>
      <c r="H309" s="35">
        <v>54.0</v>
      </c>
      <c r="I309" s="36">
        <v>1.0</v>
      </c>
      <c r="J309" s="36">
        <v>10.0</v>
      </c>
      <c r="K309" s="36">
        <v>1.0</v>
      </c>
      <c r="L309" s="36">
        <v>1.0</v>
      </c>
      <c r="M309" s="36">
        <v>0.0</v>
      </c>
      <c r="N309" s="36" t="s">
        <v>138</v>
      </c>
      <c r="O309" s="36" t="s">
        <v>579</v>
      </c>
      <c r="P309" s="36">
        <v>162.0</v>
      </c>
      <c r="Q309" s="36" t="s">
        <v>29</v>
      </c>
      <c r="R309" s="63" t="s">
        <v>39</v>
      </c>
    </row>
    <row r="310" ht="14.25" customHeight="1">
      <c r="A310" s="78">
        <v>186.0</v>
      </c>
      <c r="B310" s="60">
        <v>289.0</v>
      </c>
      <c r="C310" s="27" t="s">
        <v>594</v>
      </c>
      <c r="D310" s="61" t="s">
        <v>593</v>
      </c>
      <c r="E310" s="61" t="s">
        <v>25</v>
      </c>
      <c r="F310" s="34" t="s">
        <v>57</v>
      </c>
      <c r="G310" s="66"/>
      <c r="H310" s="30">
        <v>300.0</v>
      </c>
      <c r="I310" s="31">
        <v>33.0</v>
      </c>
      <c r="J310" s="31">
        <v>200.0</v>
      </c>
      <c r="K310" s="31">
        <v>14.0</v>
      </c>
      <c r="L310" s="31">
        <v>14.0</v>
      </c>
      <c r="M310" s="31">
        <v>0.0</v>
      </c>
      <c r="N310" s="31" t="s">
        <v>138</v>
      </c>
      <c r="O310" s="31" t="s">
        <v>579</v>
      </c>
      <c r="P310" s="31">
        <v>900.0</v>
      </c>
      <c r="Q310" s="31" t="s">
        <v>29</v>
      </c>
      <c r="R310" s="61" t="s">
        <v>39</v>
      </c>
    </row>
    <row r="311" ht="14.25" customHeight="1">
      <c r="A311" s="78">
        <v>187.0</v>
      </c>
      <c r="B311" s="62">
        <v>290.0</v>
      </c>
      <c r="C311" s="25" t="s">
        <v>595</v>
      </c>
      <c r="D311" s="63" t="s">
        <v>596</v>
      </c>
      <c r="E311" s="61" t="s">
        <v>25</v>
      </c>
      <c r="F311" s="34" t="s">
        <v>57</v>
      </c>
      <c r="G311" s="67"/>
      <c r="H311" s="35">
        <v>54.0</v>
      </c>
      <c r="I311" s="36">
        <v>3.0</v>
      </c>
      <c r="J311" s="36">
        <v>20.0</v>
      </c>
      <c r="K311" s="36">
        <v>1.0</v>
      </c>
      <c r="L311" s="36">
        <v>1.0</v>
      </c>
      <c r="M311" s="36">
        <v>0.0</v>
      </c>
      <c r="N311" s="36" t="s">
        <v>138</v>
      </c>
      <c r="O311" s="36" t="s">
        <v>579</v>
      </c>
      <c r="P311" s="36">
        <v>162.0</v>
      </c>
      <c r="Q311" s="36" t="s">
        <v>29</v>
      </c>
      <c r="R311" s="63" t="s">
        <v>39</v>
      </c>
    </row>
    <row r="312" ht="14.25" customHeight="1">
      <c r="A312" s="78">
        <v>188.0</v>
      </c>
      <c r="B312" s="60">
        <v>291.0</v>
      </c>
      <c r="C312" s="27" t="s">
        <v>597</v>
      </c>
      <c r="D312" s="61" t="s">
        <v>598</v>
      </c>
      <c r="E312" s="61" t="s">
        <v>25</v>
      </c>
      <c r="F312" s="34" t="s">
        <v>57</v>
      </c>
      <c r="G312" s="66"/>
      <c r="H312" s="30">
        <v>54.0</v>
      </c>
      <c r="I312" s="31">
        <v>1.0</v>
      </c>
      <c r="J312" s="31">
        <v>10.0</v>
      </c>
      <c r="K312" s="31">
        <v>3.0</v>
      </c>
      <c r="L312" s="31">
        <v>3.0</v>
      </c>
      <c r="M312" s="31">
        <v>0.0</v>
      </c>
      <c r="N312" s="31" t="s">
        <v>138</v>
      </c>
      <c r="O312" s="31" t="s">
        <v>579</v>
      </c>
      <c r="P312" s="31">
        <v>162.0</v>
      </c>
      <c r="Q312" s="31" t="s">
        <v>29</v>
      </c>
      <c r="R312" s="61" t="s">
        <v>39</v>
      </c>
    </row>
    <row r="313" ht="14.25" customHeight="1">
      <c r="A313" s="78">
        <v>189.0</v>
      </c>
      <c r="B313" s="60">
        <v>292.0</v>
      </c>
      <c r="C313" s="25" t="s">
        <v>599</v>
      </c>
      <c r="D313" s="63" t="s">
        <v>598</v>
      </c>
      <c r="E313" s="61" t="s">
        <v>25</v>
      </c>
      <c r="F313" s="34" t="s">
        <v>57</v>
      </c>
      <c r="G313" s="67"/>
      <c r="H313" s="35">
        <v>250.0</v>
      </c>
      <c r="I313" s="36">
        <v>25.0</v>
      </c>
      <c r="J313" s="36">
        <v>150.0</v>
      </c>
      <c r="K313" s="36">
        <v>7.0</v>
      </c>
      <c r="L313" s="36">
        <v>7.0</v>
      </c>
      <c r="M313" s="36">
        <v>0.0</v>
      </c>
      <c r="N313" s="36" t="s">
        <v>138</v>
      </c>
      <c r="O313" s="36" t="s">
        <v>579</v>
      </c>
      <c r="P313" s="36">
        <v>750.0</v>
      </c>
      <c r="Q313" s="36" t="s">
        <v>29</v>
      </c>
      <c r="R313" s="63" t="s">
        <v>39</v>
      </c>
    </row>
    <row r="314" ht="14.25" customHeight="1">
      <c r="A314" s="78">
        <v>190.0</v>
      </c>
      <c r="B314" s="62">
        <v>293.0</v>
      </c>
      <c r="C314" s="27" t="s">
        <v>600</v>
      </c>
      <c r="D314" s="61" t="s">
        <v>601</v>
      </c>
      <c r="E314" s="61" t="s">
        <v>25</v>
      </c>
      <c r="F314" s="34" t="s">
        <v>57</v>
      </c>
      <c r="G314" s="66"/>
      <c r="H314" s="30">
        <v>54.0</v>
      </c>
      <c r="I314" s="31">
        <v>6.0</v>
      </c>
      <c r="J314" s="31">
        <v>40.0</v>
      </c>
      <c r="K314" s="31">
        <v>1.0</v>
      </c>
      <c r="L314" s="31">
        <v>1.0</v>
      </c>
      <c r="M314" s="31">
        <v>0.0</v>
      </c>
      <c r="N314" s="31" t="s">
        <v>138</v>
      </c>
      <c r="O314" s="31" t="s">
        <v>579</v>
      </c>
      <c r="P314" s="31">
        <v>162.0</v>
      </c>
      <c r="Q314" s="31" t="s">
        <v>29</v>
      </c>
      <c r="R314" s="61" t="s">
        <v>39</v>
      </c>
    </row>
    <row r="315" ht="14.25" customHeight="1">
      <c r="A315" s="78">
        <v>191.0</v>
      </c>
      <c r="B315" s="60">
        <v>294.0</v>
      </c>
      <c r="C315" s="25" t="s">
        <v>602</v>
      </c>
      <c r="D315" s="63" t="s">
        <v>601</v>
      </c>
      <c r="E315" s="61" t="s">
        <v>25</v>
      </c>
      <c r="F315" s="34" t="s">
        <v>57</v>
      </c>
      <c r="G315" s="67"/>
      <c r="H315" s="35">
        <v>200.0</v>
      </c>
      <c r="I315" s="36">
        <v>16.0</v>
      </c>
      <c r="J315" s="36">
        <v>100.0</v>
      </c>
      <c r="K315" s="36">
        <v>1.0</v>
      </c>
      <c r="L315" s="36">
        <v>1.0</v>
      </c>
      <c r="M315" s="36">
        <v>0.0</v>
      </c>
      <c r="N315" s="36" t="s">
        <v>579</v>
      </c>
      <c r="O315" s="36" t="s">
        <v>138</v>
      </c>
      <c r="P315" s="36">
        <v>600.0</v>
      </c>
      <c r="Q315" s="36" t="s">
        <v>29</v>
      </c>
      <c r="R315" s="63" t="s">
        <v>39</v>
      </c>
    </row>
    <row r="316" ht="14.25" customHeight="1">
      <c r="A316" s="78">
        <v>192.0</v>
      </c>
      <c r="B316" s="60">
        <v>295.0</v>
      </c>
      <c r="C316" s="27" t="s">
        <v>603</v>
      </c>
      <c r="D316" s="61" t="s">
        <v>586</v>
      </c>
      <c r="E316" s="61" t="s">
        <v>25</v>
      </c>
      <c r="F316" s="34" t="s">
        <v>57</v>
      </c>
      <c r="G316" s="66"/>
      <c r="H316" s="30">
        <v>54.0</v>
      </c>
      <c r="I316" s="31">
        <v>1.0</v>
      </c>
      <c r="J316" s="31">
        <v>10.0</v>
      </c>
      <c r="K316" s="31">
        <v>1.0</v>
      </c>
      <c r="L316" s="31">
        <v>1.0</v>
      </c>
      <c r="M316" s="31">
        <v>0.0</v>
      </c>
      <c r="N316" s="31" t="s">
        <v>138</v>
      </c>
      <c r="O316" s="31" t="s">
        <v>579</v>
      </c>
      <c r="P316" s="31">
        <v>162.0</v>
      </c>
      <c r="Q316" s="31" t="s">
        <v>29</v>
      </c>
      <c r="R316" s="61" t="s">
        <v>39</v>
      </c>
    </row>
    <row r="317" ht="14.25" customHeight="1">
      <c r="A317" s="78">
        <v>193.0</v>
      </c>
      <c r="B317" s="62">
        <v>296.0</v>
      </c>
      <c r="C317" s="25" t="s">
        <v>604</v>
      </c>
      <c r="D317" s="63" t="s">
        <v>605</v>
      </c>
      <c r="E317" s="61" t="s">
        <v>25</v>
      </c>
      <c r="F317" s="34" t="s">
        <v>57</v>
      </c>
      <c r="G317" s="67"/>
      <c r="H317" s="35">
        <v>54.0</v>
      </c>
      <c r="I317" s="36">
        <v>1.0</v>
      </c>
      <c r="J317" s="36">
        <v>10.0</v>
      </c>
      <c r="K317" s="36">
        <v>4.0</v>
      </c>
      <c r="L317" s="36">
        <v>4.0</v>
      </c>
      <c r="M317" s="36">
        <v>0.0</v>
      </c>
      <c r="N317" s="36" t="s">
        <v>138</v>
      </c>
      <c r="O317" s="36" t="s">
        <v>579</v>
      </c>
      <c r="P317" s="36">
        <v>162.0</v>
      </c>
      <c r="Q317" s="36" t="s">
        <v>29</v>
      </c>
      <c r="R317" s="63" t="s">
        <v>39</v>
      </c>
    </row>
    <row r="318" ht="14.25" customHeight="1">
      <c r="A318" s="78">
        <v>194.0</v>
      </c>
      <c r="B318" s="60">
        <v>297.0</v>
      </c>
      <c r="C318" s="27" t="s">
        <v>606</v>
      </c>
      <c r="D318" s="61" t="s">
        <v>605</v>
      </c>
      <c r="E318" s="61" t="s">
        <v>25</v>
      </c>
      <c r="F318" s="34" t="s">
        <v>57</v>
      </c>
      <c r="G318" s="66"/>
      <c r="H318" s="30">
        <v>100.0</v>
      </c>
      <c r="I318" s="31">
        <v>15.0</v>
      </c>
      <c r="J318" s="31">
        <v>90.0</v>
      </c>
      <c r="K318" s="31">
        <v>1.0</v>
      </c>
      <c r="L318" s="31">
        <v>1.0</v>
      </c>
      <c r="M318" s="31">
        <v>0.0</v>
      </c>
      <c r="N318" s="31" t="s">
        <v>138</v>
      </c>
      <c r="O318" s="31" t="s">
        <v>579</v>
      </c>
      <c r="P318" s="31">
        <v>300.0</v>
      </c>
      <c r="Q318" s="31" t="s">
        <v>29</v>
      </c>
      <c r="R318" s="61" t="s">
        <v>39</v>
      </c>
    </row>
    <row r="319" ht="14.25" customHeight="1">
      <c r="A319" s="78">
        <v>195.0</v>
      </c>
      <c r="B319" s="60">
        <v>298.0</v>
      </c>
      <c r="C319" s="25" t="s">
        <v>607</v>
      </c>
      <c r="D319" s="63" t="s">
        <v>581</v>
      </c>
      <c r="E319" s="61" t="s">
        <v>25</v>
      </c>
      <c r="F319" s="34" t="s">
        <v>57</v>
      </c>
      <c r="G319" s="67"/>
      <c r="H319" s="35">
        <v>54.0</v>
      </c>
      <c r="I319" s="36">
        <v>1.0</v>
      </c>
      <c r="J319" s="36">
        <v>10.0</v>
      </c>
      <c r="K319" s="36">
        <v>1.0</v>
      </c>
      <c r="L319" s="36">
        <v>1.0</v>
      </c>
      <c r="M319" s="36">
        <v>0.0</v>
      </c>
      <c r="N319" s="36" t="s">
        <v>138</v>
      </c>
      <c r="O319" s="36" t="s">
        <v>579</v>
      </c>
      <c r="P319" s="36">
        <v>162.0</v>
      </c>
      <c r="Q319" s="36" t="s">
        <v>29</v>
      </c>
      <c r="R319" s="63" t="s">
        <v>39</v>
      </c>
    </row>
    <row r="320" ht="14.25" customHeight="1">
      <c r="A320" s="78">
        <v>196.0</v>
      </c>
      <c r="B320" s="62">
        <v>299.0</v>
      </c>
      <c r="C320" s="27" t="s">
        <v>608</v>
      </c>
      <c r="D320" s="61" t="s">
        <v>581</v>
      </c>
      <c r="E320" s="61" t="s">
        <v>25</v>
      </c>
      <c r="F320" s="34" t="s">
        <v>57</v>
      </c>
      <c r="G320" s="66"/>
      <c r="H320" s="30">
        <v>180.0</v>
      </c>
      <c r="I320" s="31">
        <v>12.0</v>
      </c>
      <c r="J320" s="31">
        <v>75.0</v>
      </c>
      <c r="K320" s="31">
        <v>1.0</v>
      </c>
      <c r="L320" s="31">
        <v>1.0</v>
      </c>
      <c r="M320" s="31">
        <v>0.0</v>
      </c>
      <c r="N320" s="31" t="s">
        <v>138</v>
      </c>
      <c r="O320" s="31" t="s">
        <v>579</v>
      </c>
      <c r="P320" s="31">
        <v>540.0</v>
      </c>
      <c r="Q320" s="31" t="s">
        <v>29</v>
      </c>
      <c r="R320" s="61" t="s">
        <v>39</v>
      </c>
    </row>
    <row r="321" ht="14.25" customHeight="1">
      <c r="A321" s="78">
        <v>197.0</v>
      </c>
      <c r="B321" s="60">
        <v>300.0</v>
      </c>
      <c r="C321" s="25" t="s">
        <v>609</v>
      </c>
      <c r="D321" s="63" t="s">
        <v>610</v>
      </c>
      <c r="E321" s="61" t="s">
        <v>25</v>
      </c>
      <c r="F321" s="34" t="s">
        <v>57</v>
      </c>
      <c r="G321" s="67"/>
      <c r="H321" s="35">
        <v>54.0</v>
      </c>
      <c r="I321" s="36">
        <v>1.0</v>
      </c>
      <c r="J321" s="36">
        <v>10.0</v>
      </c>
      <c r="K321" s="36">
        <v>1.0</v>
      </c>
      <c r="L321" s="36">
        <v>1.0</v>
      </c>
      <c r="M321" s="36">
        <v>0.0</v>
      </c>
      <c r="N321" s="36" t="s">
        <v>138</v>
      </c>
      <c r="O321" s="36" t="s">
        <v>579</v>
      </c>
      <c r="P321" s="36">
        <v>162.0</v>
      </c>
      <c r="Q321" s="36" t="s">
        <v>29</v>
      </c>
      <c r="R321" s="63" t="s">
        <v>39</v>
      </c>
    </row>
    <row r="322" ht="14.25" customHeight="1">
      <c r="A322" s="78">
        <v>198.0</v>
      </c>
      <c r="B322" s="60">
        <v>301.0</v>
      </c>
      <c r="C322" s="27" t="s">
        <v>611</v>
      </c>
      <c r="D322" s="61" t="s">
        <v>610</v>
      </c>
      <c r="E322" s="61" t="s">
        <v>25</v>
      </c>
      <c r="F322" s="34" t="s">
        <v>57</v>
      </c>
      <c r="G322" s="66"/>
      <c r="H322" s="30">
        <v>150.0</v>
      </c>
      <c r="I322" s="31">
        <v>12.0</v>
      </c>
      <c r="J322" s="31">
        <v>75.0</v>
      </c>
      <c r="K322" s="31">
        <v>4.0</v>
      </c>
      <c r="L322" s="31">
        <v>4.0</v>
      </c>
      <c r="M322" s="31">
        <v>0.0</v>
      </c>
      <c r="N322" s="31" t="s">
        <v>138</v>
      </c>
      <c r="O322" s="31" t="s">
        <v>579</v>
      </c>
      <c r="P322" s="31">
        <v>450.0</v>
      </c>
      <c r="Q322" s="31" t="s">
        <v>66</v>
      </c>
      <c r="R322" s="61">
        <v>3.0</v>
      </c>
    </row>
    <row r="323" ht="14.25" customHeight="1">
      <c r="A323" s="78">
        <v>199.0</v>
      </c>
      <c r="B323" s="62">
        <v>302.0</v>
      </c>
      <c r="C323" s="25" t="s">
        <v>612</v>
      </c>
      <c r="D323" s="63" t="s">
        <v>613</v>
      </c>
      <c r="E323" s="61" t="s">
        <v>25</v>
      </c>
      <c r="F323" s="34" t="s">
        <v>57</v>
      </c>
      <c r="G323" s="67"/>
      <c r="H323" s="35">
        <v>54.0</v>
      </c>
      <c r="I323" s="36">
        <v>2.0</v>
      </c>
      <c r="J323" s="36">
        <v>15.0</v>
      </c>
      <c r="K323" s="36">
        <v>1.0</v>
      </c>
      <c r="L323" s="36">
        <v>1.0</v>
      </c>
      <c r="M323" s="36">
        <v>0.0</v>
      </c>
      <c r="N323" s="36" t="s">
        <v>138</v>
      </c>
      <c r="O323" s="36" t="s">
        <v>579</v>
      </c>
      <c r="P323" s="36">
        <v>162.0</v>
      </c>
      <c r="Q323" s="36" t="s">
        <v>29</v>
      </c>
      <c r="R323" s="63" t="s">
        <v>39</v>
      </c>
    </row>
    <row r="324" ht="14.25" customHeight="1">
      <c r="A324" s="78">
        <v>200.0</v>
      </c>
      <c r="B324" s="60">
        <v>303.0</v>
      </c>
      <c r="C324" s="27" t="s">
        <v>614</v>
      </c>
      <c r="D324" s="61" t="s">
        <v>613</v>
      </c>
      <c r="E324" s="61" t="s">
        <v>25</v>
      </c>
      <c r="F324" s="34" t="s">
        <v>57</v>
      </c>
      <c r="G324" s="66"/>
      <c r="H324" s="30">
        <v>200.0</v>
      </c>
      <c r="I324" s="31">
        <v>16.0</v>
      </c>
      <c r="J324" s="31">
        <v>100.0</v>
      </c>
      <c r="K324" s="31">
        <v>9.0</v>
      </c>
      <c r="L324" s="31">
        <v>9.0</v>
      </c>
      <c r="M324" s="31">
        <v>0.0</v>
      </c>
      <c r="N324" s="31" t="s">
        <v>138</v>
      </c>
      <c r="O324" s="31" t="s">
        <v>579</v>
      </c>
      <c r="P324" s="31">
        <v>600.0</v>
      </c>
      <c r="Q324" s="31" t="s">
        <v>29</v>
      </c>
      <c r="R324" s="61" t="s">
        <v>39</v>
      </c>
    </row>
    <row r="325" ht="14.25" customHeight="1">
      <c r="A325" s="78">
        <v>201.0</v>
      </c>
      <c r="B325" s="60">
        <v>304.0</v>
      </c>
      <c r="C325" s="25" t="s">
        <v>615</v>
      </c>
      <c r="D325" s="63" t="s">
        <v>616</v>
      </c>
      <c r="E325" s="61" t="s">
        <v>25</v>
      </c>
      <c r="F325" s="34" t="s">
        <v>57</v>
      </c>
      <c r="G325" s="67"/>
      <c r="H325" s="35">
        <v>54.0</v>
      </c>
      <c r="I325" s="36">
        <v>2.0</v>
      </c>
      <c r="J325" s="36">
        <v>15.0</v>
      </c>
      <c r="K325" s="36">
        <v>1.0</v>
      </c>
      <c r="L325" s="36">
        <v>1.0</v>
      </c>
      <c r="M325" s="36">
        <v>0.0</v>
      </c>
      <c r="N325" s="36" t="s">
        <v>138</v>
      </c>
      <c r="O325" s="36" t="s">
        <v>579</v>
      </c>
      <c r="P325" s="36">
        <v>162.0</v>
      </c>
      <c r="Q325" s="36" t="s">
        <v>29</v>
      </c>
      <c r="R325" s="63" t="s">
        <v>39</v>
      </c>
    </row>
    <row r="326" ht="14.25" customHeight="1">
      <c r="A326" s="78">
        <v>202.0</v>
      </c>
      <c r="B326" s="62">
        <v>305.0</v>
      </c>
      <c r="C326" s="27" t="s">
        <v>617</v>
      </c>
      <c r="D326" s="61" t="s">
        <v>616</v>
      </c>
      <c r="E326" s="61" t="s">
        <v>25</v>
      </c>
      <c r="F326" s="34" t="s">
        <v>57</v>
      </c>
      <c r="G326" s="66"/>
      <c r="H326" s="30">
        <v>100.0</v>
      </c>
      <c r="I326" s="31">
        <v>8.0</v>
      </c>
      <c r="J326" s="31">
        <v>50.0</v>
      </c>
      <c r="K326" s="31">
        <v>1.0</v>
      </c>
      <c r="L326" s="31">
        <v>1.0</v>
      </c>
      <c r="M326" s="31">
        <v>0.0</v>
      </c>
      <c r="N326" s="31" t="s">
        <v>138</v>
      </c>
      <c r="O326" s="31" t="s">
        <v>579</v>
      </c>
      <c r="P326" s="31">
        <v>300.0</v>
      </c>
      <c r="Q326" s="31" t="s">
        <v>29</v>
      </c>
      <c r="R326" s="61" t="s">
        <v>39</v>
      </c>
    </row>
    <row r="327" ht="14.25" customHeight="1">
      <c r="A327" s="78">
        <v>203.0</v>
      </c>
      <c r="B327" s="60">
        <v>306.0</v>
      </c>
      <c r="C327" s="25" t="s">
        <v>618</v>
      </c>
      <c r="D327" s="63" t="s">
        <v>619</v>
      </c>
      <c r="E327" s="61" t="s">
        <v>25</v>
      </c>
      <c r="F327" s="34" t="s">
        <v>57</v>
      </c>
      <c r="G327" s="67"/>
      <c r="H327" s="35">
        <v>48.0</v>
      </c>
      <c r="I327" s="36">
        <v>1.0</v>
      </c>
      <c r="J327" s="36">
        <v>10.0</v>
      </c>
      <c r="K327" s="36">
        <v>1.0</v>
      </c>
      <c r="L327" s="36">
        <v>1.0</v>
      </c>
      <c r="M327" s="36">
        <v>0.0</v>
      </c>
      <c r="N327" s="36" t="s">
        <v>138</v>
      </c>
      <c r="O327" s="36" t="s">
        <v>579</v>
      </c>
      <c r="P327" s="36">
        <v>144.0</v>
      </c>
      <c r="Q327" s="36" t="s">
        <v>29</v>
      </c>
      <c r="R327" s="63" t="s">
        <v>39</v>
      </c>
    </row>
    <row r="328" ht="14.25" customHeight="1">
      <c r="A328" s="78">
        <v>204.0</v>
      </c>
      <c r="B328" s="60">
        <v>307.0</v>
      </c>
      <c r="C328" s="27" t="s">
        <v>620</v>
      </c>
      <c r="D328" s="61" t="s">
        <v>619</v>
      </c>
      <c r="E328" s="61" t="s">
        <v>25</v>
      </c>
      <c r="F328" s="34" t="s">
        <v>57</v>
      </c>
      <c r="G328" s="66"/>
      <c r="H328" s="30">
        <v>54.0</v>
      </c>
      <c r="I328" s="31">
        <v>8.0</v>
      </c>
      <c r="J328" s="31">
        <v>50.0</v>
      </c>
      <c r="K328" s="31">
        <v>1.0</v>
      </c>
      <c r="L328" s="31">
        <v>1.0</v>
      </c>
      <c r="M328" s="31">
        <v>0.0</v>
      </c>
      <c r="N328" s="31" t="s">
        <v>138</v>
      </c>
      <c r="O328" s="31" t="s">
        <v>579</v>
      </c>
      <c r="P328" s="31">
        <v>162.0</v>
      </c>
      <c r="Q328" s="31" t="s">
        <v>29</v>
      </c>
      <c r="R328" s="61" t="s">
        <v>39</v>
      </c>
    </row>
    <row r="329" ht="14.25" customHeight="1">
      <c r="A329" s="78">
        <v>205.0</v>
      </c>
      <c r="B329" s="62">
        <v>308.0</v>
      </c>
      <c r="C329" s="25" t="s">
        <v>621</v>
      </c>
      <c r="D329" s="63" t="s">
        <v>622</v>
      </c>
      <c r="E329" s="61" t="s">
        <v>25</v>
      </c>
      <c r="F329" s="34" t="s">
        <v>57</v>
      </c>
      <c r="G329" s="67"/>
      <c r="H329" s="35">
        <v>54.0</v>
      </c>
      <c r="I329" s="36">
        <v>1.0</v>
      </c>
      <c r="J329" s="36">
        <v>10.0</v>
      </c>
      <c r="K329" s="36">
        <v>1.0</v>
      </c>
      <c r="L329" s="36">
        <v>1.0</v>
      </c>
      <c r="M329" s="36">
        <v>0.0</v>
      </c>
      <c r="N329" s="36" t="s">
        <v>138</v>
      </c>
      <c r="O329" s="36" t="s">
        <v>579</v>
      </c>
      <c r="P329" s="36">
        <v>162.0</v>
      </c>
      <c r="Q329" s="36" t="s">
        <v>29</v>
      </c>
      <c r="R329" s="63" t="s">
        <v>39</v>
      </c>
    </row>
    <row r="330" ht="14.25" customHeight="1">
      <c r="A330" s="78">
        <v>206.0</v>
      </c>
      <c r="B330" s="60">
        <v>309.0</v>
      </c>
      <c r="C330" s="27" t="s">
        <v>623</v>
      </c>
      <c r="D330" s="61" t="s">
        <v>622</v>
      </c>
      <c r="E330" s="61" t="s">
        <v>25</v>
      </c>
      <c r="F330" s="34" t="s">
        <v>57</v>
      </c>
      <c r="G330" s="66"/>
      <c r="H330" s="30">
        <v>100.0</v>
      </c>
      <c r="I330" s="31">
        <v>12.0</v>
      </c>
      <c r="J330" s="31">
        <v>75.0</v>
      </c>
      <c r="K330" s="31">
        <v>5.0</v>
      </c>
      <c r="L330" s="31">
        <v>5.0</v>
      </c>
      <c r="M330" s="31">
        <v>0.0</v>
      </c>
      <c r="N330" s="31" t="s">
        <v>138</v>
      </c>
      <c r="O330" s="31" t="s">
        <v>579</v>
      </c>
      <c r="P330" s="31">
        <v>300.0</v>
      </c>
      <c r="Q330" s="31" t="s">
        <v>29</v>
      </c>
      <c r="R330" s="61" t="s">
        <v>39</v>
      </c>
    </row>
    <row r="331" ht="14.25" customHeight="1">
      <c r="A331" s="78">
        <v>207.0</v>
      </c>
      <c r="B331" s="60">
        <v>310.0</v>
      </c>
      <c r="C331" s="25" t="s">
        <v>624</v>
      </c>
      <c r="D331" s="63" t="s">
        <v>625</v>
      </c>
      <c r="E331" s="61" t="s">
        <v>25</v>
      </c>
      <c r="F331" s="34" t="s">
        <v>57</v>
      </c>
      <c r="G331" s="67"/>
      <c r="H331" s="35">
        <v>54.0</v>
      </c>
      <c r="I331" s="36">
        <v>2.0</v>
      </c>
      <c r="J331" s="36">
        <v>15.0</v>
      </c>
      <c r="K331" s="36">
        <v>1.0</v>
      </c>
      <c r="L331" s="36">
        <v>1.0</v>
      </c>
      <c r="M331" s="36">
        <v>0.0</v>
      </c>
      <c r="N331" s="36" t="s">
        <v>138</v>
      </c>
      <c r="O331" s="36" t="s">
        <v>579</v>
      </c>
      <c r="P331" s="36">
        <v>162.0</v>
      </c>
      <c r="Q331" s="36" t="s">
        <v>29</v>
      </c>
      <c r="R331" s="63" t="s">
        <v>39</v>
      </c>
    </row>
    <row r="332" ht="14.25" customHeight="1">
      <c r="A332" s="78">
        <v>208.0</v>
      </c>
      <c r="B332" s="62">
        <v>311.0</v>
      </c>
      <c r="C332" s="27" t="s">
        <v>626</v>
      </c>
      <c r="D332" s="61" t="s">
        <v>625</v>
      </c>
      <c r="E332" s="61" t="s">
        <v>25</v>
      </c>
      <c r="F332" s="34" t="s">
        <v>57</v>
      </c>
      <c r="G332" s="66"/>
      <c r="H332" s="30">
        <v>150.0</v>
      </c>
      <c r="I332" s="31">
        <v>16.0</v>
      </c>
      <c r="J332" s="31">
        <v>100.0</v>
      </c>
      <c r="K332" s="31">
        <v>9.0</v>
      </c>
      <c r="L332" s="31">
        <v>9.0</v>
      </c>
      <c r="M332" s="31">
        <v>0.0</v>
      </c>
      <c r="N332" s="31" t="s">
        <v>138</v>
      </c>
      <c r="O332" s="31" t="s">
        <v>579</v>
      </c>
      <c r="P332" s="31">
        <v>450.0</v>
      </c>
      <c r="Q332" s="31" t="s">
        <v>29</v>
      </c>
      <c r="R332" s="61" t="s">
        <v>39</v>
      </c>
    </row>
    <row r="333" ht="14.25" customHeight="1">
      <c r="A333" s="78">
        <v>209.0</v>
      </c>
      <c r="B333" s="60">
        <v>312.0</v>
      </c>
      <c r="C333" s="25" t="s">
        <v>627</v>
      </c>
      <c r="D333" s="63" t="s">
        <v>628</v>
      </c>
      <c r="E333" s="61" t="s">
        <v>25</v>
      </c>
      <c r="F333" s="34" t="s">
        <v>57</v>
      </c>
      <c r="G333" s="67"/>
      <c r="H333" s="35">
        <v>54.0</v>
      </c>
      <c r="I333" s="36">
        <v>2.0</v>
      </c>
      <c r="J333" s="36">
        <v>15.0</v>
      </c>
      <c r="K333" s="36">
        <v>1.0</v>
      </c>
      <c r="L333" s="36">
        <v>1.0</v>
      </c>
      <c r="M333" s="36">
        <v>0.0</v>
      </c>
      <c r="N333" s="36" t="s">
        <v>138</v>
      </c>
      <c r="O333" s="36" t="s">
        <v>579</v>
      </c>
      <c r="P333" s="36">
        <v>162.0</v>
      </c>
      <c r="Q333" s="36" t="s">
        <v>29</v>
      </c>
      <c r="R333" s="63" t="s">
        <v>39</v>
      </c>
    </row>
    <row r="334" ht="14.25" customHeight="1">
      <c r="A334" s="78">
        <v>210.0</v>
      </c>
      <c r="B334" s="60">
        <v>313.0</v>
      </c>
      <c r="C334" s="27" t="s">
        <v>629</v>
      </c>
      <c r="D334" s="61" t="s">
        <v>628</v>
      </c>
      <c r="E334" s="61" t="s">
        <v>25</v>
      </c>
      <c r="F334" s="34" t="s">
        <v>57</v>
      </c>
      <c r="G334" s="66"/>
      <c r="H334" s="30">
        <v>150.0</v>
      </c>
      <c r="I334" s="31">
        <v>16.0</v>
      </c>
      <c r="J334" s="31">
        <v>100.0</v>
      </c>
      <c r="K334" s="31">
        <v>9.0</v>
      </c>
      <c r="L334" s="31">
        <v>9.0</v>
      </c>
      <c r="M334" s="31">
        <v>0.0</v>
      </c>
      <c r="N334" s="31" t="s">
        <v>138</v>
      </c>
      <c r="O334" s="31" t="s">
        <v>579</v>
      </c>
      <c r="P334" s="31">
        <v>450.0</v>
      </c>
      <c r="Q334" s="31" t="s">
        <v>29</v>
      </c>
      <c r="R334" s="61" t="s">
        <v>39</v>
      </c>
    </row>
    <row r="335" ht="14.25" customHeight="1">
      <c r="A335" s="78">
        <v>211.0</v>
      </c>
      <c r="B335" s="62">
        <v>314.0</v>
      </c>
      <c r="C335" s="25" t="s">
        <v>630</v>
      </c>
      <c r="D335" s="63" t="s">
        <v>631</v>
      </c>
      <c r="E335" s="61" t="s">
        <v>25</v>
      </c>
      <c r="F335" s="34" t="s">
        <v>57</v>
      </c>
      <c r="G335" s="67"/>
      <c r="H335" s="35">
        <v>54.0</v>
      </c>
      <c r="I335" s="36">
        <v>3.0</v>
      </c>
      <c r="J335" s="36">
        <v>20.0</v>
      </c>
      <c r="K335" s="36">
        <v>2.0</v>
      </c>
      <c r="L335" s="36">
        <v>1.0</v>
      </c>
      <c r="M335" s="36">
        <v>0.0</v>
      </c>
      <c r="N335" s="36" t="s">
        <v>138</v>
      </c>
      <c r="O335" s="36" t="s">
        <v>579</v>
      </c>
      <c r="P335" s="36">
        <v>162.0</v>
      </c>
      <c r="Q335" s="36" t="s">
        <v>29</v>
      </c>
      <c r="R335" s="63" t="s">
        <v>39</v>
      </c>
    </row>
    <row r="336" ht="14.25" customHeight="1">
      <c r="A336" s="78">
        <v>212.0</v>
      </c>
      <c r="B336" s="60">
        <v>315.0</v>
      </c>
      <c r="C336" s="27" t="s">
        <v>632</v>
      </c>
      <c r="D336" s="61" t="s">
        <v>633</v>
      </c>
      <c r="E336" s="61" t="s">
        <v>25</v>
      </c>
      <c r="F336" s="34" t="s">
        <v>57</v>
      </c>
      <c r="G336" s="66"/>
      <c r="H336" s="30">
        <v>54.0</v>
      </c>
      <c r="I336" s="31">
        <v>1.0</v>
      </c>
      <c r="J336" s="31">
        <v>10.0</v>
      </c>
      <c r="K336" s="31">
        <v>1.0</v>
      </c>
      <c r="L336" s="31">
        <v>1.0</v>
      </c>
      <c r="M336" s="31">
        <v>0.0</v>
      </c>
      <c r="N336" s="31" t="s">
        <v>138</v>
      </c>
      <c r="O336" s="31" t="s">
        <v>579</v>
      </c>
      <c r="P336" s="31">
        <v>162.0</v>
      </c>
      <c r="Q336" s="31" t="s">
        <v>29</v>
      </c>
      <c r="R336" s="61" t="s">
        <v>39</v>
      </c>
    </row>
    <row r="337" ht="14.25" customHeight="1">
      <c r="A337" s="78">
        <v>213.0</v>
      </c>
      <c r="B337" s="60">
        <v>316.0</v>
      </c>
      <c r="C337" s="25" t="s">
        <v>634</v>
      </c>
      <c r="D337" s="63" t="s">
        <v>633</v>
      </c>
      <c r="E337" s="61" t="s">
        <v>25</v>
      </c>
      <c r="F337" s="34" t="s">
        <v>57</v>
      </c>
      <c r="G337" s="67"/>
      <c r="H337" s="35">
        <v>150.0</v>
      </c>
      <c r="I337" s="36">
        <v>16.0</v>
      </c>
      <c r="J337" s="36">
        <v>100.0</v>
      </c>
      <c r="K337" s="36">
        <v>3.0</v>
      </c>
      <c r="L337" s="36">
        <v>4.0</v>
      </c>
      <c r="M337" s="36">
        <v>0.0</v>
      </c>
      <c r="N337" s="36" t="s">
        <v>138</v>
      </c>
      <c r="O337" s="36" t="s">
        <v>579</v>
      </c>
      <c r="P337" s="36">
        <v>450.0</v>
      </c>
      <c r="Q337" s="36" t="s">
        <v>29</v>
      </c>
      <c r="R337" s="63" t="s">
        <v>39</v>
      </c>
    </row>
    <row r="338" ht="14.25" customHeight="1">
      <c r="A338" s="78">
        <v>214.0</v>
      </c>
      <c r="B338" s="62">
        <v>317.0</v>
      </c>
      <c r="C338" s="27" t="s">
        <v>635</v>
      </c>
      <c r="D338" s="61" t="s">
        <v>636</v>
      </c>
      <c r="E338" s="61" t="s">
        <v>25</v>
      </c>
      <c r="F338" s="34" t="s">
        <v>57</v>
      </c>
      <c r="G338" s="66"/>
      <c r="H338" s="30">
        <v>54.0</v>
      </c>
      <c r="I338" s="31">
        <v>2.0</v>
      </c>
      <c r="J338" s="31">
        <v>15.0</v>
      </c>
      <c r="K338" s="31">
        <v>3.0</v>
      </c>
      <c r="L338" s="31">
        <v>3.0</v>
      </c>
      <c r="M338" s="31">
        <v>0.0</v>
      </c>
      <c r="N338" s="31" t="s">
        <v>138</v>
      </c>
      <c r="O338" s="31" t="s">
        <v>579</v>
      </c>
      <c r="P338" s="31">
        <v>162.0</v>
      </c>
      <c r="Q338" s="31" t="s">
        <v>29</v>
      </c>
      <c r="R338" s="61" t="s">
        <v>39</v>
      </c>
    </row>
    <row r="339" ht="14.25" customHeight="1">
      <c r="A339" s="78">
        <v>215.0</v>
      </c>
      <c r="B339" s="60">
        <v>318.0</v>
      </c>
      <c r="C339" s="25" t="s">
        <v>637</v>
      </c>
      <c r="D339" s="63" t="s">
        <v>636</v>
      </c>
      <c r="E339" s="61" t="s">
        <v>25</v>
      </c>
      <c r="F339" s="34" t="s">
        <v>57</v>
      </c>
      <c r="G339" s="67"/>
      <c r="H339" s="35">
        <v>200.0</v>
      </c>
      <c r="I339" s="36">
        <v>20.0</v>
      </c>
      <c r="J339" s="36">
        <v>120.0</v>
      </c>
      <c r="K339" s="36">
        <v>9.0</v>
      </c>
      <c r="L339" s="36">
        <v>9.0</v>
      </c>
      <c r="M339" s="36">
        <v>0.0</v>
      </c>
      <c r="N339" s="36" t="s">
        <v>138</v>
      </c>
      <c r="O339" s="36" t="s">
        <v>579</v>
      </c>
      <c r="P339" s="36">
        <v>600.0</v>
      </c>
      <c r="Q339" s="36" t="s">
        <v>29</v>
      </c>
      <c r="R339" s="63" t="s">
        <v>39</v>
      </c>
    </row>
    <row r="340" ht="14.25" customHeight="1">
      <c r="A340" s="78">
        <v>216.0</v>
      </c>
      <c r="B340" s="60">
        <v>319.0</v>
      </c>
      <c r="C340" s="27" t="s">
        <v>638</v>
      </c>
      <c r="D340" s="61" t="s">
        <v>639</v>
      </c>
      <c r="E340" s="61" t="s">
        <v>25</v>
      </c>
      <c r="F340" s="34" t="s">
        <v>57</v>
      </c>
      <c r="G340" s="66"/>
      <c r="H340" s="30">
        <v>54.0</v>
      </c>
      <c r="I340" s="31">
        <v>1.0</v>
      </c>
      <c r="J340" s="31">
        <v>10.0</v>
      </c>
      <c r="K340" s="31">
        <v>1.0</v>
      </c>
      <c r="L340" s="31">
        <v>1.0</v>
      </c>
      <c r="M340" s="31">
        <v>0.0</v>
      </c>
      <c r="N340" s="31" t="s">
        <v>138</v>
      </c>
      <c r="O340" s="31" t="s">
        <v>579</v>
      </c>
      <c r="P340" s="31">
        <v>162.0</v>
      </c>
      <c r="Q340" s="31" t="s">
        <v>29</v>
      </c>
      <c r="R340" s="61" t="s">
        <v>39</v>
      </c>
    </row>
    <row r="341" ht="14.25" customHeight="1">
      <c r="A341" s="78">
        <v>217.0</v>
      </c>
      <c r="B341" s="62">
        <v>320.0</v>
      </c>
      <c r="C341" s="25" t="s">
        <v>640</v>
      </c>
      <c r="D341" s="63" t="s">
        <v>639</v>
      </c>
      <c r="E341" s="61" t="s">
        <v>25</v>
      </c>
      <c r="F341" s="34" t="s">
        <v>57</v>
      </c>
      <c r="G341" s="67"/>
      <c r="H341" s="35">
        <v>100.0</v>
      </c>
      <c r="I341" s="36">
        <v>12.0</v>
      </c>
      <c r="J341" s="36">
        <v>75.0</v>
      </c>
      <c r="K341" s="36">
        <v>8.0</v>
      </c>
      <c r="L341" s="36">
        <v>8.0</v>
      </c>
      <c r="M341" s="36">
        <v>0.0</v>
      </c>
      <c r="N341" s="36" t="s">
        <v>138</v>
      </c>
      <c r="O341" s="36" t="s">
        <v>579</v>
      </c>
      <c r="P341" s="36">
        <v>300.0</v>
      </c>
      <c r="Q341" s="36" t="s">
        <v>29</v>
      </c>
      <c r="R341" s="63" t="s">
        <v>39</v>
      </c>
    </row>
    <row r="342" ht="14.25" customHeight="1">
      <c r="A342" s="78">
        <v>218.0</v>
      </c>
      <c r="B342" s="60">
        <v>321.0</v>
      </c>
      <c r="C342" s="27" t="s">
        <v>641</v>
      </c>
      <c r="D342" s="61" t="s">
        <v>642</v>
      </c>
      <c r="E342" s="61" t="s">
        <v>25</v>
      </c>
      <c r="F342" s="34" t="s">
        <v>57</v>
      </c>
      <c r="G342" s="66"/>
      <c r="H342" s="30">
        <v>250.0</v>
      </c>
      <c r="I342" s="31">
        <v>25.0</v>
      </c>
      <c r="J342" s="31">
        <v>150.0</v>
      </c>
      <c r="K342" s="31">
        <v>2.0</v>
      </c>
      <c r="L342" s="31">
        <v>2.0</v>
      </c>
      <c r="M342" s="31">
        <v>0.0</v>
      </c>
      <c r="N342" s="31" t="s">
        <v>574</v>
      </c>
      <c r="O342" s="31" t="s">
        <v>138</v>
      </c>
      <c r="P342" s="31">
        <v>750.0</v>
      </c>
      <c r="Q342" s="31" t="s">
        <v>29</v>
      </c>
      <c r="R342" s="61" t="s">
        <v>39</v>
      </c>
    </row>
    <row r="343" ht="14.25" customHeight="1">
      <c r="A343" s="78">
        <v>219.0</v>
      </c>
      <c r="B343" s="60">
        <v>322.0</v>
      </c>
      <c r="C343" s="25" t="s">
        <v>643</v>
      </c>
      <c r="D343" s="63" t="s">
        <v>642</v>
      </c>
      <c r="E343" s="61" t="s">
        <v>25</v>
      </c>
      <c r="F343" s="34" t="s">
        <v>57</v>
      </c>
      <c r="G343" s="67"/>
      <c r="H343" s="35">
        <v>250.0</v>
      </c>
      <c r="I343" s="36">
        <v>25.0</v>
      </c>
      <c r="J343" s="36">
        <v>150.0</v>
      </c>
      <c r="K343" s="36">
        <v>4.0</v>
      </c>
      <c r="L343" s="36">
        <v>4.0</v>
      </c>
      <c r="M343" s="36">
        <v>0.0</v>
      </c>
      <c r="N343" s="36" t="s">
        <v>574</v>
      </c>
      <c r="O343" s="36" t="s">
        <v>138</v>
      </c>
      <c r="P343" s="36">
        <v>750.0</v>
      </c>
      <c r="Q343" s="36" t="s">
        <v>29</v>
      </c>
      <c r="R343" s="63" t="s">
        <v>39</v>
      </c>
    </row>
    <row r="344" ht="14.25" customHeight="1">
      <c r="A344" s="78"/>
      <c r="B344" s="90"/>
      <c r="C344" s="91" t="s">
        <v>644</v>
      </c>
      <c r="D344" s="22"/>
      <c r="E344" s="22"/>
      <c r="F344" s="23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</row>
    <row r="345" ht="14.25" customHeight="1">
      <c r="A345" s="78">
        <v>220.0</v>
      </c>
      <c r="B345" s="32">
        <v>323.0</v>
      </c>
      <c r="C345" s="92" t="s">
        <v>645</v>
      </c>
      <c r="D345" s="93" t="s">
        <v>646</v>
      </c>
      <c r="E345" s="61" t="s">
        <v>25</v>
      </c>
      <c r="F345" s="94" t="s">
        <v>647</v>
      </c>
      <c r="G345" s="95"/>
      <c r="H345" s="30">
        <v>1180.0</v>
      </c>
      <c r="I345" s="30">
        <v>10.0</v>
      </c>
      <c r="J345" s="30">
        <v>50.0</v>
      </c>
      <c r="K345" s="30">
        <v>2.0</v>
      </c>
      <c r="L345" s="30">
        <v>2.0</v>
      </c>
      <c r="M345" s="30">
        <v>1.0</v>
      </c>
      <c r="N345" s="30" t="s">
        <v>648</v>
      </c>
      <c r="O345" s="30" t="s">
        <v>138</v>
      </c>
      <c r="P345" s="30">
        <v>500.0</v>
      </c>
      <c r="Q345" s="30" t="s">
        <v>29</v>
      </c>
      <c r="R345" s="95">
        <v>0.0</v>
      </c>
    </row>
    <row r="346" ht="14.25" customHeight="1">
      <c r="A346" s="78"/>
      <c r="B346" s="96">
        <v>324.0</v>
      </c>
      <c r="C346" s="97" t="s">
        <v>649</v>
      </c>
      <c r="D346" s="98" t="s">
        <v>646</v>
      </c>
      <c r="E346" s="61" t="s">
        <v>25</v>
      </c>
      <c r="F346" s="99" t="s">
        <v>647</v>
      </c>
      <c r="G346" s="95"/>
      <c r="H346" s="100">
        <v>1593.0</v>
      </c>
      <c r="I346" s="100">
        <v>25.0</v>
      </c>
      <c r="J346" s="100">
        <v>150.0</v>
      </c>
      <c r="K346" s="100">
        <v>6.0</v>
      </c>
      <c r="L346" s="100">
        <v>6.0</v>
      </c>
      <c r="M346" s="100">
        <v>0.0</v>
      </c>
      <c r="N346" s="100" t="s">
        <v>648</v>
      </c>
      <c r="O346" s="30" t="s">
        <v>138</v>
      </c>
      <c r="P346" s="100">
        <v>30.0</v>
      </c>
      <c r="Q346" s="100" t="s">
        <v>29</v>
      </c>
      <c r="R346" s="98">
        <v>0.0</v>
      </c>
    </row>
    <row r="347" ht="14.25" customHeight="1">
      <c r="A347" s="78"/>
      <c r="B347" s="96">
        <v>325.0</v>
      </c>
      <c r="C347" s="97" t="s">
        <v>650</v>
      </c>
      <c r="D347" s="98" t="s">
        <v>646</v>
      </c>
      <c r="E347" s="61" t="s">
        <v>25</v>
      </c>
      <c r="F347" s="99" t="s">
        <v>647</v>
      </c>
      <c r="G347" s="95"/>
      <c r="H347" s="100">
        <v>200.0</v>
      </c>
      <c r="I347" s="100">
        <v>5.0</v>
      </c>
      <c r="J347" s="100">
        <v>15.0</v>
      </c>
      <c r="K347" s="100">
        <v>1.0</v>
      </c>
      <c r="L347" s="100">
        <v>1.0</v>
      </c>
      <c r="M347" s="100">
        <v>0.0</v>
      </c>
      <c r="N347" s="100" t="s">
        <v>648</v>
      </c>
      <c r="O347" s="30" t="s">
        <v>138</v>
      </c>
      <c r="P347" s="100">
        <v>20.0</v>
      </c>
      <c r="Q347" s="100" t="s">
        <v>29</v>
      </c>
      <c r="R347" s="98">
        <v>0.0</v>
      </c>
    </row>
    <row r="348" ht="14.25" customHeight="1">
      <c r="A348" s="78"/>
      <c r="B348" s="32">
        <v>326.0</v>
      </c>
      <c r="C348" s="97" t="s">
        <v>651</v>
      </c>
      <c r="D348" s="98" t="s">
        <v>652</v>
      </c>
      <c r="E348" s="61" t="s">
        <v>25</v>
      </c>
      <c r="F348" s="99" t="s">
        <v>647</v>
      </c>
      <c r="G348" s="95" t="s">
        <v>653</v>
      </c>
      <c r="H348" s="100">
        <v>980.0</v>
      </c>
      <c r="I348" s="100">
        <v>4.0</v>
      </c>
      <c r="J348" s="100">
        <v>12.0</v>
      </c>
      <c r="K348" s="100">
        <v>0.0</v>
      </c>
      <c r="L348" s="100">
        <v>0.0</v>
      </c>
      <c r="M348" s="100">
        <v>1.0</v>
      </c>
      <c r="N348" s="100" t="s">
        <v>579</v>
      </c>
      <c r="O348" s="30" t="s">
        <v>138</v>
      </c>
      <c r="P348" s="100">
        <v>20.0</v>
      </c>
      <c r="Q348" s="100" t="s">
        <v>29</v>
      </c>
      <c r="R348" s="95">
        <v>0.0</v>
      </c>
    </row>
    <row r="349" ht="14.25" customHeight="1">
      <c r="A349" s="78"/>
      <c r="B349" s="96">
        <v>327.0</v>
      </c>
      <c r="C349" s="97" t="s">
        <v>654</v>
      </c>
      <c r="D349" s="97" t="s">
        <v>655</v>
      </c>
      <c r="E349" s="61" t="s">
        <v>25</v>
      </c>
      <c r="F349" s="99" t="s">
        <v>656</v>
      </c>
      <c r="G349" s="95" t="s">
        <v>653</v>
      </c>
      <c r="H349" s="100">
        <v>950.0</v>
      </c>
      <c r="I349" s="100">
        <v>4.0</v>
      </c>
      <c r="J349" s="100">
        <v>12.0</v>
      </c>
      <c r="K349" s="100">
        <v>0.0</v>
      </c>
      <c r="L349" s="100">
        <v>0.0</v>
      </c>
      <c r="M349" s="100">
        <v>1.0</v>
      </c>
      <c r="N349" s="100" t="s">
        <v>579</v>
      </c>
      <c r="O349" s="30" t="s">
        <v>138</v>
      </c>
      <c r="P349" s="100">
        <v>20.0</v>
      </c>
      <c r="Q349" s="100" t="s">
        <v>29</v>
      </c>
      <c r="R349" s="98">
        <v>0.0</v>
      </c>
    </row>
    <row r="350" ht="14.25" customHeight="1">
      <c r="A350" s="78"/>
      <c r="B350" s="96">
        <v>328.0</v>
      </c>
      <c r="C350" s="97" t="s">
        <v>657</v>
      </c>
      <c r="D350" s="101" t="s">
        <v>658</v>
      </c>
      <c r="E350" s="98" t="s">
        <v>659</v>
      </c>
      <c r="F350" s="99" t="s">
        <v>660</v>
      </c>
      <c r="G350" s="95" t="s">
        <v>653</v>
      </c>
      <c r="H350" s="100">
        <v>920.0</v>
      </c>
      <c r="I350" s="100">
        <v>4.0</v>
      </c>
      <c r="J350" s="100">
        <v>12.0</v>
      </c>
      <c r="K350" s="100">
        <v>0.0</v>
      </c>
      <c r="L350" s="100">
        <v>0.0</v>
      </c>
      <c r="M350" s="100">
        <v>1.0</v>
      </c>
      <c r="N350" s="100" t="s">
        <v>661</v>
      </c>
      <c r="O350" s="30" t="s">
        <v>138</v>
      </c>
      <c r="P350" s="100">
        <v>20.0</v>
      </c>
      <c r="Q350" s="100" t="s">
        <v>29</v>
      </c>
      <c r="R350" s="98">
        <v>0.0</v>
      </c>
    </row>
    <row r="351" ht="14.25" customHeight="1">
      <c r="A351" s="78"/>
      <c r="B351" s="32">
        <v>329.0</v>
      </c>
      <c r="C351" s="97" t="s">
        <v>662</v>
      </c>
      <c r="D351" s="101" t="s">
        <v>663</v>
      </c>
      <c r="E351" s="61" t="s">
        <v>25</v>
      </c>
      <c r="F351" s="99" t="s">
        <v>656</v>
      </c>
      <c r="G351" s="95" t="s">
        <v>653</v>
      </c>
      <c r="H351" s="100">
        <v>610.0</v>
      </c>
      <c r="I351" s="100">
        <v>4.0</v>
      </c>
      <c r="J351" s="100">
        <v>12.0</v>
      </c>
      <c r="K351" s="100">
        <v>0.0</v>
      </c>
      <c r="L351" s="100">
        <v>0.0</v>
      </c>
      <c r="M351" s="100">
        <v>1.0</v>
      </c>
      <c r="N351" s="100" t="s">
        <v>579</v>
      </c>
      <c r="O351" s="30" t="s">
        <v>138</v>
      </c>
      <c r="P351" s="100">
        <v>20.0</v>
      </c>
      <c r="Q351" s="100" t="s">
        <v>29</v>
      </c>
      <c r="R351" s="95">
        <v>0.0</v>
      </c>
    </row>
    <row r="352" ht="14.25" customHeight="1">
      <c r="A352" s="78"/>
      <c r="B352" s="96">
        <v>330.0</v>
      </c>
      <c r="C352" s="97" t="s">
        <v>664</v>
      </c>
      <c r="D352" s="101" t="s">
        <v>665</v>
      </c>
      <c r="E352" s="61" t="s">
        <v>25</v>
      </c>
      <c r="F352" s="99" t="s">
        <v>647</v>
      </c>
      <c r="G352" s="95" t="s">
        <v>653</v>
      </c>
      <c r="H352" s="100">
        <v>780.0</v>
      </c>
      <c r="I352" s="100">
        <v>4.0</v>
      </c>
      <c r="J352" s="100">
        <v>12.0</v>
      </c>
      <c r="K352" s="100">
        <v>0.0</v>
      </c>
      <c r="L352" s="100">
        <v>0.0</v>
      </c>
      <c r="M352" s="100">
        <v>1.0</v>
      </c>
      <c r="N352" s="100" t="s">
        <v>579</v>
      </c>
      <c r="O352" s="30" t="s">
        <v>138</v>
      </c>
      <c r="P352" s="100">
        <v>20.0</v>
      </c>
      <c r="Q352" s="100" t="s">
        <v>29</v>
      </c>
      <c r="R352" s="98">
        <v>0.0</v>
      </c>
    </row>
    <row r="353" ht="14.25" customHeight="1">
      <c r="A353" s="78"/>
      <c r="B353" s="96">
        <v>331.0</v>
      </c>
      <c r="C353" s="97" t="s">
        <v>666</v>
      </c>
      <c r="D353" s="101" t="s">
        <v>667</v>
      </c>
      <c r="E353" s="98" t="s">
        <v>659</v>
      </c>
      <c r="F353" s="99" t="s">
        <v>656</v>
      </c>
      <c r="G353" s="95" t="s">
        <v>653</v>
      </c>
      <c r="H353" s="100">
        <v>1470.0</v>
      </c>
      <c r="I353" s="100">
        <v>4.0</v>
      </c>
      <c r="J353" s="100">
        <v>12.0</v>
      </c>
      <c r="K353" s="100">
        <v>0.0</v>
      </c>
      <c r="L353" s="100">
        <v>0.0</v>
      </c>
      <c r="M353" s="100">
        <v>1.0</v>
      </c>
      <c r="N353" s="100" t="s">
        <v>579</v>
      </c>
      <c r="O353" s="30" t="s">
        <v>138</v>
      </c>
      <c r="P353" s="100">
        <v>20.0</v>
      </c>
      <c r="Q353" s="100" t="s">
        <v>29</v>
      </c>
      <c r="R353" s="98">
        <v>0.0</v>
      </c>
    </row>
    <row r="354" ht="14.25" customHeight="1">
      <c r="A354" s="78"/>
      <c r="B354" s="32">
        <v>332.0</v>
      </c>
      <c r="C354" s="97" t="s">
        <v>668</v>
      </c>
      <c r="D354" s="97" t="s">
        <v>669</v>
      </c>
      <c r="E354" s="61" t="s">
        <v>25</v>
      </c>
      <c r="F354" s="99" t="s">
        <v>647</v>
      </c>
      <c r="G354" s="95" t="s">
        <v>653</v>
      </c>
      <c r="H354" s="100">
        <v>690.0</v>
      </c>
      <c r="I354" s="100">
        <v>4.0</v>
      </c>
      <c r="J354" s="100">
        <v>12.0</v>
      </c>
      <c r="K354" s="100">
        <v>0.0</v>
      </c>
      <c r="L354" s="100">
        <v>0.0</v>
      </c>
      <c r="M354" s="100">
        <v>1.0</v>
      </c>
      <c r="N354" s="100" t="s">
        <v>579</v>
      </c>
      <c r="O354" s="30" t="s">
        <v>138</v>
      </c>
      <c r="P354" s="100">
        <v>20.0</v>
      </c>
      <c r="Q354" s="100" t="s">
        <v>29</v>
      </c>
      <c r="R354" s="95">
        <v>0.0</v>
      </c>
    </row>
    <row r="355" ht="14.25" customHeight="1">
      <c r="A355" s="78"/>
      <c r="B355" s="96">
        <v>333.0</v>
      </c>
      <c r="C355" s="97" t="s">
        <v>670</v>
      </c>
      <c r="D355" s="97" t="s">
        <v>671</v>
      </c>
      <c r="E355" s="61" t="s">
        <v>25</v>
      </c>
      <c r="F355" s="99" t="s">
        <v>656</v>
      </c>
      <c r="G355" s="95" t="s">
        <v>653</v>
      </c>
      <c r="H355" s="100">
        <v>680.0</v>
      </c>
      <c r="I355" s="100">
        <v>4.0</v>
      </c>
      <c r="J355" s="100">
        <v>12.0</v>
      </c>
      <c r="K355" s="100">
        <v>0.0</v>
      </c>
      <c r="L355" s="100">
        <v>0.0</v>
      </c>
      <c r="M355" s="100">
        <v>1.0</v>
      </c>
      <c r="N355" s="100" t="s">
        <v>579</v>
      </c>
      <c r="O355" s="30" t="s">
        <v>138</v>
      </c>
      <c r="P355" s="100">
        <v>20.0</v>
      </c>
      <c r="Q355" s="100" t="s">
        <v>29</v>
      </c>
      <c r="R355" s="98">
        <v>0.0</v>
      </c>
    </row>
    <row r="356" ht="14.25" customHeight="1">
      <c r="A356" s="78"/>
      <c r="B356" s="96">
        <v>334.0</v>
      </c>
      <c r="C356" s="97" t="s">
        <v>672</v>
      </c>
      <c r="D356" s="97" t="s">
        <v>673</v>
      </c>
      <c r="E356" s="61" t="s">
        <v>25</v>
      </c>
      <c r="F356" s="99" t="s">
        <v>656</v>
      </c>
      <c r="G356" s="95" t="s">
        <v>653</v>
      </c>
      <c r="H356" s="100">
        <v>580.0</v>
      </c>
      <c r="I356" s="100">
        <v>4.0</v>
      </c>
      <c r="J356" s="100">
        <v>12.0</v>
      </c>
      <c r="K356" s="100">
        <v>0.0</v>
      </c>
      <c r="L356" s="100">
        <v>0.0</v>
      </c>
      <c r="M356" s="100">
        <v>1.0</v>
      </c>
      <c r="N356" s="100" t="s">
        <v>579</v>
      </c>
      <c r="O356" s="30" t="s">
        <v>138</v>
      </c>
      <c r="P356" s="100">
        <v>20.0</v>
      </c>
      <c r="Q356" s="100" t="s">
        <v>29</v>
      </c>
      <c r="R356" s="98">
        <v>0.0</v>
      </c>
    </row>
    <row r="357" ht="14.25" customHeight="1">
      <c r="A357" s="78"/>
      <c r="B357" s="32">
        <v>335.0</v>
      </c>
      <c r="C357" s="97" t="s">
        <v>674</v>
      </c>
      <c r="D357" s="98" t="s">
        <v>675</v>
      </c>
      <c r="E357" s="61" t="s">
        <v>25</v>
      </c>
      <c r="F357" s="99" t="s">
        <v>647</v>
      </c>
      <c r="G357" s="95" t="s">
        <v>653</v>
      </c>
      <c r="H357" s="100">
        <v>11754.0</v>
      </c>
      <c r="I357" s="100">
        <v>60.0</v>
      </c>
      <c r="J357" s="100">
        <v>250.0</v>
      </c>
      <c r="K357" s="100">
        <v>0.0</v>
      </c>
      <c r="L357" s="100">
        <v>8.0</v>
      </c>
      <c r="M357" s="100">
        <v>10.0</v>
      </c>
      <c r="N357" s="100" t="s">
        <v>661</v>
      </c>
      <c r="O357" s="30" t="s">
        <v>138</v>
      </c>
      <c r="P357" s="100">
        <v>50.0</v>
      </c>
      <c r="Q357" s="100" t="s">
        <v>29</v>
      </c>
      <c r="R357" s="95">
        <v>0.0</v>
      </c>
    </row>
    <row r="358" ht="14.25" customHeight="1">
      <c r="A358" s="78"/>
      <c r="B358" s="96">
        <v>336.0</v>
      </c>
      <c r="C358" s="97" t="s">
        <v>676</v>
      </c>
      <c r="D358" s="98" t="s">
        <v>677</v>
      </c>
      <c r="E358" s="61" t="s">
        <v>25</v>
      </c>
      <c r="F358" s="99" t="s">
        <v>660</v>
      </c>
      <c r="G358" s="95" t="s">
        <v>653</v>
      </c>
      <c r="H358" s="100">
        <v>7359.0</v>
      </c>
      <c r="I358" s="100">
        <v>55.0</v>
      </c>
      <c r="J358" s="100">
        <v>220.0</v>
      </c>
      <c r="K358" s="100">
        <v>0.0</v>
      </c>
      <c r="L358" s="100">
        <v>0.0</v>
      </c>
      <c r="M358" s="100">
        <v>8.0</v>
      </c>
      <c r="N358" s="100" t="s">
        <v>661</v>
      </c>
      <c r="O358" s="30" t="s">
        <v>138</v>
      </c>
      <c r="P358" s="100">
        <v>20.0</v>
      </c>
      <c r="Q358" s="100" t="s">
        <v>29</v>
      </c>
      <c r="R358" s="98">
        <v>0.0</v>
      </c>
    </row>
    <row r="359" ht="14.25" customHeight="1">
      <c r="A359" s="78"/>
      <c r="B359" s="96">
        <v>337.0</v>
      </c>
      <c r="C359" s="97" t="s">
        <v>678</v>
      </c>
      <c r="D359" s="98" t="s">
        <v>679</v>
      </c>
      <c r="E359" s="61" t="s">
        <v>25</v>
      </c>
      <c r="F359" s="99" t="s">
        <v>647</v>
      </c>
      <c r="G359" s="95" t="s">
        <v>653</v>
      </c>
      <c r="H359" s="100">
        <v>7698.0</v>
      </c>
      <c r="I359" s="100">
        <v>200.0</v>
      </c>
      <c r="J359" s="100">
        <v>600.0</v>
      </c>
      <c r="K359" s="100">
        <v>0.0</v>
      </c>
      <c r="L359" s="100">
        <v>0.0</v>
      </c>
      <c r="M359" s="100">
        <v>8.0</v>
      </c>
      <c r="N359" s="100" t="s">
        <v>661</v>
      </c>
      <c r="O359" s="30" t="s">
        <v>138</v>
      </c>
      <c r="P359" s="100">
        <v>20.0</v>
      </c>
      <c r="Q359" s="100" t="s">
        <v>29</v>
      </c>
      <c r="R359" s="98">
        <v>0.0</v>
      </c>
    </row>
    <row r="360" ht="14.25" customHeight="1">
      <c r="A360" s="78"/>
      <c r="B360" s="32">
        <v>338.0</v>
      </c>
      <c r="C360" s="97" t="s">
        <v>680</v>
      </c>
      <c r="D360" s="98" t="s">
        <v>681</v>
      </c>
      <c r="E360" s="61" t="s">
        <v>25</v>
      </c>
      <c r="F360" s="99" t="s">
        <v>682</v>
      </c>
      <c r="G360" s="95" t="s">
        <v>653</v>
      </c>
      <c r="H360" s="100">
        <v>6178.0</v>
      </c>
      <c r="I360" s="100">
        <v>20.0</v>
      </c>
      <c r="J360" s="100">
        <v>100.0</v>
      </c>
      <c r="K360" s="100">
        <v>0.0</v>
      </c>
      <c r="L360" s="100">
        <v>0.0</v>
      </c>
      <c r="M360" s="100">
        <v>8.0</v>
      </c>
      <c r="N360" s="100" t="s">
        <v>579</v>
      </c>
      <c r="O360" s="30" t="s">
        <v>138</v>
      </c>
      <c r="P360" s="100">
        <v>20.0</v>
      </c>
      <c r="Q360" s="100" t="s">
        <v>29</v>
      </c>
      <c r="R360" s="95">
        <v>0.0</v>
      </c>
    </row>
    <row r="361" ht="14.25" customHeight="1">
      <c r="A361" s="78"/>
      <c r="B361" s="96">
        <v>339.0</v>
      </c>
      <c r="C361" s="97" t="s">
        <v>683</v>
      </c>
      <c r="D361" s="98" t="s">
        <v>684</v>
      </c>
      <c r="E361" s="61" t="s">
        <v>25</v>
      </c>
      <c r="F361" s="99" t="s">
        <v>647</v>
      </c>
      <c r="G361" s="95" t="s">
        <v>653</v>
      </c>
      <c r="H361" s="100">
        <v>5767.0</v>
      </c>
      <c r="I361" s="100">
        <v>20.0</v>
      </c>
      <c r="J361" s="100">
        <v>100.0</v>
      </c>
      <c r="K361" s="100">
        <v>0.0</v>
      </c>
      <c r="L361" s="100">
        <v>0.0</v>
      </c>
      <c r="M361" s="100">
        <v>8.0</v>
      </c>
      <c r="N361" s="100" t="s">
        <v>579</v>
      </c>
      <c r="O361" s="30" t="s">
        <v>138</v>
      </c>
      <c r="P361" s="100">
        <v>20.0</v>
      </c>
      <c r="Q361" s="100" t="s">
        <v>29</v>
      </c>
      <c r="R361" s="98">
        <v>0.0</v>
      </c>
    </row>
    <row r="362" ht="14.25" customHeight="1">
      <c r="A362" s="78"/>
      <c r="B362" s="96">
        <v>340.0</v>
      </c>
      <c r="C362" s="97" t="s">
        <v>685</v>
      </c>
      <c r="D362" s="98" t="s">
        <v>686</v>
      </c>
      <c r="E362" s="61" t="s">
        <v>25</v>
      </c>
      <c r="F362" s="99" t="s">
        <v>647</v>
      </c>
      <c r="G362" s="95" t="s">
        <v>653</v>
      </c>
      <c r="H362" s="100">
        <v>280.0</v>
      </c>
      <c r="I362" s="100">
        <v>20.0</v>
      </c>
      <c r="J362" s="100">
        <v>100.0</v>
      </c>
      <c r="K362" s="100">
        <v>0.0</v>
      </c>
      <c r="L362" s="100">
        <v>0.0</v>
      </c>
      <c r="M362" s="100">
        <v>8.0</v>
      </c>
      <c r="N362" s="100" t="s">
        <v>579</v>
      </c>
      <c r="O362" s="30" t="s">
        <v>138</v>
      </c>
      <c r="P362" s="100">
        <v>20.0</v>
      </c>
      <c r="Q362" s="100" t="s">
        <v>29</v>
      </c>
      <c r="R362" s="98">
        <v>0.0</v>
      </c>
    </row>
    <row r="363" ht="14.25" customHeight="1">
      <c r="A363" s="78"/>
      <c r="B363" s="32">
        <v>341.0</v>
      </c>
      <c r="C363" s="97" t="s">
        <v>687</v>
      </c>
      <c r="D363" s="98" t="s">
        <v>688</v>
      </c>
      <c r="E363" s="61" t="s">
        <v>25</v>
      </c>
      <c r="F363" s="99" t="s">
        <v>647</v>
      </c>
      <c r="G363" s="95" t="s">
        <v>653</v>
      </c>
      <c r="H363" s="100">
        <v>5615.0</v>
      </c>
      <c r="I363" s="100">
        <v>20.0</v>
      </c>
      <c r="J363" s="100">
        <v>100.0</v>
      </c>
      <c r="K363" s="100">
        <v>0.0</v>
      </c>
      <c r="L363" s="100">
        <v>0.0</v>
      </c>
      <c r="M363" s="100">
        <v>8.0</v>
      </c>
      <c r="N363" s="100" t="s">
        <v>579</v>
      </c>
      <c r="O363" s="30" t="s">
        <v>138</v>
      </c>
      <c r="P363" s="100">
        <v>20.0</v>
      </c>
      <c r="Q363" s="100" t="s">
        <v>29</v>
      </c>
      <c r="R363" s="95">
        <v>0.0</v>
      </c>
    </row>
    <row r="364" ht="14.25" customHeight="1">
      <c r="A364" s="78"/>
      <c r="B364" s="96">
        <v>342.0</v>
      </c>
      <c r="C364" s="97" t="s">
        <v>689</v>
      </c>
      <c r="D364" s="98" t="s">
        <v>690</v>
      </c>
      <c r="E364" s="61" t="s">
        <v>25</v>
      </c>
      <c r="F364" s="99" t="s">
        <v>647</v>
      </c>
      <c r="G364" s="95" t="s">
        <v>653</v>
      </c>
      <c r="H364" s="100">
        <v>1144.0</v>
      </c>
      <c r="I364" s="100">
        <v>20.0</v>
      </c>
      <c r="J364" s="100">
        <v>100.0</v>
      </c>
      <c r="K364" s="100">
        <v>0.0</v>
      </c>
      <c r="L364" s="100">
        <v>0.0</v>
      </c>
      <c r="M364" s="100">
        <v>8.0</v>
      </c>
      <c r="N364" s="100" t="s">
        <v>579</v>
      </c>
      <c r="O364" s="30" t="s">
        <v>138</v>
      </c>
      <c r="P364" s="100">
        <v>20.0</v>
      </c>
      <c r="Q364" s="100" t="s">
        <v>29</v>
      </c>
      <c r="R364" s="98">
        <v>0.0</v>
      </c>
    </row>
    <row r="365" ht="14.25" customHeight="1">
      <c r="A365" s="78"/>
      <c r="B365" s="96">
        <v>343.0</v>
      </c>
      <c r="C365" s="97" t="s">
        <v>691</v>
      </c>
      <c r="D365" s="98" t="s">
        <v>692</v>
      </c>
      <c r="E365" s="61" t="s">
        <v>25</v>
      </c>
      <c r="F365" s="99" t="s">
        <v>656</v>
      </c>
      <c r="G365" s="95" t="s">
        <v>653</v>
      </c>
      <c r="H365" s="100">
        <v>3750.0</v>
      </c>
      <c r="I365" s="100">
        <v>20.0</v>
      </c>
      <c r="J365" s="100">
        <v>100.0</v>
      </c>
      <c r="K365" s="100">
        <v>0.0</v>
      </c>
      <c r="L365" s="100">
        <v>0.0</v>
      </c>
      <c r="M365" s="100">
        <v>8.0</v>
      </c>
      <c r="N365" s="100" t="s">
        <v>579</v>
      </c>
      <c r="O365" s="30" t="s">
        <v>138</v>
      </c>
      <c r="P365" s="100">
        <v>20.0</v>
      </c>
      <c r="Q365" s="100" t="s">
        <v>29</v>
      </c>
      <c r="R365" s="98">
        <v>0.0</v>
      </c>
    </row>
    <row r="366" ht="14.25" customHeight="1">
      <c r="A366" s="78"/>
      <c r="B366" s="32">
        <v>344.0</v>
      </c>
      <c r="C366" s="97" t="s">
        <v>693</v>
      </c>
      <c r="D366" s="98" t="s">
        <v>694</v>
      </c>
      <c r="E366" s="61" t="s">
        <v>25</v>
      </c>
      <c r="F366" s="99" t="s">
        <v>647</v>
      </c>
      <c r="G366" s="95" t="s">
        <v>653</v>
      </c>
      <c r="H366" s="100">
        <v>6614.0</v>
      </c>
      <c r="I366" s="100">
        <v>20.0</v>
      </c>
      <c r="J366" s="100">
        <v>100.0</v>
      </c>
      <c r="K366" s="100">
        <v>0.0</v>
      </c>
      <c r="L366" s="100">
        <v>0.0</v>
      </c>
      <c r="M366" s="100">
        <v>8.0</v>
      </c>
      <c r="N366" s="100" t="s">
        <v>579</v>
      </c>
      <c r="O366" s="30" t="s">
        <v>138</v>
      </c>
      <c r="P366" s="100">
        <v>20.0</v>
      </c>
      <c r="Q366" s="100" t="s">
        <v>29</v>
      </c>
      <c r="R366" s="95">
        <v>0.0</v>
      </c>
    </row>
    <row r="367" ht="14.25" customHeight="1">
      <c r="A367" s="78"/>
      <c r="B367" s="96">
        <v>345.0</v>
      </c>
      <c r="C367" s="97" t="s">
        <v>695</v>
      </c>
      <c r="D367" s="98" t="s">
        <v>696</v>
      </c>
      <c r="E367" s="61" t="s">
        <v>25</v>
      </c>
      <c r="F367" s="99" t="s">
        <v>647</v>
      </c>
      <c r="G367" s="95" t="s">
        <v>653</v>
      </c>
      <c r="H367" s="100">
        <v>4527.0</v>
      </c>
      <c r="I367" s="100">
        <v>20.0</v>
      </c>
      <c r="J367" s="100">
        <v>100.0</v>
      </c>
      <c r="K367" s="100">
        <v>0.0</v>
      </c>
      <c r="L367" s="100">
        <v>0.0</v>
      </c>
      <c r="M367" s="100">
        <v>8.0</v>
      </c>
      <c r="N367" s="100" t="s">
        <v>579</v>
      </c>
      <c r="O367" s="30" t="s">
        <v>138</v>
      </c>
      <c r="P367" s="100">
        <v>20.0</v>
      </c>
      <c r="Q367" s="100" t="s">
        <v>29</v>
      </c>
      <c r="R367" s="98">
        <v>0.0</v>
      </c>
    </row>
    <row r="368" ht="14.25" customHeight="1">
      <c r="A368" s="78"/>
      <c r="B368" s="96">
        <v>346.0</v>
      </c>
      <c r="C368" s="97" t="s">
        <v>697</v>
      </c>
      <c r="D368" s="98" t="s">
        <v>669</v>
      </c>
      <c r="E368" s="61" t="s">
        <v>25</v>
      </c>
      <c r="F368" s="99" t="s">
        <v>647</v>
      </c>
      <c r="G368" s="95" t="s">
        <v>653</v>
      </c>
      <c r="H368" s="100">
        <v>19571.0</v>
      </c>
      <c r="I368" s="100">
        <v>50.0</v>
      </c>
      <c r="J368" s="100">
        <v>200.0</v>
      </c>
      <c r="K368" s="100">
        <v>0.0</v>
      </c>
      <c r="L368" s="100">
        <v>0.0</v>
      </c>
      <c r="M368" s="100">
        <v>8.0</v>
      </c>
      <c r="N368" s="100" t="s">
        <v>579</v>
      </c>
      <c r="O368" s="30" t="s">
        <v>138</v>
      </c>
      <c r="P368" s="100">
        <v>20.0</v>
      </c>
      <c r="Q368" s="100" t="s">
        <v>29</v>
      </c>
      <c r="R368" s="98">
        <v>0.0</v>
      </c>
    </row>
    <row r="369" ht="14.25" customHeight="1">
      <c r="A369" s="78"/>
      <c r="B369" s="32">
        <v>347.0</v>
      </c>
      <c r="C369" s="97" t="s">
        <v>698</v>
      </c>
      <c r="D369" s="98" t="s">
        <v>699</v>
      </c>
      <c r="E369" s="61" t="s">
        <v>25</v>
      </c>
      <c r="F369" s="99" t="s">
        <v>700</v>
      </c>
      <c r="G369" s="95" t="s">
        <v>653</v>
      </c>
      <c r="H369" s="100">
        <v>6514.0</v>
      </c>
      <c r="I369" s="100">
        <v>20.0</v>
      </c>
      <c r="J369" s="100">
        <v>100.0</v>
      </c>
      <c r="K369" s="100">
        <v>0.0</v>
      </c>
      <c r="L369" s="100">
        <v>0.0</v>
      </c>
      <c r="M369" s="100">
        <v>8.0</v>
      </c>
      <c r="N369" s="100" t="s">
        <v>579</v>
      </c>
      <c r="O369" s="30" t="s">
        <v>138</v>
      </c>
      <c r="P369" s="100">
        <v>20.0</v>
      </c>
      <c r="Q369" s="100" t="s">
        <v>29</v>
      </c>
      <c r="R369" s="95">
        <v>0.0</v>
      </c>
    </row>
    <row r="370" ht="14.25" customHeight="1">
      <c r="A370" s="78"/>
      <c r="B370" s="96">
        <v>348.0</v>
      </c>
      <c r="C370" s="97" t="s">
        <v>701</v>
      </c>
      <c r="D370" s="98" t="s">
        <v>702</v>
      </c>
      <c r="E370" s="61" t="s">
        <v>25</v>
      </c>
      <c r="F370" s="99" t="s">
        <v>647</v>
      </c>
      <c r="G370" s="95" t="s">
        <v>653</v>
      </c>
      <c r="H370" s="100">
        <v>7812.0</v>
      </c>
      <c r="I370" s="100">
        <v>20.0</v>
      </c>
      <c r="J370" s="100">
        <v>100.0</v>
      </c>
      <c r="K370" s="100">
        <v>10.0</v>
      </c>
      <c r="L370" s="100">
        <v>10.0</v>
      </c>
      <c r="M370" s="100">
        <v>0.0</v>
      </c>
      <c r="N370" s="100" t="s">
        <v>579</v>
      </c>
      <c r="O370" s="30" t="s">
        <v>138</v>
      </c>
      <c r="P370" s="100">
        <v>20.0</v>
      </c>
      <c r="Q370" s="100" t="s">
        <v>29</v>
      </c>
      <c r="R370" s="98">
        <v>0.0</v>
      </c>
    </row>
    <row r="371" ht="14.25" customHeight="1">
      <c r="A371" s="78"/>
      <c r="B371" s="96">
        <v>349.0</v>
      </c>
      <c r="C371" s="97" t="s">
        <v>703</v>
      </c>
      <c r="D371" s="98" t="s">
        <v>704</v>
      </c>
      <c r="E371" s="61" t="s">
        <v>25</v>
      </c>
      <c r="F371" s="99" t="s">
        <v>647</v>
      </c>
      <c r="G371" s="95" t="s">
        <v>653</v>
      </c>
      <c r="H371" s="100">
        <v>4982.0</v>
      </c>
      <c r="I371" s="100">
        <v>20.0</v>
      </c>
      <c r="J371" s="100">
        <v>100.0</v>
      </c>
      <c r="K371" s="100">
        <v>10.0</v>
      </c>
      <c r="L371" s="100">
        <v>10.0</v>
      </c>
      <c r="M371" s="100">
        <v>0.0</v>
      </c>
      <c r="N371" s="100" t="s">
        <v>579</v>
      </c>
      <c r="O371" s="30" t="s">
        <v>138</v>
      </c>
      <c r="P371" s="100">
        <v>20.0</v>
      </c>
      <c r="Q371" s="100" t="s">
        <v>29</v>
      </c>
      <c r="R371" s="98">
        <v>0.0</v>
      </c>
    </row>
    <row r="372" ht="14.25" customHeight="1">
      <c r="A372" s="78"/>
      <c r="B372" s="32">
        <v>350.0</v>
      </c>
      <c r="C372" s="97" t="s">
        <v>705</v>
      </c>
      <c r="D372" s="98" t="s">
        <v>706</v>
      </c>
      <c r="E372" s="98" t="s">
        <v>659</v>
      </c>
      <c r="F372" s="99" t="s">
        <v>700</v>
      </c>
      <c r="G372" s="95" t="s">
        <v>653</v>
      </c>
      <c r="H372" s="100">
        <v>11812.0</v>
      </c>
      <c r="I372" s="100">
        <v>20.0</v>
      </c>
      <c r="J372" s="100">
        <v>100.0</v>
      </c>
      <c r="K372" s="100">
        <v>10.0</v>
      </c>
      <c r="L372" s="100">
        <v>10.0</v>
      </c>
      <c r="M372" s="100">
        <v>0.0</v>
      </c>
      <c r="N372" s="100" t="s">
        <v>579</v>
      </c>
      <c r="O372" s="30" t="s">
        <v>138</v>
      </c>
      <c r="P372" s="100">
        <v>20.0</v>
      </c>
      <c r="Q372" s="100" t="s">
        <v>29</v>
      </c>
      <c r="R372" s="95">
        <v>0.0</v>
      </c>
    </row>
    <row r="373" ht="14.25" customHeight="1">
      <c r="A373" s="78"/>
      <c r="B373" s="96">
        <v>351.0</v>
      </c>
      <c r="C373" s="97" t="s">
        <v>707</v>
      </c>
      <c r="D373" s="98" t="s">
        <v>708</v>
      </c>
      <c r="E373" s="61" t="s">
        <v>25</v>
      </c>
      <c r="F373" s="99" t="s">
        <v>647</v>
      </c>
      <c r="G373" s="95" t="s">
        <v>653</v>
      </c>
      <c r="H373" s="100">
        <v>50.0</v>
      </c>
      <c r="I373" s="100">
        <v>5.0</v>
      </c>
      <c r="J373" s="100">
        <v>15.0</v>
      </c>
      <c r="K373" s="100">
        <v>0.0</v>
      </c>
      <c r="L373" s="100">
        <v>0.0</v>
      </c>
      <c r="M373" s="100">
        <v>27.0</v>
      </c>
      <c r="N373" s="100" t="s">
        <v>709</v>
      </c>
      <c r="O373" s="30" t="s">
        <v>138</v>
      </c>
      <c r="P373" s="102">
        <v>220.0</v>
      </c>
      <c r="Q373" s="102" t="s">
        <v>66</v>
      </c>
      <c r="R373" s="103">
        <v>24.0</v>
      </c>
    </row>
    <row r="374" ht="14.25" customHeight="1">
      <c r="A374" s="78"/>
      <c r="B374" s="96">
        <v>352.0</v>
      </c>
      <c r="C374" s="97" t="s">
        <v>710</v>
      </c>
      <c r="D374" s="98" t="s">
        <v>675</v>
      </c>
      <c r="E374" s="61" t="s">
        <v>25</v>
      </c>
      <c r="F374" s="104" t="s">
        <v>656</v>
      </c>
      <c r="G374" s="95" t="s">
        <v>653</v>
      </c>
      <c r="H374" s="102">
        <v>610.0</v>
      </c>
      <c r="I374" s="100">
        <v>5.0</v>
      </c>
      <c r="J374" s="100">
        <v>15.0</v>
      </c>
      <c r="K374" s="100">
        <v>1.0</v>
      </c>
      <c r="L374" s="100">
        <v>1.0</v>
      </c>
      <c r="M374" s="100">
        <v>0.0</v>
      </c>
      <c r="N374" s="100" t="s">
        <v>709</v>
      </c>
      <c r="O374" s="100" t="s">
        <v>138</v>
      </c>
      <c r="P374" s="100">
        <v>5.0</v>
      </c>
      <c r="Q374" s="100" t="s">
        <v>66</v>
      </c>
      <c r="R374" s="98">
        <v>4.0</v>
      </c>
    </row>
    <row r="375" ht="14.25" customHeight="1">
      <c r="A375" s="78"/>
      <c r="B375" s="32">
        <v>353.0</v>
      </c>
      <c r="C375" s="97" t="s">
        <v>711</v>
      </c>
      <c r="D375" s="98" t="s">
        <v>646</v>
      </c>
      <c r="E375" s="61" t="s">
        <v>25</v>
      </c>
      <c r="F375" s="99" t="s">
        <v>647</v>
      </c>
      <c r="G375" s="95" t="s">
        <v>653</v>
      </c>
      <c r="H375" s="102">
        <v>580.0</v>
      </c>
      <c r="I375" s="100">
        <v>5.0</v>
      </c>
      <c r="J375" s="100">
        <v>15.0</v>
      </c>
      <c r="K375" s="100">
        <v>1.0</v>
      </c>
      <c r="L375" s="100">
        <v>1.0</v>
      </c>
      <c r="M375" s="100">
        <v>0.0</v>
      </c>
      <c r="N375" s="100" t="s">
        <v>709</v>
      </c>
      <c r="O375" s="100" t="s">
        <v>138</v>
      </c>
      <c r="P375" s="100">
        <v>5.0</v>
      </c>
      <c r="Q375" s="100" t="s">
        <v>66</v>
      </c>
      <c r="R375" s="98">
        <v>2.0</v>
      </c>
    </row>
    <row r="376" ht="14.25" customHeight="1">
      <c r="A376" s="78"/>
      <c r="B376" s="96">
        <v>354.0</v>
      </c>
      <c r="C376" s="97" t="s">
        <v>712</v>
      </c>
      <c r="D376" s="98" t="s">
        <v>688</v>
      </c>
      <c r="E376" s="61" t="s">
        <v>25</v>
      </c>
      <c r="F376" s="99" t="s">
        <v>647</v>
      </c>
      <c r="G376" s="95" t="s">
        <v>653</v>
      </c>
      <c r="H376" s="102">
        <v>610.0</v>
      </c>
      <c r="I376" s="100">
        <v>5.0</v>
      </c>
      <c r="J376" s="100">
        <v>15.0</v>
      </c>
      <c r="K376" s="100">
        <v>1.0</v>
      </c>
      <c r="L376" s="100">
        <v>1.0</v>
      </c>
      <c r="M376" s="100">
        <v>0.0</v>
      </c>
      <c r="N376" s="100" t="s">
        <v>579</v>
      </c>
      <c r="O376" s="100" t="s">
        <v>138</v>
      </c>
      <c r="P376" s="100">
        <v>5.0</v>
      </c>
      <c r="Q376" s="100" t="s">
        <v>66</v>
      </c>
      <c r="R376" s="98">
        <v>2.0</v>
      </c>
    </row>
    <row r="377" ht="14.25" customHeight="1">
      <c r="A377" s="78"/>
      <c r="B377" s="96">
        <v>355.0</v>
      </c>
      <c r="C377" s="97" t="s">
        <v>713</v>
      </c>
      <c r="D377" s="98" t="s">
        <v>694</v>
      </c>
      <c r="E377" s="61" t="s">
        <v>25</v>
      </c>
      <c r="F377" s="99" t="s">
        <v>647</v>
      </c>
      <c r="G377" s="95" t="s">
        <v>653</v>
      </c>
      <c r="H377" s="102">
        <v>610.0</v>
      </c>
      <c r="I377" s="100">
        <v>5.0</v>
      </c>
      <c r="J377" s="100">
        <v>15.0</v>
      </c>
      <c r="K377" s="100">
        <v>1.0</v>
      </c>
      <c r="L377" s="100">
        <v>1.0</v>
      </c>
      <c r="M377" s="100">
        <v>0.0</v>
      </c>
      <c r="N377" s="100" t="s">
        <v>579</v>
      </c>
      <c r="O377" s="100" t="s">
        <v>138</v>
      </c>
      <c r="P377" s="100">
        <v>5.0</v>
      </c>
      <c r="Q377" s="100" t="s">
        <v>66</v>
      </c>
      <c r="R377" s="98">
        <v>2.0</v>
      </c>
    </row>
    <row r="378" ht="14.25" customHeight="1">
      <c r="A378" s="78"/>
      <c r="B378" s="32">
        <v>356.0</v>
      </c>
      <c r="C378" s="97" t="s">
        <v>714</v>
      </c>
      <c r="D378" s="98" t="s">
        <v>652</v>
      </c>
      <c r="E378" s="61" t="s">
        <v>25</v>
      </c>
      <c r="F378" s="99" t="s">
        <v>647</v>
      </c>
      <c r="G378" s="95" t="s">
        <v>653</v>
      </c>
      <c r="H378" s="102">
        <v>610.0</v>
      </c>
      <c r="I378" s="100">
        <v>5.0</v>
      </c>
      <c r="J378" s="100">
        <v>15.0</v>
      </c>
      <c r="K378" s="100">
        <v>1.0</v>
      </c>
      <c r="L378" s="100">
        <v>1.0</v>
      </c>
      <c r="M378" s="100">
        <v>0.0</v>
      </c>
      <c r="N378" s="100" t="s">
        <v>579</v>
      </c>
      <c r="O378" s="100" t="s">
        <v>138</v>
      </c>
      <c r="P378" s="100">
        <v>5.0</v>
      </c>
      <c r="Q378" s="100" t="s">
        <v>66</v>
      </c>
      <c r="R378" s="98">
        <v>2.0</v>
      </c>
    </row>
    <row r="379" ht="14.25" customHeight="1">
      <c r="A379" s="78"/>
      <c r="B379" s="96">
        <v>357.0</v>
      </c>
      <c r="C379" s="97" t="s">
        <v>715</v>
      </c>
      <c r="D379" s="98" t="s">
        <v>667</v>
      </c>
      <c r="E379" s="105" t="s">
        <v>659</v>
      </c>
      <c r="F379" s="99" t="s">
        <v>647</v>
      </c>
      <c r="G379" s="95" t="s">
        <v>653</v>
      </c>
      <c r="H379" s="102">
        <v>610.0</v>
      </c>
      <c r="I379" s="100">
        <v>5.0</v>
      </c>
      <c r="J379" s="100">
        <v>15.0</v>
      </c>
      <c r="K379" s="100">
        <v>1.0</v>
      </c>
      <c r="L379" s="100">
        <v>1.0</v>
      </c>
      <c r="M379" s="100">
        <v>0.0</v>
      </c>
      <c r="N379" s="100" t="s">
        <v>579</v>
      </c>
      <c r="O379" s="100" t="s">
        <v>138</v>
      </c>
      <c r="P379" s="100">
        <v>5.0</v>
      </c>
      <c r="Q379" s="100" t="s">
        <v>66</v>
      </c>
      <c r="R379" s="98">
        <v>2.0</v>
      </c>
    </row>
    <row r="380" ht="14.25" customHeight="1">
      <c r="A380" s="78"/>
      <c r="B380" s="96">
        <v>358.0</v>
      </c>
      <c r="C380" s="97" t="s">
        <v>716</v>
      </c>
      <c r="D380" s="98" t="s">
        <v>699</v>
      </c>
      <c r="E380" s="61" t="s">
        <v>25</v>
      </c>
      <c r="F380" s="104" t="s">
        <v>700</v>
      </c>
      <c r="G380" s="95" t="s">
        <v>653</v>
      </c>
      <c r="H380" s="102">
        <v>580.0</v>
      </c>
      <c r="I380" s="100">
        <v>5.0</v>
      </c>
      <c r="J380" s="100">
        <v>15.0</v>
      </c>
      <c r="K380" s="100">
        <v>1.0</v>
      </c>
      <c r="L380" s="100">
        <v>1.0</v>
      </c>
      <c r="M380" s="100">
        <v>0.0</v>
      </c>
      <c r="N380" s="100" t="s">
        <v>579</v>
      </c>
      <c r="O380" s="100" t="s">
        <v>138</v>
      </c>
      <c r="P380" s="100">
        <v>5.0</v>
      </c>
      <c r="Q380" s="100" t="s">
        <v>66</v>
      </c>
      <c r="R380" s="98">
        <v>2.0</v>
      </c>
    </row>
    <row r="381" ht="14.25" customHeight="1">
      <c r="A381" s="78"/>
      <c r="B381" s="32">
        <v>359.0</v>
      </c>
      <c r="C381" s="97" t="s">
        <v>717</v>
      </c>
      <c r="D381" s="98" t="s">
        <v>679</v>
      </c>
      <c r="E381" s="61" t="s">
        <v>25</v>
      </c>
      <c r="F381" s="104" t="s">
        <v>656</v>
      </c>
      <c r="G381" s="95" t="s">
        <v>653</v>
      </c>
      <c r="H381" s="102">
        <v>580.0</v>
      </c>
      <c r="I381" s="100">
        <v>5.0</v>
      </c>
      <c r="J381" s="100">
        <v>15.0</v>
      </c>
      <c r="K381" s="100">
        <v>1.0</v>
      </c>
      <c r="L381" s="100">
        <v>1.0</v>
      </c>
      <c r="M381" s="100">
        <v>0.0</v>
      </c>
      <c r="N381" s="100" t="s">
        <v>709</v>
      </c>
      <c r="O381" s="100" t="s">
        <v>138</v>
      </c>
      <c r="P381" s="100">
        <v>5.0</v>
      </c>
      <c r="Q381" s="100" t="s">
        <v>66</v>
      </c>
      <c r="R381" s="98">
        <v>2.0</v>
      </c>
    </row>
    <row r="382" ht="14.25" customHeight="1">
      <c r="A382" s="78"/>
      <c r="B382" s="96">
        <v>360.0</v>
      </c>
      <c r="C382" s="97" t="s">
        <v>718</v>
      </c>
      <c r="D382" s="98" t="s">
        <v>704</v>
      </c>
      <c r="E382" s="61" t="s">
        <v>25</v>
      </c>
      <c r="F382" s="99" t="s">
        <v>647</v>
      </c>
      <c r="G382" s="95" t="s">
        <v>653</v>
      </c>
      <c r="H382" s="102">
        <v>580.0</v>
      </c>
      <c r="I382" s="100">
        <v>5.0</v>
      </c>
      <c r="J382" s="100">
        <v>15.0</v>
      </c>
      <c r="K382" s="100">
        <v>1.0</v>
      </c>
      <c r="L382" s="100">
        <v>1.0</v>
      </c>
      <c r="M382" s="100">
        <v>0.0</v>
      </c>
      <c r="N382" s="100" t="s">
        <v>579</v>
      </c>
      <c r="O382" s="100" t="s">
        <v>138</v>
      </c>
      <c r="P382" s="100">
        <v>5.0</v>
      </c>
      <c r="Q382" s="100" t="s">
        <v>66</v>
      </c>
      <c r="R382" s="98">
        <v>2.0</v>
      </c>
    </row>
    <row r="383" ht="14.25" customHeight="1">
      <c r="A383" s="78"/>
      <c r="B383" s="96">
        <v>361.0</v>
      </c>
      <c r="C383" s="97" t="s">
        <v>719</v>
      </c>
      <c r="D383" s="98" t="s">
        <v>681</v>
      </c>
      <c r="E383" s="61" t="s">
        <v>25</v>
      </c>
      <c r="F383" s="104" t="s">
        <v>700</v>
      </c>
      <c r="G383" s="95" t="s">
        <v>653</v>
      </c>
      <c r="H383" s="102">
        <v>610.0</v>
      </c>
      <c r="I383" s="100">
        <v>5.0</v>
      </c>
      <c r="J383" s="100">
        <v>15.0</v>
      </c>
      <c r="K383" s="100">
        <v>1.0</v>
      </c>
      <c r="L383" s="100">
        <v>1.0</v>
      </c>
      <c r="M383" s="100">
        <v>0.0</v>
      </c>
      <c r="N383" s="100" t="s">
        <v>579</v>
      </c>
      <c r="O383" s="100" t="s">
        <v>138</v>
      </c>
      <c r="P383" s="100">
        <v>5.0</v>
      </c>
      <c r="Q383" s="100" t="s">
        <v>66</v>
      </c>
      <c r="R383" s="98">
        <v>2.0</v>
      </c>
    </row>
    <row r="384" ht="14.25" customHeight="1">
      <c r="A384" s="78"/>
      <c r="B384" s="32">
        <v>362.0</v>
      </c>
      <c r="C384" s="27" t="s">
        <v>341</v>
      </c>
      <c r="D384" s="98" t="s">
        <v>675</v>
      </c>
      <c r="E384" s="61" t="s">
        <v>25</v>
      </c>
      <c r="F384" s="99" t="s">
        <v>647</v>
      </c>
      <c r="G384" s="95" t="s">
        <v>653</v>
      </c>
      <c r="H384" s="106">
        <v>310.0</v>
      </c>
      <c r="I384" s="100">
        <v>5.0</v>
      </c>
      <c r="J384" s="100">
        <v>15.0</v>
      </c>
      <c r="K384" s="100">
        <v>1.0</v>
      </c>
      <c r="L384" s="100">
        <v>1.0</v>
      </c>
      <c r="M384" s="100">
        <v>0.0</v>
      </c>
      <c r="N384" s="100" t="s">
        <v>661</v>
      </c>
      <c r="O384" s="100" t="s">
        <v>138</v>
      </c>
      <c r="P384" s="31">
        <v>5.0</v>
      </c>
      <c r="Q384" s="31" t="s">
        <v>66</v>
      </c>
      <c r="R384" s="61">
        <v>5.0</v>
      </c>
    </row>
    <row r="385" ht="14.25" customHeight="1">
      <c r="A385" s="78"/>
      <c r="B385" s="90"/>
      <c r="C385" s="91" t="s">
        <v>720</v>
      </c>
      <c r="D385" s="22"/>
      <c r="E385" s="22"/>
      <c r="F385" s="23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</row>
    <row r="386" ht="14.25" customHeight="1">
      <c r="A386" s="78"/>
      <c r="B386" s="60">
        <v>363.0</v>
      </c>
      <c r="C386" s="107" t="s">
        <v>721</v>
      </c>
      <c r="D386" s="82" t="s">
        <v>722</v>
      </c>
      <c r="E386" s="27" t="s">
        <v>25</v>
      </c>
      <c r="F386" s="34" t="s">
        <v>57</v>
      </c>
      <c r="G386" s="38"/>
      <c r="H386" s="108">
        <v>60.0</v>
      </c>
      <c r="I386" s="31">
        <f t="shared" ref="I386:I464" si="1">J386/5</f>
        <v>2</v>
      </c>
      <c r="J386" s="31">
        <v>10.0</v>
      </c>
      <c r="K386" s="31">
        <v>0.0</v>
      </c>
      <c r="L386" s="31">
        <v>0.0</v>
      </c>
      <c r="M386" s="31">
        <v>1.0</v>
      </c>
      <c r="N386" s="31" t="s">
        <v>723</v>
      </c>
      <c r="O386" s="100" t="s">
        <v>138</v>
      </c>
      <c r="P386" s="36" t="s">
        <v>401</v>
      </c>
      <c r="Q386" s="31" t="s">
        <v>66</v>
      </c>
      <c r="R386" s="61">
        <v>1.0</v>
      </c>
    </row>
    <row r="387" ht="14.25" customHeight="1">
      <c r="A387" s="78"/>
      <c r="B387" s="60">
        <v>364.0</v>
      </c>
      <c r="C387" s="109" t="s">
        <v>724</v>
      </c>
      <c r="D387" s="110" t="s">
        <v>722</v>
      </c>
      <c r="E387" s="27" t="s">
        <v>25</v>
      </c>
      <c r="F387" s="34" t="s">
        <v>57</v>
      </c>
      <c r="G387" s="38"/>
      <c r="H387" s="111">
        <v>200.0</v>
      </c>
      <c r="I387" s="31">
        <f t="shared" si="1"/>
        <v>5</v>
      </c>
      <c r="J387" s="31">
        <v>25.0</v>
      </c>
      <c r="K387" s="31">
        <v>0.0</v>
      </c>
      <c r="L387" s="31">
        <v>0.0</v>
      </c>
      <c r="M387" s="31">
        <v>1.0</v>
      </c>
      <c r="N387" s="31" t="s">
        <v>723</v>
      </c>
      <c r="O387" s="100" t="s">
        <v>138</v>
      </c>
      <c r="P387" s="31">
        <v>50.0</v>
      </c>
      <c r="Q387" s="31" t="s">
        <v>66</v>
      </c>
      <c r="R387" s="61">
        <v>3.0</v>
      </c>
    </row>
    <row r="388" ht="14.25" customHeight="1">
      <c r="A388" s="78"/>
      <c r="B388" s="60">
        <v>365.0</v>
      </c>
      <c r="C388" s="109" t="s">
        <v>725</v>
      </c>
      <c r="D388" s="110" t="s">
        <v>722</v>
      </c>
      <c r="E388" s="27" t="s">
        <v>25</v>
      </c>
      <c r="F388" s="34" t="s">
        <v>57</v>
      </c>
      <c r="G388" s="38"/>
      <c r="H388" s="111">
        <v>350.0</v>
      </c>
      <c r="I388" s="31">
        <f t="shared" si="1"/>
        <v>6</v>
      </c>
      <c r="J388" s="31">
        <v>30.0</v>
      </c>
      <c r="K388" s="31">
        <v>0.0</v>
      </c>
      <c r="L388" s="31">
        <v>0.0</v>
      </c>
      <c r="M388" s="31">
        <v>0.0</v>
      </c>
      <c r="N388" s="31" t="s">
        <v>723</v>
      </c>
      <c r="O388" s="100" t="s">
        <v>138</v>
      </c>
      <c r="P388" s="36" t="s">
        <v>401</v>
      </c>
      <c r="Q388" s="31" t="s">
        <v>29</v>
      </c>
      <c r="R388" s="105">
        <v>0.0</v>
      </c>
    </row>
    <row r="389" ht="14.25" customHeight="1">
      <c r="A389" s="78"/>
      <c r="B389" s="60">
        <v>366.0</v>
      </c>
      <c r="C389" s="109" t="s">
        <v>726</v>
      </c>
      <c r="D389" s="110" t="s">
        <v>727</v>
      </c>
      <c r="E389" s="27" t="s">
        <v>25</v>
      </c>
      <c r="F389" s="34" t="s">
        <v>57</v>
      </c>
      <c r="G389" s="38"/>
      <c r="H389" s="111">
        <v>60.0</v>
      </c>
      <c r="I389" s="31">
        <f t="shared" si="1"/>
        <v>2</v>
      </c>
      <c r="J389" s="31">
        <v>10.0</v>
      </c>
      <c r="K389" s="31">
        <v>0.0</v>
      </c>
      <c r="L389" s="31">
        <v>0.0</v>
      </c>
      <c r="M389" s="31">
        <v>0.0</v>
      </c>
      <c r="N389" s="31" t="s">
        <v>723</v>
      </c>
      <c r="O389" s="100" t="s">
        <v>138</v>
      </c>
      <c r="P389" s="36" t="s">
        <v>401</v>
      </c>
      <c r="Q389" s="31" t="s">
        <v>66</v>
      </c>
      <c r="R389" s="61">
        <v>1.0</v>
      </c>
    </row>
    <row r="390" ht="14.25" customHeight="1">
      <c r="A390" s="78"/>
      <c r="B390" s="60">
        <v>367.0</v>
      </c>
      <c r="C390" s="109" t="s">
        <v>728</v>
      </c>
      <c r="D390" s="110" t="s">
        <v>727</v>
      </c>
      <c r="E390" s="27" t="s">
        <v>25</v>
      </c>
      <c r="F390" s="34" t="s">
        <v>57</v>
      </c>
      <c r="G390" s="38"/>
      <c r="H390" s="111">
        <v>260.0</v>
      </c>
      <c r="I390" s="31">
        <f t="shared" si="1"/>
        <v>12</v>
      </c>
      <c r="J390" s="31">
        <v>60.0</v>
      </c>
      <c r="K390" s="31">
        <v>0.0</v>
      </c>
      <c r="L390" s="31">
        <v>0.0</v>
      </c>
      <c r="M390" s="31">
        <v>1.0</v>
      </c>
      <c r="N390" s="31" t="s">
        <v>723</v>
      </c>
      <c r="O390" s="100" t="s">
        <v>138</v>
      </c>
      <c r="P390" s="31">
        <v>50.0</v>
      </c>
      <c r="Q390" s="31" t="s">
        <v>66</v>
      </c>
      <c r="R390" s="61">
        <v>3.0</v>
      </c>
    </row>
    <row r="391" ht="14.25" customHeight="1">
      <c r="A391" s="78"/>
      <c r="B391" s="60">
        <v>368.0</v>
      </c>
      <c r="C391" s="109" t="s">
        <v>729</v>
      </c>
      <c r="D391" s="110" t="s">
        <v>727</v>
      </c>
      <c r="E391" s="27" t="s">
        <v>25</v>
      </c>
      <c r="F391" s="34" t="s">
        <v>57</v>
      </c>
      <c r="G391" s="38"/>
      <c r="H391" s="111">
        <v>310.0</v>
      </c>
      <c r="I391" s="31">
        <f t="shared" si="1"/>
        <v>6</v>
      </c>
      <c r="J391" s="31">
        <v>30.0</v>
      </c>
      <c r="K391" s="31">
        <v>0.0</v>
      </c>
      <c r="L391" s="31">
        <v>0.0</v>
      </c>
      <c r="M391" s="31">
        <v>0.0</v>
      </c>
      <c r="N391" s="31" t="s">
        <v>723</v>
      </c>
      <c r="O391" s="100" t="s">
        <v>138</v>
      </c>
      <c r="P391" s="36" t="s">
        <v>401</v>
      </c>
      <c r="Q391" s="31" t="s">
        <v>29</v>
      </c>
      <c r="R391" s="105">
        <v>0.0</v>
      </c>
    </row>
    <row r="392" ht="14.25" customHeight="1">
      <c r="A392" s="78"/>
      <c r="B392" s="60">
        <v>369.0</v>
      </c>
      <c r="C392" s="109" t="s">
        <v>730</v>
      </c>
      <c r="D392" s="110" t="s">
        <v>731</v>
      </c>
      <c r="E392" s="27" t="s">
        <v>25</v>
      </c>
      <c r="F392" s="34" t="s">
        <v>57</v>
      </c>
      <c r="G392" s="38"/>
      <c r="H392" s="111">
        <v>60.0</v>
      </c>
      <c r="I392" s="31">
        <f t="shared" si="1"/>
        <v>2</v>
      </c>
      <c r="J392" s="31">
        <v>10.0</v>
      </c>
      <c r="K392" s="31">
        <v>0.0</v>
      </c>
      <c r="L392" s="31">
        <v>0.0</v>
      </c>
      <c r="M392" s="31">
        <v>0.0</v>
      </c>
      <c r="N392" s="31" t="s">
        <v>723</v>
      </c>
      <c r="O392" s="100" t="s">
        <v>138</v>
      </c>
      <c r="P392" s="36" t="s">
        <v>401</v>
      </c>
      <c r="Q392" s="31" t="s">
        <v>66</v>
      </c>
      <c r="R392" s="61">
        <v>1.0</v>
      </c>
    </row>
    <row r="393" ht="14.25" customHeight="1">
      <c r="A393" s="78"/>
      <c r="B393" s="60">
        <v>370.0</v>
      </c>
      <c r="C393" s="110" t="s">
        <v>732</v>
      </c>
      <c r="D393" s="110" t="s">
        <v>731</v>
      </c>
      <c r="E393" s="27" t="s">
        <v>25</v>
      </c>
      <c r="F393" s="34" t="s">
        <v>57</v>
      </c>
      <c r="G393" s="38"/>
      <c r="H393" s="111">
        <v>460.0</v>
      </c>
      <c r="I393" s="31">
        <f t="shared" si="1"/>
        <v>10</v>
      </c>
      <c r="J393" s="31">
        <v>50.0</v>
      </c>
      <c r="K393" s="31">
        <v>0.0</v>
      </c>
      <c r="L393" s="31">
        <v>0.0</v>
      </c>
      <c r="M393" s="31">
        <v>1.0</v>
      </c>
      <c r="N393" s="31" t="s">
        <v>723</v>
      </c>
      <c r="O393" s="100" t="s">
        <v>138</v>
      </c>
      <c r="P393" s="31">
        <v>50.0</v>
      </c>
      <c r="Q393" s="31" t="s">
        <v>66</v>
      </c>
      <c r="R393" s="61">
        <v>3.0</v>
      </c>
    </row>
    <row r="394" ht="14.25" customHeight="1">
      <c r="A394" s="78"/>
      <c r="B394" s="60">
        <v>371.0</v>
      </c>
      <c r="C394" s="110" t="s">
        <v>733</v>
      </c>
      <c r="D394" s="110" t="s">
        <v>731</v>
      </c>
      <c r="E394" s="27" t="s">
        <v>25</v>
      </c>
      <c r="F394" s="34" t="s">
        <v>57</v>
      </c>
      <c r="G394" s="38"/>
      <c r="H394" s="111">
        <v>210.0</v>
      </c>
      <c r="I394" s="31">
        <f t="shared" si="1"/>
        <v>4</v>
      </c>
      <c r="J394" s="31">
        <v>20.0</v>
      </c>
      <c r="K394" s="31">
        <v>0.0</v>
      </c>
      <c r="L394" s="31">
        <v>0.0</v>
      </c>
      <c r="M394" s="31">
        <v>0.0</v>
      </c>
      <c r="N394" s="31" t="s">
        <v>723</v>
      </c>
      <c r="O394" s="100" t="s">
        <v>138</v>
      </c>
      <c r="P394" s="36" t="s">
        <v>401</v>
      </c>
      <c r="Q394" s="31" t="s">
        <v>29</v>
      </c>
      <c r="R394" s="105">
        <v>0.0</v>
      </c>
    </row>
    <row r="395" ht="14.25" customHeight="1">
      <c r="A395" s="78"/>
      <c r="B395" s="60">
        <v>372.0</v>
      </c>
      <c r="C395" s="110" t="s">
        <v>734</v>
      </c>
      <c r="D395" s="110" t="s">
        <v>731</v>
      </c>
      <c r="E395" s="27" t="s">
        <v>25</v>
      </c>
      <c r="F395" s="34" t="s">
        <v>57</v>
      </c>
      <c r="G395" s="38"/>
      <c r="H395" s="111">
        <v>1785.0</v>
      </c>
      <c r="I395" s="31">
        <f t="shared" si="1"/>
        <v>10</v>
      </c>
      <c r="J395" s="31">
        <v>50.0</v>
      </c>
      <c r="K395" s="31">
        <v>2.0</v>
      </c>
      <c r="L395" s="31">
        <v>2.0</v>
      </c>
      <c r="M395" s="31">
        <v>1.0</v>
      </c>
      <c r="N395" s="31" t="s">
        <v>723</v>
      </c>
      <c r="O395" s="100" t="s">
        <v>138</v>
      </c>
      <c r="P395" s="31">
        <v>500.0</v>
      </c>
      <c r="Q395" s="31" t="s">
        <v>29</v>
      </c>
      <c r="R395" s="105">
        <v>0.0</v>
      </c>
    </row>
    <row r="396" ht="14.25" customHeight="1">
      <c r="A396" s="78"/>
      <c r="B396" s="60">
        <v>373.0</v>
      </c>
      <c r="C396" s="110" t="s">
        <v>735</v>
      </c>
      <c r="D396" s="110" t="s">
        <v>731</v>
      </c>
      <c r="E396" s="27" t="s">
        <v>25</v>
      </c>
      <c r="F396" s="34" t="s">
        <v>57</v>
      </c>
      <c r="G396" s="38"/>
      <c r="H396" s="111">
        <v>9941.0</v>
      </c>
      <c r="I396" s="31">
        <f t="shared" si="1"/>
        <v>200</v>
      </c>
      <c r="J396" s="31">
        <v>1000.0</v>
      </c>
      <c r="K396" s="31">
        <v>2.0</v>
      </c>
      <c r="L396" s="31">
        <v>2.0</v>
      </c>
      <c r="M396" s="31">
        <v>2.0</v>
      </c>
      <c r="N396" s="31" t="s">
        <v>723</v>
      </c>
      <c r="O396" s="100" t="s">
        <v>138</v>
      </c>
      <c r="P396" s="36" t="s">
        <v>401</v>
      </c>
      <c r="Q396" s="31" t="s">
        <v>29</v>
      </c>
      <c r="R396" s="105">
        <v>0.0</v>
      </c>
    </row>
    <row r="397" ht="14.25" customHeight="1">
      <c r="A397" s="78"/>
      <c r="B397" s="60">
        <v>374.0</v>
      </c>
      <c r="C397" s="112" t="s">
        <v>736</v>
      </c>
      <c r="D397" s="110" t="s">
        <v>731</v>
      </c>
      <c r="E397" s="27" t="s">
        <v>25</v>
      </c>
      <c r="F397" s="34" t="s">
        <v>57</v>
      </c>
      <c r="G397" s="38"/>
      <c r="H397" s="111">
        <v>1200.0</v>
      </c>
      <c r="I397" s="31">
        <f t="shared" si="1"/>
        <v>100</v>
      </c>
      <c r="J397" s="31">
        <v>500.0</v>
      </c>
      <c r="K397" s="31">
        <v>2.0</v>
      </c>
      <c r="L397" s="31">
        <v>2.0</v>
      </c>
      <c r="M397" s="31">
        <v>0.0</v>
      </c>
      <c r="N397" s="31" t="s">
        <v>723</v>
      </c>
      <c r="O397" s="100" t="s">
        <v>138</v>
      </c>
      <c r="P397" s="36" t="s">
        <v>401</v>
      </c>
      <c r="Q397" s="31" t="s">
        <v>29</v>
      </c>
      <c r="R397" s="105">
        <v>0.0</v>
      </c>
    </row>
    <row r="398" ht="14.25" customHeight="1">
      <c r="A398" s="78"/>
      <c r="B398" s="60">
        <v>375.0</v>
      </c>
      <c r="C398" s="82" t="s">
        <v>737</v>
      </c>
      <c r="D398" s="110" t="s">
        <v>738</v>
      </c>
      <c r="E398" s="27" t="s">
        <v>25</v>
      </c>
      <c r="F398" s="34" t="s">
        <v>57</v>
      </c>
      <c r="G398" s="38"/>
      <c r="H398" s="111">
        <v>80.0</v>
      </c>
      <c r="I398" s="31">
        <f t="shared" si="1"/>
        <v>3</v>
      </c>
      <c r="J398" s="31">
        <v>15.0</v>
      </c>
      <c r="K398" s="31">
        <v>0.0</v>
      </c>
      <c r="L398" s="31">
        <v>0.0</v>
      </c>
      <c r="M398" s="31">
        <v>0.0</v>
      </c>
      <c r="N398" s="31" t="s">
        <v>723</v>
      </c>
      <c r="O398" s="100" t="s">
        <v>138</v>
      </c>
      <c r="P398" s="36" t="s">
        <v>401</v>
      </c>
      <c r="Q398" s="31" t="s">
        <v>66</v>
      </c>
      <c r="R398" s="61">
        <v>1.0</v>
      </c>
    </row>
    <row r="399" ht="14.25" customHeight="1">
      <c r="A399" s="78"/>
      <c r="B399" s="60">
        <v>376.0</v>
      </c>
      <c r="C399" s="113" t="s">
        <v>739</v>
      </c>
      <c r="D399" s="113" t="s">
        <v>738</v>
      </c>
      <c r="E399" s="27" t="s">
        <v>25</v>
      </c>
      <c r="F399" s="34" t="s">
        <v>57</v>
      </c>
      <c r="G399" s="38"/>
      <c r="H399" s="111">
        <v>540.0</v>
      </c>
      <c r="I399" s="31">
        <f t="shared" si="1"/>
        <v>8</v>
      </c>
      <c r="J399" s="31">
        <v>40.0</v>
      </c>
      <c r="K399" s="31">
        <v>0.0</v>
      </c>
      <c r="L399" s="31">
        <v>0.0</v>
      </c>
      <c r="M399" s="31">
        <v>1.0</v>
      </c>
      <c r="N399" s="31" t="s">
        <v>723</v>
      </c>
      <c r="O399" s="100" t="s">
        <v>138</v>
      </c>
      <c r="P399" s="31">
        <v>50.0</v>
      </c>
      <c r="Q399" s="31" t="s">
        <v>66</v>
      </c>
      <c r="R399" s="61">
        <v>3.0</v>
      </c>
    </row>
    <row r="400" ht="14.25" customHeight="1">
      <c r="A400" s="78"/>
      <c r="B400" s="60">
        <v>377.0</v>
      </c>
      <c r="C400" s="113" t="s">
        <v>740</v>
      </c>
      <c r="D400" s="113" t="s">
        <v>738</v>
      </c>
      <c r="E400" s="27" t="s">
        <v>25</v>
      </c>
      <c r="F400" s="34" t="s">
        <v>57</v>
      </c>
      <c r="G400" s="38"/>
      <c r="H400" s="111">
        <v>420.0</v>
      </c>
      <c r="I400" s="31">
        <f t="shared" si="1"/>
        <v>10</v>
      </c>
      <c r="J400" s="31">
        <v>50.0</v>
      </c>
      <c r="K400" s="31">
        <v>0.0</v>
      </c>
      <c r="L400" s="31">
        <v>0.0</v>
      </c>
      <c r="M400" s="31">
        <v>0.0</v>
      </c>
      <c r="N400" s="31" t="s">
        <v>723</v>
      </c>
      <c r="O400" s="100" t="s">
        <v>138</v>
      </c>
      <c r="P400" s="36" t="s">
        <v>401</v>
      </c>
      <c r="Q400" s="31" t="s">
        <v>29</v>
      </c>
      <c r="R400" s="105">
        <v>0.0</v>
      </c>
    </row>
    <row r="401" ht="14.25" customHeight="1">
      <c r="A401" s="78"/>
      <c r="B401" s="60">
        <v>378.0</v>
      </c>
      <c r="C401" s="110" t="s">
        <v>741</v>
      </c>
      <c r="D401" s="110" t="s">
        <v>742</v>
      </c>
      <c r="E401" s="27" t="s">
        <v>25</v>
      </c>
      <c r="F401" s="34" t="s">
        <v>57</v>
      </c>
      <c r="G401" s="38"/>
      <c r="H401" s="111">
        <v>45.0</v>
      </c>
      <c r="I401" s="31">
        <f t="shared" si="1"/>
        <v>2</v>
      </c>
      <c r="J401" s="31">
        <v>10.0</v>
      </c>
      <c r="K401" s="31">
        <v>0.0</v>
      </c>
      <c r="L401" s="31">
        <v>0.0</v>
      </c>
      <c r="M401" s="31">
        <v>0.0</v>
      </c>
      <c r="N401" s="31" t="s">
        <v>723</v>
      </c>
      <c r="O401" s="100" t="s">
        <v>138</v>
      </c>
      <c r="P401" s="36" t="s">
        <v>401</v>
      </c>
      <c r="Q401" s="31" t="s">
        <v>66</v>
      </c>
      <c r="R401" s="61">
        <v>1.0</v>
      </c>
    </row>
    <row r="402" ht="14.25" customHeight="1">
      <c r="A402" s="78"/>
      <c r="B402" s="60">
        <v>379.0</v>
      </c>
      <c r="C402" s="110" t="s">
        <v>743</v>
      </c>
      <c r="D402" s="110" t="s">
        <v>742</v>
      </c>
      <c r="E402" s="27" t="s">
        <v>25</v>
      </c>
      <c r="F402" s="34" t="s">
        <v>57</v>
      </c>
      <c r="G402" s="38"/>
      <c r="H402" s="111">
        <v>110.0</v>
      </c>
      <c r="I402" s="31">
        <f t="shared" si="1"/>
        <v>3</v>
      </c>
      <c r="J402" s="31">
        <v>15.0</v>
      </c>
      <c r="K402" s="31">
        <v>0.0</v>
      </c>
      <c r="L402" s="31">
        <v>0.0</v>
      </c>
      <c r="M402" s="31">
        <v>1.0</v>
      </c>
      <c r="N402" s="31" t="s">
        <v>723</v>
      </c>
      <c r="O402" s="100" t="s">
        <v>138</v>
      </c>
      <c r="P402" s="31">
        <v>50.0</v>
      </c>
      <c r="Q402" s="31" t="s">
        <v>66</v>
      </c>
      <c r="R402" s="61">
        <v>1.0</v>
      </c>
    </row>
    <row r="403" ht="14.25" customHeight="1">
      <c r="A403" s="78"/>
      <c r="B403" s="60">
        <v>380.0</v>
      </c>
      <c r="C403" s="110" t="s">
        <v>744</v>
      </c>
      <c r="D403" s="110" t="s">
        <v>745</v>
      </c>
      <c r="E403" s="27" t="s">
        <v>25</v>
      </c>
      <c r="F403" s="34" t="s">
        <v>57</v>
      </c>
      <c r="G403" s="38"/>
      <c r="H403" s="111">
        <v>70.0</v>
      </c>
      <c r="I403" s="31">
        <f t="shared" si="1"/>
        <v>2</v>
      </c>
      <c r="J403" s="31">
        <v>10.0</v>
      </c>
      <c r="K403" s="31">
        <v>0.0</v>
      </c>
      <c r="L403" s="31">
        <v>0.0</v>
      </c>
      <c r="M403" s="31">
        <v>0.0</v>
      </c>
      <c r="N403" s="31" t="s">
        <v>723</v>
      </c>
      <c r="O403" s="100" t="s">
        <v>138</v>
      </c>
      <c r="P403" s="36" t="s">
        <v>401</v>
      </c>
      <c r="Q403" s="31" t="s">
        <v>66</v>
      </c>
      <c r="R403" s="61">
        <v>1.0</v>
      </c>
    </row>
    <row r="404" ht="14.25" customHeight="1">
      <c r="A404" s="78"/>
      <c r="B404" s="60">
        <v>381.0</v>
      </c>
      <c r="C404" s="110" t="s">
        <v>746</v>
      </c>
      <c r="D404" s="110" t="s">
        <v>745</v>
      </c>
      <c r="E404" s="27" t="s">
        <v>25</v>
      </c>
      <c r="F404" s="34" t="s">
        <v>57</v>
      </c>
      <c r="G404" s="38"/>
      <c r="H404" s="111">
        <v>315.0</v>
      </c>
      <c r="I404" s="31">
        <f t="shared" si="1"/>
        <v>5</v>
      </c>
      <c r="J404" s="31">
        <v>25.0</v>
      </c>
      <c r="K404" s="31">
        <v>0.0</v>
      </c>
      <c r="L404" s="31">
        <v>0.0</v>
      </c>
      <c r="M404" s="31">
        <v>1.0</v>
      </c>
      <c r="N404" s="31" t="s">
        <v>723</v>
      </c>
      <c r="O404" s="100" t="s">
        <v>138</v>
      </c>
      <c r="P404" s="31">
        <v>50.0</v>
      </c>
      <c r="Q404" s="31" t="s">
        <v>66</v>
      </c>
      <c r="R404" s="61">
        <v>3.0</v>
      </c>
    </row>
    <row r="405" ht="14.25" customHeight="1">
      <c r="A405" s="78"/>
      <c r="B405" s="60">
        <v>382.0</v>
      </c>
      <c r="C405" s="110" t="s">
        <v>747</v>
      </c>
      <c r="D405" s="110" t="s">
        <v>745</v>
      </c>
      <c r="E405" s="27" t="s">
        <v>25</v>
      </c>
      <c r="F405" s="34" t="s">
        <v>57</v>
      </c>
      <c r="G405" s="38"/>
      <c r="H405" s="111">
        <v>590.0</v>
      </c>
      <c r="I405" s="31">
        <f t="shared" si="1"/>
        <v>10</v>
      </c>
      <c r="J405" s="31">
        <v>50.0</v>
      </c>
      <c r="K405" s="31">
        <v>0.0</v>
      </c>
      <c r="L405" s="31">
        <v>0.0</v>
      </c>
      <c r="M405" s="31">
        <v>0.0</v>
      </c>
      <c r="N405" s="31" t="s">
        <v>723</v>
      </c>
      <c r="O405" s="100" t="s">
        <v>138</v>
      </c>
      <c r="P405" s="36" t="s">
        <v>401</v>
      </c>
      <c r="Q405" s="31" t="s">
        <v>29</v>
      </c>
      <c r="R405" s="105">
        <v>0.0</v>
      </c>
    </row>
    <row r="406" ht="14.25" customHeight="1">
      <c r="A406" s="78"/>
      <c r="B406" s="60">
        <v>383.0</v>
      </c>
      <c r="C406" s="110" t="s">
        <v>748</v>
      </c>
      <c r="D406" s="110" t="s">
        <v>745</v>
      </c>
      <c r="E406" s="27" t="s">
        <v>25</v>
      </c>
      <c r="F406" s="34" t="s">
        <v>57</v>
      </c>
      <c r="G406" s="38"/>
      <c r="H406" s="111">
        <v>10000.0</v>
      </c>
      <c r="I406" s="31">
        <f t="shared" si="1"/>
        <v>70</v>
      </c>
      <c r="J406" s="31">
        <v>350.0</v>
      </c>
      <c r="K406" s="31">
        <v>2.0</v>
      </c>
      <c r="L406" s="31">
        <v>2.0</v>
      </c>
      <c r="M406" s="31">
        <v>1.0</v>
      </c>
      <c r="N406" s="31" t="s">
        <v>723</v>
      </c>
      <c r="O406" s="100" t="s">
        <v>138</v>
      </c>
      <c r="P406" s="36" t="s">
        <v>401</v>
      </c>
      <c r="Q406" s="31" t="s">
        <v>29</v>
      </c>
      <c r="R406" s="105">
        <v>0.0</v>
      </c>
    </row>
    <row r="407" ht="14.25" customHeight="1">
      <c r="A407" s="78"/>
      <c r="B407" s="60">
        <v>384.0</v>
      </c>
      <c r="C407" s="110" t="s">
        <v>749</v>
      </c>
      <c r="D407" s="110" t="s">
        <v>750</v>
      </c>
      <c r="E407" s="27" t="s">
        <v>25</v>
      </c>
      <c r="F407" s="34" t="s">
        <v>57</v>
      </c>
      <c r="G407" s="38"/>
      <c r="H407" s="111">
        <v>51.0</v>
      </c>
      <c r="I407" s="31">
        <f t="shared" si="1"/>
        <v>2</v>
      </c>
      <c r="J407" s="31">
        <v>10.0</v>
      </c>
      <c r="K407" s="31">
        <v>0.0</v>
      </c>
      <c r="L407" s="31">
        <v>0.0</v>
      </c>
      <c r="M407" s="31">
        <v>0.0</v>
      </c>
      <c r="N407" s="31" t="s">
        <v>723</v>
      </c>
      <c r="O407" s="100" t="s">
        <v>138</v>
      </c>
      <c r="P407" s="36" t="s">
        <v>401</v>
      </c>
      <c r="Q407" s="31" t="s">
        <v>66</v>
      </c>
      <c r="R407" s="61">
        <v>1.0</v>
      </c>
    </row>
    <row r="408" ht="14.25" customHeight="1">
      <c r="A408" s="78"/>
      <c r="B408" s="60">
        <v>385.0</v>
      </c>
      <c r="C408" s="110" t="s">
        <v>751</v>
      </c>
      <c r="D408" s="110" t="s">
        <v>750</v>
      </c>
      <c r="E408" s="27" t="s">
        <v>25</v>
      </c>
      <c r="F408" s="34" t="s">
        <v>57</v>
      </c>
      <c r="G408" s="38"/>
      <c r="H408" s="111">
        <v>140.0</v>
      </c>
      <c r="I408" s="31">
        <f t="shared" si="1"/>
        <v>8</v>
      </c>
      <c r="J408" s="31">
        <v>40.0</v>
      </c>
      <c r="K408" s="31">
        <v>0.0</v>
      </c>
      <c r="L408" s="31">
        <v>0.0</v>
      </c>
      <c r="M408" s="31">
        <v>1.0</v>
      </c>
      <c r="N408" s="31" t="s">
        <v>723</v>
      </c>
      <c r="O408" s="100" t="s">
        <v>138</v>
      </c>
      <c r="P408" s="31">
        <v>50.0</v>
      </c>
      <c r="Q408" s="31" t="s">
        <v>66</v>
      </c>
      <c r="R408" s="61">
        <v>2.0</v>
      </c>
    </row>
    <row r="409" ht="14.25" customHeight="1">
      <c r="A409" s="78"/>
      <c r="B409" s="60">
        <v>386.0</v>
      </c>
      <c r="C409" s="110" t="s">
        <v>752</v>
      </c>
      <c r="D409" s="110" t="s">
        <v>750</v>
      </c>
      <c r="E409" s="27" t="s">
        <v>25</v>
      </c>
      <c r="F409" s="34" t="s">
        <v>57</v>
      </c>
      <c r="G409" s="38"/>
      <c r="H409" s="111">
        <v>430.0</v>
      </c>
      <c r="I409" s="31">
        <f t="shared" si="1"/>
        <v>8</v>
      </c>
      <c r="J409" s="31">
        <v>40.0</v>
      </c>
      <c r="K409" s="31">
        <v>0.0</v>
      </c>
      <c r="L409" s="31">
        <v>0.0</v>
      </c>
      <c r="M409" s="31">
        <v>0.0</v>
      </c>
      <c r="N409" s="31" t="s">
        <v>723</v>
      </c>
      <c r="O409" s="100" t="s">
        <v>138</v>
      </c>
      <c r="P409" s="36" t="s">
        <v>401</v>
      </c>
      <c r="Q409" s="31" t="s">
        <v>29</v>
      </c>
      <c r="R409" s="105">
        <v>0.0</v>
      </c>
    </row>
    <row r="410" ht="14.25" customHeight="1">
      <c r="A410" s="78"/>
      <c r="B410" s="60">
        <v>387.0</v>
      </c>
      <c r="C410" s="110" t="s">
        <v>753</v>
      </c>
      <c r="D410" s="110" t="s">
        <v>750</v>
      </c>
      <c r="E410" s="27" t="s">
        <v>25</v>
      </c>
      <c r="F410" s="34" t="s">
        <v>57</v>
      </c>
      <c r="G410" s="38"/>
      <c r="H410" s="111">
        <v>1439.0</v>
      </c>
      <c r="I410" s="31">
        <f t="shared" si="1"/>
        <v>22</v>
      </c>
      <c r="J410" s="31">
        <v>110.0</v>
      </c>
      <c r="K410" s="31">
        <v>2.0</v>
      </c>
      <c r="L410" s="31">
        <v>2.0</v>
      </c>
      <c r="M410" s="31">
        <v>1.0</v>
      </c>
      <c r="N410" s="31" t="s">
        <v>723</v>
      </c>
      <c r="O410" s="100" t="s">
        <v>138</v>
      </c>
      <c r="P410" s="36" t="s">
        <v>401</v>
      </c>
      <c r="Q410" s="31" t="s">
        <v>29</v>
      </c>
      <c r="R410" s="105">
        <v>0.0</v>
      </c>
    </row>
    <row r="411" ht="14.25" customHeight="1">
      <c r="A411" s="78"/>
      <c r="B411" s="60">
        <v>388.0</v>
      </c>
      <c r="C411" s="110" t="s">
        <v>754</v>
      </c>
      <c r="D411" s="110" t="s">
        <v>755</v>
      </c>
      <c r="E411" s="27" t="s">
        <v>25</v>
      </c>
      <c r="F411" s="34" t="s">
        <v>57</v>
      </c>
      <c r="G411" s="38"/>
      <c r="H411" s="111">
        <v>60.0</v>
      </c>
      <c r="I411" s="31">
        <f t="shared" si="1"/>
        <v>2</v>
      </c>
      <c r="J411" s="31">
        <v>10.0</v>
      </c>
      <c r="K411" s="31">
        <v>0.0</v>
      </c>
      <c r="L411" s="31">
        <v>0.0</v>
      </c>
      <c r="M411" s="31">
        <v>0.0</v>
      </c>
      <c r="N411" s="31" t="s">
        <v>723</v>
      </c>
      <c r="O411" s="100" t="s">
        <v>138</v>
      </c>
      <c r="P411" s="36" t="s">
        <v>401</v>
      </c>
      <c r="Q411" s="31" t="s">
        <v>66</v>
      </c>
      <c r="R411" s="61">
        <v>1.0</v>
      </c>
    </row>
    <row r="412" ht="14.25" customHeight="1">
      <c r="A412" s="78"/>
      <c r="B412" s="60">
        <v>389.0</v>
      </c>
      <c r="C412" s="110" t="s">
        <v>756</v>
      </c>
      <c r="D412" s="110" t="s">
        <v>755</v>
      </c>
      <c r="E412" s="27" t="s">
        <v>25</v>
      </c>
      <c r="F412" s="34" t="s">
        <v>57</v>
      </c>
      <c r="G412" s="38"/>
      <c r="H412" s="111">
        <v>300.0</v>
      </c>
      <c r="I412" s="31">
        <f t="shared" si="1"/>
        <v>6</v>
      </c>
      <c r="J412" s="31">
        <v>30.0</v>
      </c>
      <c r="K412" s="31">
        <v>0.0</v>
      </c>
      <c r="L412" s="31">
        <v>0.0</v>
      </c>
      <c r="M412" s="31">
        <v>1.0</v>
      </c>
      <c r="N412" s="31" t="s">
        <v>723</v>
      </c>
      <c r="O412" s="100" t="s">
        <v>138</v>
      </c>
      <c r="P412" s="31">
        <v>50.0</v>
      </c>
      <c r="Q412" s="31" t="s">
        <v>66</v>
      </c>
      <c r="R412" s="61">
        <v>3.0</v>
      </c>
    </row>
    <row r="413" ht="14.25" customHeight="1">
      <c r="A413" s="78"/>
      <c r="B413" s="60">
        <v>390.0</v>
      </c>
      <c r="C413" s="110" t="s">
        <v>757</v>
      </c>
      <c r="D413" s="110" t="s">
        <v>758</v>
      </c>
      <c r="E413" s="27" t="s">
        <v>25</v>
      </c>
      <c r="F413" s="34" t="s">
        <v>57</v>
      </c>
      <c r="G413" s="38"/>
      <c r="H413" s="111">
        <v>40.0</v>
      </c>
      <c r="I413" s="31">
        <f t="shared" si="1"/>
        <v>2</v>
      </c>
      <c r="J413" s="31">
        <v>10.0</v>
      </c>
      <c r="K413" s="31">
        <v>0.0</v>
      </c>
      <c r="L413" s="31">
        <v>0.0</v>
      </c>
      <c r="M413" s="31">
        <v>0.0</v>
      </c>
      <c r="N413" s="31" t="s">
        <v>723</v>
      </c>
      <c r="O413" s="100" t="s">
        <v>138</v>
      </c>
      <c r="P413" s="36" t="s">
        <v>401</v>
      </c>
      <c r="Q413" s="31" t="s">
        <v>66</v>
      </c>
      <c r="R413" s="61">
        <v>1.0</v>
      </c>
    </row>
    <row r="414" ht="14.25" customHeight="1">
      <c r="A414" s="78"/>
      <c r="B414" s="60">
        <v>391.0</v>
      </c>
      <c r="C414" s="110" t="s">
        <v>759</v>
      </c>
      <c r="D414" s="110" t="s">
        <v>758</v>
      </c>
      <c r="E414" s="27" t="s">
        <v>25</v>
      </c>
      <c r="F414" s="34" t="s">
        <v>57</v>
      </c>
      <c r="G414" s="38"/>
      <c r="H414" s="111">
        <v>200.0</v>
      </c>
      <c r="I414" s="31">
        <f t="shared" si="1"/>
        <v>8</v>
      </c>
      <c r="J414" s="31">
        <v>40.0</v>
      </c>
      <c r="K414" s="31">
        <v>0.0</v>
      </c>
      <c r="L414" s="31">
        <v>0.0</v>
      </c>
      <c r="M414" s="31">
        <v>1.0</v>
      </c>
      <c r="N414" s="31" t="s">
        <v>723</v>
      </c>
      <c r="O414" s="100" t="s">
        <v>138</v>
      </c>
      <c r="P414" s="31">
        <v>50.0</v>
      </c>
      <c r="Q414" s="31" t="s">
        <v>66</v>
      </c>
      <c r="R414" s="61">
        <v>3.0</v>
      </c>
    </row>
    <row r="415" ht="14.25" customHeight="1">
      <c r="A415" s="78"/>
      <c r="B415" s="60">
        <v>392.0</v>
      </c>
      <c r="C415" s="110" t="s">
        <v>760</v>
      </c>
      <c r="D415" s="110" t="s">
        <v>761</v>
      </c>
      <c r="E415" s="27" t="s">
        <v>25</v>
      </c>
      <c r="F415" s="34" t="s">
        <v>57</v>
      </c>
      <c r="G415" s="38"/>
      <c r="H415" s="111">
        <v>50.0</v>
      </c>
      <c r="I415" s="31">
        <f t="shared" si="1"/>
        <v>2</v>
      </c>
      <c r="J415" s="31">
        <v>10.0</v>
      </c>
      <c r="K415" s="31">
        <v>0.0</v>
      </c>
      <c r="L415" s="31">
        <v>0.0</v>
      </c>
      <c r="M415" s="31">
        <v>0.0</v>
      </c>
      <c r="N415" s="31" t="s">
        <v>723</v>
      </c>
      <c r="O415" s="100" t="s">
        <v>138</v>
      </c>
      <c r="P415" s="36" t="s">
        <v>401</v>
      </c>
      <c r="Q415" s="31" t="s">
        <v>66</v>
      </c>
      <c r="R415" s="61">
        <v>1.0</v>
      </c>
    </row>
    <row r="416" ht="14.25" customHeight="1">
      <c r="A416" s="78"/>
      <c r="B416" s="60">
        <v>393.0</v>
      </c>
      <c r="C416" s="110" t="s">
        <v>762</v>
      </c>
      <c r="D416" s="110" t="s">
        <v>761</v>
      </c>
      <c r="E416" s="27" t="s">
        <v>25</v>
      </c>
      <c r="F416" s="34" t="s">
        <v>57</v>
      </c>
      <c r="G416" s="38"/>
      <c r="H416" s="111">
        <v>210.0</v>
      </c>
      <c r="I416" s="31">
        <f t="shared" si="1"/>
        <v>8</v>
      </c>
      <c r="J416" s="31">
        <v>40.0</v>
      </c>
      <c r="K416" s="31">
        <v>0.0</v>
      </c>
      <c r="L416" s="31">
        <v>0.0</v>
      </c>
      <c r="M416" s="31">
        <v>2.0</v>
      </c>
      <c r="N416" s="31" t="s">
        <v>723</v>
      </c>
      <c r="O416" s="100" t="s">
        <v>138</v>
      </c>
      <c r="P416" s="31">
        <v>50.0</v>
      </c>
      <c r="Q416" s="31" t="s">
        <v>66</v>
      </c>
      <c r="R416" s="61">
        <v>3.0</v>
      </c>
    </row>
    <row r="417" ht="14.25" customHeight="1">
      <c r="A417" s="78"/>
      <c r="B417" s="60">
        <v>394.0</v>
      </c>
      <c r="C417" s="110" t="s">
        <v>763</v>
      </c>
      <c r="D417" s="110" t="s">
        <v>764</v>
      </c>
      <c r="E417" s="27" t="s">
        <v>25</v>
      </c>
      <c r="F417" s="34" t="s">
        <v>57</v>
      </c>
      <c r="G417" s="38"/>
      <c r="H417" s="111">
        <v>50.0</v>
      </c>
      <c r="I417" s="31">
        <f t="shared" si="1"/>
        <v>2</v>
      </c>
      <c r="J417" s="31">
        <v>10.0</v>
      </c>
      <c r="K417" s="31">
        <v>0.0</v>
      </c>
      <c r="L417" s="31">
        <v>0.0</v>
      </c>
      <c r="M417" s="31">
        <v>0.0</v>
      </c>
      <c r="N417" s="31" t="s">
        <v>723</v>
      </c>
      <c r="O417" s="100" t="s">
        <v>138</v>
      </c>
      <c r="P417" s="36" t="s">
        <v>401</v>
      </c>
      <c r="Q417" s="31" t="s">
        <v>66</v>
      </c>
      <c r="R417" s="61">
        <v>1.0</v>
      </c>
    </row>
    <row r="418" ht="14.25" customHeight="1">
      <c r="A418" s="78"/>
      <c r="B418" s="60">
        <v>395.0</v>
      </c>
      <c r="C418" s="110" t="s">
        <v>765</v>
      </c>
      <c r="D418" s="110" t="s">
        <v>764</v>
      </c>
      <c r="E418" s="27" t="s">
        <v>25</v>
      </c>
      <c r="F418" s="34" t="s">
        <v>57</v>
      </c>
      <c r="G418" s="38"/>
      <c r="H418" s="111">
        <v>200.0</v>
      </c>
      <c r="I418" s="31">
        <f t="shared" si="1"/>
        <v>8</v>
      </c>
      <c r="J418" s="31">
        <v>40.0</v>
      </c>
      <c r="K418" s="31">
        <v>0.0</v>
      </c>
      <c r="L418" s="31">
        <v>0.0</v>
      </c>
      <c r="M418" s="31">
        <v>1.0</v>
      </c>
      <c r="N418" s="31" t="s">
        <v>723</v>
      </c>
      <c r="O418" s="100" t="s">
        <v>138</v>
      </c>
      <c r="P418" s="31">
        <v>50.0</v>
      </c>
      <c r="Q418" s="31" t="s">
        <v>66</v>
      </c>
      <c r="R418" s="61">
        <v>3.0</v>
      </c>
    </row>
    <row r="419" ht="14.25" customHeight="1">
      <c r="A419" s="78"/>
      <c r="B419" s="60">
        <v>396.0</v>
      </c>
      <c r="C419" s="110" t="s">
        <v>766</v>
      </c>
      <c r="D419" s="110" t="s">
        <v>767</v>
      </c>
      <c r="E419" s="27" t="s">
        <v>25</v>
      </c>
      <c r="F419" s="34" t="s">
        <v>57</v>
      </c>
      <c r="G419" s="38"/>
      <c r="H419" s="111">
        <v>50.0</v>
      </c>
      <c r="I419" s="31">
        <f t="shared" si="1"/>
        <v>2</v>
      </c>
      <c r="J419" s="31">
        <v>10.0</v>
      </c>
      <c r="K419" s="31">
        <v>0.0</v>
      </c>
      <c r="L419" s="31">
        <v>0.0</v>
      </c>
      <c r="M419" s="31">
        <v>0.0</v>
      </c>
      <c r="N419" s="31" t="s">
        <v>723</v>
      </c>
      <c r="O419" s="100" t="s">
        <v>138</v>
      </c>
      <c r="P419" s="36" t="s">
        <v>401</v>
      </c>
      <c r="Q419" s="31" t="s">
        <v>66</v>
      </c>
      <c r="R419" s="61">
        <v>1.0</v>
      </c>
    </row>
    <row r="420" ht="14.25" customHeight="1">
      <c r="A420" s="78"/>
      <c r="B420" s="60">
        <v>397.0</v>
      </c>
      <c r="C420" s="110" t="s">
        <v>768</v>
      </c>
      <c r="D420" s="110" t="s">
        <v>767</v>
      </c>
      <c r="E420" s="27" t="s">
        <v>25</v>
      </c>
      <c r="F420" s="34" t="s">
        <v>57</v>
      </c>
      <c r="G420" s="38"/>
      <c r="H420" s="111">
        <v>170.0</v>
      </c>
      <c r="I420" s="31">
        <f t="shared" si="1"/>
        <v>5</v>
      </c>
      <c r="J420" s="31">
        <v>25.0</v>
      </c>
      <c r="K420" s="31">
        <v>0.0</v>
      </c>
      <c r="L420" s="31">
        <v>0.0</v>
      </c>
      <c r="M420" s="31">
        <v>1.0</v>
      </c>
      <c r="N420" s="31" t="s">
        <v>723</v>
      </c>
      <c r="O420" s="100" t="s">
        <v>138</v>
      </c>
      <c r="P420" s="31">
        <v>50.0</v>
      </c>
      <c r="Q420" s="31" t="s">
        <v>66</v>
      </c>
      <c r="R420" s="61">
        <v>2.0</v>
      </c>
    </row>
    <row r="421" ht="14.25" customHeight="1">
      <c r="A421" s="78"/>
      <c r="B421" s="60">
        <v>398.0</v>
      </c>
      <c r="C421" s="110" t="s">
        <v>769</v>
      </c>
      <c r="D421" s="110" t="s">
        <v>770</v>
      </c>
      <c r="E421" s="27" t="s">
        <v>25</v>
      </c>
      <c r="F421" s="34" t="s">
        <v>57</v>
      </c>
      <c r="G421" s="38"/>
      <c r="H421" s="111">
        <v>80.0</v>
      </c>
      <c r="I421" s="31">
        <f t="shared" si="1"/>
        <v>2</v>
      </c>
      <c r="J421" s="31">
        <v>10.0</v>
      </c>
      <c r="K421" s="31">
        <v>0.0</v>
      </c>
      <c r="L421" s="31">
        <v>0.0</v>
      </c>
      <c r="M421" s="31">
        <v>0.0</v>
      </c>
      <c r="N421" s="31" t="s">
        <v>723</v>
      </c>
      <c r="O421" s="100" t="s">
        <v>138</v>
      </c>
      <c r="P421" s="36" t="s">
        <v>401</v>
      </c>
      <c r="Q421" s="31" t="s">
        <v>66</v>
      </c>
      <c r="R421" s="61">
        <v>1.0</v>
      </c>
    </row>
    <row r="422" ht="14.25" customHeight="1">
      <c r="A422" s="78"/>
      <c r="B422" s="60">
        <v>399.0</v>
      </c>
      <c r="C422" s="110" t="s">
        <v>771</v>
      </c>
      <c r="D422" s="110" t="s">
        <v>770</v>
      </c>
      <c r="E422" s="27" t="s">
        <v>25</v>
      </c>
      <c r="F422" s="34" t="s">
        <v>57</v>
      </c>
      <c r="G422" s="38"/>
      <c r="H422" s="111">
        <v>325.0</v>
      </c>
      <c r="I422" s="31">
        <f t="shared" si="1"/>
        <v>8</v>
      </c>
      <c r="J422" s="31">
        <v>40.0</v>
      </c>
      <c r="K422" s="31">
        <v>0.0</v>
      </c>
      <c r="L422" s="31">
        <v>0.0</v>
      </c>
      <c r="M422" s="31">
        <v>1.0</v>
      </c>
      <c r="N422" s="31" t="s">
        <v>723</v>
      </c>
      <c r="O422" s="100" t="s">
        <v>138</v>
      </c>
      <c r="P422" s="31">
        <v>50.0</v>
      </c>
      <c r="Q422" s="31" t="s">
        <v>66</v>
      </c>
      <c r="R422" s="61">
        <v>3.0</v>
      </c>
    </row>
    <row r="423" ht="14.25" customHeight="1">
      <c r="A423" s="78"/>
      <c r="B423" s="60">
        <v>400.0</v>
      </c>
      <c r="C423" s="110" t="s">
        <v>772</v>
      </c>
      <c r="D423" s="110" t="s">
        <v>773</v>
      </c>
      <c r="E423" s="27" t="s">
        <v>25</v>
      </c>
      <c r="F423" s="34" t="s">
        <v>57</v>
      </c>
      <c r="G423" s="38"/>
      <c r="H423" s="111">
        <v>80.0</v>
      </c>
      <c r="I423" s="31">
        <f t="shared" si="1"/>
        <v>2</v>
      </c>
      <c r="J423" s="31">
        <v>10.0</v>
      </c>
      <c r="K423" s="31">
        <v>0.0</v>
      </c>
      <c r="L423" s="31">
        <v>0.0</v>
      </c>
      <c r="M423" s="31">
        <v>0.0</v>
      </c>
      <c r="N423" s="31" t="s">
        <v>723</v>
      </c>
      <c r="O423" s="100" t="s">
        <v>138</v>
      </c>
      <c r="P423" s="36" t="s">
        <v>401</v>
      </c>
      <c r="Q423" s="31" t="s">
        <v>66</v>
      </c>
      <c r="R423" s="61">
        <v>1.0</v>
      </c>
    </row>
    <row r="424" ht="14.25" customHeight="1">
      <c r="A424" s="78"/>
      <c r="B424" s="60">
        <v>401.0</v>
      </c>
      <c r="C424" s="110" t="s">
        <v>774</v>
      </c>
      <c r="D424" s="110" t="s">
        <v>773</v>
      </c>
      <c r="E424" s="27" t="s">
        <v>25</v>
      </c>
      <c r="F424" s="34" t="s">
        <v>57</v>
      </c>
      <c r="G424" s="38"/>
      <c r="H424" s="111">
        <v>516.0</v>
      </c>
      <c r="I424" s="31">
        <f t="shared" si="1"/>
        <v>8</v>
      </c>
      <c r="J424" s="31">
        <v>40.0</v>
      </c>
      <c r="K424" s="31">
        <v>0.0</v>
      </c>
      <c r="L424" s="31">
        <v>0.0</v>
      </c>
      <c r="M424" s="31">
        <v>1.0</v>
      </c>
      <c r="N424" s="31" t="s">
        <v>775</v>
      </c>
      <c r="O424" s="100" t="s">
        <v>138</v>
      </c>
      <c r="P424" s="31">
        <v>50.0</v>
      </c>
      <c r="Q424" s="31" t="s">
        <v>66</v>
      </c>
      <c r="R424" s="61">
        <v>3.0</v>
      </c>
    </row>
    <row r="425" ht="14.25" customHeight="1">
      <c r="A425" s="78"/>
      <c r="B425" s="60">
        <v>402.0</v>
      </c>
      <c r="C425" s="110" t="s">
        <v>776</v>
      </c>
      <c r="D425" s="110" t="s">
        <v>773</v>
      </c>
      <c r="E425" s="27" t="s">
        <v>25</v>
      </c>
      <c r="F425" s="34" t="s">
        <v>57</v>
      </c>
      <c r="G425" s="38"/>
      <c r="H425" s="111">
        <v>8860.0</v>
      </c>
      <c r="I425" s="31">
        <f t="shared" si="1"/>
        <v>80</v>
      </c>
      <c r="J425" s="31">
        <v>400.0</v>
      </c>
      <c r="K425" s="31">
        <v>2.0</v>
      </c>
      <c r="L425" s="31">
        <v>2.0</v>
      </c>
      <c r="M425" s="31">
        <v>1.0</v>
      </c>
      <c r="N425" s="31" t="s">
        <v>723</v>
      </c>
      <c r="O425" s="100" t="s">
        <v>138</v>
      </c>
      <c r="P425" s="36" t="s">
        <v>401</v>
      </c>
      <c r="Q425" s="31" t="s">
        <v>29</v>
      </c>
      <c r="R425" s="105">
        <v>0.0</v>
      </c>
    </row>
    <row r="426" ht="14.25" customHeight="1">
      <c r="A426" s="78"/>
      <c r="B426" s="60">
        <v>403.0</v>
      </c>
      <c r="C426" s="110" t="s">
        <v>777</v>
      </c>
      <c r="D426" s="110" t="s">
        <v>778</v>
      </c>
      <c r="E426" s="27" t="s">
        <v>25</v>
      </c>
      <c r="F426" s="34" t="s">
        <v>57</v>
      </c>
      <c r="G426" s="38"/>
      <c r="H426" s="111">
        <v>50.0</v>
      </c>
      <c r="I426" s="31">
        <f t="shared" si="1"/>
        <v>2</v>
      </c>
      <c r="J426" s="31">
        <v>10.0</v>
      </c>
      <c r="K426" s="31">
        <v>0.0</v>
      </c>
      <c r="L426" s="31">
        <v>0.0</v>
      </c>
      <c r="M426" s="31">
        <v>0.0</v>
      </c>
      <c r="N426" s="31" t="s">
        <v>723</v>
      </c>
      <c r="O426" s="100" t="s">
        <v>138</v>
      </c>
      <c r="P426" s="36" t="s">
        <v>401</v>
      </c>
      <c r="Q426" s="31" t="s">
        <v>66</v>
      </c>
      <c r="R426" s="61">
        <v>1.0</v>
      </c>
    </row>
    <row r="427" ht="14.25" customHeight="1">
      <c r="A427" s="78"/>
      <c r="B427" s="60">
        <v>404.0</v>
      </c>
      <c r="C427" s="110" t="s">
        <v>779</v>
      </c>
      <c r="D427" s="110" t="s">
        <v>778</v>
      </c>
      <c r="E427" s="27" t="s">
        <v>25</v>
      </c>
      <c r="F427" s="34" t="s">
        <v>57</v>
      </c>
      <c r="G427" s="38"/>
      <c r="H427" s="111">
        <v>300.0</v>
      </c>
      <c r="I427" s="31">
        <f t="shared" si="1"/>
        <v>9</v>
      </c>
      <c r="J427" s="31">
        <v>45.0</v>
      </c>
      <c r="K427" s="31">
        <v>0.0</v>
      </c>
      <c r="L427" s="31">
        <v>0.0</v>
      </c>
      <c r="M427" s="31">
        <v>1.0</v>
      </c>
      <c r="N427" s="31" t="s">
        <v>723</v>
      </c>
      <c r="O427" s="100" t="s">
        <v>138</v>
      </c>
      <c r="P427" s="31">
        <v>50.0</v>
      </c>
      <c r="Q427" s="31" t="s">
        <v>66</v>
      </c>
      <c r="R427" s="61">
        <v>3.0</v>
      </c>
    </row>
    <row r="428" ht="14.25" customHeight="1">
      <c r="A428" s="78"/>
      <c r="B428" s="60">
        <v>405.0</v>
      </c>
      <c r="C428" s="110" t="s">
        <v>780</v>
      </c>
      <c r="D428" s="110" t="s">
        <v>778</v>
      </c>
      <c r="E428" s="27" t="s">
        <v>25</v>
      </c>
      <c r="F428" s="34" t="s">
        <v>57</v>
      </c>
      <c r="G428" s="38"/>
      <c r="H428" s="111">
        <v>640.0</v>
      </c>
      <c r="I428" s="31">
        <f t="shared" si="1"/>
        <v>10</v>
      </c>
      <c r="J428" s="31">
        <v>50.0</v>
      </c>
      <c r="K428" s="31">
        <v>0.0</v>
      </c>
      <c r="L428" s="31">
        <v>0.0</v>
      </c>
      <c r="M428" s="31">
        <v>0.0</v>
      </c>
      <c r="N428" s="31" t="s">
        <v>723</v>
      </c>
      <c r="O428" s="100" t="s">
        <v>138</v>
      </c>
      <c r="P428" s="36" t="s">
        <v>401</v>
      </c>
      <c r="Q428" s="31" t="s">
        <v>29</v>
      </c>
      <c r="R428" s="105">
        <v>0.0</v>
      </c>
    </row>
    <row r="429" ht="14.25" customHeight="1">
      <c r="A429" s="78"/>
      <c r="B429" s="60">
        <v>406.0</v>
      </c>
      <c r="C429" s="110" t="s">
        <v>781</v>
      </c>
      <c r="D429" s="110" t="s">
        <v>782</v>
      </c>
      <c r="E429" s="27" t="s">
        <v>25</v>
      </c>
      <c r="F429" s="34" t="s">
        <v>189</v>
      </c>
      <c r="G429" s="38"/>
      <c r="H429" s="111">
        <v>50.0</v>
      </c>
      <c r="I429" s="31">
        <f t="shared" si="1"/>
        <v>2</v>
      </c>
      <c r="J429" s="31">
        <v>10.0</v>
      </c>
      <c r="K429" s="31">
        <v>0.0</v>
      </c>
      <c r="L429" s="31">
        <v>0.0</v>
      </c>
      <c r="M429" s="31">
        <v>0.0</v>
      </c>
      <c r="N429" s="31" t="s">
        <v>723</v>
      </c>
      <c r="O429" s="100" t="s">
        <v>138</v>
      </c>
      <c r="P429" s="36" t="s">
        <v>401</v>
      </c>
      <c r="Q429" s="31" t="s">
        <v>66</v>
      </c>
      <c r="R429" s="61">
        <v>1.0</v>
      </c>
    </row>
    <row r="430" ht="14.25" customHeight="1">
      <c r="A430" s="78"/>
      <c r="B430" s="60">
        <v>407.0</v>
      </c>
      <c r="C430" s="110" t="s">
        <v>783</v>
      </c>
      <c r="D430" s="110" t="s">
        <v>782</v>
      </c>
      <c r="E430" s="27" t="s">
        <v>25</v>
      </c>
      <c r="F430" s="34" t="s">
        <v>189</v>
      </c>
      <c r="G430" s="38"/>
      <c r="H430" s="111">
        <v>203.0</v>
      </c>
      <c r="I430" s="31">
        <f t="shared" si="1"/>
        <v>8</v>
      </c>
      <c r="J430" s="31">
        <v>40.0</v>
      </c>
      <c r="K430" s="31">
        <v>0.0</v>
      </c>
      <c r="L430" s="31">
        <v>0.0</v>
      </c>
      <c r="M430" s="31">
        <v>1.0</v>
      </c>
      <c r="N430" s="31" t="s">
        <v>723</v>
      </c>
      <c r="O430" s="100" t="s">
        <v>138</v>
      </c>
      <c r="P430" s="31">
        <v>50.0</v>
      </c>
      <c r="Q430" s="31" t="s">
        <v>66</v>
      </c>
      <c r="R430" s="61">
        <v>3.0</v>
      </c>
    </row>
    <row r="431" ht="14.25" customHeight="1">
      <c r="A431" s="78"/>
      <c r="B431" s="60">
        <v>408.0</v>
      </c>
      <c r="C431" s="110" t="s">
        <v>784</v>
      </c>
      <c r="D431" s="110" t="s">
        <v>782</v>
      </c>
      <c r="E431" s="27" t="s">
        <v>25</v>
      </c>
      <c r="F431" s="34" t="s">
        <v>189</v>
      </c>
      <c r="G431" s="38"/>
      <c r="H431" s="111">
        <v>5786.0</v>
      </c>
      <c r="I431" s="31">
        <f t="shared" si="1"/>
        <v>60</v>
      </c>
      <c r="J431" s="31">
        <v>300.0</v>
      </c>
      <c r="K431" s="31">
        <v>2.0</v>
      </c>
      <c r="L431" s="31">
        <v>2.0</v>
      </c>
      <c r="M431" s="31">
        <v>1.0</v>
      </c>
      <c r="N431" s="31" t="s">
        <v>723</v>
      </c>
      <c r="O431" s="100" t="s">
        <v>138</v>
      </c>
      <c r="P431" s="36" t="s">
        <v>401</v>
      </c>
      <c r="Q431" s="31" t="s">
        <v>29</v>
      </c>
      <c r="R431" s="105">
        <v>0.0</v>
      </c>
    </row>
    <row r="432" ht="14.25" customHeight="1">
      <c r="A432" s="78"/>
      <c r="B432" s="60">
        <v>409.0</v>
      </c>
      <c r="C432" s="110" t="s">
        <v>785</v>
      </c>
      <c r="D432" s="110" t="s">
        <v>782</v>
      </c>
      <c r="E432" s="27" t="s">
        <v>25</v>
      </c>
      <c r="F432" s="34" t="s">
        <v>57</v>
      </c>
      <c r="G432" s="38"/>
      <c r="H432" s="111">
        <v>510.0</v>
      </c>
      <c r="I432" s="31">
        <f t="shared" si="1"/>
        <v>10</v>
      </c>
      <c r="J432" s="31">
        <v>50.0</v>
      </c>
      <c r="K432" s="31">
        <v>0.0</v>
      </c>
      <c r="L432" s="31">
        <v>0.0</v>
      </c>
      <c r="M432" s="31">
        <v>0.0</v>
      </c>
      <c r="N432" s="31" t="s">
        <v>723</v>
      </c>
      <c r="O432" s="100" t="s">
        <v>138</v>
      </c>
      <c r="P432" s="36" t="s">
        <v>401</v>
      </c>
      <c r="Q432" s="31" t="s">
        <v>29</v>
      </c>
      <c r="R432" s="105">
        <v>0.0</v>
      </c>
    </row>
    <row r="433" ht="14.25" customHeight="1">
      <c r="A433" s="78"/>
      <c r="B433" s="60">
        <v>410.0</v>
      </c>
      <c r="C433" s="110" t="s">
        <v>341</v>
      </c>
      <c r="D433" s="110" t="s">
        <v>782</v>
      </c>
      <c r="E433" s="27" t="s">
        <v>25</v>
      </c>
      <c r="F433" s="34" t="s">
        <v>57</v>
      </c>
      <c r="G433" s="38"/>
      <c r="H433" s="111">
        <v>170.0</v>
      </c>
      <c r="I433" s="31">
        <f t="shared" si="1"/>
        <v>6</v>
      </c>
      <c r="J433" s="114">
        <v>30.0</v>
      </c>
      <c r="K433" s="31">
        <v>1.0</v>
      </c>
      <c r="L433" s="31">
        <v>1.0</v>
      </c>
      <c r="M433" s="31">
        <v>1.0</v>
      </c>
      <c r="N433" s="31" t="s">
        <v>723</v>
      </c>
      <c r="O433" s="100" t="s">
        <v>138</v>
      </c>
      <c r="P433" s="31">
        <v>50.0</v>
      </c>
      <c r="Q433" s="31" t="s">
        <v>66</v>
      </c>
      <c r="R433" s="61">
        <v>12.0</v>
      </c>
    </row>
    <row r="434" ht="14.25" customHeight="1">
      <c r="A434" s="78"/>
      <c r="B434" s="60">
        <v>411.0</v>
      </c>
      <c r="C434" s="110" t="s">
        <v>786</v>
      </c>
      <c r="D434" s="110" t="s">
        <v>782</v>
      </c>
      <c r="E434" s="27" t="s">
        <v>25</v>
      </c>
      <c r="F434" s="34" t="s">
        <v>57</v>
      </c>
      <c r="G434" s="38"/>
      <c r="H434" s="111">
        <v>286.16</v>
      </c>
      <c r="I434" s="31">
        <f t="shared" si="1"/>
        <v>5</v>
      </c>
      <c r="J434" s="114">
        <v>25.0</v>
      </c>
      <c r="K434" s="31">
        <v>1.0</v>
      </c>
      <c r="L434" s="31">
        <v>1.0</v>
      </c>
      <c r="M434" s="31">
        <v>0.0</v>
      </c>
      <c r="N434" s="31" t="s">
        <v>723</v>
      </c>
      <c r="O434" s="100" t="s">
        <v>138</v>
      </c>
      <c r="P434" s="36" t="s">
        <v>401</v>
      </c>
      <c r="Q434" s="31" t="s">
        <v>29</v>
      </c>
      <c r="R434" s="105">
        <v>0.0</v>
      </c>
    </row>
    <row r="435" ht="14.25" customHeight="1">
      <c r="A435" s="78"/>
      <c r="B435" s="60">
        <v>412.0</v>
      </c>
      <c r="C435" s="110" t="s">
        <v>787</v>
      </c>
      <c r="D435" s="110" t="s">
        <v>788</v>
      </c>
      <c r="E435" s="27" t="s">
        <v>25</v>
      </c>
      <c r="F435" s="34" t="s">
        <v>57</v>
      </c>
      <c r="G435" s="38"/>
      <c r="H435" s="111">
        <v>60.0</v>
      </c>
      <c r="I435" s="31">
        <f t="shared" si="1"/>
        <v>2</v>
      </c>
      <c r="J435" s="114">
        <v>10.0</v>
      </c>
      <c r="K435" s="31">
        <v>0.0</v>
      </c>
      <c r="L435" s="31">
        <v>0.0</v>
      </c>
      <c r="M435" s="31">
        <v>0.0</v>
      </c>
      <c r="N435" s="31" t="s">
        <v>723</v>
      </c>
      <c r="O435" s="100" t="s">
        <v>138</v>
      </c>
      <c r="P435" s="36" t="s">
        <v>401</v>
      </c>
      <c r="Q435" s="31" t="s">
        <v>66</v>
      </c>
      <c r="R435" s="61">
        <v>1.0</v>
      </c>
    </row>
    <row r="436" ht="14.25" customHeight="1">
      <c r="A436" s="78"/>
      <c r="B436" s="60">
        <v>413.0</v>
      </c>
      <c r="C436" s="110" t="s">
        <v>789</v>
      </c>
      <c r="D436" s="110" t="s">
        <v>788</v>
      </c>
      <c r="E436" s="27" t="s">
        <v>25</v>
      </c>
      <c r="F436" s="34" t="s">
        <v>57</v>
      </c>
      <c r="G436" s="38"/>
      <c r="H436" s="111">
        <v>240.0</v>
      </c>
      <c r="I436" s="31">
        <f t="shared" si="1"/>
        <v>8</v>
      </c>
      <c r="J436" s="114">
        <v>40.0</v>
      </c>
      <c r="K436" s="31">
        <v>0.0</v>
      </c>
      <c r="L436" s="31">
        <v>0.0</v>
      </c>
      <c r="M436" s="31">
        <v>1.0</v>
      </c>
      <c r="N436" s="31" t="s">
        <v>723</v>
      </c>
      <c r="O436" s="100" t="s">
        <v>138</v>
      </c>
      <c r="P436" s="31">
        <v>50.0</v>
      </c>
      <c r="Q436" s="31" t="s">
        <v>66</v>
      </c>
      <c r="R436" s="61">
        <v>3.0</v>
      </c>
    </row>
    <row r="437" ht="14.25" customHeight="1">
      <c r="A437" s="78"/>
      <c r="B437" s="60">
        <v>414.0</v>
      </c>
      <c r="C437" s="110" t="s">
        <v>790</v>
      </c>
      <c r="D437" s="110" t="s">
        <v>788</v>
      </c>
      <c r="E437" s="27" t="s">
        <v>25</v>
      </c>
      <c r="F437" s="34" t="s">
        <v>57</v>
      </c>
      <c r="G437" s="38"/>
      <c r="H437" s="111">
        <v>290.0</v>
      </c>
      <c r="I437" s="31">
        <f t="shared" si="1"/>
        <v>12</v>
      </c>
      <c r="J437" s="114">
        <v>60.0</v>
      </c>
      <c r="K437" s="31">
        <v>0.0</v>
      </c>
      <c r="L437" s="31">
        <v>0.0</v>
      </c>
      <c r="M437" s="31">
        <v>0.0</v>
      </c>
      <c r="N437" s="31" t="s">
        <v>723</v>
      </c>
      <c r="O437" s="100" t="s">
        <v>138</v>
      </c>
      <c r="P437" s="36" t="s">
        <v>401</v>
      </c>
      <c r="Q437" s="31" t="s">
        <v>29</v>
      </c>
      <c r="R437" s="105">
        <v>0.0</v>
      </c>
    </row>
    <row r="438" ht="14.25" customHeight="1">
      <c r="A438" s="78"/>
      <c r="B438" s="60">
        <v>415.0</v>
      </c>
      <c r="C438" s="110" t="s">
        <v>791</v>
      </c>
      <c r="D438" s="110" t="s">
        <v>788</v>
      </c>
      <c r="E438" s="27" t="s">
        <v>25</v>
      </c>
      <c r="F438" s="34" t="s">
        <v>57</v>
      </c>
      <c r="G438" s="38"/>
      <c r="H438" s="111">
        <v>10043.0</v>
      </c>
      <c r="I438" s="31">
        <f t="shared" si="1"/>
        <v>40</v>
      </c>
      <c r="J438" s="114">
        <v>200.0</v>
      </c>
      <c r="K438" s="31">
        <v>2.0</v>
      </c>
      <c r="L438" s="31">
        <v>2.0</v>
      </c>
      <c r="M438" s="31">
        <v>1.0</v>
      </c>
      <c r="N438" s="31" t="s">
        <v>723</v>
      </c>
      <c r="O438" s="100" t="s">
        <v>138</v>
      </c>
      <c r="P438" s="36" t="s">
        <v>401</v>
      </c>
      <c r="Q438" s="31" t="s">
        <v>29</v>
      </c>
      <c r="R438" s="105">
        <v>0.0</v>
      </c>
    </row>
    <row r="439" ht="14.25" customHeight="1">
      <c r="A439" s="78"/>
      <c r="B439" s="60">
        <v>416.0</v>
      </c>
      <c r="C439" s="110" t="s">
        <v>792</v>
      </c>
      <c r="D439" s="110" t="s">
        <v>793</v>
      </c>
      <c r="E439" s="27" t="s">
        <v>25</v>
      </c>
      <c r="F439" s="34" t="s">
        <v>57</v>
      </c>
      <c r="G439" s="38"/>
      <c r="H439" s="111">
        <v>65.0</v>
      </c>
      <c r="I439" s="31">
        <f t="shared" si="1"/>
        <v>2</v>
      </c>
      <c r="J439" s="114">
        <v>10.0</v>
      </c>
      <c r="K439" s="31">
        <v>0.0</v>
      </c>
      <c r="L439" s="31">
        <v>0.0</v>
      </c>
      <c r="M439" s="31">
        <v>0.0</v>
      </c>
      <c r="N439" s="31" t="s">
        <v>723</v>
      </c>
      <c r="O439" s="100" t="s">
        <v>138</v>
      </c>
      <c r="P439" s="36" t="s">
        <v>401</v>
      </c>
      <c r="Q439" s="31" t="s">
        <v>66</v>
      </c>
      <c r="R439" s="61">
        <v>1.0</v>
      </c>
    </row>
    <row r="440" ht="14.25" customHeight="1">
      <c r="A440" s="78"/>
      <c r="B440" s="60">
        <v>417.0</v>
      </c>
      <c r="C440" s="110" t="s">
        <v>794</v>
      </c>
      <c r="D440" s="110" t="s">
        <v>793</v>
      </c>
      <c r="E440" s="27" t="s">
        <v>25</v>
      </c>
      <c r="F440" s="34" t="s">
        <v>57</v>
      </c>
      <c r="G440" s="38"/>
      <c r="H440" s="111">
        <v>198.0</v>
      </c>
      <c r="I440" s="31">
        <f t="shared" si="1"/>
        <v>7</v>
      </c>
      <c r="J440" s="114">
        <v>35.0</v>
      </c>
      <c r="K440" s="31">
        <v>0.0</v>
      </c>
      <c r="L440" s="31">
        <v>0.0</v>
      </c>
      <c r="M440" s="31">
        <v>1.0</v>
      </c>
      <c r="N440" s="31" t="s">
        <v>723</v>
      </c>
      <c r="O440" s="100" t="s">
        <v>138</v>
      </c>
      <c r="P440" s="31">
        <v>50.0</v>
      </c>
      <c r="Q440" s="31" t="s">
        <v>66</v>
      </c>
      <c r="R440" s="61">
        <v>3.0</v>
      </c>
    </row>
    <row r="441" ht="14.25" customHeight="1">
      <c r="A441" s="78"/>
      <c r="B441" s="60">
        <v>418.0</v>
      </c>
      <c r="C441" s="110" t="s">
        <v>795</v>
      </c>
      <c r="D441" s="110" t="s">
        <v>793</v>
      </c>
      <c r="E441" s="27" t="s">
        <v>25</v>
      </c>
      <c r="F441" s="34" t="s">
        <v>57</v>
      </c>
      <c r="G441" s="38"/>
      <c r="H441" s="111">
        <v>10087.0</v>
      </c>
      <c r="I441" s="31">
        <f t="shared" si="1"/>
        <v>120</v>
      </c>
      <c r="J441" s="114">
        <v>600.0</v>
      </c>
      <c r="K441" s="31">
        <v>2.0</v>
      </c>
      <c r="L441" s="31">
        <v>2.0</v>
      </c>
      <c r="M441" s="31">
        <v>1.0</v>
      </c>
      <c r="N441" s="31" t="s">
        <v>723</v>
      </c>
      <c r="O441" s="100" t="s">
        <v>138</v>
      </c>
      <c r="P441" s="36" t="s">
        <v>401</v>
      </c>
      <c r="Q441" s="31" t="s">
        <v>29</v>
      </c>
      <c r="R441" s="105">
        <v>0.0</v>
      </c>
    </row>
    <row r="442" ht="14.25" customHeight="1">
      <c r="A442" s="78"/>
      <c r="B442" s="60">
        <v>419.0</v>
      </c>
      <c r="C442" s="110" t="s">
        <v>796</v>
      </c>
      <c r="D442" s="110" t="s">
        <v>793</v>
      </c>
      <c r="E442" s="27" t="s">
        <v>25</v>
      </c>
      <c r="F442" s="34" t="s">
        <v>57</v>
      </c>
      <c r="G442" s="38"/>
      <c r="H442" s="111">
        <v>32530.0</v>
      </c>
      <c r="I442" s="31">
        <f t="shared" si="1"/>
        <v>140</v>
      </c>
      <c r="J442" s="114">
        <v>700.0</v>
      </c>
      <c r="K442" s="31">
        <v>2.0</v>
      </c>
      <c r="L442" s="31">
        <v>2.0</v>
      </c>
      <c r="M442" s="31">
        <v>1.0</v>
      </c>
      <c r="N442" s="31" t="s">
        <v>723</v>
      </c>
      <c r="O442" s="100" t="s">
        <v>138</v>
      </c>
      <c r="P442" s="36" t="s">
        <v>401</v>
      </c>
      <c r="Q442" s="31" t="s">
        <v>29</v>
      </c>
      <c r="R442" s="105">
        <v>0.0</v>
      </c>
    </row>
    <row r="443" ht="14.25" customHeight="1">
      <c r="A443" s="78"/>
      <c r="B443" s="60">
        <v>420.0</v>
      </c>
      <c r="C443" s="110" t="s">
        <v>797</v>
      </c>
      <c r="D443" s="110" t="s">
        <v>798</v>
      </c>
      <c r="E443" s="27" t="s">
        <v>25</v>
      </c>
      <c r="F443" s="34" t="s">
        <v>57</v>
      </c>
      <c r="G443" s="38"/>
      <c r="H443" s="111">
        <v>31.5</v>
      </c>
      <c r="I443" s="31">
        <f t="shared" si="1"/>
        <v>2</v>
      </c>
      <c r="J443" s="114">
        <v>10.0</v>
      </c>
      <c r="K443" s="31">
        <v>0.0</v>
      </c>
      <c r="L443" s="31">
        <v>0.0</v>
      </c>
      <c r="M443" s="31">
        <v>0.0</v>
      </c>
      <c r="N443" s="31" t="s">
        <v>723</v>
      </c>
      <c r="O443" s="100" t="s">
        <v>138</v>
      </c>
      <c r="P443" s="36" t="s">
        <v>401</v>
      </c>
      <c r="Q443" s="31" t="s">
        <v>66</v>
      </c>
      <c r="R443" s="61">
        <v>1.0</v>
      </c>
    </row>
    <row r="444" ht="14.25" customHeight="1">
      <c r="A444" s="78"/>
      <c r="B444" s="60">
        <v>421.0</v>
      </c>
      <c r="C444" s="110" t="s">
        <v>799</v>
      </c>
      <c r="D444" s="110" t="s">
        <v>798</v>
      </c>
      <c r="E444" s="27" t="s">
        <v>25</v>
      </c>
      <c r="F444" s="34" t="s">
        <v>57</v>
      </c>
      <c r="G444" s="38"/>
      <c r="H444" s="111">
        <v>80.0</v>
      </c>
      <c r="I444" s="31">
        <f t="shared" si="1"/>
        <v>3</v>
      </c>
      <c r="J444" s="114">
        <v>15.0</v>
      </c>
      <c r="K444" s="31">
        <v>0.0</v>
      </c>
      <c r="L444" s="31">
        <v>0.0</v>
      </c>
      <c r="M444" s="31">
        <v>1.0</v>
      </c>
      <c r="N444" s="31" t="s">
        <v>723</v>
      </c>
      <c r="O444" s="100" t="s">
        <v>138</v>
      </c>
      <c r="P444" s="31">
        <v>50.0</v>
      </c>
      <c r="Q444" s="31" t="s">
        <v>66</v>
      </c>
      <c r="R444" s="61">
        <v>2.0</v>
      </c>
    </row>
    <row r="445" ht="14.25" customHeight="1">
      <c r="A445" s="78"/>
      <c r="B445" s="60">
        <v>422.0</v>
      </c>
      <c r="C445" s="110" t="s">
        <v>800</v>
      </c>
      <c r="D445" s="110" t="s">
        <v>798</v>
      </c>
      <c r="E445" s="27" t="s">
        <v>25</v>
      </c>
      <c r="F445" s="34" t="s">
        <v>57</v>
      </c>
      <c r="G445" s="38"/>
      <c r="H445" s="111">
        <v>550.0</v>
      </c>
      <c r="I445" s="31">
        <f t="shared" si="1"/>
        <v>10</v>
      </c>
      <c r="J445" s="114">
        <v>50.0</v>
      </c>
      <c r="K445" s="31">
        <v>0.0</v>
      </c>
      <c r="L445" s="31">
        <v>0.0</v>
      </c>
      <c r="M445" s="31">
        <v>0.0</v>
      </c>
      <c r="N445" s="31" t="s">
        <v>723</v>
      </c>
      <c r="O445" s="100" t="s">
        <v>138</v>
      </c>
      <c r="P445" s="36" t="s">
        <v>401</v>
      </c>
      <c r="Q445" s="31" t="s">
        <v>29</v>
      </c>
      <c r="R445" s="105">
        <v>0.0</v>
      </c>
    </row>
    <row r="446" ht="14.25" customHeight="1">
      <c r="A446" s="78"/>
      <c r="B446" s="60">
        <v>423.0</v>
      </c>
      <c r="C446" s="110" t="s">
        <v>801</v>
      </c>
      <c r="D446" s="110" t="s">
        <v>798</v>
      </c>
      <c r="E446" s="27" t="s">
        <v>25</v>
      </c>
      <c r="F446" s="34" t="s">
        <v>57</v>
      </c>
      <c r="G446" s="38"/>
      <c r="H446" s="111">
        <v>50.0</v>
      </c>
      <c r="I446" s="31">
        <f t="shared" si="1"/>
        <v>2</v>
      </c>
      <c r="J446" s="114">
        <v>10.0</v>
      </c>
      <c r="K446" s="31">
        <v>0.0</v>
      </c>
      <c r="L446" s="31">
        <v>0.0</v>
      </c>
      <c r="M446" s="31">
        <v>1.0</v>
      </c>
      <c r="N446" s="31" t="s">
        <v>723</v>
      </c>
      <c r="O446" s="100" t="s">
        <v>138</v>
      </c>
      <c r="P446" s="31">
        <v>50.0</v>
      </c>
      <c r="Q446" s="31" t="s">
        <v>66</v>
      </c>
      <c r="R446" s="61">
        <v>10.0</v>
      </c>
    </row>
    <row r="447" ht="14.25" customHeight="1">
      <c r="A447" s="78"/>
      <c r="B447" s="60">
        <v>424.0</v>
      </c>
      <c r="C447" s="110" t="s">
        <v>802</v>
      </c>
      <c r="D447" s="110" t="s">
        <v>803</v>
      </c>
      <c r="E447" s="27" t="s">
        <v>25</v>
      </c>
      <c r="F447" s="34" t="s">
        <v>57</v>
      </c>
      <c r="G447" s="38"/>
      <c r="H447" s="111">
        <v>65.0</v>
      </c>
      <c r="I447" s="31">
        <f t="shared" si="1"/>
        <v>2</v>
      </c>
      <c r="J447" s="114">
        <v>10.0</v>
      </c>
      <c r="K447" s="31">
        <v>0.0</v>
      </c>
      <c r="L447" s="31">
        <v>0.0</v>
      </c>
      <c r="M447" s="31">
        <v>0.0</v>
      </c>
      <c r="N447" s="31" t="s">
        <v>723</v>
      </c>
      <c r="O447" s="100" t="s">
        <v>138</v>
      </c>
      <c r="P447" s="36" t="s">
        <v>401</v>
      </c>
      <c r="Q447" s="31" t="s">
        <v>66</v>
      </c>
      <c r="R447" s="61">
        <v>1.0</v>
      </c>
    </row>
    <row r="448" ht="14.25" customHeight="1">
      <c r="A448" s="78"/>
      <c r="B448" s="60">
        <v>425.0</v>
      </c>
      <c r="C448" s="110" t="s">
        <v>804</v>
      </c>
      <c r="D448" s="110" t="s">
        <v>803</v>
      </c>
      <c r="E448" s="27" t="s">
        <v>25</v>
      </c>
      <c r="F448" s="34" t="s">
        <v>57</v>
      </c>
      <c r="G448" s="38"/>
      <c r="H448" s="111">
        <v>160.0</v>
      </c>
      <c r="I448" s="31">
        <f t="shared" si="1"/>
        <v>5</v>
      </c>
      <c r="J448" s="31">
        <v>25.0</v>
      </c>
      <c r="K448" s="31">
        <v>0.0</v>
      </c>
      <c r="L448" s="31">
        <v>0.0</v>
      </c>
      <c r="M448" s="31">
        <v>1.0</v>
      </c>
      <c r="N448" s="31" t="s">
        <v>723</v>
      </c>
      <c r="O448" s="100" t="s">
        <v>138</v>
      </c>
      <c r="P448" s="31">
        <v>50.0</v>
      </c>
      <c r="Q448" s="31" t="s">
        <v>66</v>
      </c>
      <c r="R448" s="61">
        <v>3.0</v>
      </c>
    </row>
    <row r="449" ht="14.25" customHeight="1">
      <c r="A449" s="78"/>
      <c r="B449" s="60">
        <v>426.0</v>
      </c>
      <c r="C449" s="110" t="s">
        <v>805</v>
      </c>
      <c r="D449" s="110" t="s">
        <v>806</v>
      </c>
      <c r="E449" s="27" t="s">
        <v>25</v>
      </c>
      <c r="F449" s="34" t="s">
        <v>57</v>
      </c>
      <c r="G449" s="38"/>
      <c r="H449" s="111">
        <v>75.0</v>
      </c>
      <c r="I449" s="31">
        <f t="shared" si="1"/>
        <v>2</v>
      </c>
      <c r="J449" s="31">
        <v>10.0</v>
      </c>
      <c r="K449" s="31">
        <v>0.0</v>
      </c>
      <c r="L449" s="31">
        <v>0.0</v>
      </c>
      <c r="M449" s="31">
        <v>0.0</v>
      </c>
      <c r="N449" s="31" t="s">
        <v>723</v>
      </c>
      <c r="O449" s="100" t="s">
        <v>138</v>
      </c>
      <c r="P449" s="36" t="s">
        <v>401</v>
      </c>
      <c r="Q449" s="31" t="s">
        <v>66</v>
      </c>
      <c r="R449" s="61">
        <v>1.0</v>
      </c>
    </row>
    <row r="450" ht="14.25" customHeight="1">
      <c r="A450" s="78"/>
      <c r="B450" s="60">
        <v>427.0</v>
      </c>
      <c r="C450" s="110" t="s">
        <v>807</v>
      </c>
      <c r="D450" s="110" t="s">
        <v>806</v>
      </c>
      <c r="E450" s="27" t="s">
        <v>25</v>
      </c>
      <c r="F450" s="34" t="s">
        <v>57</v>
      </c>
      <c r="G450" s="38"/>
      <c r="H450" s="111">
        <v>212.0</v>
      </c>
      <c r="I450" s="31">
        <f t="shared" si="1"/>
        <v>4</v>
      </c>
      <c r="J450" s="31">
        <v>20.0</v>
      </c>
      <c r="K450" s="31">
        <v>0.0</v>
      </c>
      <c r="L450" s="31">
        <v>0.0</v>
      </c>
      <c r="M450" s="31">
        <v>1.0</v>
      </c>
      <c r="N450" s="31" t="s">
        <v>775</v>
      </c>
      <c r="O450" s="100" t="s">
        <v>138</v>
      </c>
      <c r="P450" s="31">
        <v>50.0</v>
      </c>
      <c r="Q450" s="31" t="s">
        <v>66</v>
      </c>
      <c r="R450" s="61">
        <v>3.0</v>
      </c>
    </row>
    <row r="451" ht="14.25" customHeight="1">
      <c r="A451" s="78"/>
      <c r="B451" s="60">
        <v>428.0</v>
      </c>
      <c r="C451" s="110" t="s">
        <v>808</v>
      </c>
      <c r="D451" s="110" t="s">
        <v>806</v>
      </c>
      <c r="E451" s="27" t="s">
        <v>25</v>
      </c>
      <c r="F451" s="34" t="s">
        <v>57</v>
      </c>
      <c r="G451" s="38"/>
      <c r="H451" s="111">
        <v>540.0</v>
      </c>
      <c r="I451" s="31">
        <f t="shared" si="1"/>
        <v>8</v>
      </c>
      <c r="J451" s="31">
        <v>40.0</v>
      </c>
      <c r="K451" s="31">
        <v>0.0</v>
      </c>
      <c r="L451" s="31">
        <v>0.0</v>
      </c>
      <c r="M451" s="31">
        <v>0.0</v>
      </c>
      <c r="N451" s="31" t="s">
        <v>723</v>
      </c>
      <c r="O451" s="100" t="s">
        <v>138</v>
      </c>
      <c r="P451" s="36" t="s">
        <v>401</v>
      </c>
      <c r="Q451" s="31" t="s">
        <v>29</v>
      </c>
      <c r="R451" s="105">
        <v>0.0</v>
      </c>
    </row>
    <row r="452" ht="14.25" customHeight="1">
      <c r="A452" s="78"/>
      <c r="B452" s="60">
        <v>429.0</v>
      </c>
      <c r="C452" s="110" t="s">
        <v>809</v>
      </c>
      <c r="D452" s="110" t="s">
        <v>806</v>
      </c>
      <c r="E452" s="27" t="s">
        <v>25</v>
      </c>
      <c r="F452" s="34" t="s">
        <v>57</v>
      </c>
      <c r="G452" s="38"/>
      <c r="H452" s="111">
        <v>410.0</v>
      </c>
      <c r="I452" s="31">
        <f t="shared" si="1"/>
        <v>6</v>
      </c>
      <c r="J452" s="31">
        <v>30.0</v>
      </c>
      <c r="K452" s="31">
        <v>0.0</v>
      </c>
      <c r="L452" s="31">
        <v>0.0</v>
      </c>
      <c r="M452" s="31">
        <v>0.0</v>
      </c>
      <c r="N452" s="31" t="s">
        <v>723</v>
      </c>
      <c r="O452" s="100" t="s">
        <v>138</v>
      </c>
      <c r="P452" s="36" t="s">
        <v>401</v>
      </c>
      <c r="Q452" s="31" t="s">
        <v>29</v>
      </c>
      <c r="R452" s="105">
        <v>0.0</v>
      </c>
    </row>
    <row r="453" ht="14.25" customHeight="1">
      <c r="A453" s="78"/>
      <c r="B453" s="60">
        <v>430.0</v>
      </c>
      <c r="C453" s="110" t="s">
        <v>810</v>
      </c>
      <c r="D453" s="110" t="s">
        <v>811</v>
      </c>
      <c r="E453" s="27" t="s">
        <v>25</v>
      </c>
      <c r="F453" s="34" t="s">
        <v>57</v>
      </c>
      <c r="G453" s="38"/>
      <c r="H453" s="111">
        <v>80.0</v>
      </c>
      <c r="I453" s="31">
        <f t="shared" si="1"/>
        <v>2</v>
      </c>
      <c r="J453" s="31">
        <v>10.0</v>
      </c>
      <c r="K453" s="31">
        <v>0.0</v>
      </c>
      <c r="L453" s="31">
        <v>0.0</v>
      </c>
      <c r="M453" s="31">
        <v>0.0</v>
      </c>
      <c r="N453" s="31" t="s">
        <v>723</v>
      </c>
      <c r="O453" s="100" t="s">
        <v>138</v>
      </c>
      <c r="P453" s="36" t="s">
        <v>401</v>
      </c>
      <c r="Q453" s="31" t="s">
        <v>66</v>
      </c>
      <c r="R453" s="61">
        <v>1.0</v>
      </c>
    </row>
    <row r="454" ht="14.25" customHeight="1">
      <c r="A454" s="78"/>
      <c r="B454" s="60">
        <v>431.0</v>
      </c>
      <c r="C454" s="110" t="s">
        <v>812</v>
      </c>
      <c r="D454" s="110" t="s">
        <v>811</v>
      </c>
      <c r="E454" s="27" t="s">
        <v>25</v>
      </c>
      <c r="F454" s="34" t="s">
        <v>189</v>
      </c>
      <c r="G454" s="38"/>
      <c r="H454" s="111">
        <v>220.0</v>
      </c>
      <c r="I454" s="31">
        <f t="shared" si="1"/>
        <v>8</v>
      </c>
      <c r="J454" s="31">
        <v>40.0</v>
      </c>
      <c r="K454" s="31">
        <v>0.0</v>
      </c>
      <c r="L454" s="31">
        <v>0.0</v>
      </c>
      <c r="M454" s="31">
        <v>1.0</v>
      </c>
      <c r="N454" s="31" t="s">
        <v>723</v>
      </c>
      <c r="O454" s="100" t="s">
        <v>138</v>
      </c>
      <c r="P454" s="31">
        <v>50.0</v>
      </c>
      <c r="Q454" s="31" t="s">
        <v>66</v>
      </c>
      <c r="R454" s="61">
        <v>3.0</v>
      </c>
    </row>
    <row r="455" ht="14.25" customHeight="1">
      <c r="A455" s="78"/>
      <c r="B455" s="60">
        <v>432.0</v>
      </c>
      <c r="C455" s="110" t="s">
        <v>813</v>
      </c>
      <c r="D455" s="110" t="s">
        <v>811</v>
      </c>
      <c r="E455" s="27" t="s">
        <v>25</v>
      </c>
      <c r="F455" s="34" t="s">
        <v>189</v>
      </c>
      <c r="G455" s="38"/>
      <c r="H455" s="111">
        <v>440.0</v>
      </c>
      <c r="I455" s="31">
        <f t="shared" si="1"/>
        <v>10</v>
      </c>
      <c r="J455" s="31">
        <v>50.0</v>
      </c>
      <c r="K455" s="31">
        <v>0.0</v>
      </c>
      <c r="L455" s="31">
        <v>0.0</v>
      </c>
      <c r="M455" s="31">
        <v>0.0</v>
      </c>
      <c r="N455" s="31" t="s">
        <v>723</v>
      </c>
      <c r="O455" s="100" t="s">
        <v>138</v>
      </c>
      <c r="P455" s="36" t="s">
        <v>401</v>
      </c>
      <c r="Q455" s="31" t="s">
        <v>29</v>
      </c>
      <c r="R455" s="105">
        <v>0.0</v>
      </c>
    </row>
    <row r="456" ht="14.25" customHeight="1">
      <c r="A456" s="78"/>
      <c r="B456" s="60">
        <v>433.0</v>
      </c>
      <c r="C456" s="110" t="s">
        <v>814</v>
      </c>
      <c r="D456" s="110" t="s">
        <v>811</v>
      </c>
      <c r="E456" s="27" t="s">
        <v>25</v>
      </c>
      <c r="F456" s="34" t="s">
        <v>57</v>
      </c>
      <c r="G456" s="38"/>
      <c r="H456" s="111">
        <v>10386.0</v>
      </c>
      <c r="I456" s="31">
        <f t="shared" si="1"/>
        <v>80</v>
      </c>
      <c r="J456" s="31">
        <v>400.0</v>
      </c>
      <c r="K456" s="31">
        <v>2.0</v>
      </c>
      <c r="L456" s="31">
        <v>2.0</v>
      </c>
      <c r="M456" s="31">
        <v>1.0</v>
      </c>
      <c r="N456" s="31" t="s">
        <v>723</v>
      </c>
      <c r="O456" s="100" t="s">
        <v>138</v>
      </c>
      <c r="P456" s="36" t="s">
        <v>401</v>
      </c>
      <c r="Q456" s="31" t="s">
        <v>29</v>
      </c>
      <c r="R456" s="105">
        <v>0.0</v>
      </c>
    </row>
    <row r="457" ht="14.25" customHeight="1">
      <c r="A457" s="78"/>
      <c r="B457" s="60">
        <v>434.0</v>
      </c>
      <c r="C457" s="110" t="s">
        <v>815</v>
      </c>
      <c r="D457" s="110" t="s">
        <v>816</v>
      </c>
      <c r="E457" s="27" t="s">
        <v>25</v>
      </c>
      <c r="F457" s="34" t="s">
        <v>57</v>
      </c>
      <c r="G457" s="38"/>
      <c r="H457" s="111">
        <v>60.0</v>
      </c>
      <c r="I457" s="31">
        <f t="shared" si="1"/>
        <v>2</v>
      </c>
      <c r="J457" s="31">
        <v>10.0</v>
      </c>
      <c r="K457" s="31">
        <v>0.0</v>
      </c>
      <c r="L457" s="31">
        <v>0.0</v>
      </c>
      <c r="M457" s="31">
        <v>0.0</v>
      </c>
      <c r="N457" s="31" t="s">
        <v>723</v>
      </c>
      <c r="O457" s="100" t="s">
        <v>138</v>
      </c>
      <c r="P457" s="36" t="s">
        <v>401</v>
      </c>
      <c r="Q457" s="31" t="s">
        <v>66</v>
      </c>
      <c r="R457" s="61">
        <v>1.0</v>
      </c>
    </row>
    <row r="458" ht="14.25" customHeight="1">
      <c r="A458" s="78"/>
      <c r="B458" s="60">
        <v>435.0</v>
      </c>
      <c r="C458" s="110" t="s">
        <v>817</v>
      </c>
      <c r="D458" s="110" t="s">
        <v>816</v>
      </c>
      <c r="E458" s="27" t="s">
        <v>25</v>
      </c>
      <c r="F458" s="34" t="s">
        <v>57</v>
      </c>
      <c r="G458" s="38"/>
      <c r="H458" s="111">
        <v>185.0</v>
      </c>
      <c r="I458" s="31">
        <f t="shared" si="1"/>
        <v>5</v>
      </c>
      <c r="J458" s="31">
        <v>25.0</v>
      </c>
      <c r="K458" s="31">
        <v>0.0</v>
      </c>
      <c r="L458" s="31">
        <v>0.0</v>
      </c>
      <c r="M458" s="31">
        <v>1.0</v>
      </c>
      <c r="N458" s="31" t="s">
        <v>723</v>
      </c>
      <c r="O458" s="100" t="s">
        <v>138</v>
      </c>
      <c r="P458" s="31">
        <v>50.0</v>
      </c>
      <c r="Q458" s="31" t="s">
        <v>66</v>
      </c>
      <c r="R458" s="61">
        <v>3.0</v>
      </c>
    </row>
    <row r="459" ht="14.25" customHeight="1">
      <c r="A459" s="78"/>
      <c r="B459" s="60">
        <v>436.0</v>
      </c>
      <c r="C459" s="110" t="s">
        <v>818</v>
      </c>
      <c r="D459" s="110" t="s">
        <v>816</v>
      </c>
      <c r="E459" s="27" t="s">
        <v>25</v>
      </c>
      <c r="F459" s="34" t="s">
        <v>57</v>
      </c>
      <c r="G459" s="38"/>
      <c r="H459" s="111">
        <v>390.0</v>
      </c>
      <c r="I459" s="31">
        <f t="shared" si="1"/>
        <v>8</v>
      </c>
      <c r="J459" s="31">
        <v>40.0</v>
      </c>
      <c r="K459" s="31">
        <v>0.0</v>
      </c>
      <c r="L459" s="31">
        <v>0.0</v>
      </c>
      <c r="M459" s="31">
        <v>0.0</v>
      </c>
      <c r="N459" s="31" t="s">
        <v>723</v>
      </c>
      <c r="O459" s="100" t="s">
        <v>138</v>
      </c>
      <c r="P459" s="36" t="s">
        <v>401</v>
      </c>
      <c r="Q459" s="31" t="s">
        <v>29</v>
      </c>
      <c r="R459" s="105">
        <v>0.0</v>
      </c>
    </row>
    <row r="460" ht="14.25" customHeight="1">
      <c r="A460" s="78"/>
      <c r="B460" s="60">
        <v>437.0</v>
      </c>
      <c r="C460" s="110" t="s">
        <v>819</v>
      </c>
      <c r="D460" s="110" t="s">
        <v>816</v>
      </c>
      <c r="E460" s="27" t="s">
        <v>25</v>
      </c>
      <c r="F460" s="34" t="s">
        <v>57</v>
      </c>
      <c r="G460" s="38"/>
      <c r="H460" s="111">
        <v>10322.0</v>
      </c>
      <c r="I460" s="31">
        <f t="shared" si="1"/>
        <v>80</v>
      </c>
      <c r="J460" s="31">
        <v>400.0</v>
      </c>
      <c r="K460" s="31">
        <v>1.0</v>
      </c>
      <c r="L460" s="31">
        <v>1.0</v>
      </c>
      <c r="M460" s="31">
        <v>1.0</v>
      </c>
      <c r="N460" s="31" t="s">
        <v>723</v>
      </c>
      <c r="O460" s="100" t="s">
        <v>138</v>
      </c>
      <c r="P460" s="36" t="s">
        <v>401</v>
      </c>
      <c r="Q460" s="31" t="s">
        <v>29</v>
      </c>
      <c r="R460" s="105">
        <v>0.0</v>
      </c>
    </row>
    <row r="461" ht="14.25" customHeight="1">
      <c r="A461" s="78"/>
      <c r="B461" s="60">
        <v>438.0</v>
      </c>
      <c r="C461" s="110" t="s">
        <v>820</v>
      </c>
      <c r="D461" s="110" t="s">
        <v>821</v>
      </c>
      <c r="E461" s="27" t="s">
        <v>25</v>
      </c>
      <c r="F461" s="34" t="s">
        <v>57</v>
      </c>
      <c r="G461" s="38"/>
      <c r="H461" s="111">
        <v>12.0</v>
      </c>
      <c r="I461" s="31">
        <f t="shared" si="1"/>
        <v>1.6</v>
      </c>
      <c r="J461" s="31">
        <v>8.0</v>
      </c>
      <c r="K461" s="31">
        <v>0.0</v>
      </c>
      <c r="L461" s="31">
        <v>0.0</v>
      </c>
      <c r="M461" s="31">
        <v>0.0</v>
      </c>
      <c r="N461" s="31" t="s">
        <v>723</v>
      </c>
      <c r="O461" s="100" t="s">
        <v>138</v>
      </c>
      <c r="P461" s="36" t="s">
        <v>401</v>
      </c>
      <c r="Q461" s="31" t="s">
        <v>66</v>
      </c>
      <c r="R461" s="61">
        <v>1.0</v>
      </c>
    </row>
    <row r="462" ht="14.25" customHeight="1">
      <c r="A462" s="78"/>
      <c r="B462" s="60">
        <v>439.0</v>
      </c>
      <c r="C462" s="110" t="s">
        <v>822</v>
      </c>
      <c r="D462" s="110" t="s">
        <v>821</v>
      </c>
      <c r="E462" s="27" t="s">
        <v>25</v>
      </c>
      <c r="F462" s="34" t="s">
        <v>57</v>
      </c>
      <c r="G462" s="38"/>
      <c r="H462" s="111">
        <v>253.0</v>
      </c>
      <c r="I462" s="31">
        <f t="shared" si="1"/>
        <v>3</v>
      </c>
      <c r="J462" s="31">
        <v>15.0</v>
      </c>
      <c r="K462" s="31">
        <v>0.0</v>
      </c>
      <c r="L462" s="31">
        <v>0.0</v>
      </c>
      <c r="M462" s="31">
        <v>1.0</v>
      </c>
      <c r="N462" s="31" t="s">
        <v>723</v>
      </c>
      <c r="O462" s="100" t="s">
        <v>138</v>
      </c>
      <c r="P462" s="31">
        <v>50.0</v>
      </c>
      <c r="Q462" s="31" t="s">
        <v>66</v>
      </c>
      <c r="R462" s="61">
        <v>3.0</v>
      </c>
    </row>
    <row r="463" ht="14.25" customHeight="1">
      <c r="A463" s="78"/>
      <c r="B463" s="60">
        <v>440.0</v>
      </c>
      <c r="C463" s="110" t="s">
        <v>823</v>
      </c>
      <c r="D463" s="110" t="s">
        <v>821</v>
      </c>
      <c r="E463" s="27" t="s">
        <v>25</v>
      </c>
      <c r="F463" s="34" t="s">
        <v>57</v>
      </c>
      <c r="G463" s="38"/>
      <c r="H463" s="111">
        <v>3300.0</v>
      </c>
      <c r="I463" s="31">
        <f t="shared" si="1"/>
        <v>40</v>
      </c>
      <c r="J463" s="31">
        <v>200.0</v>
      </c>
      <c r="K463" s="31">
        <v>2.0</v>
      </c>
      <c r="L463" s="31">
        <v>2.0</v>
      </c>
      <c r="M463" s="31">
        <v>0.0</v>
      </c>
      <c r="N463" s="31" t="s">
        <v>723</v>
      </c>
      <c r="O463" s="100" t="s">
        <v>138</v>
      </c>
      <c r="P463" s="36" t="s">
        <v>401</v>
      </c>
      <c r="Q463" s="31" t="s">
        <v>29</v>
      </c>
      <c r="R463" s="105">
        <v>0.0</v>
      </c>
    </row>
    <row r="464" ht="14.25" customHeight="1">
      <c r="A464" s="78"/>
      <c r="B464" s="60">
        <v>441.0</v>
      </c>
      <c r="C464" s="110" t="s">
        <v>824</v>
      </c>
      <c r="D464" s="110" t="s">
        <v>821</v>
      </c>
      <c r="E464" s="27" t="s">
        <v>25</v>
      </c>
      <c r="F464" s="34" t="s">
        <v>57</v>
      </c>
      <c r="G464" s="38"/>
      <c r="H464" s="111">
        <v>25970.0</v>
      </c>
      <c r="I464" s="31">
        <f t="shared" si="1"/>
        <v>300</v>
      </c>
      <c r="J464" s="31">
        <v>1500.0</v>
      </c>
      <c r="K464" s="31">
        <v>2.0</v>
      </c>
      <c r="L464" s="31">
        <v>2.0</v>
      </c>
      <c r="M464" s="31">
        <v>2.0</v>
      </c>
      <c r="N464" s="31" t="s">
        <v>723</v>
      </c>
      <c r="O464" s="100" t="s">
        <v>138</v>
      </c>
      <c r="P464" s="36" t="s">
        <v>401</v>
      </c>
      <c r="Q464" s="31" t="s">
        <v>29</v>
      </c>
      <c r="R464" s="105">
        <v>0.0</v>
      </c>
    </row>
    <row r="465" ht="14.25" customHeight="1">
      <c r="A465" s="78"/>
      <c r="B465" s="37"/>
      <c r="C465" s="61"/>
      <c r="D465" s="61"/>
      <c r="E465" s="27"/>
      <c r="F465" s="34"/>
      <c r="G465" s="38"/>
      <c r="H465" s="30"/>
      <c r="I465" s="31"/>
      <c r="J465" s="31"/>
      <c r="K465" s="31"/>
      <c r="L465" s="31"/>
      <c r="M465" s="31"/>
      <c r="N465" s="31"/>
      <c r="O465" s="31"/>
      <c r="P465" s="31"/>
      <c r="Q465" s="31"/>
      <c r="R465" s="61"/>
    </row>
    <row r="466" ht="14.25" customHeight="1">
      <c r="A466" s="78"/>
      <c r="B466" s="90"/>
      <c r="C466" s="115" t="s">
        <v>825</v>
      </c>
      <c r="D466" s="22"/>
      <c r="E466" s="22"/>
      <c r="F466" s="23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</row>
    <row r="467" ht="14.25" customHeight="1">
      <c r="A467" s="78">
        <v>224.0</v>
      </c>
      <c r="B467" s="62">
        <v>442.0</v>
      </c>
      <c r="C467" s="63" t="s">
        <v>826</v>
      </c>
      <c r="D467" s="61" t="s">
        <v>827</v>
      </c>
      <c r="E467" s="27" t="s">
        <v>25</v>
      </c>
      <c r="F467" s="34" t="s">
        <v>57</v>
      </c>
      <c r="G467" s="38"/>
      <c r="H467" s="30">
        <v>835.0</v>
      </c>
      <c r="I467" s="31">
        <v>50.0</v>
      </c>
      <c r="J467" s="31">
        <v>250.0</v>
      </c>
      <c r="K467" s="31">
        <v>3.0</v>
      </c>
      <c r="L467" s="31">
        <v>3.0</v>
      </c>
      <c r="M467" s="31">
        <v>1.0</v>
      </c>
      <c r="N467" s="36" t="s">
        <v>828</v>
      </c>
      <c r="O467" s="100" t="s">
        <v>138</v>
      </c>
      <c r="P467" s="31">
        <v>70.0</v>
      </c>
      <c r="Q467" s="31" t="s">
        <v>29</v>
      </c>
      <c r="R467" s="61"/>
    </row>
    <row r="468" ht="14.25" customHeight="1">
      <c r="A468" s="78">
        <v>225.0</v>
      </c>
      <c r="B468" s="62">
        <v>443.0</v>
      </c>
      <c r="C468" s="63" t="s">
        <v>829</v>
      </c>
      <c r="D468" s="63" t="s">
        <v>830</v>
      </c>
      <c r="E468" s="27" t="s">
        <v>25</v>
      </c>
      <c r="F468" s="34" t="s">
        <v>57</v>
      </c>
      <c r="G468" s="39"/>
      <c r="H468" s="35">
        <v>8283.0</v>
      </c>
      <c r="I468" s="36">
        <v>60.0</v>
      </c>
      <c r="J468" s="36">
        <v>300.0</v>
      </c>
      <c r="K468" s="36">
        <v>4.0</v>
      </c>
      <c r="L468" s="36">
        <v>4.0</v>
      </c>
      <c r="M468" s="36">
        <v>6.0</v>
      </c>
      <c r="N468" s="36" t="s">
        <v>828</v>
      </c>
      <c r="O468" s="100" t="s">
        <v>138</v>
      </c>
      <c r="P468" s="36">
        <v>80.0</v>
      </c>
      <c r="Q468" s="36" t="s">
        <v>29</v>
      </c>
      <c r="R468" s="63"/>
    </row>
    <row r="469" ht="14.25" customHeight="1">
      <c r="A469" s="78">
        <v>226.0</v>
      </c>
      <c r="B469" s="62">
        <v>444.0</v>
      </c>
      <c r="C469" s="63" t="s">
        <v>831</v>
      </c>
      <c r="D469" s="61" t="s">
        <v>832</v>
      </c>
      <c r="E469" s="27" t="s">
        <v>25</v>
      </c>
      <c r="F469" s="34" t="s">
        <v>57</v>
      </c>
      <c r="G469" s="38"/>
      <c r="H469" s="116">
        <v>18000.0</v>
      </c>
      <c r="I469" s="31">
        <v>200.0</v>
      </c>
      <c r="J469" s="31">
        <v>700.0</v>
      </c>
      <c r="K469" s="31">
        <v>15.0</v>
      </c>
      <c r="L469" s="31">
        <v>15.0</v>
      </c>
      <c r="M469" s="31">
        <v>7.0</v>
      </c>
      <c r="N469" s="36" t="s">
        <v>828</v>
      </c>
      <c r="O469" s="100" t="s">
        <v>138</v>
      </c>
      <c r="P469" s="31">
        <v>250.0</v>
      </c>
      <c r="Q469" s="31" t="s">
        <v>29</v>
      </c>
      <c r="R469" s="61"/>
    </row>
    <row r="470" ht="14.25" customHeight="1">
      <c r="A470" s="78">
        <v>227.0</v>
      </c>
      <c r="B470" s="62">
        <v>445.0</v>
      </c>
      <c r="C470" s="63" t="s">
        <v>833</v>
      </c>
      <c r="D470" s="63" t="s">
        <v>834</v>
      </c>
      <c r="E470" s="27" t="s">
        <v>25</v>
      </c>
      <c r="F470" s="34" t="s">
        <v>57</v>
      </c>
      <c r="G470" s="39"/>
      <c r="H470" s="117">
        <v>25392.0</v>
      </c>
      <c r="I470" s="36">
        <v>160.0</v>
      </c>
      <c r="J470" s="36">
        <v>650.0</v>
      </c>
      <c r="K470" s="36">
        <v>11.0</v>
      </c>
      <c r="L470" s="36">
        <v>11.0</v>
      </c>
      <c r="M470" s="36">
        <v>4.0</v>
      </c>
      <c r="N470" s="36" t="s">
        <v>828</v>
      </c>
      <c r="O470" s="100" t="s">
        <v>138</v>
      </c>
      <c r="P470" s="36">
        <v>180.0</v>
      </c>
      <c r="Q470" s="36" t="s">
        <v>29</v>
      </c>
      <c r="R470" s="63"/>
    </row>
    <row r="471" ht="14.25" customHeight="1">
      <c r="A471" s="78"/>
      <c r="B471" s="62">
        <v>446.0</v>
      </c>
      <c r="C471" s="63" t="s">
        <v>835</v>
      </c>
      <c r="D471" s="63" t="s">
        <v>836</v>
      </c>
      <c r="E471" s="27" t="s">
        <v>25</v>
      </c>
      <c r="F471" s="34" t="s">
        <v>837</v>
      </c>
      <c r="G471" s="39"/>
      <c r="H471" s="35">
        <v>1379.58</v>
      </c>
      <c r="I471" s="36">
        <v>270.0</v>
      </c>
      <c r="J471" s="36">
        <v>3000.0</v>
      </c>
      <c r="K471" s="36">
        <v>1.0</v>
      </c>
      <c r="L471" s="36">
        <v>2.0</v>
      </c>
      <c r="M471" s="36">
        <v>1.0</v>
      </c>
      <c r="N471" s="36" t="s">
        <v>828</v>
      </c>
      <c r="O471" s="100" t="s">
        <v>138</v>
      </c>
      <c r="P471" s="36">
        <v>500.0</v>
      </c>
      <c r="Q471" s="36" t="s">
        <v>66</v>
      </c>
      <c r="R471" s="63">
        <v>12.0</v>
      </c>
    </row>
    <row r="472" ht="14.25" customHeight="1">
      <c r="A472" s="78"/>
      <c r="B472" s="62">
        <v>447.0</v>
      </c>
      <c r="C472" s="63" t="s">
        <v>838</v>
      </c>
      <c r="D472" s="63" t="s">
        <v>839</v>
      </c>
      <c r="E472" s="27" t="s">
        <v>25</v>
      </c>
      <c r="F472" s="34" t="s">
        <v>57</v>
      </c>
      <c r="G472" s="39"/>
      <c r="H472" s="117">
        <v>2547.0</v>
      </c>
      <c r="I472" s="36">
        <v>330.0</v>
      </c>
      <c r="J472" s="36">
        <v>1320.0</v>
      </c>
      <c r="K472" s="36">
        <v>1.0</v>
      </c>
      <c r="L472" s="36">
        <v>1.0</v>
      </c>
      <c r="M472" s="36">
        <v>7.0</v>
      </c>
      <c r="N472" s="36" t="s">
        <v>579</v>
      </c>
      <c r="O472" s="100" t="s">
        <v>138</v>
      </c>
      <c r="P472" s="36">
        <v>350.0</v>
      </c>
      <c r="Q472" s="36" t="s">
        <v>29</v>
      </c>
      <c r="R472" s="63"/>
    </row>
    <row r="473" ht="14.25" customHeight="1">
      <c r="A473" s="78"/>
      <c r="B473" s="62">
        <v>448.0</v>
      </c>
      <c r="C473" s="63" t="s">
        <v>640</v>
      </c>
      <c r="D473" s="63" t="s">
        <v>840</v>
      </c>
      <c r="E473" s="27" t="s">
        <v>25</v>
      </c>
      <c r="F473" s="34" t="s">
        <v>57</v>
      </c>
      <c r="G473" s="39"/>
      <c r="H473" s="117">
        <v>7088.0</v>
      </c>
      <c r="I473" s="36">
        <v>35.0</v>
      </c>
      <c r="J473" s="36">
        <v>140.0</v>
      </c>
      <c r="K473" s="36">
        <v>1.0</v>
      </c>
      <c r="L473" s="36">
        <v>1.0</v>
      </c>
      <c r="M473" s="36">
        <v>7.0</v>
      </c>
      <c r="N473" s="36" t="s">
        <v>579</v>
      </c>
      <c r="O473" s="100" t="s">
        <v>138</v>
      </c>
      <c r="P473" s="36">
        <v>50.0</v>
      </c>
      <c r="Q473" s="36" t="s">
        <v>29</v>
      </c>
      <c r="R473" s="63"/>
    </row>
    <row r="474" ht="14.25" customHeight="1">
      <c r="A474" s="78"/>
      <c r="B474" s="62">
        <v>449.0</v>
      </c>
      <c r="C474" s="63" t="s">
        <v>841</v>
      </c>
      <c r="D474" s="63" t="s">
        <v>842</v>
      </c>
      <c r="E474" s="27" t="s">
        <v>25</v>
      </c>
      <c r="F474" s="34" t="s">
        <v>57</v>
      </c>
      <c r="G474" s="39"/>
      <c r="H474" s="117">
        <v>6489.0</v>
      </c>
      <c r="I474" s="36">
        <v>30.0</v>
      </c>
      <c r="J474" s="36">
        <v>120.0</v>
      </c>
      <c r="K474" s="36">
        <v>1.0</v>
      </c>
      <c r="L474" s="36">
        <v>1.0</v>
      </c>
      <c r="M474" s="36">
        <v>7.0</v>
      </c>
      <c r="N474" s="36" t="s">
        <v>579</v>
      </c>
      <c r="O474" s="100" t="s">
        <v>138</v>
      </c>
      <c r="P474" s="36">
        <v>40.0</v>
      </c>
      <c r="Q474" s="36" t="s">
        <v>29</v>
      </c>
      <c r="R474" s="63"/>
    </row>
    <row r="475" ht="14.25" customHeight="1">
      <c r="A475" s="78"/>
      <c r="B475" s="62">
        <v>450.0</v>
      </c>
      <c r="C475" s="63" t="s">
        <v>843</v>
      </c>
      <c r="D475" s="63" t="s">
        <v>844</v>
      </c>
      <c r="E475" s="27" t="s">
        <v>25</v>
      </c>
      <c r="F475" s="34" t="s">
        <v>57</v>
      </c>
      <c r="G475" s="39"/>
      <c r="H475" s="117">
        <v>2507.0</v>
      </c>
      <c r="I475" s="36">
        <v>20.0</v>
      </c>
      <c r="J475" s="36">
        <v>100.0</v>
      </c>
      <c r="K475" s="36">
        <v>1.0</v>
      </c>
      <c r="L475" s="36">
        <v>1.0</v>
      </c>
      <c r="M475" s="36">
        <v>7.0</v>
      </c>
      <c r="N475" s="36" t="s">
        <v>579</v>
      </c>
      <c r="O475" s="100" t="s">
        <v>138</v>
      </c>
      <c r="P475" s="36">
        <v>30.0</v>
      </c>
      <c r="Q475" s="36" t="s">
        <v>29</v>
      </c>
      <c r="R475" s="63"/>
    </row>
    <row r="476" ht="14.25" customHeight="1">
      <c r="A476" s="78"/>
      <c r="B476" s="62">
        <v>451.0</v>
      </c>
      <c r="C476" s="63" t="s">
        <v>845</v>
      </c>
      <c r="D476" s="63" t="s">
        <v>846</v>
      </c>
      <c r="E476" s="27" t="s">
        <v>25</v>
      </c>
      <c r="F476" s="34" t="s">
        <v>57</v>
      </c>
      <c r="G476" s="39"/>
      <c r="H476" s="117">
        <v>10949.0</v>
      </c>
      <c r="I476" s="36">
        <v>50.0</v>
      </c>
      <c r="J476" s="36">
        <v>250.0</v>
      </c>
      <c r="K476" s="36">
        <v>1.0</v>
      </c>
      <c r="L476" s="36">
        <v>1.0</v>
      </c>
      <c r="M476" s="36">
        <v>8.0</v>
      </c>
      <c r="N476" s="36" t="s">
        <v>579</v>
      </c>
      <c r="O476" s="100" t="s">
        <v>138</v>
      </c>
      <c r="P476" s="36">
        <v>100.0</v>
      </c>
      <c r="Q476" s="36" t="s">
        <v>29</v>
      </c>
      <c r="R476" s="63"/>
    </row>
    <row r="477" ht="14.25" customHeight="1">
      <c r="A477" s="78"/>
      <c r="B477" s="62">
        <v>452.0</v>
      </c>
      <c r="C477" s="63" t="s">
        <v>847</v>
      </c>
      <c r="D477" s="63" t="s">
        <v>848</v>
      </c>
      <c r="E477" s="27" t="s">
        <v>25</v>
      </c>
      <c r="F477" s="34" t="s">
        <v>57</v>
      </c>
      <c r="G477" s="39"/>
      <c r="H477" s="117">
        <v>7420.0</v>
      </c>
      <c r="I477" s="36">
        <v>50.0</v>
      </c>
      <c r="J477" s="36">
        <v>250.0</v>
      </c>
      <c r="K477" s="36">
        <v>1.0</v>
      </c>
      <c r="L477" s="36">
        <v>1.0</v>
      </c>
      <c r="M477" s="36">
        <v>16.0</v>
      </c>
      <c r="N477" s="36" t="s">
        <v>579</v>
      </c>
      <c r="O477" s="100" t="s">
        <v>138</v>
      </c>
      <c r="P477" s="36">
        <v>70.0</v>
      </c>
      <c r="Q477" s="36" t="s">
        <v>29</v>
      </c>
      <c r="R477" s="63"/>
    </row>
    <row r="478" ht="14.25" customHeight="1">
      <c r="A478" s="78"/>
      <c r="B478" s="62">
        <v>453.0</v>
      </c>
      <c r="C478" s="63" t="s">
        <v>849</v>
      </c>
      <c r="D478" s="63" t="s">
        <v>850</v>
      </c>
      <c r="E478" s="27" t="s">
        <v>25</v>
      </c>
      <c r="F478" s="34" t="s">
        <v>57</v>
      </c>
      <c r="G478" s="39"/>
      <c r="H478" s="117">
        <v>10092.0</v>
      </c>
      <c r="I478" s="36">
        <v>45.0</v>
      </c>
      <c r="J478" s="36">
        <v>220.0</v>
      </c>
      <c r="K478" s="36">
        <v>1.0</v>
      </c>
      <c r="L478" s="36">
        <v>1.0</v>
      </c>
      <c r="M478" s="36">
        <v>8.0</v>
      </c>
      <c r="N478" s="36" t="s">
        <v>851</v>
      </c>
      <c r="O478" s="100" t="s">
        <v>138</v>
      </c>
      <c r="P478" s="36">
        <v>100.0</v>
      </c>
      <c r="Q478" s="36" t="s">
        <v>29</v>
      </c>
      <c r="R478" s="63"/>
    </row>
    <row r="479" ht="14.25" customHeight="1">
      <c r="A479" s="78"/>
      <c r="B479" s="62">
        <v>454.0</v>
      </c>
      <c r="C479" s="63" t="s">
        <v>852</v>
      </c>
      <c r="D479" s="63" t="s">
        <v>853</v>
      </c>
      <c r="E479" s="27" t="s">
        <v>25</v>
      </c>
      <c r="F479" s="34" t="s">
        <v>837</v>
      </c>
      <c r="G479" s="39"/>
      <c r="H479" s="117">
        <v>9963.0</v>
      </c>
      <c r="I479" s="36">
        <v>20.0</v>
      </c>
      <c r="J479" s="36">
        <v>100.0</v>
      </c>
      <c r="K479" s="36">
        <v>1.0</v>
      </c>
      <c r="L479" s="36">
        <v>1.0</v>
      </c>
      <c r="M479" s="36">
        <v>8.0</v>
      </c>
      <c r="N479" s="36" t="s">
        <v>854</v>
      </c>
      <c r="O479" s="100" t="s">
        <v>138</v>
      </c>
      <c r="P479" s="36">
        <v>70.0</v>
      </c>
      <c r="Q479" s="36" t="s">
        <v>29</v>
      </c>
      <c r="R479" s="63"/>
    </row>
    <row r="480" ht="14.25" customHeight="1">
      <c r="A480" s="78"/>
      <c r="B480" s="62">
        <v>455.0</v>
      </c>
      <c r="C480" s="63" t="s">
        <v>855</v>
      </c>
      <c r="D480" s="63" t="s">
        <v>856</v>
      </c>
      <c r="E480" s="27" t="s">
        <v>25</v>
      </c>
      <c r="F480" s="34" t="s">
        <v>57</v>
      </c>
      <c r="G480" s="39"/>
      <c r="H480" s="117">
        <v>3447.0</v>
      </c>
      <c r="I480" s="36">
        <v>20.0</v>
      </c>
      <c r="J480" s="36">
        <v>100.0</v>
      </c>
      <c r="K480" s="36">
        <v>1.0</v>
      </c>
      <c r="L480" s="36">
        <v>1.0</v>
      </c>
      <c r="M480" s="36">
        <v>7.0</v>
      </c>
      <c r="N480" s="36" t="s">
        <v>579</v>
      </c>
      <c r="O480" s="100" t="s">
        <v>138</v>
      </c>
      <c r="P480" s="36">
        <v>35.0</v>
      </c>
      <c r="Q480" s="36" t="s">
        <v>29</v>
      </c>
      <c r="R480" s="63"/>
    </row>
    <row r="481" ht="14.25" customHeight="1">
      <c r="A481" s="78"/>
      <c r="B481" s="62">
        <v>456.0</v>
      </c>
      <c r="C481" s="63" t="s">
        <v>857</v>
      </c>
      <c r="D481" s="63" t="s">
        <v>858</v>
      </c>
      <c r="E481" s="27" t="s">
        <v>25</v>
      </c>
      <c r="F481" s="34" t="s">
        <v>57</v>
      </c>
      <c r="G481" s="39"/>
      <c r="H481" s="117">
        <v>9936.0</v>
      </c>
      <c r="I481" s="36">
        <v>25.0</v>
      </c>
      <c r="J481" s="36">
        <v>125.0</v>
      </c>
      <c r="K481" s="36">
        <v>1.0</v>
      </c>
      <c r="L481" s="36">
        <v>1.0</v>
      </c>
      <c r="M481" s="36">
        <v>7.0</v>
      </c>
      <c r="N481" s="36" t="s">
        <v>579</v>
      </c>
      <c r="O481" s="100" t="s">
        <v>138</v>
      </c>
      <c r="P481" s="36">
        <v>60.0</v>
      </c>
      <c r="Q481" s="36" t="s">
        <v>29</v>
      </c>
      <c r="R481" s="63"/>
    </row>
    <row r="482" ht="14.25" customHeight="1">
      <c r="A482" s="78"/>
      <c r="B482" s="62">
        <v>457.0</v>
      </c>
      <c r="C482" s="63" t="s">
        <v>859</v>
      </c>
      <c r="D482" s="63" t="s">
        <v>860</v>
      </c>
      <c r="E482" s="27" t="s">
        <v>25</v>
      </c>
      <c r="F482" s="34" t="s">
        <v>57</v>
      </c>
      <c r="G482" s="39"/>
      <c r="H482" s="35">
        <v>705.0</v>
      </c>
      <c r="I482" s="36">
        <v>10.0</v>
      </c>
      <c r="J482" s="36">
        <v>50.0</v>
      </c>
      <c r="K482" s="36">
        <v>1.0</v>
      </c>
      <c r="L482" s="36">
        <v>1.0</v>
      </c>
      <c r="M482" s="36">
        <v>3.0</v>
      </c>
      <c r="N482" s="36" t="s">
        <v>579</v>
      </c>
      <c r="O482" s="100" t="s">
        <v>138</v>
      </c>
      <c r="P482" s="36">
        <v>25.0</v>
      </c>
      <c r="Q482" s="36" t="s">
        <v>29</v>
      </c>
      <c r="R482" s="63"/>
    </row>
    <row r="483" ht="14.25" customHeight="1">
      <c r="A483" s="78"/>
      <c r="B483" s="62">
        <v>458.0</v>
      </c>
      <c r="C483" s="63" t="s">
        <v>861</v>
      </c>
      <c r="D483" s="63" t="s">
        <v>832</v>
      </c>
      <c r="E483" s="27" t="s">
        <v>25</v>
      </c>
      <c r="F483" s="34" t="s">
        <v>57</v>
      </c>
      <c r="G483" s="39"/>
      <c r="H483" s="117">
        <v>23017.0</v>
      </c>
      <c r="I483" s="36">
        <v>60.0</v>
      </c>
      <c r="J483" s="36">
        <v>300.0</v>
      </c>
      <c r="K483" s="36">
        <v>4.0</v>
      </c>
      <c r="L483" s="36">
        <v>4.0</v>
      </c>
      <c r="M483" s="36">
        <v>18.0</v>
      </c>
      <c r="N483" s="36" t="s">
        <v>828</v>
      </c>
      <c r="O483" s="100" t="s">
        <v>138</v>
      </c>
      <c r="P483" s="36">
        <v>150.0</v>
      </c>
      <c r="Q483" s="36" t="s">
        <v>29</v>
      </c>
      <c r="R483" s="63"/>
    </row>
    <row r="484" ht="14.25" customHeight="1">
      <c r="A484" s="78"/>
      <c r="B484" s="62">
        <v>459.0</v>
      </c>
      <c r="C484" s="63" t="s">
        <v>862</v>
      </c>
      <c r="D484" s="63" t="s">
        <v>863</v>
      </c>
      <c r="E484" s="27" t="s">
        <v>25</v>
      </c>
      <c r="F484" s="34" t="s">
        <v>57</v>
      </c>
      <c r="G484" s="39"/>
      <c r="H484" s="117">
        <v>10205.0</v>
      </c>
      <c r="I484" s="36">
        <v>40.0</v>
      </c>
      <c r="J484" s="36">
        <v>200.0</v>
      </c>
      <c r="K484" s="36">
        <v>1.0</v>
      </c>
      <c r="L484" s="36">
        <v>1.0</v>
      </c>
      <c r="M484" s="36">
        <v>7.0</v>
      </c>
      <c r="N484" s="36" t="s">
        <v>579</v>
      </c>
      <c r="O484" s="100" t="s">
        <v>138</v>
      </c>
      <c r="P484" s="36">
        <v>70.0</v>
      </c>
      <c r="Q484" s="36" t="s">
        <v>29</v>
      </c>
      <c r="R484" s="63"/>
    </row>
    <row r="485" ht="14.25" customHeight="1">
      <c r="A485" s="63" t="s">
        <v>864</v>
      </c>
      <c r="B485" s="62">
        <v>460.0</v>
      </c>
      <c r="C485" s="63" t="s">
        <v>864</v>
      </c>
      <c r="D485" s="63" t="s">
        <v>856</v>
      </c>
      <c r="E485" s="27" t="s">
        <v>25</v>
      </c>
      <c r="F485" s="34" t="s">
        <v>57</v>
      </c>
      <c r="G485" s="39"/>
      <c r="H485" s="117">
        <v>5360.0</v>
      </c>
      <c r="I485" s="36">
        <v>25.0</v>
      </c>
      <c r="J485" s="36">
        <v>150.0</v>
      </c>
      <c r="K485" s="36">
        <v>1.0</v>
      </c>
      <c r="L485" s="36">
        <v>1.0</v>
      </c>
      <c r="M485" s="36">
        <v>10.0</v>
      </c>
      <c r="N485" s="36" t="s">
        <v>579</v>
      </c>
      <c r="O485" s="100" t="s">
        <v>138</v>
      </c>
      <c r="P485" s="36">
        <v>40.0</v>
      </c>
      <c r="Q485" s="36" t="s">
        <v>29</v>
      </c>
      <c r="R485" s="63"/>
    </row>
    <row r="486" ht="14.25" customHeight="1">
      <c r="A486" s="78"/>
      <c r="B486" s="24"/>
      <c r="C486" s="63"/>
      <c r="D486" s="63"/>
      <c r="E486" s="25"/>
      <c r="F486" s="28"/>
      <c r="G486" s="39"/>
      <c r="H486" s="35"/>
      <c r="I486" s="36"/>
      <c r="J486" s="36"/>
      <c r="K486" s="36"/>
      <c r="L486" s="36"/>
      <c r="M486" s="36"/>
      <c r="N486" s="36"/>
      <c r="O486" s="36"/>
      <c r="P486" s="36"/>
      <c r="Q486" s="36"/>
      <c r="R486" s="63"/>
    </row>
    <row r="487" ht="14.25" customHeight="1">
      <c r="A487" s="78"/>
      <c r="B487" s="90"/>
      <c r="C487" s="115" t="s">
        <v>865</v>
      </c>
      <c r="D487" s="22"/>
      <c r="E487" s="22"/>
      <c r="F487" s="23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</row>
    <row r="488" ht="14.25" customHeight="1">
      <c r="A488" s="78"/>
      <c r="B488" s="62">
        <v>461.0</v>
      </c>
      <c r="C488" s="63" t="s">
        <v>43</v>
      </c>
      <c r="D488" s="63" t="s">
        <v>866</v>
      </c>
      <c r="E488" s="27" t="s">
        <v>25</v>
      </c>
      <c r="F488" s="34" t="s">
        <v>867</v>
      </c>
      <c r="G488" s="39"/>
      <c r="H488" s="35">
        <v>1759.0</v>
      </c>
      <c r="I488" s="36">
        <v>100.0</v>
      </c>
      <c r="J488" s="36">
        <v>500.0</v>
      </c>
      <c r="K488" s="36">
        <v>1.0</v>
      </c>
      <c r="L488" s="36">
        <v>1.0</v>
      </c>
      <c r="M488" s="36">
        <v>2.0</v>
      </c>
      <c r="N488" s="36" t="s">
        <v>868</v>
      </c>
      <c r="O488" s="36" t="s">
        <v>138</v>
      </c>
      <c r="P488" s="36">
        <v>100.0</v>
      </c>
      <c r="Q488" s="36" t="s">
        <v>29</v>
      </c>
      <c r="R488" s="63" t="s">
        <v>39</v>
      </c>
    </row>
    <row r="489" ht="14.25" customHeight="1">
      <c r="A489" s="78">
        <v>228.0</v>
      </c>
      <c r="B489" s="62">
        <v>462.0</v>
      </c>
      <c r="C489" s="61" t="s">
        <v>869</v>
      </c>
      <c r="D489" s="61" t="s">
        <v>870</v>
      </c>
      <c r="E489" s="27" t="s">
        <v>25</v>
      </c>
      <c r="F489" s="34" t="s">
        <v>867</v>
      </c>
      <c r="G489" s="38"/>
      <c r="H489" s="30">
        <v>983.0</v>
      </c>
      <c r="I489" s="31">
        <v>98.0</v>
      </c>
      <c r="J489" s="31">
        <v>491.0</v>
      </c>
      <c r="K489" s="31">
        <v>2.0</v>
      </c>
      <c r="L489" s="31">
        <v>2.0</v>
      </c>
      <c r="M489" s="31">
        <v>0.0</v>
      </c>
      <c r="N489" s="31" t="s">
        <v>871</v>
      </c>
      <c r="O489" s="31" t="s">
        <v>46</v>
      </c>
      <c r="P489" s="31">
        <v>500.0</v>
      </c>
      <c r="Q489" s="31" t="s">
        <v>65</v>
      </c>
      <c r="R489" s="61">
        <v>20.0</v>
      </c>
    </row>
    <row r="490" ht="14.25" customHeight="1">
      <c r="A490" s="78">
        <v>229.0</v>
      </c>
      <c r="B490" s="62">
        <v>463.0</v>
      </c>
      <c r="C490" s="63" t="s">
        <v>872</v>
      </c>
      <c r="D490" s="63" t="s">
        <v>873</v>
      </c>
      <c r="E490" s="27" t="s">
        <v>25</v>
      </c>
      <c r="F490" s="34" t="s">
        <v>867</v>
      </c>
      <c r="G490" s="39"/>
      <c r="H490" s="35">
        <v>1759.0</v>
      </c>
      <c r="I490" s="36">
        <v>50.0</v>
      </c>
      <c r="J490" s="36">
        <v>250.0</v>
      </c>
      <c r="K490" s="36">
        <v>3.0</v>
      </c>
      <c r="L490" s="36">
        <v>3.0</v>
      </c>
      <c r="M490" s="36">
        <v>0.0</v>
      </c>
      <c r="N490" s="36" t="s">
        <v>868</v>
      </c>
      <c r="O490" s="36" t="s">
        <v>59</v>
      </c>
      <c r="P490" s="36">
        <v>300.0</v>
      </c>
      <c r="Q490" s="36" t="s">
        <v>335</v>
      </c>
      <c r="R490" s="63" t="s">
        <v>39</v>
      </c>
    </row>
    <row r="491" ht="14.25" customHeight="1">
      <c r="A491" s="78">
        <v>230.0</v>
      </c>
      <c r="B491" s="62">
        <v>464.0</v>
      </c>
      <c r="C491" s="61" t="s">
        <v>874</v>
      </c>
      <c r="D491" s="61" t="s">
        <v>873</v>
      </c>
      <c r="E491" s="27" t="s">
        <v>25</v>
      </c>
      <c r="F491" s="34" t="s">
        <v>867</v>
      </c>
      <c r="G491" s="38"/>
      <c r="H491" s="30">
        <v>380.0</v>
      </c>
      <c r="I491" s="31">
        <v>40.0</v>
      </c>
      <c r="J491" s="31">
        <v>190.0</v>
      </c>
      <c r="K491" s="31">
        <v>3.0</v>
      </c>
      <c r="L491" s="31">
        <v>3.0</v>
      </c>
      <c r="M491" s="31">
        <v>0.0</v>
      </c>
      <c r="N491" s="31" t="s">
        <v>868</v>
      </c>
      <c r="O491" s="31" t="s">
        <v>46</v>
      </c>
      <c r="P491" s="31">
        <v>200.0</v>
      </c>
      <c r="Q491" s="31" t="s">
        <v>47</v>
      </c>
      <c r="R491" s="61">
        <v>10.0</v>
      </c>
    </row>
    <row r="492" ht="14.25" customHeight="1">
      <c r="A492" s="78">
        <v>234.0</v>
      </c>
      <c r="B492" s="62">
        <v>465.0</v>
      </c>
      <c r="C492" s="61" t="s">
        <v>875</v>
      </c>
      <c r="D492" s="61" t="s">
        <v>876</v>
      </c>
      <c r="E492" s="27" t="s">
        <v>25</v>
      </c>
      <c r="F492" s="34" t="s">
        <v>867</v>
      </c>
      <c r="G492" s="38"/>
      <c r="H492" s="30">
        <v>174.0</v>
      </c>
      <c r="I492" s="31">
        <v>15.0</v>
      </c>
      <c r="J492" s="31">
        <v>50.0</v>
      </c>
      <c r="K492" s="31">
        <v>1.0</v>
      </c>
      <c r="L492" s="31">
        <v>1.0</v>
      </c>
      <c r="M492" s="31">
        <v>0.0</v>
      </c>
      <c r="N492" s="31" t="s">
        <v>868</v>
      </c>
      <c r="O492" s="31" t="s">
        <v>138</v>
      </c>
      <c r="P492" s="31">
        <v>100.0</v>
      </c>
      <c r="Q492" s="31" t="s">
        <v>335</v>
      </c>
      <c r="R492" s="61" t="s">
        <v>39</v>
      </c>
    </row>
    <row r="493" ht="14.25" customHeight="1">
      <c r="A493" s="78"/>
      <c r="B493" s="62">
        <v>466.0</v>
      </c>
      <c r="C493" s="63" t="s">
        <v>877</v>
      </c>
      <c r="D493" s="63" t="s">
        <v>873</v>
      </c>
      <c r="E493" s="27" t="s">
        <v>25</v>
      </c>
      <c r="F493" s="34" t="s">
        <v>867</v>
      </c>
      <c r="G493" s="39"/>
      <c r="H493" s="35">
        <v>140.0</v>
      </c>
      <c r="I493" s="36">
        <v>10.0</v>
      </c>
      <c r="J493" s="36">
        <v>50.0</v>
      </c>
      <c r="K493" s="36">
        <v>0.0</v>
      </c>
      <c r="L493" s="36">
        <v>0.0</v>
      </c>
      <c r="M493" s="36">
        <v>2.0</v>
      </c>
      <c r="N493" s="36" t="s">
        <v>868</v>
      </c>
      <c r="O493" s="36" t="s">
        <v>138</v>
      </c>
      <c r="P493" s="36">
        <v>100.0</v>
      </c>
      <c r="Q493" s="36" t="s">
        <v>66</v>
      </c>
      <c r="R493" s="63">
        <v>10.0</v>
      </c>
    </row>
    <row r="494" ht="14.25" customHeight="1">
      <c r="A494" s="78"/>
      <c r="B494" s="62">
        <v>467.0</v>
      </c>
      <c r="C494" s="63" t="s">
        <v>878</v>
      </c>
      <c r="D494" s="61" t="s">
        <v>870</v>
      </c>
      <c r="E494" s="27" t="s">
        <v>25</v>
      </c>
      <c r="F494" s="34" t="s">
        <v>867</v>
      </c>
      <c r="G494" s="39"/>
      <c r="H494" s="35">
        <v>562.0</v>
      </c>
      <c r="I494" s="36">
        <v>6.0</v>
      </c>
      <c r="J494" s="36">
        <v>30.0</v>
      </c>
      <c r="K494" s="36">
        <v>0.0</v>
      </c>
      <c r="L494" s="36">
        <v>0.0</v>
      </c>
      <c r="M494" s="36">
        <v>1.0</v>
      </c>
      <c r="N494" s="36" t="s">
        <v>868</v>
      </c>
      <c r="O494" s="36" t="s">
        <v>138</v>
      </c>
      <c r="P494" s="36">
        <v>100.0</v>
      </c>
      <c r="Q494" s="36" t="s">
        <v>66</v>
      </c>
      <c r="R494" s="63">
        <v>3.0</v>
      </c>
    </row>
    <row r="495" ht="14.25" customHeight="1">
      <c r="A495" s="78">
        <v>231.0</v>
      </c>
      <c r="B495" s="62">
        <v>468.0</v>
      </c>
      <c r="C495" s="63" t="s">
        <v>317</v>
      </c>
      <c r="D495" s="63" t="s">
        <v>873</v>
      </c>
      <c r="E495" s="27" t="s">
        <v>25</v>
      </c>
      <c r="F495" s="34" t="s">
        <v>867</v>
      </c>
      <c r="G495" s="39"/>
      <c r="H495" s="35">
        <v>544.0</v>
      </c>
      <c r="I495" s="36">
        <v>60.0</v>
      </c>
      <c r="J495" s="36">
        <v>271.0</v>
      </c>
      <c r="K495" s="36">
        <v>1.0</v>
      </c>
      <c r="L495" s="36">
        <v>1.0</v>
      </c>
      <c r="M495" s="36">
        <v>0.0</v>
      </c>
      <c r="N495" s="36" t="s">
        <v>868</v>
      </c>
      <c r="O495" s="36" t="s">
        <v>138</v>
      </c>
      <c r="P495" s="36">
        <v>300.0</v>
      </c>
      <c r="Q495" s="36" t="s">
        <v>335</v>
      </c>
      <c r="R495" s="63" t="s">
        <v>39</v>
      </c>
    </row>
    <row r="496" ht="14.25" customHeight="1">
      <c r="A496" s="78">
        <v>232.0</v>
      </c>
      <c r="B496" s="62">
        <v>469.0</v>
      </c>
      <c r="C496" s="61" t="s">
        <v>879</v>
      </c>
      <c r="D496" s="61" t="s">
        <v>873</v>
      </c>
      <c r="E496" s="27" t="s">
        <v>25</v>
      </c>
      <c r="F496" s="34" t="s">
        <v>867</v>
      </c>
      <c r="G496" s="38"/>
      <c r="H496" s="30">
        <v>2920.66</v>
      </c>
      <c r="I496" s="31">
        <v>200.0</v>
      </c>
      <c r="J496" s="31">
        <v>868.0</v>
      </c>
      <c r="K496" s="31">
        <v>12.0</v>
      </c>
      <c r="L496" s="31">
        <v>12.0</v>
      </c>
      <c r="M496" s="31">
        <v>0.0</v>
      </c>
      <c r="N496" s="31" t="s">
        <v>868</v>
      </c>
      <c r="O496" s="31" t="s">
        <v>138</v>
      </c>
      <c r="P496" s="31">
        <v>900.0</v>
      </c>
      <c r="Q496" s="31" t="s">
        <v>335</v>
      </c>
      <c r="R496" s="61" t="s">
        <v>39</v>
      </c>
    </row>
    <row r="497" ht="14.25" customHeight="1">
      <c r="A497" s="78">
        <v>233.0</v>
      </c>
      <c r="B497" s="62">
        <v>470.0</v>
      </c>
      <c r="C497" s="63" t="s">
        <v>880</v>
      </c>
      <c r="D497" s="63" t="s">
        <v>876</v>
      </c>
      <c r="E497" s="27" t="s">
        <v>25</v>
      </c>
      <c r="F497" s="34" t="s">
        <v>867</v>
      </c>
      <c r="G497" s="39"/>
      <c r="H497" s="35">
        <v>362.0</v>
      </c>
      <c r="I497" s="36">
        <v>40.0</v>
      </c>
      <c r="J497" s="36">
        <v>181.0</v>
      </c>
      <c r="K497" s="36">
        <v>7.0</v>
      </c>
      <c r="L497" s="36">
        <v>7.0</v>
      </c>
      <c r="M497" s="36">
        <v>0.0</v>
      </c>
      <c r="N497" s="36" t="s">
        <v>868</v>
      </c>
      <c r="O497" s="36" t="s">
        <v>138</v>
      </c>
      <c r="P497" s="36">
        <v>200.0</v>
      </c>
      <c r="Q497" s="36" t="s">
        <v>335</v>
      </c>
      <c r="R497" s="63" t="s">
        <v>39</v>
      </c>
    </row>
    <row r="498" ht="14.25" customHeight="1">
      <c r="A498" s="78"/>
      <c r="B498" s="62">
        <v>471.0</v>
      </c>
      <c r="C498" s="112" t="s">
        <v>881</v>
      </c>
      <c r="D498" s="82" t="s">
        <v>870</v>
      </c>
      <c r="E498" s="27" t="s">
        <v>25</v>
      </c>
      <c r="F498" s="34" t="s">
        <v>867</v>
      </c>
      <c r="G498" s="39"/>
      <c r="H498" s="35">
        <v>4554.02</v>
      </c>
      <c r="I498" s="36">
        <v>230.0</v>
      </c>
      <c r="J498" s="36">
        <v>326.0</v>
      </c>
      <c r="K498" s="36">
        <v>0.0</v>
      </c>
      <c r="L498" s="36">
        <v>0.0</v>
      </c>
      <c r="M498" s="36">
        <v>20.0</v>
      </c>
      <c r="N498" s="36" t="s">
        <v>868</v>
      </c>
      <c r="O498" s="36" t="s">
        <v>138</v>
      </c>
      <c r="P498" s="36">
        <v>50.0</v>
      </c>
      <c r="Q498" s="36" t="s">
        <v>29</v>
      </c>
      <c r="R498" s="63" t="s">
        <v>39</v>
      </c>
    </row>
    <row r="499" ht="14.25" customHeight="1">
      <c r="A499" s="78"/>
      <c r="B499" s="62">
        <v>472.0</v>
      </c>
      <c r="C499" s="82" t="s">
        <v>882</v>
      </c>
      <c r="D499" s="110" t="s">
        <v>883</v>
      </c>
      <c r="E499" s="27" t="s">
        <v>25</v>
      </c>
      <c r="F499" s="34" t="s">
        <v>867</v>
      </c>
      <c r="G499" s="39"/>
      <c r="H499" s="35">
        <v>364.6</v>
      </c>
      <c r="I499" s="36">
        <v>2.0</v>
      </c>
      <c r="J499" s="36">
        <v>10.0</v>
      </c>
      <c r="K499" s="36">
        <v>1.0</v>
      </c>
      <c r="L499" s="36">
        <v>1.0</v>
      </c>
      <c r="M499" s="36">
        <v>1.0</v>
      </c>
      <c r="N499" s="36" t="s">
        <v>868</v>
      </c>
      <c r="O499" s="36" t="s">
        <v>138</v>
      </c>
      <c r="P499" s="36">
        <v>50.0</v>
      </c>
      <c r="Q499" s="36" t="s">
        <v>66</v>
      </c>
      <c r="R499" s="63">
        <v>2.0</v>
      </c>
    </row>
    <row r="500" ht="14.25" customHeight="1">
      <c r="A500" s="78"/>
      <c r="B500" s="62">
        <v>473.0</v>
      </c>
      <c r="C500" s="110" t="s">
        <v>884</v>
      </c>
      <c r="D500" s="110" t="s">
        <v>885</v>
      </c>
      <c r="E500" s="27" t="s">
        <v>25</v>
      </c>
      <c r="F500" s="34" t="s">
        <v>867</v>
      </c>
      <c r="G500" s="39"/>
      <c r="H500" s="35">
        <v>363.65</v>
      </c>
      <c r="I500" s="36">
        <v>2.0</v>
      </c>
      <c r="J500" s="36">
        <v>10.0</v>
      </c>
      <c r="K500" s="36">
        <v>1.0</v>
      </c>
      <c r="L500" s="36">
        <v>1.0</v>
      </c>
      <c r="M500" s="36">
        <v>1.0</v>
      </c>
      <c r="N500" s="36" t="s">
        <v>868</v>
      </c>
      <c r="O500" s="36" t="s">
        <v>138</v>
      </c>
      <c r="P500" s="36">
        <v>50.0</v>
      </c>
      <c r="Q500" s="36" t="s">
        <v>66</v>
      </c>
      <c r="R500" s="63">
        <v>2.0</v>
      </c>
    </row>
    <row r="501" ht="14.25" customHeight="1">
      <c r="A501" s="78"/>
      <c r="B501" s="62">
        <v>474.0</v>
      </c>
      <c r="C501" s="82" t="s">
        <v>886</v>
      </c>
      <c r="D501" s="110" t="s">
        <v>885</v>
      </c>
      <c r="E501" s="27" t="s">
        <v>25</v>
      </c>
      <c r="F501" s="34" t="s">
        <v>867</v>
      </c>
      <c r="G501" s="39"/>
      <c r="H501" s="35">
        <v>1885.07</v>
      </c>
      <c r="I501" s="36">
        <v>65.0</v>
      </c>
      <c r="J501" s="36">
        <v>325.0</v>
      </c>
      <c r="K501" s="36">
        <v>0.0</v>
      </c>
      <c r="L501" s="36">
        <v>0.0</v>
      </c>
      <c r="M501" s="36">
        <v>11.0</v>
      </c>
      <c r="N501" s="36" t="s">
        <v>868</v>
      </c>
      <c r="O501" s="36" t="s">
        <v>138</v>
      </c>
      <c r="P501" s="36">
        <v>50.0</v>
      </c>
      <c r="Q501" s="36" t="s">
        <v>29</v>
      </c>
      <c r="R501" s="63" t="s">
        <v>39</v>
      </c>
    </row>
    <row r="502" ht="14.25" customHeight="1">
      <c r="A502" s="78"/>
      <c r="B502" s="62">
        <v>475.0</v>
      </c>
      <c r="C502" s="110" t="s">
        <v>887</v>
      </c>
      <c r="D502" s="110" t="s">
        <v>885</v>
      </c>
      <c r="E502" s="27" t="s">
        <v>25</v>
      </c>
      <c r="F502" s="34" t="s">
        <v>867</v>
      </c>
      <c r="G502" s="39"/>
      <c r="H502" s="35">
        <v>5954.32</v>
      </c>
      <c r="I502" s="36">
        <v>230.0</v>
      </c>
      <c r="J502" s="36">
        <v>1150.0</v>
      </c>
      <c r="K502" s="36">
        <v>0.0</v>
      </c>
      <c r="L502" s="36">
        <v>0.0</v>
      </c>
      <c r="M502" s="36">
        <v>20.0</v>
      </c>
      <c r="N502" s="36" t="s">
        <v>868</v>
      </c>
      <c r="O502" s="36" t="s">
        <v>138</v>
      </c>
      <c r="P502" s="36">
        <v>50.0</v>
      </c>
      <c r="Q502" s="36" t="s">
        <v>29</v>
      </c>
      <c r="R502" s="63" t="s">
        <v>39</v>
      </c>
    </row>
    <row r="503" ht="14.25" customHeight="1">
      <c r="A503" s="78"/>
      <c r="B503" s="62">
        <v>476.0</v>
      </c>
      <c r="C503" s="110" t="s">
        <v>888</v>
      </c>
      <c r="D503" s="110" t="s">
        <v>889</v>
      </c>
      <c r="E503" s="27" t="s">
        <v>25</v>
      </c>
      <c r="F503" s="34" t="s">
        <v>867</v>
      </c>
      <c r="G503" s="39"/>
      <c r="H503" s="35">
        <v>452.35</v>
      </c>
      <c r="I503" s="36">
        <v>2.0</v>
      </c>
      <c r="J503" s="36">
        <v>10.0</v>
      </c>
      <c r="K503" s="36">
        <v>1.0</v>
      </c>
      <c r="L503" s="36">
        <v>1.0</v>
      </c>
      <c r="M503" s="36">
        <v>2.0</v>
      </c>
      <c r="N503" s="36" t="s">
        <v>868</v>
      </c>
      <c r="O503" s="36" t="s">
        <v>138</v>
      </c>
      <c r="P503" s="36">
        <v>50.0</v>
      </c>
      <c r="Q503" s="36" t="s">
        <v>66</v>
      </c>
      <c r="R503" s="63">
        <v>2.0</v>
      </c>
    </row>
    <row r="504" ht="14.25" customHeight="1">
      <c r="A504" s="78"/>
      <c r="B504" s="62">
        <v>477.0</v>
      </c>
      <c r="C504" s="110" t="s">
        <v>890</v>
      </c>
      <c r="D504" s="110" t="s">
        <v>889</v>
      </c>
      <c r="E504" s="27" t="s">
        <v>25</v>
      </c>
      <c r="F504" s="34" t="s">
        <v>867</v>
      </c>
      <c r="G504" s="39"/>
      <c r="H504" s="35">
        <v>5160.3</v>
      </c>
      <c r="I504" s="36">
        <v>57.0</v>
      </c>
      <c r="J504" s="36">
        <v>285.0</v>
      </c>
      <c r="K504" s="36">
        <v>0.0</v>
      </c>
      <c r="L504" s="36">
        <v>0.0</v>
      </c>
      <c r="M504" s="36">
        <v>7.0</v>
      </c>
      <c r="N504" s="36" t="s">
        <v>868</v>
      </c>
      <c r="O504" s="36" t="s">
        <v>138</v>
      </c>
      <c r="P504" s="36">
        <v>50.0</v>
      </c>
      <c r="Q504" s="36" t="s">
        <v>29</v>
      </c>
      <c r="R504" s="63" t="s">
        <v>39</v>
      </c>
    </row>
    <row r="505" ht="14.25" customHeight="1">
      <c r="A505" s="78"/>
      <c r="B505" s="62">
        <v>478.0</v>
      </c>
      <c r="C505" s="110" t="s">
        <v>891</v>
      </c>
      <c r="D505" s="110" t="s">
        <v>892</v>
      </c>
      <c r="E505" s="27" t="s">
        <v>25</v>
      </c>
      <c r="F505" s="34" t="s">
        <v>867</v>
      </c>
      <c r="G505" s="39"/>
      <c r="H505" s="35">
        <v>3736.13</v>
      </c>
      <c r="I505" s="36">
        <v>36.0</v>
      </c>
      <c r="J505" s="36">
        <v>180.0</v>
      </c>
      <c r="K505" s="36">
        <v>0.0</v>
      </c>
      <c r="L505" s="36">
        <v>0.0</v>
      </c>
      <c r="M505" s="36">
        <v>9.0</v>
      </c>
      <c r="N505" s="36" t="s">
        <v>868</v>
      </c>
      <c r="O505" s="36" t="s">
        <v>138</v>
      </c>
      <c r="P505" s="36">
        <v>50.0</v>
      </c>
      <c r="Q505" s="36" t="s">
        <v>29</v>
      </c>
      <c r="R505" s="63" t="s">
        <v>39</v>
      </c>
    </row>
    <row r="506" ht="14.25" customHeight="1">
      <c r="A506" s="78"/>
      <c r="B506" s="62">
        <v>479.0</v>
      </c>
      <c r="C506" s="82" t="s">
        <v>893</v>
      </c>
      <c r="D506" s="110" t="s">
        <v>892</v>
      </c>
      <c r="E506" s="27" t="s">
        <v>25</v>
      </c>
      <c r="F506" s="34" t="s">
        <v>867</v>
      </c>
      <c r="G506" s="39"/>
      <c r="H506" s="35">
        <v>884.25</v>
      </c>
      <c r="I506" s="36">
        <v>4.0</v>
      </c>
      <c r="J506" s="36">
        <v>20.0</v>
      </c>
      <c r="K506" s="36">
        <v>1.0</v>
      </c>
      <c r="L506" s="36">
        <v>1.0</v>
      </c>
      <c r="M506" s="36">
        <v>1.0</v>
      </c>
      <c r="N506" s="36" t="s">
        <v>868</v>
      </c>
      <c r="O506" s="36" t="s">
        <v>138</v>
      </c>
      <c r="P506" s="36">
        <v>50.0</v>
      </c>
      <c r="Q506" s="36" t="s">
        <v>66</v>
      </c>
      <c r="R506" s="63">
        <v>2.0</v>
      </c>
    </row>
    <row r="507" ht="14.25" customHeight="1">
      <c r="A507" s="78"/>
      <c r="B507" s="62">
        <v>480.0</v>
      </c>
      <c r="C507" s="110" t="s">
        <v>894</v>
      </c>
      <c r="D507" s="110" t="s">
        <v>895</v>
      </c>
      <c r="E507" s="27" t="s">
        <v>25</v>
      </c>
      <c r="F507" s="34" t="s">
        <v>867</v>
      </c>
      <c r="G507" s="39"/>
      <c r="H507" s="35">
        <v>2767.37</v>
      </c>
      <c r="I507" s="36">
        <v>2.0</v>
      </c>
      <c r="J507" s="36">
        <v>10.0</v>
      </c>
      <c r="K507" s="36">
        <v>1.0</v>
      </c>
      <c r="L507" s="36">
        <v>1.0</v>
      </c>
      <c r="M507" s="36">
        <v>1.0</v>
      </c>
      <c r="N507" s="36" t="s">
        <v>868</v>
      </c>
      <c r="O507" s="36" t="s">
        <v>138</v>
      </c>
      <c r="P507" s="36">
        <v>50.0</v>
      </c>
      <c r="Q507" s="36" t="s">
        <v>66</v>
      </c>
      <c r="R507" s="63">
        <v>2.0</v>
      </c>
    </row>
    <row r="508" ht="14.25" customHeight="1">
      <c r="A508" s="78"/>
      <c r="B508" s="62">
        <v>481.0</v>
      </c>
      <c r="C508" s="110" t="s">
        <v>896</v>
      </c>
      <c r="D508" s="110" t="s">
        <v>897</v>
      </c>
      <c r="E508" s="27" t="s">
        <v>25</v>
      </c>
      <c r="F508" s="34" t="s">
        <v>898</v>
      </c>
      <c r="G508" s="39"/>
      <c r="H508" s="35">
        <v>2417.55</v>
      </c>
      <c r="I508" s="36">
        <v>2.0</v>
      </c>
      <c r="J508" s="36">
        <v>10.0</v>
      </c>
      <c r="K508" s="36">
        <v>1.0</v>
      </c>
      <c r="L508" s="36">
        <v>1.0</v>
      </c>
      <c r="M508" s="36">
        <v>1.0</v>
      </c>
      <c r="N508" s="36" t="s">
        <v>868</v>
      </c>
      <c r="O508" s="36" t="s">
        <v>138</v>
      </c>
      <c r="P508" s="36">
        <v>50.0</v>
      </c>
      <c r="Q508" s="36" t="s">
        <v>66</v>
      </c>
      <c r="R508" s="63">
        <v>2.0</v>
      </c>
    </row>
    <row r="509" ht="14.25" customHeight="1">
      <c r="A509" s="78"/>
      <c r="B509" s="62">
        <v>482.0</v>
      </c>
      <c r="C509" s="110" t="s">
        <v>899</v>
      </c>
      <c r="D509" s="110" t="s">
        <v>900</v>
      </c>
      <c r="E509" s="27" t="s">
        <v>25</v>
      </c>
      <c r="F509" s="34" t="s">
        <v>898</v>
      </c>
      <c r="G509" s="39"/>
      <c r="H509" s="35">
        <v>3814.72</v>
      </c>
      <c r="I509" s="36">
        <v>39.0</v>
      </c>
      <c r="J509" s="36">
        <v>195.0</v>
      </c>
      <c r="K509" s="36">
        <v>0.0</v>
      </c>
      <c r="L509" s="36">
        <v>0.0</v>
      </c>
      <c r="M509" s="36">
        <v>5.0</v>
      </c>
      <c r="N509" s="36" t="s">
        <v>868</v>
      </c>
      <c r="O509" s="36" t="s">
        <v>138</v>
      </c>
      <c r="P509" s="36">
        <v>50.0</v>
      </c>
      <c r="Q509" s="36" t="s">
        <v>29</v>
      </c>
      <c r="R509" s="63" t="s">
        <v>39</v>
      </c>
    </row>
    <row r="510" ht="14.25" customHeight="1">
      <c r="A510" s="78"/>
      <c r="B510" s="62">
        <v>483.0</v>
      </c>
      <c r="C510" s="110" t="s">
        <v>901</v>
      </c>
      <c r="D510" s="110" t="s">
        <v>900</v>
      </c>
      <c r="E510" s="27" t="s">
        <v>25</v>
      </c>
      <c r="F510" s="34" t="s">
        <v>898</v>
      </c>
      <c r="G510" s="39"/>
      <c r="H510" s="35">
        <v>502.22</v>
      </c>
      <c r="I510" s="36">
        <v>2.0</v>
      </c>
      <c r="J510" s="36">
        <v>10.0</v>
      </c>
      <c r="K510" s="36">
        <v>1.0</v>
      </c>
      <c r="L510" s="36">
        <v>1.0</v>
      </c>
      <c r="M510" s="36">
        <v>1.0</v>
      </c>
      <c r="N510" s="36" t="s">
        <v>868</v>
      </c>
      <c r="O510" s="36" t="s">
        <v>138</v>
      </c>
      <c r="P510" s="36">
        <v>50.0</v>
      </c>
      <c r="Q510" s="36" t="s">
        <v>66</v>
      </c>
      <c r="R510" s="63">
        <v>2.0</v>
      </c>
    </row>
    <row r="511" ht="14.25" customHeight="1">
      <c r="A511" s="78"/>
      <c r="B511" s="62">
        <v>484.0</v>
      </c>
      <c r="C511" s="110" t="s">
        <v>902</v>
      </c>
      <c r="D511" s="110" t="s">
        <v>903</v>
      </c>
      <c r="E511" s="27" t="s">
        <v>25</v>
      </c>
      <c r="F511" s="34" t="s">
        <v>867</v>
      </c>
      <c r="G511" s="39"/>
      <c r="H511" s="35">
        <v>802.92</v>
      </c>
      <c r="I511" s="36">
        <v>3.0</v>
      </c>
      <c r="J511" s="36">
        <v>15.0</v>
      </c>
      <c r="K511" s="36">
        <v>1.0</v>
      </c>
      <c r="L511" s="36">
        <v>1.0</v>
      </c>
      <c r="M511" s="36">
        <v>1.0</v>
      </c>
      <c r="N511" s="36" t="s">
        <v>868</v>
      </c>
      <c r="O511" s="36" t="s">
        <v>138</v>
      </c>
      <c r="P511" s="36">
        <v>50.0</v>
      </c>
      <c r="Q511" s="36" t="s">
        <v>66</v>
      </c>
      <c r="R511" s="63">
        <v>2.0</v>
      </c>
    </row>
    <row r="512" ht="14.25" customHeight="1">
      <c r="A512" s="78"/>
      <c r="B512" s="62">
        <v>485.0</v>
      </c>
      <c r="C512" s="110" t="s">
        <v>904</v>
      </c>
      <c r="D512" s="110" t="s">
        <v>903</v>
      </c>
      <c r="E512" s="27" t="s">
        <v>25</v>
      </c>
      <c r="F512" s="34" t="s">
        <v>867</v>
      </c>
      <c r="G512" s="39"/>
      <c r="H512" s="35">
        <v>4915.62</v>
      </c>
      <c r="I512" s="36">
        <v>38.0</v>
      </c>
      <c r="J512" s="36">
        <v>190.0</v>
      </c>
      <c r="K512" s="36">
        <v>0.0</v>
      </c>
      <c r="L512" s="36">
        <v>0.0</v>
      </c>
      <c r="M512" s="36">
        <v>7.0</v>
      </c>
      <c r="N512" s="36" t="s">
        <v>868</v>
      </c>
      <c r="O512" s="36" t="s">
        <v>138</v>
      </c>
      <c r="P512" s="36">
        <v>50.0</v>
      </c>
      <c r="Q512" s="36" t="s">
        <v>29</v>
      </c>
      <c r="R512" s="63" t="s">
        <v>39</v>
      </c>
    </row>
    <row r="513" ht="14.25" customHeight="1">
      <c r="A513" s="78"/>
      <c r="B513" s="62">
        <v>486.0</v>
      </c>
      <c r="C513" s="110" t="s">
        <v>905</v>
      </c>
      <c r="D513" s="110" t="s">
        <v>870</v>
      </c>
      <c r="E513" s="27" t="s">
        <v>25</v>
      </c>
      <c r="F513" s="34" t="s">
        <v>867</v>
      </c>
      <c r="G513" s="39"/>
      <c r="H513" s="35">
        <v>540.0</v>
      </c>
      <c r="I513" s="36">
        <v>3.0</v>
      </c>
      <c r="J513" s="36">
        <v>15.0</v>
      </c>
      <c r="K513" s="36">
        <v>2.0</v>
      </c>
      <c r="L513" s="36">
        <v>2.0</v>
      </c>
      <c r="M513" s="36">
        <v>0.0</v>
      </c>
      <c r="N513" s="36" t="s">
        <v>868</v>
      </c>
      <c r="O513" s="36" t="s">
        <v>138</v>
      </c>
      <c r="P513" s="36">
        <v>50.0</v>
      </c>
      <c r="Q513" s="36" t="s">
        <v>66</v>
      </c>
      <c r="R513" s="63">
        <v>2.0</v>
      </c>
    </row>
    <row r="514" ht="14.25" customHeight="1">
      <c r="A514" s="78"/>
      <c r="B514" s="62">
        <v>487.0</v>
      </c>
      <c r="C514" s="118" t="s">
        <v>906</v>
      </c>
      <c r="D514" s="118" t="s">
        <v>907</v>
      </c>
      <c r="E514" s="27" t="s">
        <v>25</v>
      </c>
      <c r="F514" s="34" t="s">
        <v>867</v>
      </c>
      <c r="G514" s="39"/>
      <c r="H514" s="35">
        <v>263.32</v>
      </c>
      <c r="I514" s="36">
        <v>3.0</v>
      </c>
      <c r="J514" s="36">
        <v>15.0</v>
      </c>
      <c r="K514" s="36">
        <v>2.0</v>
      </c>
      <c r="L514" s="36">
        <v>2.0</v>
      </c>
      <c r="M514" s="36">
        <v>0.0</v>
      </c>
      <c r="N514" s="36" t="s">
        <v>868</v>
      </c>
      <c r="O514" s="36" t="s">
        <v>138</v>
      </c>
      <c r="P514" s="36">
        <v>50.0</v>
      </c>
      <c r="Q514" s="36" t="s">
        <v>66</v>
      </c>
      <c r="R514" s="63">
        <v>2.0</v>
      </c>
    </row>
    <row r="515" ht="14.25" customHeight="1">
      <c r="A515" s="78"/>
      <c r="B515" s="62">
        <v>488.0</v>
      </c>
      <c r="C515" s="118" t="s">
        <v>908</v>
      </c>
      <c r="D515" s="118" t="s">
        <v>909</v>
      </c>
      <c r="E515" s="27" t="s">
        <v>25</v>
      </c>
      <c r="F515" s="34" t="s">
        <v>898</v>
      </c>
      <c r="G515" s="39"/>
      <c r="H515" s="35">
        <v>1051.64</v>
      </c>
      <c r="I515" s="36">
        <v>2.0</v>
      </c>
      <c r="J515" s="36">
        <v>10.0</v>
      </c>
      <c r="K515" s="36">
        <v>1.0</v>
      </c>
      <c r="L515" s="36">
        <v>1.0</v>
      </c>
      <c r="M515" s="36">
        <v>1.0</v>
      </c>
      <c r="N515" s="36" t="s">
        <v>868</v>
      </c>
      <c r="O515" s="36" t="s">
        <v>138</v>
      </c>
      <c r="P515" s="36">
        <v>50.0</v>
      </c>
      <c r="Q515" s="36" t="s">
        <v>66</v>
      </c>
      <c r="R515" s="63">
        <v>2.0</v>
      </c>
    </row>
    <row r="516" ht="14.25" customHeight="1">
      <c r="A516" s="78"/>
      <c r="B516" s="62">
        <v>489.0</v>
      </c>
      <c r="C516" s="118" t="s">
        <v>910</v>
      </c>
      <c r="D516" s="118" t="s">
        <v>909</v>
      </c>
      <c r="E516" s="27" t="s">
        <v>25</v>
      </c>
      <c r="F516" s="34" t="s">
        <v>898</v>
      </c>
      <c r="G516" s="39"/>
      <c r="H516" s="35">
        <v>1573.25</v>
      </c>
      <c r="I516" s="36">
        <v>33.0</v>
      </c>
      <c r="J516" s="36">
        <v>165.0</v>
      </c>
      <c r="K516" s="36">
        <v>0.0</v>
      </c>
      <c r="L516" s="36">
        <v>0.0</v>
      </c>
      <c r="M516" s="36">
        <v>7.0</v>
      </c>
      <c r="N516" s="36" t="s">
        <v>868</v>
      </c>
      <c r="O516" s="36" t="s">
        <v>138</v>
      </c>
      <c r="P516" s="36">
        <v>50.0</v>
      </c>
      <c r="Q516" s="36" t="s">
        <v>29</v>
      </c>
      <c r="R516" s="63" t="s">
        <v>39</v>
      </c>
    </row>
    <row r="517" ht="14.25" customHeight="1">
      <c r="A517" s="78"/>
      <c r="B517" s="62">
        <v>490.0</v>
      </c>
      <c r="C517" s="118" t="s">
        <v>911</v>
      </c>
      <c r="D517" s="118" t="s">
        <v>912</v>
      </c>
      <c r="E517" s="27" t="s">
        <v>25</v>
      </c>
      <c r="F517" s="34" t="s">
        <v>898</v>
      </c>
      <c r="G517" s="39"/>
      <c r="H517" s="35">
        <v>419.68</v>
      </c>
      <c r="I517" s="36">
        <v>3.0</v>
      </c>
      <c r="J517" s="36">
        <v>15.0</v>
      </c>
      <c r="K517" s="36">
        <v>1.0</v>
      </c>
      <c r="L517" s="36">
        <v>1.0</v>
      </c>
      <c r="M517" s="36">
        <v>1.0</v>
      </c>
      <c r="N517" s="36" t="s">
        <v>868</v>
      </c>
      <c r="O517" s="36" t="s">
        <v>138</v>
      </c>
      <c r="P517" s="36">
        <v>50.0</v>
      </c>
      <c r="Q517" s="36" t="s">
        <v>66</v>
      </c>
      <c r="R517" s="63">
        <v>2.0</v>
      </c>
    </row>
    <row r="518" ht="14.25" customHeight="1">
      <c r="A518" s="78"/>
      <c r="B518" s="62">
        <v>491.0</v>
      </c>
      <c r="C518" s="119" t="s">
        <v>913</v>
      </c>
      <c r="D518" s="118" t="s">
        <v>912</v>
      </c>
      <c r="E518" s="27" t="s">
        <v>25</v>
      </c>
      <c r="F518" s="34" t="s">
        <v>898</v>
      </c>
      <c r="G518" s="39"/>
      <c r="H518" s="35">
        <v>11029.67</v>
      </c>
      <c r="I518" s="36">
        <v>34.0</v>
      </c>
      <c r="J518" s="36">
        <v>170.0</v>
      </c>
      <c r="K518" s="36">
        <v>0.0</v>
      </c>
      <c r="L518" s="36">
        <v>0.0</v>
      </c>
      <c r="M518" s="36">
        <v>12.0</v>
      </c>
      <c r="N518" s="36" t="s">
        <v>868</v>
      </c>
      <c r="O518" s="36" t="s">
        <v>138</v>
      </c>
      <c r="P518" s="36">
        <v>50.0</v>
      </c>
      <c r="Q518" s="36" t="s">
        <v>29</v>
      </c>
      <c r="R518" s="63">
        <v>2.0</v>
      </c>
    </row>
    <row r="519" ht="14.25" customHeight="1">
      <c r="A519" s="78"/>
      <c r="B519" s="62">
        <v>492.0</v>
      </c>
      <c r="C519" s="46" t="s">
        <v>914</v>
      </c>
      <c r="D519" s="46" t="s">
        <v>915</v>
      </c>
      <c r="E519" s="27" t="s">
        <v>25</v>
      </c>
      <c r="F519" s="34" t="s">
        <v>898</v>
      </c>
      <c r="G519" s="39"/>
      <c r="H519" s="35">
        <v>176.0</v>
      </c>
      <c r="I519" s="36">
        <v>2.0</v>
      </c>
      <c r="J519" s="36">
        <v>10.0</v>
      </c>
      <c r="K519" s="36">
        <v>1.0</v>
      </c>
      <c r="L519" s="36">
        <v>1.0</v>
      </c>
      <c r="M519" s="36">
        <v>1.0</v>
      </c>
      <c r="N519" s="36" t="s">
        <v>868</v>
      </c>
      <c r="O519" s="36" t="s">
        <v>138</v>
      </c>
      <c r="P519" s="36">
        <v>50.0</v>
      </c>
      <c r="Q519" s="36" t="s">
        <v>66</v>
      </c>
      <c r="R519" s="63">
        <v>2.0</v>
      </c>
    </row>
    <row r="520" ht="14.25" customHeight="1">
      <c r="A520" s="78"/>
      <c r="B520" s="62">
        <v>493.0</v>
      </c>
      <c r="C520" s="118" t="s">
        <v>916</v>
      </c>
      <c r="D520" s="118" t="s">
        <v>917</v>
      </c>
      <c r="E520" s="27" t="s">
        <v>25</v>
      </c>
      <c r="F520" s="34" t="s">
        <v>867</v>
      </c>
      <c r="G520" s="39"/>
      <c r="H520" s="35">
        <v>5363.75</v>
      </c>
      <c r="I520" s="36">
        <v>39.0</v>
      </c>
      <c r="J520" s="36">
        <v>195.0</v>
      </c>
      <c r="K520" s="36">
        <v>0.0</v>
      </c>
      <c r="L520" s="36">
        <v>0.0</v>
      </c>
      <c r="M520" s="36">
        <v>7.0</v>
      </c>
      <c r="N520" s="36" t="s">
        <v>868</v>
      </c>
      <c r="O520" s="36" t="s">
        <v>138</v>
      </c>
      <c r="P520" s="36">
        <v>50.0</v>
      </c>
      <c r="Q520" s="36" t="s">
        <v>29</v>
      </c>
      <c r="R520" s="63" t="s">
        <v>39</v>
      </c>
    </row>
    <row r="521" ht="14.25" customHeight="1">
      <c r="A521" s="78"/>
      <c r="B521" s="62">
        <v>494.0</v>
      </c>
      <c r="C521" s="118" t="s">
        <v>918</v>
      </c>
      <c r="D521" s="118" t="s">
        <v>917</v>
      </c>
      <c r="E521" s="27" t="s">
        <v>25</v>
      </c>
      <c r="F521" s="34" t="s">
        <v>867</v>
      </c>
      <c r="G521" s="39"/>
      <c r="H521" s="35">
        <v>110.61</v>
      </c>
      <c r="I521" s="36">
        <v>2.0</v>
      </c>
      <c r="J521" s="36">
        <v>10.0</v>
      </c>
      <c r="K521" s="36">
        <v>1.0</v>
      </c>
      <c r="L521" s="36">
        <v>1.0</v>
      </c>
      <c r="M521" s="36">
        <v>1.0</v>
      </c>
      <c r="N521" s="36" t="s">
        <v>868</v>
      </c>
      <c r="O521" s="36" t="s">
        <v>138</v>
      </c>
      <c r="P521" s="36">
        <v>50.0</v>
      </c>
      <c r="Q521" s="36" t="s">
        <v>66</v>
      </c>
      <c r="R521" s="63">
        <v>2.0</v>
      </c>
    </row>
    <row r="522" ht="14.25" customHeight="1">
      <c r="A522" s="78"/>
      <c r="B522" s="62">
        <v>495.0</v>
      </c>
      <c r="C522" s="118" t="s">
        <v>919</v>
      </c>
      <c r="D522" s="118" t="s">
        <v>920</v>
      </c>
      <c r="E522" s="27" t="s">
        <v>25</v>
      </c>
      <c r="F522" s="34" t="s">
        <v>867</v>
      </c>
      <c r="G522" s="39"/>
      <c r="H522" s="35">
        <v>979.94</v>
      </c>
      <c r="I522" s="36">
        <v>2.0</v>
      </c>
      <c r="J522" s="36">
        <v>10.0</v>
      </c>
      <c r="K522" s="36">
        <v>1.0</v>
      </c>
      <c r="L522" s="36">
        <v>1.0</v>
      </c>
      <c r="M522" s="36">
        <v>1.0</v>
      </c>
      <c r="N522" s="36" t="s">
        <v>868</v>
      </c>
      <c r="O522" s="36" t="s">
        <v>138</v>
      </c>
      <c r="P522" s="36">
        <v>50.0</v>
      </c>
      <c r="Q522" s="36" t="s">
        <v>66</v>
      </c>
      <c r="R522" s="63">
        <v>2.0</v>
      </c>
    </row>
    <row r="523" ht="14.25" customHeight="1">
      <c r="A523" s="78"/>
      <c r="B523" s="62">
        <v>496.0</v>
      </c>
      <c r="C523" s="118" t="s">
        <v>921</v>
      </c>
      <c r="D523" s="118" t="s">
        <v>920</v>
      </c>
      <c r="E523" s="27" t="s">
        <v>25</v>
      </c>
      <c r="F523" s="34" t="s">
        <v>867</v>
      </c>
      <c r="G523" s="39"/>
      <c r="H523" s="35">
        <v>3912.88</v>
      </c>
      <c r="I523" s="36">
        <v>34.0</v>
      </c>
      <c r="J523" s="36">
        <v>171.0</v>
      </c>
      <c r="K523" s="36">
        <v>0.0</v>
      </c>
      <c r="L523" s="36">
        <v>0.0</v>
      </c>
      <c r="M523" s="36">
        <v>7.0</v>
      </c>
      <c r="N523" s="36" t="s">
        <v>868</v>
      </c>
      <c r="O523" s="36" t="s">
        <v>138</v>
      </c>
      <c r="P523" s="36">
        <v>50.0</v>
      </c>
      <c r="Q523" s="36" t="s">
        <v>29</v>
      </c>
      <c r="R523" s="63" t="s">
        <v>39</v>
      </c>
    </row>
    <row r="524" ht="14.25" customHeight="1">
      <c r="A524" s="78"/>
      <c r="B524" s="62">
        <v>497.0</v>
      </c>
      <c r="C524" s="118" t="s">
        <v>922</v>
      </c>
      <c r="D524" s="118" t="s">
        <v>923</v>
      </c>
      <c r="E524" s="27" t="s">
        <v>25</v>
      </c>
      <c r="F524" s="34" t="s">
        <v>867</v>
      </c>
      <c r="G524" s="39"/>
      <c r="H524" s="35">
        <v>57.58</v>
      </c>
      <c r="I524" s="36">
        <v>2.0</v>
      </c>
      <c r="J524" s="36">
        <v>10.0</v>
      </c>
      <c r="K524" s="36">
        <v>1.0</v>
      </c>
      <c r="L524" s="36">
        <v>1.0</v>
      </c>
      <c r="M524" s="36">
        <v>1.0</v>
      </c>
      <c r="N524" s="36" t="s">
        <v>868</v>
      </c>
      <c r="O524" s="36" t="s">
        <v>138</v>
      </c>
      <c r="P524" s="36">
        <v>50.0</v>
      </c>
      <c r="Q524" s="36" t="s">
        <v>66</v>
      </c>
      <c r="R524" s="63">
        <v>2.0</v>
      </c>
    </row>
    <row r="525" ht="14.25" customHeight="1">
      <c r="A525" s="78"/>
      <c r="B525" s="62">
        <v>498.0</v>
      </c>
      <c r="C525" s="46" t="s">
        <v>924</v>
      </c>
      <c r="D525" s="46" t="s">
        <v>925</v>
      </c>
      <c r="E525" s="27" t="s">
        <v>25</v>
      </c>
      <c r="F525" s="34" t="s">
        <v>867</v>
      </c>
      <c r="G525" s="39"/>
      <c r="H525" s="35">
        <v>678.24</v>
      </c>
      <c r="I525" s="36">
        <v>2.0</v>
      </c>
      <c r="J525" s="36">
        <v>10.0</v>
      </c>
      <c r="K525" s="36">
        <v>1.0</v>
      </c>
      <c r="L525" s="36">
        <v>1.0</v>
      </c>
      <c r="M525" s="36">
        <v>1.0</v>
      </c>
      <c r="N525" s="36" t="s">
        <v>868</v>
      </c>
      <c r="O525" s="36" t="s">
        <v>138</v>
      </c>
      <c r="P525" s="36">
        <v>50.0</v>
      </c>
      <c r="Q525" s="36" t="s">
        <v>66</v>
      </c>
      <c r="R525" s="63">
        <v>2.0</v>
      </c>
    </row>
    <row r="526" ht="14.25" customHeight="1">
      <c r="A526" s="78"/>
      <c r="B526" s="62">
        <v>499.0</v>
      </c>
      <c r="C526" s="46" t="s">
        <v>926</v>
      </c>
      <c r="D526" s="46" t="s">
        <v>927</v>
      </c>
      <c r="E526" s="27" t="s">
        <v>25</v>
      </c>
      <c r="F526" s="34" t="s">
        <v>867</v>
      </c>
      <c r="G526" s="39"/>
      <c r="H526" s="35">
        <v>213.94</v>
      </c>
      <c r="I526" s="36">
        <v>3.0</v>
      </c>
      <c r="J526" s="36">
        <v>15.0</v>
      </c>
      <c r="K526" s="36">
        <v>1.0</v>
      </c>
      <c r="L526" s="36">
        <v>1.0</v>
      </c>
      <c r="M526" s="36">
        <v>1.0</v>
      </c>
      <c r="N526" s="36" t="s">
        <v>868</v>
      </c>
      <c r="O526" s="36" t="s">
        <v>138</v>
      </c>
      <c r="P526" s="36">
        <v>50.0</v>
      </c>
      <c r="Q526" s="36" t="s">
        <v>66</v>
      </c>
      <c r="R526" s="63">
        <v>2.0</v>
      </c>
    </row>
    <row r="527" ht="14.25" customHeight="1">
      <c r="A527" s="78"/>
      <c r="B527" s="62">
        <v>500.0</v>
      </c>
      <c r="C527" s="118" t="s">
        <v>928</v>
      </c>
      <c r="D527" s="118" t="s">
        <v>927</v>
      </c>
      <c r="E527" s="27" t="s">
        <v>25</v>
      </c>
      <c r="F527" s="34" t="s">
        <v>867</v>
      </c>
      <c r="G527" s="39"/>
      <c r="H527" s="35">
        <v>1681.39</v>
      </c>
      <c r="I527" s="36">
        <v>35.0</v>
      </c>
      <c r="J527" s="36">
        <v>176.0</v>
      </c>
      <c r="K527" s="36">
        <v>0.0</v>
      </c>
      <c r="L527" s="36">
        <v>0.0</v>
      </c>
      <c r="M527" s="36">
        <v>7.0</v>
      </c>
      <c r="N527" s="36" t="s">
        <v>868</v>
      </c>
      <c r="O527" s="36" t="s">
        <v>138</v>
      </c>
      <c r="P527" s="36">
        <v>50.0</v>
      </c>
      <c r="Q527" s="36" t="s">
        <v>29</v>
      </c>
      <c r="R527" s="63" t="s">
        <v>39</v>
      </c>
    </row>
    <row r="528" ht="14.25" customHeight="1">
      <c r="A528" s="78"/>
      <c r="B528" s="62">
        <v>501.0</v>
      </c>
      <c r="C528" s="118" t="s">
        <v>929</v>
      </c>
      <c r="D528" s="118" t="s">
        <v>930</v>
      </c>
      <c r="E528" s="27" t="s">
        <v>25</v>
      </c>
      <c r="F528" s="34" t="s">
        <v>867</v>
      </c>
      <c r="G528" s="39"/>
      <c r="H528" s="35">
        <v>134.44</v>
      </c>
      <c r="I528" s="36">
        <v>2.0</v>
      </c>
      <c r="J528" s="36">
        <v>10.0</v>
      </c>
      <c r="K528" s="36">
        <v>1.0</v>
      </c>
      <c r="L528" s="36">
        <v>1.0</v>
      </c>
      <c r="M528" s="36">
        <v>1.0</v>
      </c>
      <c r="N528" s="36" t="s">
        <v>868</v>
      </c>
      <c r="O528" s="36" t="s">
        <v>138</v>
      </c>
      <c r="P528" s="36">
        <v>50.0</v>
      </c>
      <c r="Q528" s="36" t="s">
        <v>66</v>
      </c>
      <c r="R528" s="63">
        <v>2.0</v>
      </c>
    </row>
    <row r="529" ht="14.25" customHeight="1">
      <c r="A529" s="78"/>
      <c r="B529" s="62">
        <v>502.0</v>
      </c>
      <c r="C529" s="118" t="s">
        <v>931</v>
      </c>
      <c r="D529" s="118" t="s">
        <v>932</v>
      </c>
      <c r="E529" s="27" t="s">
        <v>25</v>
      </c>
      <c r="F529" s="34" t="s">
        <v>867</v>
      </c>
      <c r="G529" s="39"/>
      <c r="H529" s="35">
        <v>683.44</v>
      </c>
      <c r="I529" s="36">
        <v>2.0</v>
      </c>
      <c r="J529" s="36">
        <v>10.0</v>
      </c>
      <c r="K529" s="36">
        <v>1.0</v>
      </c>
      <c r="L529" s="36">
        <v>1.0</v>
      </c>
      <c r="M529" s="36">
        <v>1.0</v>
      </c>
      <c r="N529" s="36" t="s">
        <v>868</v>
      </c>
      <c r="O529" s="36" t="s">
        <v>138</v>
      </c>
      <c r="P529" s="36">
        <v>50.0</v>
      </c>
      <c r="Q529" s="36" t="s">
        <v>66</v>
      </c>
      <c r="R529" s="63">
        <v>2.0</v>
      </c>
    </row>
    <row r="530" ht="14.25" customHeight="1">
      <c r="A530" s="78"/>
      <c r="B530" s="62">
        <v>503.0</v>
      </c>
      <c r="C530" s="118" t="s">
        <v>933</v>
      </c>
      <c r="D530" s="118" t="s">
        <v>932</v>
      </c>
      <c r="E530" s="27" t="s">
        <v>25</v>
      </c>
      <c r="F530" s="34" t="s">
        <v>867</v>
      </c>
      <c r="G530" s="39"/>
      <c r="H530" s="35">
        <v>9274.86</v>
      </c>
      <c r="I530" s="36">
        <v>55.0</v>
      </c>
      <c r="J530" s="36">
        <v>275.0</v>
      </c>
      <c r="K530" s="36">
        <v>0.0</v>
      </c>
      <c r="L530" s="36">
        <v>0.0</v>
      </c>
      <c r="M530" s="36">
        <v>9.0</v>
      </c>
      <c r="N530" s="36" t="s">
        <v>868</v>
      </c>
      <c r="O530" s="36" t="s">
        <v>138</v>
      </c>
      <c r="P530" s="36">
        <v>50.0</v>
      </c>
      <c r="Q530" s="36" t="s">
        <v>29</v>
      </c>
      <c r="R530" s="63" t="s">
        <v>39</v>
      </c>
    </row>
    <row r="531" ht="14.25" customHeight="1">
      <c r="A531" s="78"/>
      <c r="B531" s="62">
        <v>504.0</v>
      </c>
      <c r="C531" s="118" t="s">
        <v>934</v>
      </c>
      <c r="D531" s="118" t="s">
        <v>912</v>
      </c>
      <c r="E531" s="27" t="s">
        <v>25</v>
      </c>
      <c r="F531" s="34" t="s">
        <v>867</v>
      </c>
      <c r="G531" s="39"/>
      <c r="H531" s="35">
        <v>9243.45</v>
      </c>
      <c r="I531" s="36">
        <v>250.0</v>
      </c>
      <c r="J531" s="36">
        <v>1250.0</v>
      </c>
      <c r="K531" s="36">
        <v>0.0</v>
      </c>
      <c r="L531" s="36">
        <v>0.0</v>
      </c>
      <c r="M531" s="36">
        <v>27.0</v>
      </c>
      <c r="N531" s="36" t="s">
        <v>868</v>
      </c>
      <c r="O531" s="36" t="s">
        <v>138</v>
      </c>
      <c r="P531" s="36">
        <v>50.0</v>
      </c>
      <c r="Q531" s="36" t="s">
        <v>29</v>
      </c>
      <c r="R531" s="63">
        <v>2.0</v>
      </c>
    </row>
    <row r="532" ht="14.25" customHeight="1">
      <c r="A532" s="78"/>
      <c r="B532" s="62">
        <v>505.0</v>
      </c>
      <c r="C532" s="46" t="s">
        <v>935</v>
      </c>
      <c r="D532" s="46" t="s">
        <v>936</v>
      </c>
      <c r="E532" s="27" t="s">
        <v>25</v>
      </c>
      <c r="F532" s="34" t="s">
        <v>898</v>
      </c>
      <c r="G532" s="39"/>
      <c r="H532" s="35">
        <v>300.18</v>
      </c>
      <c r="I532" s="36">
        <v>2.0</v>
      </c>
      <c r="J532" s="36">
        <v>10.0</v>
      </c>
      <c r="K532" s="36">
        <v>1.0</v>
      </c>
      <c r="L532" s="36">
        <v>1.0</v>
      </c>
      <c r="M532" s="36">
        <v>1.0</v>
      </c>
      <c r="N532" s="36" t="s">
        <v>868</v>
      </c>
      <c r="O532" s="36" t="s">
        <v>138</v>
      </c>
      <c r="P532" s="36">
        <v>50.0</v>
      </c>
      <c r="Q532" s="36" t="s">
        <v>66</v>
      </c>
      <c r="R532" s="63">
        <v>2.0</v>
      </c>
    </row>
    <row r="533" ht="14.25" customHeight="1">
      <c r="A533" s="78"/>
      <c r="B533" s="62">
        <v>506.0</v>
      </c>
      <c r="C533" s="118" t="s">
        <v>937</v>
      </c>
      <c r="D533" s="118" t="s">
        <v>938</v>
      </c>
      <c r="E533" s="27" t="s">
        <v>25</v>
      </c>
      <c r="F533" s="34" t="s">
        <v>898</v>
      </c>
      <c r="G533" s="39"/>
      <c r="H533" s="35">
        <v>2365.45</v>
      </c>
      <c r="I533" s="36">
        <v>35.0</v>
      </c>
      <c r="J533" s="36">
        <v>183.0</v>
      </c>
      <c r="K533" s="36">
        <v>0.0</v>
      </c>
      <c r="L533" s="36">
        <v>0.0</v>
      </c>
      <c r="M533" s="36">
        <v>7.0</v>
      </c>
      <c r="N533" s="36" t="s">
        <v>868</v>
      </c>
      <c r="O533" s="36" t="s">
        <v>138</v>
      </c>
      <c r="P533" s="36">
        <v>50.0</v>
      </c>
      <c r="Q533" s="36" t="s">
        <v>29</v>
      </c>
      <c r="R533" s="63" t="s">
        <v>39</v>
      </c>
    </row>
    <row r="534" ht="14.25" customHeight="1">
      <c r="A534" s="78"/>
      <c r="B534" s="62">
        <v>507.0</v>
      </c>
      <c r="C534" s="118" t="s">
        <v>939</v>
      </c>
      <c r="D534" s="118" t="s">
        <v>940</v>
      </c>
      <c r="E534" s="27" t="s">
        <v>25</v>
      </c>
      <c r="F534" s="34" t="s">
        <v>867</v>
      </c>
      <c r="G534" s="39"/>
      <c r="H534" s="35">
        <v>618.27</v>
      </c>
      <c r="I534" s="36">
        <v>2.0</v>
      </c>
      <c r="J534" s="36">
        <v>10.0</v>
      </c>
      <c r="K534" s="36">
        <v>1.0</v>
      </c>
      <c r="L534" s="36">
        <v>1.0</v>
      </c>
      <c r="M534" s="36">
        <v>1.0</v>
      </c>
      <c r="N534" s="36" t="s">
        <v>868</v>
      </c>
      <c r="O534" s="36" t="s">
        <v>138</v>
      </c>
      <c r="P534" s="36">
        <v>50.0</v>
      </c>
      <c r="Q534" s="36" t="s">
        <v>66</v>
      </c>
      <c r="R534" s="63">
        <v>2.0</v>
      </c>
    </row>
    <row r="535" ht="14.25" customHeight="1">
      <c r="A535" s="78"/>
      <c r="B535" s="62">
        <v>508.0</v>
      </c>
      <c r="C535" s="118" t="s">
        <v>941</v>
      </c>
      <c r="D535" s="118" t="s">
        <v>940</v>
      </c>
      <c r="E535" s="27" t="s">
        <v>25</v>
      </c>
      <c r="F535" s="34" t="s">
        <v>867</v>
      </c>
      <c r="G535" s="39"/>
      <c r="H535" s="35">
        <v>3254.68</v>
      </c>
      <c r="I535" s="36">
        <v>45.0</v>
      </c>
      <c r="J535" s="36">
        <v>231.0</v>
      </c>
      <c r="K535" s="36">
        <v>0.0</v>
      </c>
      <c r="L535" s="36">
        <v>0.0</v>
      </c>
      <c r="M535" s="36">
        <v>9.0</v>
      </c>
      <c r="N535" s="36" t="s">
        <v>868</v>
      </c>
      <c r="O535" s="36" t="s">
        <v>138</v>
      </c>
      <c r="P535" s="36">
        <v>50.0</v>
      </c>
      <c r="Q535" s="36" t="s">
        <v>29</v>
      </c>
      <c r="R535" s="63" t="s">
        <v>39</v>
      </c>
    </row>
    <row r="536" ht="14.25" customHeight="1">
      <c r="A536" s="78"/>
      <c r="B536" s="62">
        <v>509.0</v>
      </c>
      <c r="C536" s="118" t="s">
        <v>942</v>
      </c>
      <c r="D536" s="118" t="s">
        <v>940</v>
      </c>
      <c r="E536" s="27" t="s">
        <v>25</v>
      </c>
      <c r="F536" s="34" t="s">
        <v>867</v>
      </c>
      <c r="G536" s="39"/>
      <c r="H536" s="35">
        <v>11726.23</v>
      </c>
      <c r="I536" s="36">
        <v>220.0</v>
      </c>
      <c r="J536" s="36">
        <v>1100.0</v>
      </c>
      <c r="K536" s="36">
        <v>0.0</v>
      </c>
      <c r="L536" s="36">
        <v>0.0</v>
      </c>
      <c r="M536" s="36">
        <v>19.0</v>
      </c>
      <c r="N536" s="36" t="s">
        <v>868</v>
      </c>
      <c r="O536" s="36" t="s">
        <v>138</v>
      </c>
      <c r="P536" s="36">
        <v>50.0</v>
      </c>
      <c r="Q536" s="36" t="s">
        <v>29</v>
      </c>
      <c r="R536" s="63" t="s">
        <v>39</v>
      </c>
    </row>
    <row r="537" ht="14.25" customHeight="1">
      <c r="A537" s="78"/>
      <c r="B537" s="90"/>
      <c r="C537" s="91" t="s">
        <v>943</v>
      </c>
      <c r="D537" s="22"/>
      <c r="E537" s="22"/>
      <c r="F537" s="23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</row>
    <row r="538" ht="14.25" customHeight="1">
      <c r="A538" s="78">
        <v>236.0</v>
      </c>
      <c r="B538" s="60">
        <v>510.0</v>
      </c>
      <c r="C538" s="61" t="s">
        <v>944</v>
      </c>
      <c r="D538" s="61" t="s">
        <v>945</v>
      </c>
      <c r="E538" s="27" t="s">
        <v>25</v>
      </c>
      <c r="F538" s="65" t="s">
        <v>189</v>
      </c>
      <c r="G538" s="66"/>
      <c r="H538" s="30">
        <v>1500.0</v>
      </c>
      <c r="I538" s="31">
        <v>140.0</v>
      </c>
      <c r="J538" s="31">
        <v>700.0</v>
      </c>
      <c r="K538" s="31">
        <v>3.0</v>
      </c>
      <c r="L538" s="31">
        <v>3.0</v>
      </c>
      <c r="M538" s="31" t="s">
        <v>39</v>
      </c>
      <c r="N538" s="31" t="s">
        <v>58</v>
      </c>
      <c r="O538" s="31" t="s">
        <v>138</v>
      </c>
      <c r="P538" s="31">
        <v>500.0</v>
      </c>
      <c r="Q538" s="31" t="s">
        <v>335</v>
      </c>
      <c r="R538" s="61" t="s">
        <v>39</v>
      </c>
    </row>
    <row r="539" ht="14.25" customHeight="1">
      <c r="A539" s="78">
        <v>237.0</v>
      </c>
      <c r="B539" s="62">
        <v>511.0</v>
      </c>
      <c r="C539" s="63" t="s">
        <v>946</v>
      </c>
      <c r="D539" s="63" t="s">
        <v>945</v>
      </c>
      <c r="E539" s="27" t="s">
        <v>25</v>
      </c>
      <c r="F539" s="65" t="s">
        <v>189</v>
      </c>
      <c r="G539" s="67"/>
      <c r="H539" s="35">
        <v>240.0</v>
      </c>
      <c r="I539" s="36">
        <v>22.0</v>
      </c>
      <c r="J539" s="36">
        <v>110.0</v>
      </c>
      <c r="K539" s="36">
        <v>1.0</v>
      </c>
      <c r="L539" s="36">
        <v>1.0</v>
      </c>
      <c r="M539" s="36" t="s">
        <v>39</v>
      </c>
      <c r="N539" s="31" t="s">
        <v>58</v>
      </c>
      <c r="O539" s="36" t="s">
        <v>138</v>
      </c>
      <c r="P539" s="36" t="s">
        <v>39</v>
      </c>
      <c r="Q539" s="36" t="s">
        <v>29</v>
      </c>
      <c r="R539" s="63" t="s">
        <v>39</v>
      </c>
    </row>
    <row r="540" ht="14.25" customHeight="1">
      <c r="A540" s="78">
        <v>238.0</v>
      </c>
      <c r="B540" s="60">
        <v>512.0</v>
      </c>
      <c r="C540" s="61" t="s">
        <v>947</v>
      </c>
      <c r="D540" s="61" t="s">
        <v>945</v>
      </c>
      <c r="E540" s="27" t="s">
        <v>25</v>
      </c>
      <c r="F540" s="65" t="s">
        <v>189</v>
      </c>
      <c r="G540" s="66"/>
      <c r="H540" s="30">
        <v>1879.0</v>
      </c>
      <c r="I540" s="31">
        <v>180.0</v>
      </c>
      <c r="J540" s="31">
        <v>900.0</v>
      </c>
      <c r="K540" s="31">
        <v>2.0</v>
      </c>
      <c r="L540" s="31">
        <v>2.0</v>
      </c>
      <c r="M540" s="31" t="s">
        <v>39</v>
      </c>
      <c r="N540" s="31" t="s">
        <v>58</v>
      </c>
      <c r="O540" s="31" t="s">
        <v>138</v>
      </c>
      <c r="P540" s="36" t="s">
        <v>39</v>
      </c>
      <c r="Q540" s="36" t="s">
        <v>29</v>
      </c>
      <c r="R540" s="63" t="s">
        <v>39</v>
      </c>
    </row>
    <row r="541" ht="14.25" customHeight="1">
      <c r="A541" s="78">
        <v>239.0</v>
      </c>
      <c r="B541" s="60">
        <v>513.0</v>
      </c>
      <c r="C541" s="63" t="s">
        <v>948</v>
      </c>
      <c r="D541" s="63" t="s">
        <v>945</v>
      </c>
      <c r="E541" s="27" t="s">
        <v>25</v>
      </c>
      <c r="F541" s="65" t="s">
        <v>189</v>
      </c>
      <c r="G541" s="67"/>
      <c r="H541" s="35">
        <v>1030.35</v>
      </c>
      <c r="I541" s="36">
        <v>100.0</v>
      </c>
      <c r="J541" s="36">
        <v>500.0</v>
      </c>
      <c r="K541" s="36">
        <v>1.0</v>
      </c>
      <c r="L541" s="36">
        <v>1.0</v>
      </c>
      <c r="M541" s="36" t="s">
        <v>39</v>
      </c>
      <c r="N541" s="31" t="s">
        <v>58</v>
      </c>
      <c r="O541" s="36" t="s">
        <v>138</v>
      </c>
      <c r="P541" s="36" t="s">
        <v>39</v>
      </c>
      <c r="Q541" s="36" t="s">
        <v>29</v>
      </c>
      <c r="R541" s="63" t="s">
        <v>39</v>
      </c>
    </row>
    <row r="542" ht="14.25" customHeight="1">
      <c r="A542" s="78">
        <v>240.0</v>
      </c>
      <c r="B542" s="62">
        <v>514.0</v>
      </c>
      <c r="C542" s="61" t="s">
        <v>949</v>
      </c>
      <c r="D542" s="61" t="s">
        <v>945</v>
      </c>
      <c r="E542" s="27" t="s">
        <v>25</v>
      </c>
      <c r="F542" s="65" t="s">
        <v>189</v>
      </c>
      <c r="G542" s="66"/>
      <c r="H542" s="30">
        <v>189.0</v>
      </c>
      <c r="I542" s="31">
        <v>12.0</v>
      </c>
      <c r="J542" s="31">
        <v>60.0</v>
      </c>
      <c r="K542" s="31">
        <v>1.0</v>
      </c>
      <c r="L542" s="31">
        <v>1.0</v>
      </c>
      <c r="M542" s="31" t="s">
        <v>39</v>
      </c>
      <c r="N542" s="31" t="s">
        <v>58</v>
      </c>
      <c r="O542" s="31" t="s">
        <v>138</v>
      </c>
      <c r="P542" s="31" t="s">
        <v>39</v>
      </c>
      <c r="Q542" s="31" t="s">
        <v>47</v>
      </c>
      <c r="R542" s="61">
        <v>12.0</v>
      </c>
    </row>
    <row r="543" ht="14.25" customHeight="1">
      <c r="A543" s="78">
        <v>241.0</v>
      </c>
      <c r="B543" s="60">
        <v>515.0</v>
      </c>
      <c r="C543" s="63" t="s">
        <v>950</v>
      </c>
      <c r="D543" s="63" t="s">
        <v>945</v>
      </c>
      <c r="E543" s="27" t="s">
        <v>25</v>
      </c>
      <c r="F543" s="65" t="s">
        <v>189</v>
      </c>
      <c r="G543" s="67"/>
      <c r="H543" s="35">
        <v>210.0</v>
      </c>
      <c r="I543" s="36">
        <v>16.0</v>
      </c>
      <c r="J543" s="36">
        <v>80.0</v>
      </c>
      <c r="K543" s="36">
        <v>1.0</v>
      </c>
      <c r="L543" s="36">
        <v>1.0</v>
      </c>
      <c r="M543" s="36" t="s">
        <v>39</v>
      </c>
      <c r="N543" s="31" t="s">
        <v>58</v>
      </c>
      <c r="O543" s="36" t="s">
        <v>138</v>
      </c>
      <c r="P543" s="36" t="s">
        <v>39</v>
      </c>
      <c r="Q543" s="31" t="s">
        <v>29</v>
      </c>
      <c r="R543" s="63" t="s">
        <v>39</v>
      </c>
    </row>
    <row r="544" ht="14.25" customHeight="1">
      <c r="A544" s="78">
        <v>242.0</v>
      </c>
      <c r="B544" s="60">
        <v>516.0</v>
      </c>
      <c r="C544" s="61" t="s">
        <v>951</v>
      </c>
      <c r="D544" s="61" t="s">
        <v>952</v>
      </c>
      <c r="E544" s="27" t="s">
        <v>25</v>
      </c>
      <c r="F544" s="120" t="s">
        <v>953</v>
      </c>
      <c r="G544" s="66"/>
      <c r="H544" s="30">
        <v>384.0</v>
      </c>
      <c r="I544" s="31">
        <v>38.0</v>
      </c>
      <c r="J544" s="31">
        <v>190.0</v>
      </c>
      <c r="K544" s="31">
        <v>2.0</v>
      </c>
      <c r="L544" s="31">
        <v>2.0</v>
      </c>
      <c r="M544" s="31" t="s">
        <v>39</v>
      </c>
      <c r="N544" s="31" t="s">
        <v>954</v>
      </c>
      <c r="O544" s="31" t="s">
        <v>138</v>
      </c>
      <c r="P544" s="31" t="s">
        <v>39</v>
      </c>
      <c r="Q544" s="31" t="s">
        <v>29</v>
      </c>
      <c r="R544" s="61" t="s">
        <v>39</v>
      </c>
    </row>
    <row r="545" ht="14.25" customHeight="1">
      <c r="A545" s="78">
        <v>243.0</v>
      </c>
      <c r="B545" s="62">
        <v>517.0</v>
      </c>
      <c r="C545" s="63" t="s">
        <v>955</v>
      </c>
      <c r="D545" s="63" t="s">
        <v>956</v>
      </c>
      <c r="E545" s="27" t="s">
        <v>25</v>
      </c>
      <c r="F545" s="65" t="s">
        <v>189</v>
      </c>
      <c r="G545" s="67"/>
      <c r="H545" s="35">
        <v>384.0</v>
      </c>
      <c r="I545" s="36">
        <v>38.0</v>
      </c>
      <c r="J545" s="36">
        <v>190.0</v>
      </c>
      <c r="K545" s="36">
        <v>3.0</v>
      </c>
      <c r="L545" s="36">
        <v>3.0</v>
      </c>
      <c r="M545" s="36" t="s">
        <v>39</v>
      </c>
      <c r="N545" s="31" t="s">
        <v>58</v>
      </c>
      <c r="O545" s="36" t="s">
        <v>138</v>
      </c>
      <c r="P545" s="36" t="s">
        <v>39</v>
      </c>
      <c r="Q545" s="31" t="s">
        <v>29</v>
      </c>
      <c r="R545" s="63" t="s">
        <v>39</v>
      </c>
    </row>
    <row r="546" ht="14.25" customHeight="1">
      <c r="A546" s="78">
        <v>244.0</v>
      </c>
      <c r="B546" s="60">
        <v>518.0</v>
      </c>
      <c r="C546" s="61" t="s">
        <v>957</v>
      </c>
      <c r="D546" s="61" t="s">
        <v>958</v>
      </c>
      <c r="E546" s="27" t="s">
        <v>25</v>
      </c>
      <c r="F546" s="120" t="s">
        <v>953</v>
      </c>
      <c r="G546" s="66"/>
      <c r="H546" s="30">
        <v>240.0</v>
      </c>
      <c r="I546" s="31">
        <v>22.0</v>
      </c>
      <c r="J546" s="31">
        <v>110.0</v>
      </c>
      <c r="K546" s="31">
        <v>3.0</v>
      </c>
      <c r="L546" s="31">
        <v>3.0</v>
      </c>
      <c r="M546" s="31" t="s">
        <v>39</v>
      </c>
      <c r="N546" s="31" t="s">
        <v>954</v>
      </c>
      <c r="O546" s="31" t="s">
        <v>138</v>
      </c>
      <c r="P546" s="31" t="s">
        <v>39</v>
      </c>
      <c r="Q546" s="31" t="s">
        <v>29</v>
      </c>
      <c r="R546" s="61" t="s">
        <v>39</v>
      </c>
    </row>
    <row r="547" ht="14.25" customHeight="1">
      <c r="A547" s="78">
        <v>245.0</v>
      </c>
      <c r="B547" s="60">
        <v>519.0</v>
      </c>
      <c r="C547" s="63" t="s">
        <v>959</v>
      </c>
      <c r="D547" s="63" t="s">
        <v>960</v>
      </c>
      <c r="E547" s="27" t="s">
        <v>25</v>
      </c>
      <c r="F547" s="120" t="s">
        <v>953</v>
      </c>
      <c r="G547" s="67"/>
      <c r="H547" s="35">
        <v>192.0</v>
      </c>
      <c r="I547" s="36">
        <v>14.0</v>
      </c>
      <c r="J547" s="36">
        <v>70.0</v>
      </c>
      <c r="K547" s="36">
        <v>5.0</v>
      </c>
      <c r="L547" s="36">
        <v>5.0</v>
      </c>
      <c r="M547" s="36" t="s">
        <v>39</v>
      </c>
      <c r="N547" s="36" t="s">
        <v>961</v>
      </c>
      <c r="O547" s="36" t="s">
        <v>138</v>
      </c>
      <c r="P547" s="36" t="s">
        <v>39</v>
      </c>
      <c r="Q547" s="31" t="s">
        <v>29</v>
      </c>
      <c r="R547" s="63" t="s">
        <v>39</v>
      </c>
    </row>
    <row r="548" ht="14.25" customHeight="1">
      <c r="A548" s="78">
        <v>246.0</v>
      </c>
      <c r="B548" s="62">
        <v>520.0</v>
      </c>
      <c r="C548" s="61" t="s">
        <v>962</v>
      </c>
      <c r="D548" s="61" t="s">
        <v>963</v>
      </c>
      <c r="E548" s="27" t="s">
        <v>25</v>
      </c>
      <c r="F548" s="65" t="s">
        <v>189</v>
      </c>
      <c r="G548" s="66"/>
      <c r="H548" s="30">
        <v>192.0</v>
      </c>
      <c r="I548" s="31">
        <v>14.0</v>
      </c>
      <c r="J548" s="31">
        <v>70.0</v>
      </c>
      <c r="K548" s="31">
        <v>5.0</v>
      </c>
      <c r="L548" s="31">
        <v>5.0</v>
      </c>
      <c r="M548" s="31" t="s">
        <v>39</v>
      </c>
      <c r="N548" s="31" t="s">
        <v>954</v>
      </c>
      <c r="O548" s="31" t="s">
        <v>138</v>
      </c>
      <c r="P548" s="31" t="s">
        <v>39</v>
      </c>
      <c r="Q548" s="31" t="s">
        <v>29</v>
      </c>
      <c r="R548" s="61" t="s">
        <v>39</v>
      </c>
    </row>
    <row r="549" ht="14.25" customHeight="1">
      <c r="A549" s="78">
        <v>247.0</v>
      </c>
      <c r="B549" s="60">
        <v>521.0</v>
      </c>
      <c r="C549" s="63" t="s">
        <v>964</v>
      </c>
      <c r="D549" s="63" t="s">
        <v>965</v>
      </c>
      <c r="E549" s="27" t="s">
        <v>25</v>
      </c>
      <c r="F549" s="120" t="s">
        <v>953</v>
      </c>
      <c r="G549" s="67"/>
      <c r="H549" s="35">
        <v>192.0</v>
      </c>
      <c r="I549" s="36">
        <v>14.0</v>
      </c>
      <c r="J549" s="36">
        <v>70.0</v>
      </c>
      <c r="K549" s="36">
        <v>5.0</v>
      </c>
      <c r="L549" s="36">
        <v>5.0</v>
      </c>
      <c r="M549" s="36" t="s">
        <v>39</v>
      </c>
      <c r="N549" s="36" t="s">
        <v>961</v>
      </c>
      <c r="O549" s="36" t="s">
        <v>138</v>
      </c>
      <c r="P549" s="36" t="s">
        <v>39</v>
      </c>
      <c r="Q549" s="31" t="s">
        <v>29</v>
      </c>
      <c r="R549" s="63" t="s">
        <v>39</v>
      </c>
    </row>
    <row r="550" ht="14.25" customHeight="1">
      <c r="A550" s="78">
        <v>248.0</v>
      </c>
      <c r="B550" s="60">
        <v>522.0</v>
      </c>
      <c r="C550" s="61" t="s">
        <v>966</v>
      </c>
      <c r="D550" s="61" t="s">
        <v>967</v>
      </c>
      <c r="E550" s="27" t="s">
        <v>25</v>
      </c>
      <c r="F550" s="120" t="s">
        <v>953</v>
      </c>
      <c r="G550" s="66"/>
      <c r="H550" s="30">
        <v>240.0</v>
      </c>
      <c r="I550" s="31">
        <v>22.0</v>
      </c>
      <c r="J550" s="31">
        <v>110.0</v>
      </c>
      <c r="K550" s="31">
        <v>3.0</v>
      </c>
      <c r="L550" s="31">
        <v>3.0</v>
      </c>
      <c r="M550" s="31" t="s">
        <v>39</v>
      </c>
      <c r="N550" s="31" t="s">
        <v>961</v>
      </c>
      <c r="O550" s="31" t="s">
        <v>138</v>
      </c>
      <c r="P550" s="31" t="s">
        <v>39</v>
      </c>
      <c r="Q550" s="31" t="s">
        <v>29</v>
      </c>
      <c r="R550" s="61" t="s">
        <v>39</v>
      </c>
    </row>
    <row r="551" ht="14.25" customHeight="1">
      <c r="A551" s="78">
        <v>249.0</v>
      </c>
      <c r="B551" s="62">
        <v>523.0</v>
      </c>
      <c r="C551" s="63" t="s">
        <v>968</v>
      </c>
      <c r="D551" s="63" t="s">
        <v>969</v>
      </c>
      <c r="E551" s="27" t="s">
        <v>25</v>
      </c>
      <c r="F551" s="65" t="s">
        <v>189</v>
      </c>
      <c r="G551" s="67"/>
      <c r="H551" s="35">
        <v>384.0</v>
      </c>
      <c r="I551" s="36">
        <v>38.0</v>
      </c>
      <c r="J551" s="36">
        <v>190.0</v>
      </c>
      <c r="K551" s="36">
        <v>7.0</v>
      </c>
      <c r="L551" s="36">
        <v>7.0</v>
      </c>
      <c r="M551" s="36" t="s">
        <v>39</v>
      </c>
      <c r="N551" s="36" t="s">
        <v>954</v>
      </c>
      <c r="O551" s="36" t="s">
        <v>138</v>
      </c>
      <c r="P551" s="36" t="s">
        <v>39</v>
      </c>
      <c r="Q551" s="31" t="s">
        <v>29</v>
      </c>
      <c r="R551" s="63" t="s">
        <v>39</v>
      </c>
    </row>
    <row r="552" ht="14.25" customHeight="1">
      <c r="A552" s="78">
        <v>250.0</v>
      </c>
      <c r="B552" s="60">
        <v>524.0</v>
      </c>
      <c r="C552" s="61" t="s">
        <v>970</v>
      </c>
      <c r="D552" s="61" t="s">
        <v>971</v>
      </c>
      <c r="E552" s="27" t="s">
        <v>25</v>
      </c>
      <c r="F552" s="65" t="s">
        <v>189</v>
      </c>
      <c r="G552" s="66"/>
      <c r="H552" s="30">
        <v>96.0</v>
      </c>
      <c r="I552" s="31">
        <v>6.0</v>
      </c>
      <c r="J552" s="31">
        <v>30.0</v>
      </c>
      <c r="K552" s="31">
        <v>2.0</v>
      </c>
      <c r="L552" s="31">
        <v>2.0</v>
      </c>
      <c r="M552" s="31" t="s">
        <v>39</v>
      </c>
      <c r="N552" s="31" t="s">
        <v>961</v>
      </c>
      <c r="O552" s="31" t="s">
        <v>138</v>
      </c>
      <c r="P552" s="31" t="s">
        <v>39</v>
      </c>
      <c r="Q552" s="31" t="s">
        <v>29</v>
      </c>
      <c r="R552" s="61" t="s">
        <v>39</v>
      </c>
    </row>
    <row r="553" ht="14.25" customHeight="1">
      <c r="A553" s="78">
        <v>251.0</v>
      </c>
      <c r="B553" s="60">
        <v>525.0</v>
      </c>
      <c r="C553" s="63" t="s">
        <v>972</v>
      </c>
      <c r="D553" s="63" t="s">
        <v>973</v>
      </c>
      <c r="E553" s="27" t="s">
        <v>25</v>
      </c>
      <c r="F553" s="65" t="s">
        <v>189</v>
      </c>
      <c r="G553" s="67"/>
      <c r="H553" s="35">
        <v>96.0</v>
      </c>
      <c r="I553" s="36">
        <v>6.0</v>
      </c>
      <c r="J553" s="36">
        <v>30.0</v>
      </c>
      <c r="K553" s="36">
        <v>2.0</v>
      </c>
      <c r="L553" s="36">
        <v>2.0</v>
      </c>
      <c r="M553" s="36" t="s">
        <v>39</v>
      </c>
      <c r="N553" s="36" t="s">
        <v>954</v>
      </c>
      <c r="O553" s="36" t="s">
        <v>138</v>
      </c>
      <c r="P553" s="36" t="s">
        <v>39</v>
      </c>
      <c r="Q553" s="31" t="s">
        <v>29</v>
      </c>
      <c r="R553" s="63" t="s">
        <v>39</v>
      </c>
    </row>
    <row r="554" ht="14.25" customHeight="1">
      <c r="A554" s="78">
        <v>252.0</v>
      </c>
      <c r="B554" s="62">
        <v>526.0</v>
      </c>
      <c r="C554" s="61" t="s">
        <v>974</v>
      </c>
      <c r="D554" s="61" t="s">
        <v>975</v>
      </c>
      <c r="E554" s="27" t="s">
        <v>25</v>
      </c>
      <c r="F554" s="120" t="s">
        <v>953</v>
      </c>
      <c r="G554" s="66"/>
      <c r="H554" s="30">
        <v>192.0</v>
      </c>
      <c r="I554" s="31">
        <v>14.0</v>
      </c>
      <c r="J554" s="31">
        <v>70.0</v>
      </c>
      <c r="K554" s="31">
        <v>3.0</v>
      </c>
      <c r="L554" s="31">
        <v>3.0</v>
      </c>
      <c r="M554" s="31" t="s">
        <v>39</v>
      </c>
      <c r="N554" s="31" t="s">
        <v>961</v>
      </c>
      <c r="O554" s="31" t="s">
        <v>138</v>
      </c>
      <c r="P554" s="31" t="s">
        <v>39</v>
      </c>
      <c r="Q554" s="31" t="s">
        <v>29</v>
      </c>
      <c r="R554" s="61" t="s">
        <v>39</v>
      </c>
    </row>
    <row r="555" ht="14.25" customHeight="1">
      <c r="A555" s="78">
        <v>253.0</v>
      </c>
      <c r="B555" s="60">
        <v>527.0</v>
      </c>
      <c r="C555" s="63" t="s">
        <v>976</v>
      </c>
      <c r="D555" s="63" t="s">
        <v>977</v>
      </c>
      <c r="E555" s="27" t="s">
        <v>25</v>
      </c>
      <c r="F555" s="120" t="s">
        <v>953</v>
      </c>
      <c r="G555" s="67"/>
      <c r="H555" s="35">
        <v>192.0</v>
      </c>
      <c r="I555" s="36">
        <v>14.0</v>
      </c>
      <c r="J555" s="36">
        <v>70.0</v>
      </c>
      <c r="K555" s="36">
        <v>3.0</v>
      </c>
      <c r="L555" s="36">
        <v>3.0</v>
      </c>
      <c r="M555" s="36" t="s">
        <v>39</v>
      </c>
      <c r="N555" s="36" t="s">
        <v>961</v>
      </c>
      <c r="O555" s="36" t="s">
        <v>138</v>
      </c>
      <c r="P555" s="36" t="s">
        <v>39</v>
      </c>
      <c r="Q555" s="31" t="s">
        <v>29</v>
      </c>
      <c r="R555" s="63" t="s">
        <v>39</v>
      </c>
    </row>
    <row r="556" ht="14.25" customHeight="1">
      <c r="A556" s="78">
        <v>254.0</v>
      </c>
      <c r="B556" s="60">
        <v>528.0</v>
      </c>
      <c r="C556" s="61" t="s">
        <v>978</v>
      </c>
      <c r="D556" s="61" t="s">
        <v>971</v>
      </c>
      <c r="E556" s="27" t="s">
        <v>25</v>
      </c>
      <c r="F556" s="65" t="s">
        <v>189</v>
      </c>
      <c r="G556" s="66"/>
      <c r="H556" s="30">
        <v>192.0</v>
      </c>
      <c r="I556" s="31">
        <v>14.0</v>
      </c>
      <c r="J556" s="31">
        <v>70.0</v>
      </c>
      <c r="K556" s="31">
        <v>3.0</v>
      </c>
      <c r="L556" s="31">
        <v>3.0</v>
      </c>
      <c r="M556" s="31" t="s">
        <v>39</v>
      </c>
      <c r="N556" s="31" t="s">
        <v>961</v>
      </c>
      <c r="O556" s="31" t="s">
        <v>138</v>
      </c>
      <c r="P556" s="31" t="s">
        <v>39</v>
      </c>
      <c r="Q556" s="31" t="s">
        <v>29</v>
      </c>
      <c r="R556" s="61" t="s">
        <v>39</v>
      </c>
    </row>
    <row r="557" ht="14.25" customHeight="1">
      <c r="A557" s="78">
        <v>255.0</v>
      </c>
      <c r="B557" s="62">
        <v>529.0</v>
      </c>
      <c r="C557" s="63" t="s">
        <v>979</v>
      </c>
      <c r="D557" s="63" t="s">
        <v>980</v>
      </c>
      <c r="E557" s="27" t="s">
        <v>25</v>
      </c>
      <c r="F557" s="65" t="s">
        <v>189</v>
      </c>
      <c r="G557" s="67"/>
      <c r="H557" s="35">
        <v>336.0</v>
      </c>
      <c r="I557" s="36">
        <v>37.0</v>
      </c>
      <c r="J557" s="36">
        <v>185.0</v>
      </c>
      <c r="K557" s="36">
        <v>7.0</v>
      </c>
      <c r="L557" s="36">
        <v>7.0</v>
      </c>
      <c r="M557" s="36" t="s">
        <v>39</v>
      </c>
      <c r="N557" s="36" t="s">
        <v>961</v>
      </c>
      <c r="O557" s="36" t="s">
        <v>138</v>
      </c>
      <c r="P557" s="36" t="s">
        <v>39</v>
      </c>
      <c r="Q557" s="31" t="s">
        <v>29</v>
      </c>
      <c r="R557" s="63" t="s">
        <v>39</v>
      </c>
    </row>
    <row r="558" ht="14.25" customHeight="1">
      <c r="A558" s="78">
        <v>256.0</v>
      </c>
      <c r="B558" s="60">
        <v>530.0</v>
      </c>
      <c r="C558" s="61" t="s">
        <v>981</v>
      </c>
      <c r="D558" s="61" t="s">
        <v>982</v>
      </c>
      <c r="E558" s="27" t="s">
        <v>25</v>
      </c>
      <c r="F558" s="120" t="s">
        <v>953</v>
      </c>
      <c r="G558" s="66"/>
      <c r="H558" s="30">
        <v>192.0</v>
      </c>
      <c r="I558" s="31">
        <v>14.0</v>
      </c>
      <c r="J558" s="31">
        <v>70.0</v>
      </c>
      <c r="K558" s="31">
        <v>3.0</v>
      </c>
      <c r="L558" s="31">
        <v>3.0</v>
      </c>
      <c r="M558" s="31" t="s">
        <v>39</v>
      </c>
      <c r="N558" s="31" t="s">
        <v>954</v>
      </c>
      <c r="O558" s="31" t="s">
        <v>138</v>
      </c>
      <c r="P558" s="31" t="s">
        <v>39</v>
      </c>
      <c r="Q558" s="31" t="s">
        <v>29</v>
      </c>
      <c r="R558" s="61" t="s">
        <v>39</v>
      </c>
    </row>
    <row r="559" ht="14.25" customHeight="1">
      <c r="A559" s="78">
        <v>257.0</v>
      </c>
      <c r="B559" s="60">
        <v>531.0</v>
      </c>
      <c r="C559" s="63" t="s">
        <v>983</v>
      </c>
      <c r="D559" s="63" t="s">
        <v>984</v>
      </c>
      <c r="E559" s="27" t="s">
        <v>25</v>
      </c>
      <c r="F559" s="65" t="s">
        <v>189</v>
      </c>
      <c r="G559" s="67"/>
      <c r="H559" s="35">
        <v>336.0</v>
      </c>
      <c r="I559" s="36">
        <v>37.0</v>
      </c>
      <c r="J559" s="36">
        <v>185.0</v>
      </c>
      <c r="K559" s="36">
        <v>7.0</v>
      </c>
      <c r="L559" s="36">
        <v>7.0</v>
      </c>
      <c r="M559" s="36" t="s">
        <v>39</v>
      </c>
      <c r="N559" s="36" t="s">
        <v>954</v>
      </c>
      <c r="O559" s="36" t="s">
        <v>138</v>
      </c>
      <c r="P559" s="36" t="s">
        <v>39</v>
      </c>
      <c r="Q559" s="31" t="s">
        <v>29</v>
      </c>
      <c r="R559" s="63" t="s">
        <v>39</v>
      </c>
    </row>
    <row r="560" ht="14.25" customHeight="1">
      <c r="A560" s="78">
        <v>258.0</v>
      </c>
      <c r="B560" s="62">
        <v>532.0</v>
      </c>
      <c r="C560" s="61" t="s">
        <v>985</v>
      </c>
      <c r="D560" s="61" t="s">
        <v>986</v>
      </c>
      <c r="E560" s="27" t="s">
        <v>25</v>
      </c>
      <c r="F560" s="65" t="s">
        <v>189</v>
      </c>
      <c r="G560" s="66"/>
      <c r="H560" s="30">
        <v>672.0</v>
      </c>
      <c r="I560" s="31">
        <v>80.0</v>
      </c>
      <c r="J560" s="31">
        <v>400.0</v>
      </c>
      <c r="K560" s="31">
        <v>14.0</v>
      </c>
      <c r="L560" s="31">
        <v>14.0</v>
      </c>
      <c r="M560" s="31" t="s">
        <v>39</v>
      </c>
      <c r="N560" s="31" t="s">
        <v>58</v>
      </c>
      <c r="O560" s="31" t="s">
        <v>138</v>
      </c>
      <c r="P560" s="31" t="s">
        <v>39</v>
      </c>
      <c r="Q560" s="31" t="s">
        <v>29</v>
      </c>
      <c r="R560" s="61" t="s">
        <v>39</v>
      </c>
    </row>
    <row r="561" ht="14.25" customHeight="1">
      <c r="A561" s="78">
        <v>259.0</v>
      </c>
      <c r="B561" s="60">
        <v>533.0</v>
      </c>
      <c r="C561" s="63" t="s">
        <v>987</v>
      </c>
      <c r="D561" s="63" t="s">
        <v>977</v>
      </c>
      <c r="E561" s="27" t="s">
        <v>25</v>
      </c>
      <c r="F561" s="120" t="s">
        <v>953</v>
      </c>
      <c r="G561" s="67"/>
      <c r="H561" s="35">
        <v>192.0</v>
      </c>
      <c r="I561" s="36">
        <v>14.0</v>
      </c>
      <c r="J561" s="36">
        <v>70.0</v>
      </c>
      <c r="K561" s="36">
        <v>5.0</v>
      </c>
      <c r="L561" s="36">
        <v>5.0</v>
      </c>
      <c r="M561" s="36" t="s">
        <v>39</v>
      </c>
      <c r="N561" s="36" t="s">
        <v>961</v>
      </c>
      <c r="O561" s="36" t="s">
        <v>138</v>
      </c>
      <c r="P561" s="36" t="s">
        <v>39</v>
      </c>
      <c r="Q561" s="31" t="s">
        <v>29</v>
      </c>
      <c r="R561" s="63" t="s">
        <v>39</v>
      </c>
    </row>
    <row r="562" ht="14.25" customHeight="1">
      <c r="A562" s="78">
        <v>260.0</v>
      </c>
      <c r="B562" s="60">
        <v>534.0</v>
      </c>
      <c r="C562" s="61" t="s">
        <v>988</v>
      </c>
      <c r="D562" s="61" t="s">
        <v>977</v>
      </c>
      <c r="E562" s="27" t="s">
        <v>25</v>
      </c>
      <c r="F562" s="120" t="s">
        <v>953</v>
      </c>
      <c r="G562" s="66"/>
      <c r="H562" s="30">
        <v>288.0</v>
      </c>
      <c r="I562" s="31">
        <v>30.0</v>
      </c>
      <c r="J562" s="31">
        <v>150.0</v>
      </c>
      <c r="K562" s="31">
        <v>7.0</v>
      </c>
      <c r="L562" s="31">
        <v>7.0</v>
      </c>
      <c r="M562" s="31" t="s">
        <v>39</v>
      </c>
      <c r="N562" s="31" t="s">
        <v>961</v>
      </c>
      <c r="O562" s="31" t="s">
        <v>138</v>
      </c>
      <c r="P562" s="31" t="s">
        <v>39</v>
      </c>
      <c r="Q562" s="31" t="s">
        <v>29</v>
      </c>
      <c r="R562" s="61" t="s">
        <v>39</v>
      </c>
    </row>
    <row r="563" ht="14.25" customHeight="1">
      <c r="A563" s="78">
        <v>261.0</v>
      </c>
      <c r="B563" s="62">
        <v>535.0</v>
      </c>
      <c r="C563" s="63" t="s">
        <v>989</v>
      </c>
      <c r="D563" s="63" t="s">
        <v>990</v>
      </c>
      <c r="E563" s="27" t="s">
        <v>25</v>
      </c>
      <c r="F563" s="120" t="s">
        <v>953</v>
      </c>
      <c r="G563" s="67"/>
      <c r="H563" s="35">
        <v>192.0</v>
      </c>
      <c r="I563" s="36">
        <v>14.0</v>
      </c>
      <c r="J563" s="36">
        <v>70.0</v>
      </c>
      <c r="K563" s="36">
        <v>3.0</v>
      </c>
      <c r="L563" s="36">
        <v>3.0</v>
      </c>
      <c r="M563" s="36" t="s">
        <v>39</v>
      </c>
      <c r="N563" s="36" t="s">
        <v>961</v>
      </c>
      <c r="O563" s="36" t="s">
        <v>138</v>
      </c>
      <c r="P563" s="36" t="s">
        <v>39</v>
      </c>
      <c r="Q563" s="31" t="s">
        <v>29</v>
      </c>
      <c r="R563" s="63" t="s">
        <v>39</v>
      </c>
    </row>
    <row r="564" ht="14.25" customHeight="1">
      <c r="A564" s="78">
        <v>262.0</v>
      </c>
      <c r="B564" s="60">
        <v>536.0</v>
      </c>
      <c r="C564" s="61" t="s">
        <v>991</v>
      </c>
      <c r="D564" s="61" t="s">
        <v>992</v>
      </c>
      <c r="E564" s="27" t="s">
        <v>25</v>
      </c>
      <c r="F564" s="65" t="s">
        <v>189</v>
      </c>
      <c r="G564" s="66"/>
      <c r="H564" s="30">
        <v>432.0</v>
      </c>
      <c r="I564" s="31">
        <v>40.0</v>
      </c>
      <c r="J564" s="31">
        <v>200.0</v>
      </c>
      <c r="K564" s="31">
        <v>10.0</v>
      </c>
      <c r="L564" s="31">
        <v>10.0</v>
      </c>
      <c r="M564" s="31" t="s">
        <v>39</v>
      </c>
      <c r="N564" s="31" t="s">
        <v>58</v>
      </c>
      <c r="O564" s="31" t="s">
        <v>138</v>
      </c>
      <c r="P564" s="31" t="s">
        <v>39</v>
      </c>
      <c r="Q564" s="31" t="s">
        <v>29</v>
      </c>
      <c r="R564" s="61" t="s">
        <v>39</v>
      </c>
    </row>
    <row r="565" ht="14.25" customHeight="1">
      <c r="A565" s="78">
        <v>263.0</v>
      </c>
      <c r="B565" s="60">
        <v>537.0</v>
      </c>
      <c r="C565" s="63" t="s">
        <v>993</v>
      </c>
      <c r="D565" s="63" t="s">
        <v>994</v>
      </c>
      <c r="E565" s="27" t="s">
        <v>25</v>
      </c>
      <c r="F565" s="65" t="s">
        <v>189</v>
      </c>
      <c r="G565" s="67"/>
      <c r="H565" s="35">
        <v>144.0</v>
      </c>
      <c r="I565" s="36">
        <v>12.0</v>
      </c>
      <c r="J565" s="36">
        <v>60.0</v>
      </c>
      <c r="K565" s="36">
        <v>3.0</v>
      </c>
      <c r="L565" s="36">
        <v>3.0</v>
      </c>
      <c r="M565" s="36" t="s">
        <v>39</v>
      </c>
      <c r="N565" s="36" t="s">
        <v>954</v>
      </c>
      <c r="O565" s="36" t="s">
        <v>138</v>
      </c>
      <c r="P565" s="36" t="s">
        <v>39</v>
      </c>
      <c r="Q565" s="31" t="s">
        <v>29</v>
      </c>
      <c r="R565" s="63" t="s">
        <v>39</v>
      </c>
    </row>
    <row r="566" ht="14.25" customHeight="1">
      <c r="A566" s="78">
        <v>264.0</v>
      </c>
      <c r="B566" s="62">
        <v>538.0</v>
      </c>
      <c r="C566" s="61" t="s">
        <v>995</v>
      </c>
      <c r="D566" s="61" t="s">
        <v>996</v>
      </c>
      <c r="E566" s="27" t="s">
        <v>25</v>
      </c>
      <c r="F566" s="65" t="s">
        <v>189</v>
      </c>
      <c r="G566" s="66"/>
      <c r="H566" s="30">
        <v>240.0</v>
      </c>
      <c r="I566" s="31">
        <v>22.0</v>
      </c>
      <c r="J566" s="31">
        <v>110.0</v>
      </c>
      <c r="K566" s="31">
        <v>3.0</v>
      </c>
      <c r="L566" s="31">
        <v>3.0</v>
      </c>
      <c r="M566" s="31" t="s">
        <v>39</v>
      </c>
      <c r="N566" s="31" t="s">
        <v>954</v>
      </c>
      <c r="O566" s="31" t="s">
        <v>138</v>
      </c>
      <c r="P566" s="31" t="s">
        <v>39</v>
      </c>
      <c r="Q566" s="31" t="s">
        <v>29</v>
      </c>
      <c r="R566" s="61" t="s">
        <v>39</v>
      </c>
    </row>
    <row r="567" ht="14.25" customHeight="1">
      <c r="A567" s="78">
        <v>265.0</v>
      </c>
      <c r="B567" s="60">
        <v>539.0</v>
      </c>
      <c r="C567" s="63" t="s">
        <v>997</v>
      </c>
      <c r="D567" s="63" t="s">
        <v>998</v>
      </c>
      <c r="E567" s="27" t="s">
        <v>25</v>
      </c>
      <c r="F567" s="120" t="s">
        <v>953</v>
      </c>
      <c r="G567" s="67"/>
      <c r="H567" s="35">
        <v>144.0</v>
      </c>
      <c r="I567" s="36">
        <v>12.0</v>
      </c>
      <c r="J567" s="36">
        <v>60.0</v>
      </c>
      <c r="K567" s="36">
        <v>3.0</v>
      </c>
      <c r="L567" s="36">
        <v>3.0</v>
      </c>
      <c r="M567" s="36" t="s">
        <v>39</v>
      </c>
      <c r="N567" s="36" t="s">
        <v>954</v>
      </c>
      <c r="O567" s="36" t="s">
        <v>138</v>
      </c>
      <c r="P567" s="36" t="s">
        <v>39</v>
      </c>
      <c r="Q567" s="31" t="s">
        <v>29</v>
      </c>
      <c r="R567" s="63" t="s">
        <v>39</v>
      </c>
    </row>
    <row r="568" ht="14.25" customHeight="1">
      <c r="A568" s="78">
        <v>266.0</v>
      </c>
      <c r="B568" s="60">
        <v>540.0</v>
      </c>
      <c r="C568" s="61" t="s">
        <v>999</v>
      </c>
      <c r="D568" s="61" t="s">
        <v>1000</v>
      </c>
      <c r="E568" s="27" t="s">
        <v>25</v>
      </c>
      <c r="F568" s="120" t="s">
        <v>953</v>
      </c>
      <c r="G568" s="66"/>
      <c r="H568" s="30">
        <v>96.0</v>
      </c>
      <c r="I568" s="31">
        <v>6.0</v>
      </c>
      <c r="J568" s="31">
        <v>30.0</v>
      </c>
      <c r="K568" s="31">
        <v>3.0</v>
      </c>
      <c r="L568" s="31">
        <v>3.0</v>
      </c>
      <c r="M568" s="31" t="s">
        <v>39</v>
      </c>
      <c r="N568" s="31" t="s">
        <v>954</v>
      </c>
      <c r="O568" s="31" t="s">
        <v>138</v>
      </c>
      <c r="P568" s="31" t="s">
        <v>39</v>
      </c>
      <c r="Q568" s="31" t="s">
        <v>29</v>
      </c>
      <c r="R568" s="61" t="s">
        <v>39</v>
      </c>
    </row>
    <row r="569" ht="14.25" customHeight="1">
      <c r="A569" s="78">
        <v>267.0</v>
      </c>
      <c r="B569" s="62">
        <v>541.0</v>
      </c>
      <c r="C569" s="63" t="s">
        <v>1001</v>
      </c>
      <c r="D569" s="63" t="s">
        <v>1002</v>
      </c>
      <c r="E569" s="27" t="s">
        <v>25</v>
      </c>
      <c r="F569" s="65" t="s">
        <v>189</v>
      </c>
      <c r="G569" s="67"/>
      <c r="H569" s="35">
        <v>144.0</v>
      </c>
      <c r="I569" s="36">
        <v>22.0</v>
      </c>
      <c r="J569" s="36">
        <v>110.0</v>
      </c>
      <c r="K569" s="36">
        <v>3.0</v>
      </c>
      <c r="L569" s="36">
        <v>3.0</v>
      </c>
      <c r="M569" s="36" t="s">
        <v>39</v>
      </c>
      <c r="N569" s="31" t="s">
        <v>58</v>
      </c>
      <c r="O569" s="36" t="s">
        <v>138</v>
      </c>
      <c r="P569" s="36" t="s">
        <v>39</v>
      </c>
      <c r="Q569" s="31" t="s">
        <v>29</v>
      </c>
      <c r="R569" s="63" t="s">
        <v>39</v>
      </c>
    </row>
    <row r="570" ht="14.25" customHeight="1">
      <c r="A570" s="78">
        <v>268.0</v>
      </c>
      <c r="B570" s="60">
        <v>542.0</v>
      </c>
      <c r="C570" s="61" t="s">
        <v>1003</v>
      </c>
      <c r="D570" s="61" t="s">
        <v>971</v>
      </c>
      <c r="E570" s="27" t="s">
        <v>25</v>
      </c>
      <c r="F570" s="120" t="s">
        <v>953</v>
      </c>
      <c r="G570" s="66"/>
      <c r="H570" s="30">
        <v>96.0</v>
      </c>
      <c r="I570" s="31">
        <v>6.0</v>
      </c>
      <c r="J570" s="31">
        <v>30.0</v>
      </c>
      <c r="K570" s="31">
        <v>2.0</v>
      </c>
      <c r="L570" s="31">
        <v>2.0</v>
      </c>
      <c r="M570" s="31" t="s">
        <v>39</v>
      </c>
      <c r="N570" s="31" t="s">
        <v>961</v>
      </c>
      <c r="O570" s="31" t="s">
        <v>138</v>
      </c>
      <c r="P570" s="31" t="s">
        <v>39</v>
      </c>
      <c r="Q570" s="31" t="s">
        <v>29</v>
      </c>
      <c r="R570" s="61" t="s">
        <v>39</v>
      </c>
    </row>
    <row r="571" ht="14.25" customHeight="1">
      <c r="A571" s="78">
        <v>269.0</v>
      </c>
      <c r="B571" s="60">
        <v>543.0</v>
      </c>
      <c r="C571" s="63" t="s">
        <v>1004</v>
      </c>
      <c r="D571" s="63" t="s">
        <v>1005</v>
      </c>
      <c r="E571" s="27" t="s">
        <v>25</v>
      </c>
      <c r="F571" s="65" t="s">
        <v>189</v>
      </c>
      <c r="G571" s="67"/>
      <c r="H571" s="35">
        <v>336.0</v>
      </c>
      <c r="I571" s="36">
        <v>37.0</v>
      </c>
      <c r="J571" s="36">
        <v>185.0</v>
      </c>
      <c r="K571" s="36">
        <v>7.0</v>
      </c>
      <c r="L571" s="36">
        <v>7.0</v>
      </c>
      <c r="M571" s="36" t="s">
        <v>39</v>
      </c>
      <c r="N571" s="36" t="s">
        <v>954</v>
      </c>
      <c r="O571" s="36" t="s">
        <v>138</v>
      </c>
      <c r="P571" s="36" t="s">
        <v>39</v>
      </c>
      <c r="Q571" s="31" t="s">
        <v>29</v>
      </c>
      <c r="R571" s="63" t="s">
        <v>39</v>
      </c>
    </row>
    <row r="572" ht="14.25" customHeight="1">
      <c r="A572" s="78">
        <v>270.0</v>
      </c>
      <c r="B572" s="62">
        <v>544.0</v>
      </c>
      <c r="C572" s="61" t="s">
        <v>1006</v>
      </c>
      <c r="D572" s="61" t="s">
        <v>963</v>
      </c>
      <c r="E572" s="27" t="s">
        <v>25</v>
      </c>
      <c r="F572" s="65" t="s">
        <v>189</v>
      </c>
      <c r="G572" s="66"/>
      <c r="H572" s="30">
        <v>336.0</v>
      </c>
      <c r="I572" s="31">
        <v>37.0</v>
      </c>
      <c r="J572" s="31">
        <v>185.0</v>
      </c>
      <c r="K572" s="31">
        <v>7.0</v>
      </c>
      <c r="L572" s="31">
        <v>7.0</v>
      </c>
      <c r="M572" s="31" t="s">
        <v>39</v>
      </c>
      <c r="N572" s="31" t="s">
        <v>961</v>
      </c>
      <c r="O572" s="31" t="s">
        <v>138</v>
      </c>
      <c r="P572" s="31" t="s">
        <v>39</v>
      </c>
      <c r="Q572" s="31" t="s">
        <v>29</v>
      </c>
      <c r="R572" s="61" t="s">
        <v>39</v>
      </c>
    </row>
    <row r="573" ht="14.25" customHeight="1">
      <c r="A573" s="78">
        <v>271.0</v>
      </c>
      <c r="B573" s="60">
        <v>545.0</v>
      </c>
      <c r="C573" s="63" t="s">
        <v>1007</v>
      </c>
      <c r="D573" s="63" t="s">
        <v>1008</v>
      </c>
      <c r="E573" s="27" t="s">
        <v>25</v>
      </c>
      <c r="F573" s="65" t="s">
        <v>189</v>
      </c>
      <c r="G573" s="67"/>
      <c r="H573" s="35">
        <v>336.0</v>
      </c>
      <c r="I573" s="36">
        <v>37.0</v>
      </c>
      <c r="J573" s="36">
        <v>185.0</v>
      </c>
      <c r="K573" s="36">
        <v>7.0</v>
      </c>
      <c r="L573" s="36">
        <v>7.0</v>
      </c>
      <c r="M573" s="36" t="s">
        <v>39</v>
      </c>
      <c r="N573" s="31" t="s">
        <v>58</v>
      </c>
      <c r="O573" s="36" t="s">
        <v>138</v>
      </c>
      <c r="P573" s="36" t="s">
        <v>39</v>
      </c>
      <c r="Q573" s="31" t="s">
        <v>29</v>
      </c>
      <c r="R573" s="63" t="s">
        <v>39</v>
      </c>
    </row>
    <row r="574" ht="14.25" customHeight="1">
      <c r="A574" s="78">
        <v>272.0</v>
      </c>
      <c r="B574" s="60">
        <v>546.0</v>
      </c>
      <c r="C574" s="61" t="s">
        <v>1009</v>
      </c>
      <c r="D574" s="61" t="s">
        <v>1010</v>
      </c>
      <c r="E574" s="27" t="s">
        <v>25</v>
      </c>
      <c r="F574" s="65" t="s">
        <v>189</v>
      </c>
      <c r="G574" s="66"/>
      <c r="H574" s="30">
        <v>288.0</v>
      </c>
      <c r="I574" s="31">
        <v>30.0</v>
      </c>
      <c r="J574" s="31">
        <v>150.0</v>
      </c>
      <c r="K574" s="31">
        <v>5.0</v>
      </c>
      <c r="L574" s="31">
        <v>5.0</v>
      </c>
      <c r="M574" s="31" t="s">
        <v>39</v>
      </c>
      <c r="N574" s="31" t="s">
        <v>58</v>
      </c>
      <c r="O574" s="31" t="s">
        <v>138</v>
      </c>
      <c r="P574" s="31" t="s">
        <v>39</v>
      </c>
      <c r="Q574" s="31" t="s">
        <v>29</v>
      </c>
      <c r="R574" s="61" t="s">
        <v>39</v>
      </c>
    </row>
    <row r="575" ht="14.25" customHeight="1">
      <c r="A575" s="78">
        <v>273.0</v>
      </c>
      <c r="B575" s="62">
        <v>547.0</v>
      </c>
      <c r="C575" s="63" t="s">
        <v>1011</v>
      </c>
      <c r="D575" s="63" t="s">
        <v>980</v>
      </c>
      <c r="E575" s="27" t="s">
        <v>25</v>
      </c>
      <c r="F575" s="65" t="s">
        <v>189</v>
      </c>
      <c r="G575" s="67"/>
      <c r="H575" s="35">
        <v>96.0</v>
      </c>
      <c r="I575" s="36">
        <v>6.0</v>
      </c>
      <c r="J575" s="36">
        <v>30.0</v>
      </c>
      <c r="K575" s="36">
        <v>2.0</v>
      </c>
      <c r="L575" s="36">
        <v>2.0</v>
      </c>
      <c r="M575" s="36" t="s">
        <v>39</v>
      </c>
      <c r="N575" s="36" t="s">
        <v>954</v>
      </c>
      <c r="O575" s="36" t="s">
        <v>138</v>
      </c>
      <c r="P575" s="36" t="s">
        <v>39</v>
      </c>
      <c r="Q575" s="31" t="s">
        <v>29</v>
      </c>
      <c r="R575" s="63" t="s">
        <v>39</v>
      </c>
    </row>
    <row r="576" ht="14.25" customHeight="1">
      <c r="A576" s="78">
        <v>274.0</v>
      </c>
      <c r="B576" s="60">
        <v>548.0</v>
      </c>
      <c r="C576" s="61" t="s">
        <v>1012</v>
      </c>
      <c r="D576" s="61" t="s">
        <v>1013</v>
      </c>
      <c r="E576" s="27" t="s">
        <v>25</v>
      </c>
      <c r="F576" s="65" t="s">
        <v>189</v>
      </c>
      <c r="G576" s="66"/>
      <c r="H576" s="30">
        <v>336.0</v>
      </c>
      <c r="I576" s="31">
        <v>37.0</v>
      </c>
      <c r="J576" s="31">
        <v>185.0</v>
      </c>
      <c r="K576" s="31">
        <v>7.0</v>
      </c>
      <c r="L576" s="31">
        <v>7.0</v>
      </c>
      <c r="M576" s="31" t="s">
        <v>39</v>
      </c>
      <c r="N576" s="31" t="s">
        <v>954</v>
      </c>
      <c r="O576" s="31" t="s">
        <v>138</v>
      </c>
      <c r="P576" s="31" t="s">
        <v>39</v>
      </c>
      <c r="Q576" s="31" t="s">
        <v>29</v>
      </c>
      <c r="R576" s="61" t="s">
        <v>39</v>
      </c>
    </row>
    <row r="577" ht="14.25" customHeight="1">
      <c r="A577" s="78">
        <v>275.0</v>
      </c>
      <c r="B577" s="60">
        <v>549.0</v>
      </c>
      <c r="C577" s="63" t="s">
        <v>1014</v>
      </c>
      <c r="D577" s="63" t="s">
        <v>996</v>
      </c>
      <c r="E577" s="27" t="s">
        <v>25</v>
      </c>
      <c r="F577" s="65" t="s">
        <v>189</v>
      </c>
      <c r="G577" s="67"/>
      <c r="H577" s="35">
        <v>192.0</v>
      </c>
      <c r="I577" s="36">
        <v>14.0</v>
      </c>
      <c r="J577" s="36">
        <v>70.0</v>
      </c>
      <c r="K577" s="36">
        <v>3.0</v>
      </c>
      <c r="L577" s="36">
        <v>3.0</v>
      </c>
      <c r="M577" s="36" t="s">
        <v>39</v>
      </c>
      <c r="N577" s="36" t="s">
        <v>961</v>
      </c>
      <c r="O577" s="36" t="s">
        <v>138</v>
      </c>
      <c r="P577" s="36" t="s">
        <v>39</v>
      </c>
      <c r="Q577" s="31" t="s">
        <v>29</v>
      </c>
      <c r="R577" s="63" t="s">
        <v>39</v>
      </c>
    </row>
    <row r="578" ht="14.25" customHeight="1">
      <c r="A578" s="78">
        <v>276.0</v>
      </c>
      <c r="B578" s="62">
        <v>550.0</v>
      </c>
      <c r="C578" s="61" t="s">
        <v>1015</v>
      </c>
      <c r="D578" s="61" t="s">
        <v>1016</v>
      </c>
      <c r="E578" s="27" t="s">
        <v>25</v>
      </c>
      <c r="F578" s="120" t="s">
        <v>953</v>
      </c>
      <c r="G578" s="66"/>
      <c r="H578" s="30">
        <v>192.0</v>
      </c>
      <c r="I578" s="31">
        <v>14.0</v>
      </c>
      <c r="J578" s="31">
        <v>70.0</v>
      </c>
      <c r="K578" s="31">
        <v>3.0</v>
      </c>
      <c r="L578" s="31">
        <v>3.0</v>
      </c>
      <c r="M578" s="31" t="s">
        <v>39</v>
      </c>
      <c r="N578" s="31" t="s">
        <v>961</v>
      </c>
      <c r="O578" s="31" t="s">
        <v>138</v>
      </c>
      <c r="P578" s="31" t="s">
        <v>39</v>
      </c>
      <c r="Q578" s="31" t="s">
        <v>29</v>
      </c>
      <c r="R578" s="61" t="s">
        <v>39</v>
      </c>
    </row>
    <row r="579" ht="14.25" customHeight="1">
      <c r="A579" s="78">
        <v>277.0</v>
      </c>
      <c r="B579" s="60">
        <v>551.0</v>
      </c>
      <c r="C579" s="63" t="s">
        <v>1017</v>
      </c>
      <c r="D579" s="63" t="s">
        <v>1018</v>
      </c>
      <c r="E579" s="27" t="s">
        <v>25</v>
      </c>
      <c r="F579" s="120" t="s">
        <v>953</v>
      </c>
      <c r="G579" s="67"/>
      <c r="H579" s="35">
        <v>336.0</v>
      </c>
      <c r="I579" s="36">
        <v>37.0</v>
      </c>
      <c r="J579" s="36">
        <v>185.0</v>
      </c>
      <c r="K579" s="36">
        <v>7.0</v>
      </c>
      <c r="L579" s="36">
        <v>7.0</v>
      </c>
      <c r="M579" s="36" t="s">
        <v>39</v>
      </c>
      <c r="N579" s="36" t="s">
        <v>961</v>
      </c>
      <c r="O579" s="36" t="s">
        <v>138</v>
      </c>
      <c r="P579" s="36" t="s">
        <v>39</v>
      </c>
      <c r="Q579" s="31" t="s">
        <v>29</v>
      </c>
      <c r="R579" s="63" t="s">
        <v>39</v>
      </c>
    </row>
    <row r="580" ht="14.25" customHeight="1">
      <c r="A580" s="78">
        <v>278.0</v>
      </c>
      <c r="B580" s="60">
        <v>552.0</v>
      </c>
      <c r="C580" s="61" t="s">
        <v>1019</v>
      </c>
      <c r="D580" s="61" t="s">
        <v>977</v>
      </c>
      <c r="E580" s="27" t="s">
        <v>25</v>
      </c>
      <c r="F580" s="65" t="s">
        <v>189</v>
      </c>
      <c r="G580" s="66"/>
      <c r="H580" s="30">
        <v>192.0</v>
      </c>
      <c r="I580" s="31">
        <v>14.0</v>
      </c>
      <c r="J580" s="31">
        <v>70.0</v>
      </c>
      <c r="K580" s="31">
        <v>3.0</v>
      </c>
      <c r="L580" s="31">
        <v>3.0</v>
      </c>
      <c r="M580" s="31" t="s">
        <v>39</v>
      </c>
      <c r="N580" s="31" t="s">
        <v>961</v>
      </c>
      <c r="O580" s="31" t="s">
        <v>138</v>
      </c>
      <c r="P580" s="31" t="s">
        <v>39</v>
      </c>
      <c r="Q580" s="31" t="s">
        <v>29</v>
      </c>
      <c r="R580" s="61" t="s">
        <v>39</v>
      </c>
    </row>
    <row r="581" ht="14.25" customHeight="1">
      <c r="A581" s="78">
        <v>279.0</v>
      </c>
      <c r="B581" s="62">
        <v>553.0</v>
      </c>
      <c r="C581" s="63" t="s">
        <v>1020</v>
      </c>
      <c r="D581" s="63" t="s">
        <v>945</v>
      </c>
      <c r="E581" s="27" t="s">
        <v>25</v>
      </c>
      <c r="F581" s="65" t="s">
        <v>189</v>
      </c>
      <c r="G581" s="67"/>
      <c r="H581" s="35">
        <v>720.0</v>
      </c>
      <c r="I581" s="36">
        <v>90.0</v>
      </c>
      <c r="J581" s="36">
        <v>450.0</v>
      </c>
      <c r="K581" s="36">
        <v>12.0</v>
      </c>
      <c r="L581" s="36">
        <v>12.0</v>
      </c>
      <c r="M581" s="36" t="s">
        <v>39</v>
      </c>
      <c r="N581" s="31" t="s">
        <v>58</v>
      </c>
      <c r="O581" s="36" t="s">
        <v>138</v>
      </c>
      <c r="P581" s="36" t="s">
        <v>39</v>
      </c>
      <c r="Q581" s="31" t="s">
        <v>29</v>
      </c>
      <c r="R581" s="63" t="s">
        <v>39</v>
      </c>
    </row>
    <row r="582" ht="14.25" customHeight="1">
      <c r="A582" s="78">
        <v>280.0</v>
      </c>
      <c r="B582" s="121">
        <v>554.0</v>
      </c>
      <c r="C582" s="122" t="s">
        <v>1021</v>
      </c>
      <c r="D582" s="122" t="s">
        <v>1022</v>
      </c>
      <c r="E582" s="27" t="s">
        <v>25</v>
      </c>
      <c r="F582" s="65" t="s">
        <v>189</v>
      </c>
      <c r="G582" s="123"/>
      <c r="H582" s="30">
        <v>432.0</v>
      </c>
      <c r="I582" s="31">
        <v>40.0</v>
      </c>
      <c r="J582" s="31">
        <v>200.0</v>
      </c>
      <c r="K582" s="31">
        <v>8.0</v>
      </c>
      <c r="L582" s="31">
        <v>8.0</v>
      </c>
      <c r="M582" s="31" t="s">
        <v>39</v>
      </c>
      <c r="N582" s="31" t="s">
        <v>954</v>
      </c>
      <c r="O582" s="31" t="s">
        <v>138</v>
      </c>
      <c r="P582" s="31" t="s">
        <v>39</v>
      </c>
      <c r="Q582" s="31" t="s">
        <v>29</v>
      </c>
      <c r="R582" s="61" t="s">
        <v>39</v>
      </c>
    </row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N1:O1"/>
    <mergeCell ref="P1:P2"/>
    <mergeCell ref="Q1:R1"/>
    <mergeCell ref="B1:B2"/>
    <mergeCell ref="C1:C2"/>
    <mergeCell ref="D1:D2"/>
    <mergeCell ref="E1:G1"/>
    <mergeCell ref="H1:H2"/>
    <mergeCell ref="I1:J1"/>
    <mergeCell ref="K1:M1"/>
  </mergeCells>
  <conditionalFormatting sqref="A4:F5 H4:Q5 A7:F9 H7:Q9 A11:F14 H11:Q14 A16:F17 H16:Q17 A19:F64 H19:Q64 A66:F83 H66:Q83 A85:F142 H85:Q142 A144:F166 H144:Q166 A168:F171 H168:Q171 A173:F178 H173:Q178 A180:F205 H180:Q205 A207:F207 H207:Q207 A209:F220 H209:Q220 A222:F238 H222:Q238 A240:F250 H240:Q250 A252:F267 H252:Q267 A269:F285 H269:Q285 A287:F296 H287:Q296 A298:F343 H298:Q343 A345:F384 H345:Q384 A386:F464 H386:Q464 A467:F485 H467:Q485 A488:F536 H488:Q536 A538:F582 H538:Q582">
    <cfRule type="containsBlanks" dxfId="0" priority="1">
      <formula>LEN(TRIM(A4))=0</formula>
    </cfRule>
  </conditionalFormatting>
  <dataValidations>
    <dataValidation type="list" allowBlank="1" showErrorMessage="1" sqref="Q4:Q5 Q7:Q9 Q11:Q14 Q16:Q17 Q19:Q22 Q66:Q83 Q85:Q142 Q144:Q166 Q168:Q171 Q173:Q178 Q180:Q205 Q207 Q209:Q220 Q222:Q238 Q240:Q250 Q252:Q267 Q269:Q285 Q287:Q296 Q298:Q343 Q345:Q384 Q386:Q465 Q467:Q486 Q488:Q536 Q538:Q582">
      <formula1>"YES,NO"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43"/>
    <col customWidth="1" min="2" max="2" width="50.0"/>
    <col customWidth="1" min="3" max="3" width="57.57"/>
    <col customWidth="1" min="4" max="4" width="23.29"/>
    <col customWidth="1" min="5" max="5" width="38.86"/>
    <col customWidth="1" min="6" max="6" width="23.29"/>
    <col customWidth="1" min="7" max="7" width="18.0"/>
    <col customWidth="1" min="8" max="8" width="11.43"/>
    <col customWidth="1" min="9" max="9" width="14.29"/>
    <col customWidth="1" min="10" max="12" width="12.29"/>
    <col customWidth="1" min="13" max="13" width="18.57"/>
    <col customWidth="1" min="14" max="15" width="18.29"/>
    <col customWidth="1" min="16" max="16" width="15.43"/>
    <col customWidth="1" min="17" max="17" width="26.43"/>
    <col customWidth="1" min="18" max="30" width="14.43"/>
  </cols>
  <sheetData>
    <row r="1" ht="14.25" customHeight="1">
      <c r="A1" s="124" t="s">
        <v>0</v>
      </c>
      <c r="B1" s="124" t="s">
        <v>1023</v>
      </c>
      <c r="C1" s="124" t="s">
        <v>1024</v>
      </c>
      <c r="D1" s="125" t="s">
        <v>3</v>
      </c>
      <c r="E1" s="10"/>
      <c r="F1" s="9"/>
      <c r="G1" s="124" t="s">
        <v>1025</v>
      </c>
      <c r="H1" s="126" t="s">
        <v>5</v>
      </c>
      <c r="I1" s="9"/>
      <c r="J1" s="126" t="s">
        <v>6</v>
      </c>
      <c r="K1" s="10"/>
      <c r="L1" s="9"/>
      <c r="M1" s="126" t="s">
        <v>7</v>
      </c>
      <c r="N1" s="9"/>
      <c r="O1" s="124" t="s">
        <v>1026</v>
      </c>
      <c r="P1" s="126" t="s">
        <v>9</v>
      </c>
      <c r="Q1" s="9"/>
      <c r="R1" s="127"/>
      <c r="S1" s="127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</row>
    <row r="2" ht="81.75" customHeight="1">
      <c r="A2" s="13"/>
      <c r="B2" s="13"/>
      <c r="C2" s="13"/>
      <c r="D2" s="127" t="s">
        <v>10</v>
      </c>
      <c r="E2" s="127" t="s">
        <v>11</v>
      </c>
      <c r="F2" s="127" t="s">
        <v>12</v>
      </c>
      <c r="G2" s="13"/>
      <c r="H2" s="127" t="s">
        <v>1027</v>
      </c>
      <c r="I2" s="127" t="s">
        <v>1028</v>
      </c>
      <c r="J2" s="127" t="s">
        <v>1029</v>
      </c>
      <c r="K2" s="127" t="s">
        <v>1030</v>
      </c>
      <c r="L2" s="127" t="s">
        <v>1031</v>
      </c>
      <c r="M2" s="127" t="s">
        <v>1032</v>
      </c>
      <c r="N2" s="127" t="s">
        <v>1033</v>
      </c>
      <c r="O2" s="13"/>
      <c r="P2" s="127" t="s">
        <v>1034</v>
      </c>
      <c r="Q2" s="127" t="s">
        <v>1035</v>
      </c>
      <c r="R2" s="127"/>
      <c r="S2" s="127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</row>
    <row r="3" ht="14.25" customHeight="1">
      <c r="A3" s="19"/>
      <c r="B3" s="20" t="s">
        <v>1036</v>
      </c>
      <c r="C3" s="21"/>
      <c r="D3" s="22"/>
      <c r="E3" s="22"/>
      <c r="F3" s="23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</row>
    <row r="4" ht="14.25" customHeight="1">
      <c r="A4" s="130">
        <v>1.0</v>
      </c>
      <c r="B4" s="131" t="s">
        <v>1037</v>
      </c>
      <c r="C4" s="131" t="s">
        <v>1038</v>
      </c>
      <c r="D4" s="131" t="s">
        <v>25</v>
      </c>
      <c r="E4" s="131" t="s">
        <v>189</v>
      </c>
      <c r="F4" s="55"/>
      <c r="G4" s="130">
        <v>450.0</v>
      </c>
      <c r="H4" s="130">
        <v>20.0</v>
      </c>
      <c r="I4" s="130">
        <v>100.0</v>
      </c>
      <c r="J4" s="130">
        <v>3.0</v>
      </c>
      <c r="K4" s="130">
        <v>3.0</v>
      </c>
      <c r="L4" s="130" t="s">
        <v>39</v>
      </c>
      <c r="M4" s="130" t="s">
        <v>65</v>
      </c>
      <c r="N4" s="130" t="s">
        <v>39</v>
      </c>
      <c r="O4" s="130" t="s">
        <v>39</v>
      </c>
      <c r="P4" s="130" t="s">
        <v>29</v>
      </c>
      <c r="Q4" s="130" t="s">
        <v>39</v>
      </c>
      <c r="R4" s="132"/>
      <c r="S4" s="52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</row>
    <row r="5" ht="14.25" customHeight="1">
      <c r="A5" s="130">
        <v>2.0</v>
      </c>
      <c r="B5" s="131" t="s">
        <v>1039</v>
      </c>
      <c r="C5" s="131" t="s">
        <v>1040</v>
      </c>
      <c r="D5" s="131" t="s">
        <v>25</v>
      </c>
      <c r="E5" s="131" t="s">
        <v>189</v>
      </c>
      <c r="F5" s="55"/>
      <c r="G5" s="130">
        <v>100.0</v>
      </c>
      <c r="H5" s="130">
        <v>30.0</v>
      </c>
      <c r="I5" s="130">
        <v>50.0</v>
      </c>
      <c r="J5" s="130">
        <v>10.0</v>
      </c>
      <c r="K5" s="130">
        <v>10.0</v>
      </c>
      <c r="L5" s="130" t="s">
        <v>39</v>
      </c>
      <c r="M5" s="130" t="s">
        <v>65</v>
      </c>
      <c r="N5" s="130" t="s">
        <v>39</v>
      </c>
      <c r="O5" s="130" t="s">
        <v>39</v>
      </c>
      <c r="P5" s="130" t="s">
        <v>29</v>
      </c>
      <c r="Q5" s="130" t="s">
        <v>39</v>
      </c>
      <c r="R5" s="132"/>
      <c r="S5" s="52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</row>
    <row r="6" ht="14.25" customHeight="1">
      <c r="A6" s="19"/>
      <c r="B6" s="20" t="s">
        <v>1041</v>
      </c>
      <c r="C6" s="21"/>
      <c r="D6" s="22"/>
      <c r="E6" s="22"/>
      <c r="F6" s="23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</row>
    <row r="7" ht="14.25" customHeight="1">
      <c r="A7" s="133">
        <v>1.0</v>
      </c>
      <c r="B7" s="134" t="s">
        <v>1042</v>
      </c>
      <c r="C7" s="134" t="s">
        <v>1043</v>
      </c>
      <c r="D7" s="135" t="s">
        <v>1044</v>
      </c>
      <c r="E7" s="136" t="s">
        <v>57</v>
      </c>
      <c r="F7" s="53" t="s">
        <v>46</v>
      </c>
      <c r="G7" s="137" t="s">
        <v>1045</v>
      </c>
      <c r="H7" s="135">
        <v>15.0</v>
      </c>
      <c r="I7" s="137">
        <v>1200.0</v>
      </c>
      <c r="J7" s="135">
        <v>1.0</v>
      </c>
      <c r="K7" s="138">
        <v>1.0</v>
      </c>
      <c r="L7" s="137" t="s">
        <v>138</v>
      </c>
      <c r="M7" s="139" t="s">
        <v>1046</v>
      </c>
      <c r="N7" s="137" t="s">
        <v>138</v>
      </c>
      <c r="O7" s="137">
        <v>1200.0</v>
      </c>
      <c r="P7" s="137" t="s">
        <v>335</v>
      </c>
      <c r="Q7" s="137" t="s">
        <v>401</v>
      </c>
      <c r="R7" s="132"/>
      <c r="S7" s="52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</row>
    <row r="8" ht="14.25" customHeight="1">
      <c r="A8" s="133">
        <v>2.0</v>
      </c>
      <c r="B8" s="134" t="s">
        <v>1047</v>
      </c>
      <c r="C8" s="134" t="s">
        <v>1043</v>
      </c>
      <c r="D8" s="135" t="s">
        <v>1044</v>
      </c>
      <c r="E8" s="136" t="s">
        <v>57</v>
      </c>
      <c r="F8" s="53" t="s">
        <v>46</v>
      </c>
      <c r="G8" s="135" t="s">
        <v>1048</v>
      </c>
      <c r="H8" s="135">
        <v>10.0</v>
      </c>
      <c r="I8" s="135">
        <v>600.0</v>
      </c>
      <c r="J8" s="135">
        <v>1.0</v>
      </c>
      <c r="K8" s="138">
        <v>1.0</v>
      </c>
      <c r="L8" s="137" t="s">
        <v>138</v>
      </c>
      <c r="M8" s="139" t="s">
        <v>1046</v>
      </c>
      <c r="N8" s="137" t="s">
        <v>138</v>
      </c>
      <c r="O8" s="135">
        <v>600.0</v>
      </c>
      <c r="P8" s="137" t="s">
        <v>335</v>
      </c>
      <c r="Q8" s="137" t="s">
        <v>401</v>
      </c>
      <c r="R8" s="132"/>
      <c r="S8" s="52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</row>
    <row r="9" ht="14.25" customHeight="1">
      <c r="A9" s="133">
        <v>3.0</v>
      </c>
      <c r="B9" s="134" t="s">
        <v>1049</v>
      </c>
      <c r="C9" s="134" t="s">
        <v>1050</v>
      </c>
      <c r="D9" s="135" t="s">
        <v>1044</v>
      </c>
      <c r="E9" s="136" t="s">
        <v>57</v>
      </c>
      <c r="F9" s="53" t="s">
        <v>46</v>
      </c>
      <c r="G9" s="135" t="s">
        <v>1051</v>
      </c>
      <c r="H9" s="135">
        <v>10.0</v>
      </c>
      <c r="I9" s="135">
        <v>600.0</v>
      </c>
      <c r="J9" s="135">
        <v>1.0</v>
      </c>
      <c r="K9" s="138">
        <v>1.0</v>
      </c>
      <c r="L9" s="137" t="s">
        <v>138</v>
      </c>
      <c r="M9" s="139" t="s">
        <v>1046</v>
      </c>
      <c r="N9" s="137" t="s">
        <v>138</v>
      </c>
      <c r="O9" s="135">
        <v>600.0</v>
      </c>
      <c r="P9" s="137" t="s">
        <v>335</v>
      </c>
      <c r="Q9" s="137" t="s">
        <v>401</v>
      </c>
      <c r="R9" s="132"/>
      <c r="S9" s="52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</row>
    <row r="10" ht="14.25" customHeight="1">
      <c r="A10" s="133">
        <v>4.0</v>
      </c>
      <c r="B10" s="134" t="s">
        <v>1052</v>
      </c>
      <c r="C10" s="134" t="s">
        <v>1053</v>
      </c>
      <c r="D10" s="135" t="s">
        <v>1044</v>
      </c>
      <c r="E10" s="136" t="s">
        <v>57</v>
      </c>
      <c r="F10" s="53" t="s">
        <v>46</v>
      </c>
      <c r="G10" s="135" t="s">
        <v>1054</v>
      </c>
      <c r="H10" s="135">
        <v>10.0</v>
      </c>
      <c r="I10" s="135">
        <v>600.0</v>
      </c>
      <c r="J10" s="135">
        <v>1.0</v>
      </c>
      <c r="K10" s="138">
        <v>1.0</v>
      </c>
      <c r="L10" s="137" t="s">
        <v>138</v>
      </c>
      <c r="M10" s="139" t="s">
        <v>1046</v>
      </c>
      <c r="N10" s="137" t="s">
        <v>138</v>
      </c>
      <c r="O10" s="135">
        <v>600.0</v>
      </c>
      <c r="P10" s="137" t="s">
        <v>335</v>
      </c>
      <c r="Q10" s="137" t="s">
        <v>401</v>
      </c>
      <c r="R10" s="132"/>
      <c r="S10" s="52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</row>
    <row r="11" ht="14.25" customHeight="1">
      <c r="A11" s="133">
        <v>5.0</v>
      </c>
      <c r="B11" s="134" t="s">
        <v>1055</v>
      </c>
      <c r="C11" s="134" t="s">
        <v>1056</v>
      </c>
      <c r="D11" s="135" t="s">
        <v>1044</v>
      </c>
      <c r="E11" s="136" t="s">
        <v>57</v>
      </c>
      <c r="F11" s="53" t="s">
        <v>46</v>
      </c>
      <c r="G11" s="135" t="s">
        <v>1057</v>
      </c>
      <c r="H11" s="135">
        <v>10.0</v>
      </c>
      <c r="I11" s="135">
        <v>600.0</v>
      </c>
      <c r="J11" s="135">
        <v>1.0</v>
      </c>
      <c r="K11" s="138">
        <v>1.0</v>
      </c>
      <c r="L11" s="137" t="s">
        <v>138</v>
      </c>
      <c r="M11" s="139" t="s">
        <v>1046</v>
      </c>
      <c r="N11" s="137" t="s">
        <v>138</v>
      </c>
      <c r="O11" s="135">
        <v>600.0</v>
      </c>
      <c r="P11" s="137" t="s">
        <v>335</v>
      </c>
      <c r="Q11" s="137" t="s">
        <v>401</v>
      </c>
      <c r="R11" s="132"/>
      <c r="S11" s="52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</row>
    <row r="12" ht="14.25" customHeight="1">
      <c r="A12" s="133">
        <v>6.0</v>
      </c>
      <c r="B12" s="134" t="s">
        <v>1058</v>
      </c>
      <c r="C12" s="134" t="s">
        <v>1059</v>
      </c>
      <c r="D12" s="135" t="s">
        <v>1044</v>
      </c>
      <c r="E12" s="136" t="s">
        <v>57</v>
      </c>
      <c r="F12" s="53" t="s">
        <v>46</v>
      </c>
      <c r="G12" s="135" t="s">
        <v>1057</v>
      </c>
      <c r="H12" s="135">
        <v>10.0</v>
      </c>
      <c r="I12" s="135">
        <v>600.0</v>
      </c>
      <c r="J12" s="135">
        <v>1.0</v>
      </c>
      <c r="K12" s="138">
        <v>1.0</v>
      </c>
      <c r="L12" s="137" t="s">
        <v>138</v>
      </c>
      <c r="M12" s="139" t="s">
        <v>1046</v>
      </c>
      <c r="N12" s="137" t="s">
        <v>138</v>
      </c>
      <c r="O12" s="135">
        <v>600.0</v>
      </c>
      <c r="P12" s="137" t="s">
        <v>335</v>
      </c>
      <c r="Q12" s="137" t="s">
        <v>401</v>
      </c>
      <c r="R12" s="132"/>
      <c r="S12" s="52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</row>
    <row r="13" ht="14.25" customHeight="1">
      <c r="A13" s="133">
        <v>7.0</v>
      </c>
      <c r="B13" s="134" t="s">
        <v>1060</v>
      </c>
      <c r="C13" s="134" t="s">
        <v>1061</v>
      </c>
      <c r="D13" s="135" t="s">
        <v>1044</v>
      </c>
      <c r="E13" s="136" t="s">
        <v>57</v>
      </c>
      <c r="F13" s="53" t="s">
        <v>46</v>
      </c>
      <c r="G13" s="135" t="s">
        <v>1048</v>
      </c>
      <c r="H13" s="135">
        <v>10.0</v>
      </c>
      <c r="I13" s="135">
        <v>600.0</v>
      </c>
      <c r="J13" s="135">
        <v>1.0</v>
      </c>
      <c r="K13" s="138">
        <v>1.0</v>
      </c>
      <c r="L13" s="137" t="s">
        <v>138</v>
      </c>
      <c r="M13" s="139" t="s">
        <v>1046</v>
      </c>
      <c r="N13" s="137" t="s">
        <v>138</v>
      </c>
      <c r="O13" s="135">
        <v>600.0</v>
      </c>
      <c r="P13" s="137" t="s">
        <v>335</v>
      </c>
      <c r="Q13" s="137" t="s">
        <v>401</v>
      </c>
      <c r="R13" s="132"/>
      <c r="S13" s="52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</row>
    <row r="14" ht="14.25" customHeight="1">
      <c r="A14" s="133">
        <v>8.0</v>
      </c>
      <c r="B14" s="134" t="s">
        <v>1062</v>
      </c>
      <c r="C14" s="134" t="s">
        <v>1063</v>
      </c>
      <c r="D14" s="135" t="s">
        <v>1044</v>
      </c>
      <c r="E14" s="136" t="s">
        <v>57</v>
      </c>
      <c r="F14" s="53" t="s">
        <v>46</v>
      </c>
      <c r="G14" s="135" t="s">
        <v>1064</v>
      </c>
      <c r="H14" s="135">
        <v>10.0</v>
      </c>
      <c r="I14" s="135">
        <v>600.0</v>
      </c>
      <c r="J14" s="135">
        <v>1.0</v>
      </c>
      <c r="K14" s="138">
        <v>1.0</v>
      </c>
      <c r="L14" s="137" t="s">
        <v>138</v>
      </c>
      <c r="M14" s="139" t="s">
        <v>1046</v>
      </c>
      <c r="N14" s="137" t="s">
        <v>138</v>
      </c>
      <c r="O14" s="135">
        <v>600.0</v>
      </c>
      <c r="P14" s="137" t="s">
        <v>335</v>
      </c>
      <c r="Q14" s="137" t="s">
        <v>401</v>
      </c>
      <c r="R14" s="132"/>
      <c r="S14" s="52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</row>
    <row r="15" ht="14.25" customHeight="1">
      <c r="A15" s="133">
        <v>9.0</v>
      </c>
      <c r="B15" s="134" t="s">
        <v>1065</v>
      </c>
      <c r="C15" s="134" t="s">
        <v>1066</v>
      </c>
      <c r="D15" s="135" t="s">
        <v>1044</v>
      </c>
      <c r="E15" s="136" t="s">
        <v>57</v>
      </c>
      <c r="F15" s="53" t="s">
        <v>46</v>
      </c>
      <c r="G15" s="135" t="s">
        <v>1067</v>
      </c>
      <c r="H15" s="135">
        <v>10.0</v>
      </c>
      <c r="I15" s="135">
        <v>300.0</v>
      </c>
      <c r="J15" s="135">
        <v>1.0</v>
      </c>
      <c r="K15" s="138">
        <v>1.0</v>
      </c>
      <c r="L15" s="137" t="s">
        <v>138</v>
      </c>
      <c r="M15" s="139" t="s">
        <v>1046</v>
      </c>
      <c r="N15" s="137" t="s">
        <v>138</v>
      </c>
      <c r="O15" s="135">
        <v>300.0</v>
      </c>
      <c r="P15" s="137" t="s">
        <v>335</v>
      </c>
      <c r="Q15" s="137" t="s">
        <v>401</v>
      </c>
      <c r="R15" s="132"/>
      <c r="S15" s="52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</row>
    <row r="16" ht="13.5" customHeight="1">
      <c r="A16" s="140">
        <v>10.0</v>
      </c>
      <c r="B16" s="134" t="s">
        <v>1068</v>
      </c>
      <c r="C16" s="134" t="s">
        <v>1069</v>
      </c>
      <c r="D16" s="135" t="s">
        <v>1044</v>
      </c>
      <c r="E16" s="136" t="s">
        <v>57</v>
      </c>
      <c r="F16" s="53" t="s">
        <v>46</v>
      </c>
      <c r="G16" s="135" t="s">
        <v>1070</v>
      </c>
      <c r="H16" s="135">
        <v>10.0</v>
      </c>
      <c r="I16" s="135">
        <v>300.0</v>
      </c>
      <c r="J16" s="135">
        <v>1.0</v>
      </c>
      <c r="K16" s="138">
        <v>1.0</v>
      </c>
      <c r="L16" s="137" t="s">
        <v>138</v>
      </c>
      <c r="M16" s="139" t="s">
        <v>1046</v>
      </c>
      <c r="N16" s="137" t="s">
        <v>138</v>
      </c>
      <c r="O16" s="135">
        <v>500.0</v>
      </c>
      <c r="P16" s="137" t="s">
        <v>335</v>
      </c>
      <c r="Q16" s="137" t="s">
        <v>401</v>
      </c>
      <c r="R16" s="141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</row>
    <row r="17" ht="14.25" customHeight="1">
      <c r="A17" s="19"/>
      <c r="B17" s="20" t="s">
        <v>1071</v>
      </c>
      <c r="C17" s="21"/>
      <c r="D17" s="22"/>
      <c r="E17" s="22"/>
      <c r="F17" s="23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</row>
    <row r="18">
      <c r="A18" s="133">
        <v>1.0</v>
      </c>
      <c r="B18" s="143" t="s">
        <v>1072</v>
      </c>
      <c r="C18" s="135" t="s">
        <v>1073</v>
      </c>
      <c r="D18" s="135" t="s">
        <v>1044</v>
      </c>
      <c r="E18" s="131" t="s">
        <v>57</v>
      </c>
      <c r="F18" s="133"/>
      <c r="G18" s="133">
        <v>324.0</v>
      </c>
      <c r="H18" s="144" t="s">
        <v>28</v>
      </c>
      <c r="I18" s="133" t="s">
        <v>1074</v>
      </c>
      <c r="J18" s="133">
        <v>1.0</v>
      </c>
      <c r="K18" s="133">
        <v>1.0</v>
      </c>
      <c r="L18" s="133">
        <v>2.0</v>
      </c>
      <c r="M18" s="132" t="s">
        <v>1075</v>
      </c>
      <c r="N18" s="130" t="s">
        <v>1076</v>
      </c>
      <c r="O18" s="132">
        <v>0.0</v>
      </c>
      <c r="P18" s="133" t="s">
        <v>29</v>
      </c>
      <c r="Q18" s="133"/>
      <c r="R18" s="132"/>
      <c r="S18" s="52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</row>
    <row r="19">
      <c r="A19" s="133">
        <v>2.0</v>
      </c>
      <c r="B19" s="135" t="s">
        <v>43</v>
      </c>
      <c r="C19" s="135" t="s">
        <v>1073</v>
      </c>
      <c r="D19" s="135" t="s">
        <v>1044</v>
      </c>
      <c r="E19" s="131" t="s">
        <v>57</v>
      </c>
      <c r="F19" s="133"/>
      <c r="G19" s="133">
        <v>400.0</v>
      </c>
      <c r="H19" s="144" t="s">
        <v>28</v>
      </c>
      <c r="I19" s="133" t="s">
        <v>1077</v>
      </c>
      <c r="J19" s="133">
        <v>6.0</v>
      </c>
      <c r="K19" s="133">
        <v>6.0</v>
      </c>
      <c r="L19" s="133">
        <v>1.0</v>
      </c>
      <c r="M19" s="132" t="s">
        <v>1075</v>
      </c>
      <c r="N19" s="130" t="s">
        <v>1076</v>
      </c>
      <c r="O19" s="132">
        <v>0.0</v>
      </c>
      <c r="P19" s="133" t="s">
        <v>66</v>
      </c>
      <c r="Q19" s="133">
        <v>50.0</v>
      </c>
      <c r="R19" s="132"/>
      <c r="S19" s="52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</row>
    <row r="20">
      <c r="A20" s="133">
        <v>3.0</v>
      </c>
      <c r="B20" s="135" t="s">
        <v>1078</v>
      </c>
      <c r="C20" s="135" t="s">
        <v>1073</v>
      </c>
      <c r="D20" s="135" t="s">
        <v>1044</v>
      </c>
      <c r="E20" s="131" t="s">
        <v>57</v>
      </c>
      <c r="F20" s="133"/>
      <c r="G20" s="133">
        <v>200.0</v>
      </c>
      <c r="H20" s="144" t="s">
        <v>28</v>
      </c>
      <c r="I20" s="133" t="s">
        <v>1079</v>
      </c>
      <c r="J20" s="144" t="s">
        <v>28</v>
      </c>
      <c r="K20" s="144" t="s">
        <v>28</v>
      </c>
      <c r="L20" s="133">
        <v>8.0</v>
      </c>
      <c r="M20" s="132" t="s">
        <v>1075</v>
      </c>
      <c r="N20" s="130" t="s">
        <v>1076</v>
      </c>
      <c r="O20" s="132">
        <v>0.0</v>
      </c>
      <c r="P20" s="133" t="s">
        <v>29</v>
      </c>
      <c r="Q20" s="133"/>
      <c r="R20" s="132"/>
      <c r="S20" s="52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</row>
    <row r="21">
      <c r="A21" s="133">
        <v>4.0</v>
      </c>
      <c r="B21" s="135" t="s">
        <v>1080</v>
      </c>
      <c r="C21" s="135" t="s">
        <v>1073</v>
      </c>
      <c r="D21" s="135" t="s">
        <v>1044</v>
      </c>
      <c r="E21" s="131" t="s">
        <v>57</v>
      </c>
      <c r="F21" s="133"/>
      <c r="G21" s="133">
        <v>60.0</v>
      </c>
      <c r="H21" s="144" t="s">
        <v>28</v>
      </c>
      <c r="I21" s="133" t="s">
        <v>1081</v>
      </c>
      <c r="J21" s="144" t="s">
        <v>28</v>
      </c>
      <c r="K21" s="144" t="s">
        <v>28</v>
      </c>
      <c r="L21" s="133">
        <v>1.0</v>
      </c>
      <c r="M21" s="132" t="s">
        <v>1075</v>
      </c>
      <c r="N21" s="130" t="s">
        <v>1076</v>
      </c>
      <c r="O21" s="132">
        <v>0.0</v>
      </c>
      <c r="P21" s="133" t="s">
        <v>66</v>
      </c>
      <c r="Q21" s="133">
        <v>5.0</v>
      </c>
      <c r="R21" s="132"/>
      <c r="S21" s="52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</row>
    <row r="22">
      <c r="A22" s="133">
        <v>5.0</v>
      </c>
      <c r="B22" s="135" t="s">
        <v>1082</v>
      </c>
      <c r="C22" s="135" t="s">
        <v>1073</v>
      </c>
      <c r="D22" s="135" t="s">
        <v>1044</v>
      </c>
      <c r="E22" s="131" t="s">
        <v>57</v>
      </c>
      <c r="F22" s="133"/>
      <c r="G22" s="133">
        <v>30.0</v>
      </c>
      <c r="H22" s="144" t="s">
        <v>28</v>
      </c>
      <c r="I22" s="133" t="s">
        <v>1083</v>
      </c>
      <c r="J22" s="144" t="s">
        <v>28</v>
      </c>
      <c r="K22" s="144" t="s">
        <v>28</v>
      </c>
      <c r="L22" s="133">
        <v>1.0</v>
      </c>
      <c r="M22" s="132" t="s">
        <v>1075</v>
      </c>
      <c r="N22" s="130" t="s">
        <v>1076</v>
      </c>
      <c r="O22" s="132">
        <v>0.0</v>
      </c>
      <c r="P22" s="133" t="s">
        <v>29</v>
      </c>
      <c r="Q22" s="133"/>
      <c r="R22" s="132"/>
      <c r="S22" s="52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</row>
    <row r="23">
      <c r="A23" s="133">
        <v>6.0</v>
      </c>
      <c r="B23" s="135" t="s">
        <v>1084</v>
      </c>
      <c r="C23" s="135" t="s">
        <v>1073</v>
      </c>
      <c r="D23" s="135" t="s">
        <v>1044</v>
      </c>
      <c r="E23" s="131" t="s">
        <v>57</v>
      </c>
      <c r="F23" s="133"/>
      <c r="G23" s="133">
        <v>150.0</v>
      </c>
      <c r="H23" s="144" t="s">
        <v>28</v>
      </c>
      <c r="I23" s="133" t="s">
        <v>1085</v>
      </c>
      <c r="J23" s="144" t="s">
        <v>28</v>
      </c>
      <c r="K23" s="144" t="s">
        <v>28</v>
      </c>
      <c r="L23" s="133">
        <v>1.0</v>
      </c>
      <c r="M23" s="132" t="s">
        <v>1075</v>
      </c>
      <c r="N23" s="130" t="s">
        <v>1076</v>
      </c>
      <c r="O23" s="132">
        <v>0.0</v>
      </c>
      <c r="P23" s="133" t="s">
        <v>29</v>
      </c>
      <c r="Q23" s="133"/>
      <c r="R23" s="132"/>
      <c r="S23" s="52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</row>
    <row r="24">
      <c r="A24" s="133">
        <v>7.0</v>
      </c>
      <c r="B24" s="135" t="s">
        <v>1086</v>
      </c>
      <c r="C24" s="135" t="s">
        <v>1087</v>
      </c>
      <c r="D24" s="135" t="s">
        <v>1044</v>
      </c>
      <c r="E24" s="131" t="s">
        <v>57</v>
      </c>
      <c r="F24" s="133"/>
      <c r="G24" s="133">
        <v>80.0</v>
      </c>
      <c r="H24" s="144" t="s">
        <v>28</v>
      </c>
      <c r="I24" s="133" t="s">
        <v>1088</v>
      </c>
      <c r="J24" s="144" t="s">
        <v>28</v>
      </c>
      <c r="K24" s="144" t="s">
        <v>28</v>
      </c>
      <c r="L24" s="133">
        <v>1.0</v>
      </c>
      <c r="M24" s="132" t="s">
        <v>1075</v>
      </c>
      <c r="N24" s="130" t="s">
        <v>1076</v>
      </c>
      <c r="O24" s="132">
        <v>0.0</v>
      </c>
      <c r="P24" s="133" t="s">
        <v>29</v>
      </c>
      <c r="Q24" s="133"/>
      <c r="R24" s="132"/>
      <c r="S24" s="52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</row>
    <row r="25">
      <c r="A25" s="133">
        <v>8.0</v>
      </c>
      <c r="B25" s="135" t="s">
        <v>1089</v>
      </c>
      <c r="C25" s="135" t="s">
        <v>1087</v>
      </c>
      <c r="D25" s="135" t="s">
        <v>1044</v>
      </c>
      <c r="E25" s="131" t="s">
        <v>57</v>
      </c>
      <c r="F25" s="133"/>
      <c r="G25" s="133">
        <v>48.0</v>
      </c>
      <c r="H25" s="144" t="s">
        <v>28</v>
      </c>
      <c r="I25" s="133" t="s">
        <v>1090</v>
      </c>
      <c r="J25" s="144" t="s">
        <v>28</v>
      </c>
      <c r="K25" s="144" t="s">
        <v>28</v>
      </c>
      <c r="L25" s="133">
        <v>1.0</v>
      </c>
      <c r="M25" s="132" t="s">
        <v>1075</v>
      </c>
      <c r="N25" s="130" t="s">
        <v>1076</v>
      </c>
      <c r="O25" s="132">
        <v>0.0</v>
      </c>
      <c r="P25" s="133" t="s">
        <v>29</v>
      </c>
      <c r="Q25" s="133"/>
      <c r="R25" s="132"/>
      <c r="S25" s="52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</row>
    <row r="26">
      <c r="A26" s="133">
        <v>9.0</v>
      </c>
      <c r="B26" s="135" t="s">
        <v>1091</v>
      </c>
      <c r="C26" s="135" t="s">
        <v>1092</v>
      </c>
      <c r="D26" s="135" t="s">
        <v>1044</v>
      </c>
      <c r="E26" s="131" t="s">
        <v>57</v>
      </c>
      <c r="F26" s="133"/>
      <c r="G26" s="133">
        <v>250.0</v>
      </c>
      <c r="H26" s="144" t="s">
        <v>28</v>
      </c>
      <c r="I26" s="133" t="s">
        <v>1093</v>
      </c>
      <c r="J26" s="144" t="s">
        <v>28</v>
      </c>
      <c r="K26" s="144" t="s">
        <v>28</v>
      </c>
      <c r="L26" s="133">
        <v>1.0</v>
      </c>
      <c r="M26" s="132" t="s">
        <v>1075</v>
      </c>
      <c r="N26" s="130" t="s">
        <v>1076</v>
      </c>
      <c r="O26" s="132">
        <v>0.0</v>
      </c>
      <c r="P26" s="133" t="s">
        <v>29</v>
      </c>
      <c r="Q26" s="133"/>
      <c r="R26" s="132"/>
      <c r="S26" s="52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</row>
    <row r="27">
      <c r="A27" s="133">
        <v>10.0</v>
      </c>
      <c r="B27" s="135" t="s">
        <v>1094</v>
      </c>
      <c r="C27" s="135" t="s">
        <v>1092</v>
      </c>
      <c r="D27" s="135" t="s">
        <v>1044</v>
      </c>
      <c r="E27" s="131" t="s">
        <v>57</v>
      </c>
      <c r="F27" s="133"/>
      <c r="G27" s="133">
        <v>90.0</v>
      </c>
      <c r="H27" s="144" t="s">
        <v>28</v>
      </c>
      <c r="I27" s="133" t="s">
        <v>1095</v>
      </c>
      <c r="J27" s="144" t="s">
        <v>28</v>
      </c>
      <c r="K27" s="144" t="s">
        <v>28</v>
      </c>
      <c r="L27" s="133">
        <v>7.0</v>
      </c>
      <c r="M27" s="132" t="s">
        <v>1075</v>
      </c>
      <c r="N27" s="130" t="s">
        <v>1076</v>
      </c>
      <c r="O27" s="133">
        <v>0.0</v>
      </c>
      <c r="P27" s="133" t="s">
        <v>29</v>
      </c>
      <c r="Q27" s="133"/>
      <c r="R27" s="132"/>
      <c r="S27" s="52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</row>
    <row r="28">
      <c r="A28" s="133">
        <v>11.0</v>
      </c>
      <c r="B28" s="135" t="s">
        <v>1096</v>
      </c>
      <c r="C28" s="135" t="s">
        <v>1097</v>
      </c>
      <c r="D28" s="135" t="s">
        <v>1044</v>
      </c>
      <c r="E28" s="131" t="s">
        <v>57</v>
      </c>
      <c r="F28" s="133"/>
      <c r="G28" s="133">
        <v>32.0</v>
      </c>
      <c r="H28" s="144" t="s">
        <v>28</v>
      </c>
      <c r="I28" s="133" t="s">
        <v>1088</v>
      </c>
      <c r="J28" s="144" t="s">
        <v>28</v>
      </c>
      <c r="K28" s="144" t="s">
        <v>28</v>
      </c>
      <c r="L28" s="133">
        <v>1.0</v>
      </c>
      <c r="M28" s="132" t="s">
        <v>1075</v>
      </c>
      <c r="N28" s="130" t="s">
        <v>1076</v>
      </c>
      <c r="O28" s="133">
        <v>0.0</v>
      </c>
      <c r="P28" s="133" t="s">
        <v>66</v>
      </c>
      <c r="Q28" s="133">
        <v>3.0</v>
      </c>
      <c r="R28" s="132"/>
      <c r="S28" s="52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</row>
    <row r="29">
      <c r="A29" s="133">
        <v>12.0</v>
      </c>
      <c r="B29" s="135" t="s">
        <v>1098</v>
      </c>
      <c r="C29" s="135" t="s">
        <v>1099</v>
      </c>
      <c r="D29" s="135" t="s">
        <v>1044</v>
      </c>
      <c r="E29" s="131" t="s">
        <v>57</v>
      </c>
      <c r="F29" s="133"/>
      <c r="G29" s="133">
        <v>85.0</v>
      </c>
      <c r="H29" s="144" t="s">
        <v>28</v>
      </c>
      <c r="I29" s="133" t="s">
        <v>1088</v>
      </c>
      <c r="J29" s="144" t="s">
        <v>28</v>
      </c>
      <c r="K29" s="144" t="s">
        <v>28</v>
      </c>
      <c r="L29" s="133">
        <v>1.0</v>
      </c>
      <c r="M29" s="132" t="s">
        <v>1075</v>
      </c>
      <c r="N29" s="130" t="s">
        <v>1076</v>
      </c>
      <c r="O29" s="133">
        <v>0.0</v>
      </c>
      <c r="P29" s="133" t="s">
        <v>29</v>
      </c>
      <c r="Q29" s="133"/>
      <c r="R29" s="132"/>
      <c r="S29" s="52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</row>
    <row r="30">
      <c r="A30" s="133">
        <v>13.0</v>
      </c>
      <c r="B30" s="135" t="s">
        <v>1100</v>
      </c>
      <c r="C30" s="135" t="s">
        <v>1101</v>
      </c>
      <c r="D30" s="135" t="s">
        <v>1044</v>
      </c>
      <c r="E30" s="131" t="s">
        <v>57</v>
      </c>
      <c r="F30" s="133"/>
      <c r="G30" s="133">
        <v>70.0</v>
      </c>
      <c r="H30" s="144" t="s">
        <v>28</v>
      </c>
      <c r="I30" s="133" t="s">
        <v>1088</v>
      </c>
      <c r="J30" s="144" t="s">
        <v>28</v>
      </c>
      <c r="K30" s="144" t="s">
        <v>28</v>
      </c>
      <c r="L30" s="133">
        <v>1.0</v>
      </c>
      <c r="M30" s="132" t="s">
        <v>1075</v>
      </c>
      <c r="N30" s="130" t="s">
        <v>1076</v>
      </c>
      <c r="O30" s="133">
        <v>0.0</v>
      </c>
      <c r="P30" s="133" t="s">
        <v>66</v>
      </c>
      <c r="Q30" s="133">
        <v>3.0</v>
      </c>
      <c r="R30" s="132"/>
      <c r="S30" s="52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</row>
    <row r="31">
      <c r="A31" s="133">
        <v>14.0</v>
      </c>
      <c r="B31" s="135" t="s">
        <v>1102</v>
      </c>
      <c r="C31" s="135" t="s">
        <v>1103</v>
      </c>
      <c r="D31" s="135" t="s">
        <v>1044</v>
      </c>
      <c r="E31" s="131" t="s">
        <v>57</v>
      </c>
      <c r="F31" s="133"/>
      <c r="G31" s="133">
        <v>400.0</v>
      </c>
      <c r="H31" s="144" t="s">
        <v>28</v>
      </c>
      <c r="I31" s="133" t="s">
        <v>1104</v>
      </c>
      <c r="J31" s="144" t="s">
        <v>28</v>
      </c>
      <c r="K31" s="144" t="s">
        <v>28</v>
      </c>
      <c r="L31" s="133">
        <v>1.0</v>
      </c>
      <c r="M31" s="132" t="s">
        <v>1075</v>
      </c>
      <c r="N31" s="130" t="s">
        <v>1076</v>
      </c>
      <c r="O31" s="133">
        <v>0.0</v>
      </c>
      <c r="P31" s="133" t="s">
        <v>29</v>
      </c>
      <c r="Q31" s="133"/>
      <c r="R31" s="132"/>
      <c r="S31" s="52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</row>
    <row r="32">
      <c r="A32" s="133">
        <v>15.0</v>
      </c>
      <c r="B32" s="135" t="s">
        <v>1105</v>
      </c>
      <c r="C32" s="135" t="s">
        <v>1103</v>
      </c>
      <c r="D32" s="135" t="s">
        <v>1044</v>
      </c>
      <c r="E32" s="131" t="s">
        <v>57</v>
      </c>
      <c r="F32" s="133"/>
      <c r="G32" s="133">
        <v>128.26</v>
      </c>
      <c r="H32" s="144" t="s">
        <v>28</v>
      </c>
      <c r="I32" s="133" t="s">
        <v>1088</v>
      </c>
      <c r="J32" s="144" t="s">
        <v>28</v>
      </c>
      <c r="K32" s="144" t="s">
        <v>28</v>
      </c>
      <c r="L32" s="133">
        <v>1.0</v>
      </c>
      <c r="M32" s="132" t="s">
        <v>1075</v>
      </c>
      <c r="N32" s="130" t="s">
        <v>1076</v>
      </c>
      <c r="O32" s="133">
        <v>0.0</v>
      </c>
      <c r="P32" s="133" t="s">
        <v>66</v>
      </c>
      <c r="Q32" s="133">
        <v>3.0</v>
      </c>
      <c r="R32" s="132"/>
      <c r="S32" s="52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</row>
    <row r="33">
      <c r="A33" s="133">
        <v>16.0</v>
      </c>
      <c r="B33" s="135" t="s">
        <v>1106</v>
      </c>
      <c r="C33" s="135" t="s">
        <v>1107</v>
      </c>
      <c r="D33" s="135" t="s">
        <v>1044</v>
      </c>
      <c r="E33" s="131" t="s">
        <v>57</v>
      </c>
      <c r="F33" s="133"/>
      <c r="G33" s="133">
        <v>336.0</v>
      </c>
      <c r="H33" s="144" t="s">
        <v>28</v>
      </c>
      <c r="I33" s="133" t="s">
        <v>1104</v>
      </c>
      <c r="J33" s="144" t="s">
        <v>28</v>
      </c>
      <c r="K33" s="144" t="s">
        <v>28</v>
      </c>
      <c r="L33" s="133">
        <v>1.0</v>
      </c>
      <c r="M33" s="132" t="s">
        <v>1075</v>
      </c>
      <c r="N33" s="130" t="s">
        <v>1076</v>
      </c>
      <c r="O33" s="133">
        <v>0.0</v>
      </c>
      <c r="P33" s="133" t="s">
        <v>29</v>
      </c>
      <c r="Q33" s="133"/>
      <c r="R33" s="132"/>
      <c r="S33" s="52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</row>
    <row r="34">
      <c r="A34" s="133">
        <v>17.0</v>
      </c>
      <c r="B34" s="135" t="s">
        <v>1108</v>
      </c>
      <c r="C34" s="135" t="s">
        <v>1109</v>
      </c>
      <c r="D34" s="135" t="s">
        <v>1044</v>
      </c>
      <c r="E34" s="131" t="s">
        <v>57</v>
      </c>
      <c r="F34" s="133"/>
      <c r="G34" s="133">
        <v>120.0</v>
      </c>
      <c r="H34" s="144" t="s">
        <v>28</v>
      </c>
      <c r="I34" s="133" t="s">
        <v>1088</v>
      </c>
      <c r="J34" s="144" t="s">
        <v>28</v>
      </c>
      <c r="K34" s="144" t="s">
        <v>28</v>
      </c>
      <c r="L34" s="133">
        <v>1.0</v>
      </c>
      <c r="M34" s="132" t="s">
        <v>1075</v>
      </c>
      <c r="N34" s="130" t="s">
        <v>1076</v>
      </c>
      <c r="O34" s="133">
        <v>0.0</v>
      </c>
      <c r="P34" s="133" t="s">
        <v>66</v>
      </c>
      <c r="Q34" s="133">
        <v>3.0</v>
      </c>
      <c r="R34" s="132"/>
      <c r="S34" s="52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</row>
    <row r="35">
      <c r="A35" s="133">
        <v>18.0</v>
      </c>
      <c r="B35" s="135" t="s">
        <v>1110</v>
      </c>
      <c r="C35" s="135" t="s">
        <v>1111</v>
      </c>
      <c r="D35" s="135" t="s">
        <v>1044</v>
      </c>
      <c r="E35" s="131" t="s">
        <v>57</v>
      </c>
      <c r="F35" s="133"/>
      <c r="G35" s="133">
        <v>300.0</v>
      </c>
      <c r="H35" s="144" t="s">
        <v>28</v>
      </c>
      <c r="I35" s="133" t="s">
        <v>1104</v>
      </c>
      <c r="J35" s="144" t="s">
        <v>28</v>
      </c>
      <c r="K35" s="144" t="s">
        <v>28</v>
      </c>
      <c r="L35" s="133">
        <v>1.0</v>
      </c>
      <c r="M35" s="132" t="s">
        <v>1075</v>
      </c>
      <c r="N35" s="130" t="s">
        <v>1076</v>
      </c>
      <c r="O35" s="133">
        <v>0.0</v>
      </c>
      <c r="P35" s="133" t="s">
        <v>66</v>
      </c>
      <c r="Q35" s="133"/>
      <c r="R35" s="132"/>
      <c r="S35" s="52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</row>
    <row r="36">
      <c r="A36" s="133">
        <v>19.0</v>
      </c>
      <c r="B36" s="135" t="s">
        <v>1112</v>
      </c>
      <c r="C36" s="135" t="s">
        <v>1113</v>
      </c>
      <c r="D36" s="135" t="s">
        <v>1044</v>
      </c>
      <c r="E36" s="131" t="s">
        <v>57</v>
      </c>
      <c r="F36" s="133"/>
      <c r="G36" s="133">
        <v>440.0</v>
      </c>
      <c r="H36" s="144" t="s">
        <v>28</v>
      </c>
      <c r="I36" s="133" t="s">
        <v>1114</v>
      </c>
      <c r="J36" s="133">
        <v>1.0</v>
      </c>
      <c r="K36" s="133">
        <v>1.0</v>
      </c>
      <c r="L36" s="133">
        <v>8.0</v>
      </c>
      <c r="M36" s="132" t="s">
        <v>1075</v>
      </c>
      <c r="N36" s="130" t="s">
        <v>1076</v>
      </c>
      <c r="O36" s="133">
        <v>0.0</v>
      </c>
      <c r="P36" s="133" t="s">
        <v>29</v>
      </c>
      <c r="Q36" s="133"/>
      <c r="R36" s="132"/>
      <c r="S36" s="52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</row>
    <row r="37">
      <c r="A37" s="133">
        <v>20.0</v>
      </c>
      <c r="B37" s="135" t="s">
        <v>1115</v>
      </c>
      <c r="C37" s="135" t="s">
        <v>1116</v>
      </c>
      <c r="D37" s="135" t="s">
        <v>1044</v>
      </c>
      <c r="E37" s="131" t="s">
        <v>57</v>
      </c>
      <c r="F37" s="133"/>
      <c r="G37" s="133">
        <v>140.0</v>
      </c>
      <c r="H37" s="144" t="s">
        <v>28</v>
      </c>
      <c r="I37" s="133" t="s">
        <v>1117</v>
      </c>
      <c r="J37" s="144" t="s">
        <v>28</v>
      </c>
      <c r="K37" s="144" t="s">
        <v>28</v>
      </c>
      <c r="L37" s="133">
        <v>1.0</v>
      </c>
      <c r="M37" s="132" t="s">
        <v>1075</v>
      </c>
      <c r="N37" s="130" t="s">
        <v>1076</v>
      </c>
      <c r="O37" s="133">
        <v>0.0</v>
      </c>
      <c r="P37" s="133" t="s">
        <v>29</v>
      </c>
      <c r="Q37" s="133"/>
      <c r="R37" s="132"/>
      <c r="S37" s="52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</row>
    <row r="38">
      <c r="A38" s="133">
        <v>21.0</v>
      </c>
      <c r="B38" s="135" t="s">
        <v>1118</v>
      </c>
      <c r="C38" s="135" t="s">
        <v>1116</v>
      </c>
      <c r="D38" s="135" t="s">
        <v>1044</v>
      </c>
      <c r="E38" s="131" t="s">
        <v>57</v>
      </c>
      <c r="F38" s="133"/>
      <c r="G38" s="133">
        <v>70.0</v>
      </c>
      <c r="H38" s="144" t="s">
        <v>28</v>
      </c>
      <c r="I38" s="133" t="s">
        <v>1117</v>
      </c>
      <c r="J38" s="144" t="s">
        <v>28</v>
      </c>
      <c r="K38" s="144" t="s">
        <v>28</v>
      </c>
      <c r="L38" s="133">
        <v>1.0</v>
      </c>
      <c r="M38" s="132" t="s">
        <v>1075</v>
      </c>
      <c r="N38" s="130" t="s">
        <v>1076</v>
      </c>
      <c r="O38" s="133">
        <v>0.0</v>
      </c>
      <c r="P38" s="133" t="s">
        <v>29</v>
      </c>
      <c r="Q38" s="133"/>
      <c r="R38" s="132"/>
      <c r="S38" s="52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</row>
    <row r="39">
      <c r="A39" s="133">
        <v>22.0</v>
      </c>
      <c r="B39" s="135" t="s">
        <v>1119</v>
      </c>
      <c r="C39" s="135" t="s">
        <v>1120</v>
      </c>
      <c r="D39" s="135" t="s">
        <v>1044</v>
      </c>
      <c r="E39" s="131" t="s">
        <v>57</v>
      </c>
      <c r="F39" s="133"/>
      <c r="G39" s="133">
        <v>30.0</v>
      </c>
      <c r="H39" s="144" t="s">
        <v>28</v>
      </c>
      <c r="I39" s="133" t="s">
        <v>1117</v>
      </c>
      <c r="J39" s="144" t="s">
        <v>28</v>
      </c>
      <c r="K39" s="144" t="s">
        <v>28</v>
      </c>
      <c r="L39" s="133">
        <v>1.0</v>
      </c>
      <c r="M39" s="132" t="s">
        <v>1075</v>
      </c>
      <c r="N39" s="130" t="s">
        <v>1076</v>
      </c>
      <c r="O39" s="133">
        <v>0.0</v>
      </c>
      <c r="P39" s="133" t="s">
        <v>29</v>
      </c>
      <c r="Q39" s="133"/>
      <c r="R39" s="132"/>
      <c r="S39" s="52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</row>
    <row r="40">
      <c r="A40" s="133">
        <v>23.0</v>
      </c>
      <c r="B40" s="135" t="s">
        <v>1121</v>
      </c>
      <c r="C40" s="135" t="s">
        <v>1120</v>
      </c>
      <c r="D40" s="135" t="s">
        <v>1044</v>
      </c>
      <c r="E40" s="131" t="s">
        <v>57</v>
      </c>
      <c r="F40" s="133"/>
      <c r="G40" s="133">
        <v>84.0</v>
      </c>
      <c r="H40" s="144" t="s">
        <v>28</v>
      </c>
      <c r="I40" s="133" t="s">
        <v>1117</v>
      </c>
      <c r="J40" s="144" t="s">
        <v>28</v>
      </c>
      <c r="K40" s="144" t="s">
        <v>28</v>
      </c>
      <c r="L40" s="133">
        <v>2.0</v>
      </c>
      <c r="M40" s="132" t="s">
        <v>1075</v>
      </c>
      <c r="N40" s="130" t="s">
        <v>1076</v>
      </c>
      <c r="O40" s="133">
        <v>0.0</v>
      </c>
      <c r="P40" s="133" t="s">
        <v>29</v>
      </c>
      <c r="Q40" s="133"/>
      <c r="R40" s="132"/>
      <c r="S40" s="52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</row>
    <row r="41">
      <c r="A41" s="133">
        <v>24.0</v>
      </c>
      <c r="B41" s="135" t="s">
        <v>1122</v>
      </c>
      <c r="C41" s="135" t="s">
        <v>1120</v>
      </c>
      <c r="D41" s="135" t="s">
        <v>1044</v>
      </c>
      <c r="E41" s="131" t="s">
        <v>57</v>
      </c>
      <c r="F41" s="133"/>
      <c r="G41" s="133">
        <v>150.0</v>
      </c>
      <c r="H41" s="144" t="s">
        <v>28</v>
      </c>
      <c r="I41" s="133" t="s">
        <v>1104</v>
      </c>
      <c r="J41" s="133">
        <v>1.0</v>
      </c>
      <c r="K41" s="133">
        <v>1.0</v>
      </c>
      <c r="L41" s="144" t="s">
        <v>28</v>
      </c>
      <c r="M41" s="132" t="s">
        <v>1075</v>
      </c>
      <c r="N41" s="130" t="s">
        <v>1076</v>
      </c>
      <c r="O41" s="133">
        <v>0.0</v>
      </c>
      <c r="P41" s="133" t="s">
        <v>29</v>
      </c>
      <c r="Q41" s="133"/>
      <c r="R41" s="132"/>
      <c r="S41" s="52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</row>
    <row r="42">
      <c r="A42" s="133">
        <v>25.0</v>
      </c>
      <c r="B42" s="135" t="s">
        <v>1123</v>
      </c>
      <c r="C42" s="135" t="s">
        <v>1124</v>
      </c>
      <c r="D42" s="135" t="s">
        <v>1044</v>
      </c>
      <c r="E42" s="131" t="s">
        <v>57</v>
      </c>
      <c r="F42" s="133"/>
      <c r="G42" s="133">
        <v>144.0</v>
      </c>
      <c r="H42" s="144" t="s">
        <v>28</v>
      </c>
      <c r="I42" s="133" t="s">
        <v>1088</v>
      </c>
      <c r="J42" s="144" t="s">
        <v>28</v>
      </c>
      <c r="K42" s="144" t="s">
        <v>28</v>
      </c>
      <c r="L42" s="133">
        <v>1.0</v>
      </c>
      <c r="M42" s="132" t="s">
        <v>1075</v>
      </c>
      <c r="N42" s="130" t="s">
        <v>1076</v>
      </c>
      <c r="O42" s="133">
        <v>0.0</v>
      </c>
      <c r="P42" s="133" t="s">
        <v>66</v>
      </c>
      <c r="Q42" s="133">
        <v>3.0</v>
      </c>
      <c r="R42" s="132"/>
      <c r="S42" s="52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</row>
    <row r="43">
      <c r="A43" s="133">
        <v>26.0</v>
      </c>
      <c r="B43" s="145" t="s">
        <v>1125</v>
      </c>
      <c r="C43" s="145" t="s">
        <v>1120</v>
      </c>
      <c r="D43" s="131" t="s">
        <v>25</v>
      </c>
      <c r="E43" s="131" t="s">
        <v>57</v>
      </c>
      <c r="F43" s="133"/>
      <c r="G43" s="133">
        <v>50.0</v>
      </c>
      <c r="H43" s="144" t="s">
        <v>28</v>
      </c>
      <c r="I43" s="133" t="s">
        <v>1126</v>
      </c>
      <c r="J43" s="144" t="s">
        <v>28</v>
      </c>
      <c r="K43" s="144" t="s">
        <v>28</v>
      </c>
      <c r="L43" s="133">
        <v>1.0</v>
      </c>
      <c r="M43" s="132" t="s">
        <v>1075</v>
      </c>
      <c r="N43" s="130" t="s">
        <v>1076</v>
      </c>
      <c r="O43" s="133">
        <v>0.0</v>
      </c>
      <c r="P43" s="133" t="s">
        <v>29</v>
      </c>
      <c r="Q43" s="133"/>
      <c r="R43" s="132"/>
      <c r="S43" s="52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</row>
    <row r="44">
      <c r="A44" s="133">
        <v>27.0</v>
      </c>
      <c r="B44" s="145" t="s">
        <v>1119</v>
      </c>
      <c r="C44" s="145" t="s">
        <v>1120</v>
      </c>
      <c r="D44" s="131" t="s">
        <v>25</v>
      </c>
      <c r="E44" s="131" t="s">
        <v>57</v>
      </c>
      <c r="F44" s="133"/>
      <c r="G44" s="133">
        <v>30.0</v>
      </c>
      <c r="H44" s="144" t="s">
        <v>28</v>
      </c>
      <c r="I44" s="133" t="s">
        <v>1088</v>
      </c>
      <c r="J44" s="144" t="s">
        <v>28</v>
      </c>
      <c r="K44" s="144" t="s">
        <v>28</v>
      </c>
      <c r="L44" s="133">
        <v>1.0</v>
      </c>
      <c r="M44" s="132" t="s">
        <v>1075</v>
      </c>
      <c r="N44" s="130" t="s">
        <v>1076</v>
      </c>
      <c r="O44" s="132">
        <v>0.0</v>
      </c>
      <c r="P44" s="133" t="s">
        <v>29</v>
      </c>
      <c r="Q44" s="133"/>
      <c r="R44" s="132"/>
      <c r="S44" s="52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</row>
    <row r="45">
      <c r="A45" s="133">
        <v>28.0</v>
      </c>
      <c r="B45" s="145" t="s">
        <v>1121</v>
      </c>
      <c r="C45" s="145" t="s">
        <v>1120</v>
      </c>
      <c r="D45" s="131" t="s">
        <v>25</v>
      </c>
      <c r="E45" s="131" t="s">
        <v>57</v>
      </c>
      <c r="F45" s="133"/>
      <c r="G45" s="133">
        <v>144.0</v>
      </c>
      <c r="H45" s="144" t="s">
        <v>28</v>
      </c>
      <c r="I45" s="133" t="s">
        <v>1095</v>
      </c>
      <c r="J45" s="144" t="s">
        <v>28</v>
      </c>
      <c r="K45" s="144" t="s">
        <v>28</v>
      </c>
      <c r="L45" s="133">
        <v>1.0</v>
      </c>
      <c r="M45" s="132" t="s">
        <v>1075</v>
      </c>
      <c r="N45" s="130" t="s">
        <v>1076</v>
      </c>
      <c r="O45" s="132">
        <v>0.0</v>
      </c>
      <c r="P45" s="133" t="s">
        <v>29</v>
      </c>
      <c r="Q45" s="133"/>
      <c r="R45" s="132"/>
      <c r="S45" s="52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</row>
    <row r="46">
      <c r="A46" s="133">
        <v>29.0</v>
      </c>
      <c r="B46" s="145" t="s">
        <v>1123</v>
      </c>
      <c r="C46" s="145" t="s">
        <v>1124</v>
      </c>
      <c r="D46" s="131" t="s">
        <v>25</v>
      </c>
      <c r="E46" s="131" t="s">
        <v>57</v>
      </c>
      <c r="F46" s="133"/>
      <c r="G46" s="133">
        <v>88.0</v>
      </c>
      <c r="H46" s="144" t="s">
        <v>28</v>
      </c>
      <c r="I46" s="133" t="s">
        <v>1088</v>
      </c>
      <c r="J46" s="144" t="s">
        <v>28</v>
      </c>
      <c r="K46" s="144" t="s">
        <v>28</v>
      </c>
      <c r="L46" s="133">
        <v>1.0</v>
      </c>
      <c r="M46" s="132" t="s">
        <v>1075</v>
      </c>
      <c r="N46" s="130" t="s">
        <v>1076</v>
      </c>
      <c r="O46" s="132">
        <v>0.0</v>
      </c>
      <c r="P46" s="133" t="s">
        <v>29</v>
      </c>
      <c r="Q46" s="133"/>
      <c r="R46" s="132"/>
      <c r="S46" s="52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</row>
    <row r="47">
      <c r="A47" s="133">
        <v>30.0</v>
      </c>
      <c r="B47" s="145" t="s">
        <v>1127</v>
      </c>
      <c r="C47" s="145" t="s">
        <v>1124</v>
      </c>
      <c r="D47" s="131" t="s">
        <v>25</v>
      </c>
      <c r="E47" s="131" t="s">
        <v>57</v>
      </c>
      <c r="F47" s="133"/>
      <c r="G47" s="133">
        <v>120.0</v>
      </c>
      <c r="H47" s="144" t="s">
        <v>28</v>
      </c>
      <c r="I47" s="133" t="s">
        <v>1104</v>
      </c>
      <c r="J47" s="144" t="s">
        <v>28</v>
      </c>
      <c r="K47" s="144" t="s">
        <v>28</v>
      </c>
      <c r="L47" s="133">
        <v>1.0</v>
      </c>
      <c r="M47" s="132" t="s">
        <v>1075</v>
      </c>
      <c r="N47" s="130" t="s">
        <v>1076</v>
      </c>
      <c r="O47" s="133">
        <v>0.0</v>
      </c>
      <c r="P47" s="133" t="s">
        <v>29</v>
      </c>
      <c r="Q47" s="133"/>
      <c r="R47" s="132"/>
      <c r="S47" s="52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</row>
    <row r="48" ht="14.25" customHeight="1">
      <c r="A48" s="19"/>
      <c r="B48" s="20" t="s">
        <v>1128</v>
      </c>
      <c r="C48" s="21"/>
      <c r="D48" s="22"/>
      <c r="E48" s="22"/>
      <c r="F48" s="23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</row>
    <row r="49" ht="30.75" customHeight="1">
      <c r="A49" s="133">
        <v>1.0</v>
      </c>
      <c r="B49" s="145" t="s">
        <v>1129</v>
      </c>
      <c r="C49" s="145" t="s">
        <v>1130</v>
      </c>
      <c r="D49" s="131" t="s">
        <v>25</v>
      </c>
      <c r="E49" s="131" t="s">
        <v>57</v>
      </c>
      <c r="F49" s="146"/>
      <c r="G49" s="133">
        <v>4224.0</v>
      </c>
      <c r="H49" s="133">
        <v>20.0</v>
      </c>
      <c r="I49" s="133">
        <v>100.0</v>
      </c>
      <c r="J49" s="133" t="s">
        <v>1131</v>
      </c>
      <c r="K49" s="133" t="s">
        <v>1131</v>
      </c>
      <c r="L49" s="133">
        <v>0.0</v>
      </c>
      <c r="M49" s="133" t="s">
        <v>1132</v>
      </c>
      <c r="N49" s="144" t="s">
        <v>28</v>
      </c>
      <c r="O49" s="144" t="s">
        <v>28</v>
      </c>
      <c r="P49" s="133" t="s">
        <v>29</v>
      </c>
      <c r="Q49" s="147" t="s">
        <v>1133</v>
      </c>
      <c r="R49" s="133"/>
      <c r="S49" s="146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</row>
    <row r="50" ht="14.25" customHeight="1">
      <c r="A50" s="133">
        <v>2.0</v>
      </c>
      <c r="B50" s="149" t="s">
        <v>1134</v>
      </c>
      <c r="C50" s="149" t="s">
        <v>1135</v>
      </c>
      <c r="D50" s="131" t="s">
        <v>25</v>
      </c>
      <c r="E50" s="131" t="s">
        <v>57</v>
      </c>
      <c r="F50" s="52"/>
      <c r="G50" s="150" t="s">
        <v>1136</v>
      </c>
      <c r="H50" s="132">
        <v>2.0</v>
      </c>
      <c r="I50" s="132">
        <v>10.0</v>
      </c>
      <c r="J50" s="132" t="s">
        <v>1137</v>
      </c>
      <c r="K50" s="132">
        <v>1.0</v>
      </c>
      <c r="L50" s="132">
        <v>0.0</v>
      </c>
      <c r="M50" s="132" t="s">
        <v>1138</v>
      </c>
      <c r="N50" s="144" t="s">
        <v>28</v>
      </c>
      <c r="O50" s="144" t="s">
        <v>28</v>
      </c>
      <c r="P50" s="132" t="s">
        <v>29</v>
      </c>
      <c r="Q50" s="151" t="s">
        <v>1133</v>
      </c>
      <c r="R50" s="132"/>
      <c r="S50" s="52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</row>
    <row r="51" ht="14.25" customHeight="1">
      <c r="A51" s="133">
        <v>3.0</v>
      </c>
      <c r="B51" s="55" t="s">
        <v>1139</v>
      </c>
      <c r="C51" s="152" t="s">
        <v>1140</v>
      </c>
      <c r="D51" s="131" t="s">
        <v>25</v>
      </c>
      <c r="E51" s="131" t="s">
        <v>57</v>
      </c>
      <c r="F51" s="52"/>
      <c r="G51" s="132" t="s">
        <v>1141</v>
      </c>
      <c r="H51" s="132">
        <v>3.0</v>
      </c>
      <c r="I51" s="132">
        <v>10.0</v>
      </c>
      <c r="J51" s="132" t="s">
        <v>1137</v>
      </c>
      <c r="K51" s="132" t="s">
        <v>1137</v>
      </c>
      <c r="L51" s="132">
        <v>1.0</v>
      </c>
      <c r="M51" s="132" t="s">
        <v>1132</v>
      </c>
      <c r="N51" s="144" t="s">
        <v>28</v>
      </c>
      <c r="O51" s="144" t="s">
        <v>28</v>
      </c>
      <c r="P51" s="132" t="s">
        <v>29</v>
      </c>
      <c r="Q51" s="132"/>
      <c r="R51" s="132"/>
      <c r="S51" s="52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</row>
    <row r="52" ht="14.25" customHeight="1">
      <c r="A52" s="133">
        <v>4.0</v>
      </c>
      <c r="B52" s="55" t="s">
        <v>1142</v>
      </c>
      <c r="C52" s="153"/>
      <c r="D52" s="131" t="s">
        <v>25</v>
      </c>
      <c r="E52" s="131" t="s">
        <v>57</v>
      </c>
      <c r="F52" s="52"/>
      <c r="G52" s="132" t="s">
        <v>1143</v>
      </c>
      <c r="H52" s="132">
        <v>2.0</v>
      </c>
      <c r="I52" s="132">
        <v>8.0</v>
      </c>
      <c r="J52" s="132" t="s">
        <v>1137</v>
      </c>
      <c r="K52" s="132" t="s">
        <v>1137</v>
      </c>
      <c r="L52" s="132">
        <v>1.0</v>
      </c>
      <c r="M52" s="132" t="s">
        <v>1132</v>
      </c>
      <c r="N52" s="144" t="s">
        <v>28</v>
      </c>
      <c r="O52" s="144" t="s">
        <v>28</v>
      </c>
      <c r="P52" s="132" t="s">
        <v>29</v>
      </c>
      <c r="Q52" s="132"/>
      <c r="R52" s="132"/>
      <c r="S52" s="52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</row>
    <row r="53" ht="14.25" customHeight="1">
      <c r="A53" s="133">
        <v>5.0</v>
      </c>
      <c r="B53" s="55" t="s">
        <v>1134</v>
      </c>
      <c r="C53" s="13"/>
      <c r="D53" s="131" t="s">
        <v>25</v>
      </c>
      <c r="E53" s="131" t="s">
        <v>57</v>
      </c>
      <c r="F53" s="52"/>
      <c r="G53" s="132" t="s">
        <v>1144</v>
      </c>
      <c r="H53" s="132">
        <v>3.0</v>
      </c>
      <c r="I53" s="132">
        <v>10.0</v>
      </c>
      <c r="J53" s="132">
        <v>1.0</v>
      </c>
      <c r="K53" s="132">
        <v>1.0</v>
      </c>
      <c r="L53" s="132">
        <v>2.0</v>
      </c>
      <c r="M53" s="132" t="s">
        <v>1145</v>
      </c>
      <c r="N53" s="144" t="s">
        <v>28</v>
      </c>
      <c r="O53" s="144" t="s">
        <v>28</v>
      </c>
      <c r="P53" s="132" t="s">
        <v>29</v>
      </c>
      <c r="Q53" s="132"/>
      <c r="R53" s="132"/>
      <c r="S53" s="52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</row>
    <row r="54" ht="32.25" customHeight="1">
      <c r="A54" s="133">
        <v>6.0</v>
      </c>
      <c r="B54" s="146" t="s">
        <v>1139</v>
      </c>
      <c r="C54" s="152" t="s">
        <v>1146</v>
      </c>
      <c r="D54" s="131" t="s">
        <v>25</v>
      </c>
      <c r="E54" s="131" t="s">
        <v>57</v>
      </c>
      <c r="F54" s="146"/>
      <c r="G54" s="133" t="s">
        <v>1147</v>
      </c>
      <c r="H54" s="133">
        <v>3.0</v>
      </c>
      <c r="I54" s="133">
        <v>30.0</v>
      </c>
      <c r="J54" s="133">
        <v>0.0</v>
      </c>
      <c r="K54" s="133">
        <v>0.0</v>
      </c>
      <c r="L54" s="133">
        <v>1.0</v>
      </c>
      <c r="M54" s="133" t="s">
        <v>1148</v>
      </c>
      <c r="N54" s="144" t="s">
        <v>28</v>
      </c>
      <c r="O54" s="144" t="s">
        <v>28</v>
      </c>
      <c r="P54" s="133" t="s">
        <v>29</v>
      </c>
      <c r="Q54" s="133"/>
      <c r="R54" s="133"/>
      <c r="S54" s="146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</row>
    <row r="55" ht="14.25" customHeight="1">
      <c r="A55" s="133">
        <v>7.0</v>
      </c>
      <c r="B55" s="55" t="s">
        <v>1134</v>
      </c>
      <c r="C55" s="13"/>
      <c r="D55" s="131" t="s">
        <v>25</v>
      </c>
      <c r="E55" s="131" t="s">
        <v>57</v>
      </c>
      <c r="F55" s="52"/>
      <c r="G55" s="150" t="s">
        <v>1149</v>
      </c>
      <c r="H55" s="132">
        <v>2.0</v>
      </c>
      <c r="I55" s="132">
        <v>8.0</v>
      </c>
      <c r="J55" s="132">
        <v>0.0</v>
      </c>
      <c r="K55" s="132">
        <v>0.0</v>
      </c>
      <c r="L55" s="132">
        <v>1.0</v>
      </c>
      <c r="M55" s="132" t="s">
        <v>1148</v>
      </c>
      <c r="N55" s="144" t="s">
        <v>28</v>
      </c>
      <c r="O55" s="144" t="s">
        <v>28</v>
      </c>
      <c r="P55" s="132" t="s">
        <v>29</v>
      </c>
      <c r="Q55" s="132"/>
      <c r="R55" s="132"/>
      <c r="S55" s="52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</row>
    <row r="56" ht="14.25" customHeight="1">
      <c r="A56" s="133">
        <v>8.0</v>
      </c>
      <c r="B56" s="55" t="s">
        <v>1139</v>
      </c>
      <c r="C56" s="152" t="s">
        <v>1150</v>
      </c>
      <c r="D56" s="131" t="s">
        <v>25</v>
      </c>
      <c r="E56" s="131" t="s">
        <v>57</v>
      </c>
      <c r="F56" s="52"/>
      <c r="G56" s="132" t="s">
        <v>1151</v>
      </c>
      <c r="H56" s="132">
        <v>4.0</v>
      </c>
      <c r="I56" s="132">
        <v>40.0</v>
      </c>
      <c r="J56" s="144" t="s">
        <v>28</v>
      </c>
      <c r="K56" s="144" t="s">
        <v>28</v>
      </c>
      <c r="L56" s="132">
        <v>1.0</v>
      </c>
      <c r="M56" s="132" t="s">
        <v>1145</v>
      </c>
      <c r="N56" s="144" t="s">
        <v>28</v>
      </c>
      <c r="O56" s="144" t="s">
        <v>28</v>
      </c>
      <c r="P56" s="132" t="s">
        <v>29</v>
      </c>
      <c r="Q56" s="132"/>
      <c r="R56" s="132"/>
      <c r="S56" s="52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</row>
    <row r="57" ht="14.25" customHeight="1">
      <c r="A57" s="133">
        <v>9.0</v>
      </c>
      <c r="B57" s="55" t="s">
        <v>1142</v>
      </c>
      <c r="C57" s="153"/>
      <c r="D57" s="131" t="s">
        <v>25</v>
      </c>
      <c r="E57" s="131" t="s">
        <v>57</v>
      </c>
      <c r="F57" s="52"/>
      <c r="G57" s="132" t="s">
        <v>1152</v>
      </c>
      <c r="H57" s="132">
        <v>2.0</v>
      </c>
      <c r="I57" s="132">
        <v>20.0</v>
      </c>
      <c r="J57" s="144" t="s">
        <v>28</v>
      </c>
      <c r="K57" s="144" t="s">
        <v>28</v>
      </c>
      <c r="L57" s="132">
        <v>1.0</v>
      </c>
      <c r="M57" s="132" t="s">
        <v>1145</v>
      </c>
      <c r="N57" s="144" t="s">
        <v>28</v>
      </c>
      <c r="O57" s="144" t="s">
        <v>28</v>
      </c>
      <c r="P57" s="132" t="s">
        <v>29</v>
      </c>
      <c r="Q57" s="132"/>
      <c r="R57" s="132"/>
      <c r="S57" s="52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</row>
    <row r="58" ht="14.25" customHeight="1">
      <c r="A58" s="133">
        <v>10.0</v>
      </c>
      <c r="B58" s="55" t="s">
        <v>1153</v>
      </c>
      <c r="C58" s="13"/>
      <c r="D58" s="131" t="s">
        <v>25</v>
      </c>
      <c r="E58" s="131" t="s">
        <v>57</v>
      </c>
      <c r="F58" s="52"/>
      <c r="G58" s="132" t="s">
        <v>1154</v>
      </c>
      <c r="H58" s="132">
        <v>2.0</v>
      </c>
      <c r="I58" s="132">
        <v>10.0</v>
      </c>
      <c r="J58" s="144" t="s">
        <v>28</v>
      </c>
      <c r="K58" s="144" t="s">
        <v>28</v>
      </c>
      <c r="L58" s="132">
        <v>1.0</v>
      </c>
      <c r="M58" s="132" t="s">
        <v>1145</v>
      </c>
      <c r="N58" s="144" t="s">
        <v>28</v>
      </c>
      <c r="O58" s="144" t="s">
        <v>28</v>
      </c>
      <c r="P58" s="132" t="s">
        <v>29</v>
      </c>
      <c r="Q58" s="132"/>
      <c r="R58" s="132"/>
      <c r="S58" s="52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</row>
    <row r="59" ht="14.25" customHeight="1">
      <c r="A59" s="133">
        <v>11.0</v>
      </c>
      <c r="B59" s="55" t="s">
        <v>1139</v>
      </c>
      <c r="C59" s="152" t="s">
        <v>1155</v>
      </c>
      <c r="D59" s="131" t="s">
        <v>25</v>
      </c>
      <c r="E59" s="131" t="s">
        <v>57</v>
      </c>
      <c r="F59" s="52"/>
      <c r="G59" s="132" t="s">
        <v>1136</v>
      </c>
      <c r="H59" s="132">
        <v>2.0</v>
      </c>
      <c r="I59" s="132">
        <v>10.0</v>
      </c>
      <c r="J59" s="132" t="s">
        <v>1137</v>
      </c>
      <c r="K59" s="132" t="s">
        <v>1137</v>
      </c>
      <c r="L59" s="132">
        <v>0.0</v>
      </c>
      <c r="M59" s="132" t="s">
        <v>1156</v>
      </c>
      <c r="N59" s="144" t="s">
        <v>28</v>
      </c>
      <c r="O59" s="144" t="s">
        <v>28</v>
      </c>
      <c r="P59" s="132" t="s">
        <v>29</v>
      </c>
      <c r="Q59" s="132"/>
      <c r="R59" s="132"/>
      <c r="S59" s="52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</row>
    <row r="60" ht="14.25" customHeight="1">
      <c r="A60" s="133">
        <v>12.0</v>
      </c>
      <c r="B60" s="55" t="s">
        <v>1134</v>
      </c>
      <c r="C60" s="13"/>
      <c r="D60" s="131" t="s">
        <v>25</v>
      </c>
      <c r="E60" s="131" t="s">
        <v>57</v>
      </c>
      <c r="F60" s="52"/>
      <c r="G60" s="132" t="s">
        <v>1136</v>
      </c>
      <c r="H60" s="132">
        <v>3.0</v>
      </c>
      <c r="I60" s="132">
        <v>12.0</v>
      </c>
      <c r="J60" s="132">
        <v>0.0</v>
      </c>
      <c r="K60" s="132">
        <v>0.0</v>
      </c>
      <c r="L60" s="132">
        <v>1.0</v>
      </c>
      <c r="M60" s="132" t="s">
        <v>1148</v>
      </c>
      <c r="N60" s="144" t="s">
        <v>28</v>
      </c>
      <c r="O60" s="144" t="s">
        <v>28</v>
      </c>
      <c r="P60" s="132" t="s">
        <v>29</v>
      </c>
      <c r="Q60" s="132"/>
      <c r="R60" s="132"/>
      <c r="S60" s="52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</row>
    <row r="61" ht="14.25" customHeight="1">
      <c r="A61" s="133">
        <v>13.0</v>
      </c>
      <c r="B61" s="55" t="s">
        <v>1139</v>
      </c>
      <c r="C61" s="145" t="s">
        <v>1157</v>
      </c>
      <c r="D61" s="131" t="s">
        <v>25</v>
      </c>
      <c r="E61" s="131" t="s">
        <v>57</v>
      </c>
      <c r="F61" s="52"/>
      <c r="G61" s="132" t="s">
        <v>1158</v>
      </c>
      <c r="H61" s="132">
        <v>8.0</v>
      </c>
      <c r="I61" s="132">
        <v>25.0</v>
      </c>
      <c r="J61" s="132">
        <v>1.0</v>
      </c>
      <c r="K61" s="132">
        <v>1.0</v>
      </c>
      <c r="L61" s="132">
        <v>1.0</v>
      </c>
      <c r="M61" s="132" t="s">
        <v>1159</v>
      </c>
      <c r="N61" s="144" t="s">
        <v>28</v>
      </c>
      <c r="O61" s="144" t="s">
        <v>28</v>
      </c>
      <c r="P61" s="132" t="s">
        <v>29</v>
      </c>
      <c r="Q61" s="132"/>
      <c r="R61" s="132"/>
      <c r="S61" s="52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</row>
    <row r="62" ht="14.25" customHeight="1">
      <c r="A62" s="133">
        <v>14.0</v>
      </c>
      <c r="B62" s="55" t="s">
        <v>1160</v>
      </c>
      <c r="C62" s="145" t="s">
        <v>1161</v>
      </c>
      <c r="D62" s="131" t="s">
        <v>25</v>
      </c>
      <c r="E62" s="131" t="s">
        <v>57</v>
      </c>
      <c r="F62" s="52"/>
      <c r="G62" s="132" t="s">
        <v>1162</v>
      </c>
      <c r="H62" s="132">
        <v>4.0</v>
      </c>
      <c r="I62" s="132">
        <v>20.0</v>
      </c>
      <c r="J62" s="132">
        <v>1.0</v>
      </c>
      <c r="K62" s="132">
        <v>1.0</v>
      </c>
      <c r="L62" s="132">
        <v>0.0</v>
      </c>
      <c r="M62" s="132" t="s">
        <v>1132</v>
      </c>
      <c r="N62" s="144" t="s">
        <v>28</v>
      </c>
      <c r="O62" s="144" t="s">
        <v>28</v>
      </c>
      <c r="P62" s="132" t="s">
        <v>29</v>
      </c>
      <c r="Q62" s="132"/>
      <c r="R62" s="132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</row>
    <row r="63" ht="14.25" customHeight="1">
      <c r="A63" s="133">
        <v>15.0</v>
      </c>
      <c r="B63" s="55" t="s">
        <v>1139</v>
      </c>
      <c r="C63" s="152" t="s">
        <v>1163</v>
      </c>
      <c r="D63" s="131" t="s">
        <v>25</v>
      </c>
      <c r="E63" s="131" t="s">
        <v>57</v>
      </c>
      <c r="F63" s="52"/>
      <c r="G63" s="132" t="s">
        <v>1136</v>
      </c>
      <c r="H63" s="132">
        <v>2.0</v>
      </c>
      <c r="I63" s="132">
        <v>10.0</v>
      </c>
      <c r="J63" s="132">
        <v>0.0</v>
      </c>
      <c r="K63" s="132">
        <v>0.0</v>
      </c>
      <c r="L63" s="132">
        <v>0.0</v>
      </c>
      <c r="M63" s="132" t="s">
        <v>46</v>
      </c>
      <c r="N63" s="144" t="s">
        <v>28</v>
      </c>
      <c r="O63" s="144" t="s">
        <v>28</v>
      </c>
      <c r="P63" s="132" t="s">
        <v>29</v>
      </c>
      <c r="Q63" s="132"/>
      <c r="R63" s="132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</row>
    <row r="64" ht="14.25" customHeight="1">
      <c r="A64" s="133">
        <v>16.0</v>
      </c>
      <c r="B64" s="55" t="s">
        <v>1134</v>
      </c>
      <c r="C64" s="13"/>
      <c r="D64" s="131" t="s">
        <v>25</v>
      </c>
      <c r="E64" s="131" t="s">
        <v>57</v>
      </c>
      <c r="F64" s="52"/>
      <c r="G64" s="132" t="s">
        <v>1136</v>
      </c>
      <c r="H64" s="132">
        <v>2.0</v>
      </c>
      <c r="I64" s="132">
        <v>10.0</v>
      </c>
      <c r="J64" s="132">
        <v>1.0</v>
      </c>
      <c r="K64" s="132">
        <v>1.0</v>
      </c>
      <c r="L64" s="132">
        <v>0.0</v>
      </c>
      <c r="M64" s="132" t="s">
        <v>46</v>
      </c>
      <c r="N64" s="144" t="s">
        <v>28</v>
      </c>
      <c r="O64" s="144" t="s">
        <v>28</v>
      </c>
      <c r="P64" s="132" t="s">
        <v>29</v>
      </c>
      <c r="Q64" s="132"/>
      <c r="R64" s="132"/>
      <c r="S64" s="52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</row>
    <row r="65" ht="14.25" customHeight="1">
      <c r="A65" s="133">
        <v>17.0</v>
      </c>
      <c r="B65" s="55" t="s">
        <v>1164</v>
      </c>
      <c r="C65" s="152" t="s">
        <v>1165</v>
      </c>
      <c r="D65" s="131" t="s">
        <v>25</v>
      </c>
      <c r="E65" s="131" t="s">
        <v>57</v>
      </c>
      <c r="F65" s="52"/>
      <c r="G65" s="132" t="s">
        <v>1166</v>
      </c>
      <c r="H65" s="132">
        <v>5.0</v>
      </c>
      <c r="I65" s="132">
        <v>20.0</v>
      </c>
      <c r="J65" s="132">
        <v>0.0</v>
      </c>
      <c r="K65" s="132">
        <v>0.0</v>
      </c>
      <c r="L65" s="132">
        <v>1.0</v>
      </c>
      <c r="M65" s="132" t="s">
        <v>1148</v>
      </c>
      <c r="N65" s="144" t="s">
        <v>28</v>
      </c>
      <c r="O65" s="144" t="s">
        <v>28</v>
      </c>
      <c r="P65" s="132" t="s">
        <v>29</v>
      </c>
      <c r="Q65" s="132"/>
      <c r="R65" s="132"/>
      <c r="S65" s="52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</row>
    <row r="66" ht="14.25" customHeight="1">
      <c r="A66" s="133">
        <v>18.0</v>
      </c>
      <c r="B66" s="55" t="s">
        <v>1134</v>
      </c>
      <c r="C66" s="13"/>
      <c r="D66" s="131" t="s">
        <v>25</v>
      </c>
      <c r="E66" s="131" t="s">
        <v>57</v>
      </c>
      <c r="F66" s="52"/>
      <c r="G66" s="132" t="s">
        <v>1166</v>
      </c>
      <c r="H66" s="132">
        <v>5.0</v>
      </c>
      <c r="I66" s="132">
        <v>20.0</v>
      </c>
      <c r="J66" s="132">
        <v>1.0</v>
      </c>
      <c r="K66" s="132">
        <v>1.0</v>
      </c>
      <c r="L66" s="132">
        <v>0.0</v>
      </c>
      <c r="M66" s="132" t="s">
        <v>1148</v>
      </c>
      <c r="N66" s="144" t="s">
        <v>28</v>
      </c>
      <c r="O66" s="144" t="s">
        <v>28</v>
      </c>
      <c r="P66" s="132" t="s">
        <v>29</v>
      </c>
      <c r="Q66" s="132"/>
      <c r="R66" s="132"/>
      <c r="S66" s="52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</row>
    <row r="67" ht="18.75" customHeight="1">
      <c r="A67" s="133">
        <v>19.0</v>
      </c>
      <c r="B67" s="55" t="s">
        <v>1139</v>
      </c>
      <c r="C67" s="152" t="s">
        <v>1167</v>
      </c>
      <c r="D67" s="131" t="s">
        <v>25</v>
      </c>
      <c r="E67" s="131" t="s">
        <v>57</v>
      </c>
      <c r="F67" s="52"/>
      <c r="G67" s="133" t="s">
        <v>1168</v>
      </c>
      <c r="H67" s="133">
        <v>4.0</v>
      </c>
      <c r="I67" s="133">
        <v>20.0</v>
      </c>
      <c r="J67" s="133" t="s">
        <v>1137</v>
      </c>
      <c r="K67" s="133" t="s">
        <v>1137</v>
      </c>
      <c r="L67" s="133" t="s">
        <v>1137</v>
      </c>
      <c r="M67" s="133" t="s">
        <v>1159</v>
      </c>
      <c r="N67" s="144" t="s">
        <v>28</v>
      </c>
      <c r="O67" s="144" t="s">
        <v>28</v>
      </c>
      <c r="P67" s="132" t="s">
        <v>29</v>
      </c>
      <c r="Q67" s="132"/>
      <c r="R67" s="132"/>
      <c r="S67" s="52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</row>
    <row r="68" ht="13.5" customHeight="1">
      <c r="A68" s="133">
        <v>20.0</v>
      </c>
      <c r="B68" s="55" t="s">
        <v>1169</v>
      </c>
      <c r="C68" s="13"/>
      <c r="D68" s="131" t="s">
        <v>25</v>
      </c>
      <c r="E68" s="131" t="s">
        <v>57</v>
      </c>
      <c r="F68" s="52"/>
      <c r="G68" s="133" t="s">
        <v>1170</v>
      </c>
      <c r="H68" s="133">
        <v>2.0</v>
      </c>
      <c r="I68" s="133">
        <v>10.0</v>
      </c>
      <c r="J68" s="133">
        <v>1.0</v>
      </c>
      <c r="K68" s="133">
        <v>1.0</v>
      </c>
      <c r="L68" s="133" t="s">
        <v>1137</v>
      </c>
      <c r="M68" s="133" t="s">
        <v>1159</v>
      </c>
      <c r="N68" s="144" t="s">
        <v>28</v>
      </c>
      <c r="O68" s="144" t="s">
        <v>28</v>
      </c>
      <c r="P68" s="132" t="s">
        <v>29</v>
      </c>
      <c r="Q68" s="132"/>
      <c r="R68" s="132"/>
      <c r="S68" s="52"/>
      <c r="T68" s="155"/>
      <c r="U68" s="155"/>
      <c r="V68" s="155"/>
      <c r="W68" s="155"/>
      <c r="X68" s="155"/>
      <c r="Y68" s="155"/>
      <c r="Z68" s="155"/>
      <c r="AA68" s="155"/>
      <c r="AB68" s="155"/>
      <c r="AC68" s="155"/>
      <c r="AD68" s="155"/>
    </row>
    <row r="69" ht="16.5" customHeight="1">
      <c r="A69" s="133">
        <v>21.0</v>
      </c>
      <c r="B69" s="55" t="s">
        <v>1171</v>
      </c>
      <c r="C69" s="152" t="s">
        <v>1172</v>
      </c>
      <c r="D69" s="131" t="s">
        <v>25</v>
      </c>
      <c r="E69" s="131" t="s">
        <v>57</v>
      </c>
      <c r="F69" s="52"/>
      <c r="G69" s="156" t="s">
        <v>1173</v>
      </c>
      <c r="H69" s="156">
        <v>5.0</v>
      </c>
      <c r="I69" s="156">
        <v>18.0</v>
      </c>
      <c r="J69" s="156">
        <v>0.0</v>
      </c>
      <c r="K69" s="156">
        <v>0.0</v>
      </c>
      <c r="L69" s="156">
        <v>1.0</v>
      </c>
      <c r="M69" s="156" t="s">
        <v>1148</v>
      </c>
      <c r="N69" s="144" t="s">
        <v>28</v>
      </c>
      <c r="O69" s="144" t="s">
        <v>28</v>
      </c>
      <c r="P69" s="132" t="s">
        <v>29</v>
      </c>
      <c r="Q69" s="132"/>
      <c r="R69" s="132"/>
      <c r="S69" s="52"/>
      <c r="T69" s="155"/>
      <c r="U69" s="155"/>
      <c r="V69" s="155"/>
      <c r="W69" s="155"/>
      <c r="X69" s="155"/>
      <c r="Y69" s="155"/>
      <c r="Z69" s="155"/>
      <c r="AA69" s="155"/>
      <c r="AB69" s="155"/>
      <c r="AC69" s="155"/>
      <c r="AD69" s="155"/>
    </row>
    <row r="70" ht="14.25" customHeight="1">
      <c r="A70" s="133">
        <v>22.0</v>
      </c>
      <c r="B70" s="55" t="s">
        <v>1174</v>
      </c>
      <c r="C70" s="153"/>
      <c r="D70" s="131" t="s">
        <v>25</v>
      </c>
      <c r="E70" s="131" t="s">
        <v>57</v>
      </c>
      <c r="F70" s="52"/>
      <c r="G70" s="13"/>
      <c r="H70" s="13"/>
      <c r="I70" s="13"/>
      <c r="J70" s="13"/>
      <c r="K70" s="13"/>
      <c r="L70" s="13"/>
      <c r="M70" s="13"/>
      <c r="N70" s="144" t="s">
        <v>28</v>
      </c>
      <c r="O70" s="144" t="s">
        <v>28</v>
      </c>
      <c r="P70" s="132" t="s">
        <v>29</v>
      </c>
      <c r="Q70" s="132"/>
      <c r="R70" s="132"/>
      <c r="S70" s="52"/>
      <c r="T70" s="155"/>
      <c r="U70" s="155"/>
      <c r="V70" s="155"/>
      <c r="W70" s="155"/>
      <c r="X70" s="155"/>
      <c r="Y70" s="155"/>
      <c r="Z70" s="155"/>
      <c r="AA70" s="155"/>
      <c r="AB70" s="155"/>
      <c r="AC70" s="155"/>
      <c r="AD70" s="155"/>
    </row>
    <row r="71" ht="14.25" customHeight="1">
      <c r="A71" s="133">
        <v>23.0</v>
      </c>
      <c r="B71" s="55" t="s">
        <v>1134</v>
      </c>
      <c r="C71" s="13"/>
      <c r="D71" s="131" t="s">
        <v>25</v>
      </c>
      <c r="E71" s="131" t="s">
        <v>57</v>
      </c>
      <c r="F71" s="52"/>
      <c r="G71" s="133" t="s">
        <v>1162</v>
      </c>
      <c r="H71" s="133">
        <v>5.0</v>
      </c>
      <c r="I71" s="133">
        <v>20.0</v>
      </c>
      <c r="J71" s="133">
        <v>0.0</v>
      </c>
      <c r="K71" s="133">
        <v>0.0</v>
      </c>
      <c r="L71" s="133">
        <v>1.0</v>
      </c>
      <c r="M71" s="133" t="s">
        <v>1148</v>
      </c>
      <c r="N71" s="144" t="s">
        <v>28</v>
      </c>
      <c r="O71" s="144" t="s">
        <v>28</v>
      </c>
      <c r="P71" s="132" t="s">
        <v>29</v>
      </c>
      <c r="Q71" s="132"/>
      <c r="R71" s="132"/>
      <c r="S71" s="52"/>
      <c r="T71" s="155"/>
      <c r="U71" s="155"/>
      <c r="V71" s="155"/>
      <c r="W71" s="155"/>
      <c r="X71" s="155"/>
      <c r="Y71" s="155"/>
      <c r="Z71" s="155"/>
      <c r="AA71" s="155"/>
      <c r="AB71" s="155"/>
      <c r="AC71" s="155"/>
      <c r="AD71" s="155"/>
    </row>
    <row r="72" ht="14.25" customHeight="1">
      <c r="A72" s="133">
        <v>24.0</v>
      </c>
      <c r="B72" s="55" t="s">
        <v>1174</v>
      </c>
      <c r="C72" s="145" t="s">
        <v>1175</v>
      </c>
      <c r="D72" s="131" t="s">
        <v>25</v>
      </c>
      <c r="E72" s="131" t="s">
        <v>57</v>
      </c>
      <c r="F72" s="52"/>
      <c r="G72" s="133" t="s">
        <v>1176</v>
      </c>
      <c r="H72" s="133">
        <v>3.0</v>
      </c>
      <c r="I72" s="133">
        <v>15.0</v>
      </c>
      <c r="J72" s="133" t="s">
        <v>1137</v>
      </c>
      <c r="K72" s="133" t="s">
        <v>1137</v>
      </c>
      <c r="L72" s="133">
        <v>1.0</v>
      </c>
      <c r="M72" s="133" t="s">
        <v>1138</v>
      </c>
      <c r="N72" s="144" t="s">
        <v>28</v>
      </c>
      <c r="O72" s="144" t="s">
        <v>28</v>
      </c>
      <c r="P72" s="132" t="s">
        <v>29</v>
      </c>
      <c r="Q72" s="132"/>
      <c r="R72" s="132"/>
      <c r="S72" s="52"/>
      <c r="T72" s="155"/>
      <c r="U72" s="155"/>
      <c r="V72" s="155"/>
      <c r="W72" s="155"/>
      <c r="X72" s="155"/>
      <c r="Y72" s="155"/>
      <c r="Z72" s="155"/>
      <c r="AA72" s="155"/>
      <c r="AB72" s="155"/>
      <c r="AC72" s="155"/>
      <c r="AD72" s="155"/>
    </row>
    <row r="73" ht="14.25" customHeight="1">
      <c r="A73" s="133">
        <v>25.0</v>
      </c>
      <c r="B73" s="146" t="s">
        <v>1142</v>
      </c>
      <c r="C73" s="152" t="s">
        <v>1177</v>
      </c>
      <c r="D73" s="131" t="s">
        <v>25</v>
      </c>
      <c r="E73" s="131" t="s">
        <v>57</v>
      </c>
      <c r="F73" s="146"/>
      <c r="G73" s="133" t="s">
        <v>1178</v>
      </c>
      <c r="H73" s="133">
        <v>2.0</v>
      </c>
      <c r="I73" s="133">
        <v>10.0</v>
      </c>
      <c r="J73" s="133">
        <v>1.0</v>
      </c>
      <c r="K73" s="133">
        <v>1.0</v>
      </c>
      <c r="L73" s="133" t="s">
        <v>1137</v>
      </c>
      <c r="M73" s="132" t="s">
        <v>1138</v>
      </c>
      <c r="N73" s="144" t="s">
        <v>28</v>
      </c>
      <c r="O73" s="144" t="s">
        <v>28</v>
      </c>
      <c r="P73" s="132" t="s">
        <v>29</v>
      </c>
      <c r="Q73" s="133"/>
      <c r="R73" s="133"/>
      <c r="S73" s="146"/>
      <c r="T73" s="154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</row>
    <row r="74" ht="14.25" customHeight="1">
      <c r="A74" s="133">
        <v>26.0</v>
      </c>
      <c r="B74" s="146" t="s">
        <v>1139</v>
      </c>
      <c r="C74" s="153"/>
      <c r="D74" s="131" t="s">
        <v>25</v>
      </c>
      <c r="E74" s="131" t="s">
        <v>57</v>
      </c>
      <c r="F74" s="146"/>
      <c r="G74" s="133" t="s">
        <v>1179</v>
      </c>
      <c r="H74" s="133">
        <v>2.0</v>
      </c>
      <c r="I74" s="133">
        <v>10.0</v>
      </c>
      <c r="J74" s="133" t="s">
        <v>1137</v>
      </c>
      <c r="K74" s="133" t="s">
        <v>1137</v>
      </c>
      <c r="L74" s="133" t="s">
        <v>1137</v>
      </c>
      <c r="M74" s="132" t="s">
        <v>1138</v>
      </c>
      <c r="N74" s="144" t="s">
        <v>28</v>
      </c>
      <c r="O74" s="144" t="s">
        <v>28</v>
      </c>
      <c r="P74" s="132" t="s">
        <v>29</v>
      </c>
      <c r="Q74" s="133"/>
      <c r="R74" s="133"/>
      <c r="S74" s="146"/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</row>
    <row r="75" ht="14.25" customHeight="1">
      <c r="A75" s="133">
        <v>27.0</v>
      </c>
      <c r="B75" s="146" t="s">
        <v>1169</v>
      </c>
      <c r="C75" s="153"/>
      <c r="D75" s="131" t="s">
        <v>25</v>
      </c>
      <c r="E75" s="131" t="s">
        <v>57</v>
      </c>
      <c r="F75" s="146"/>
      <c r="G75" s="133" t="s">
        <v>1179</v>
      </c>
      <c r="H75" s="133">
        <v>2.0</v>
      </c>
      <c r="I75" s="133">
        <v>7.0</v>
      </c>
      <c r="J75" s="133">
        <v>1.0</v>
      </c>
      <c r="K75" s="133">
        <v>1.0</v>
      </c>
      <c r="L75" s="133" t="s">
        <v>1137</v>
      </c>
      <c r="M75" s="132" t="s">
        <v>1138</v>
      </c>
      <c r="N75" s="144" t="s">
        <v>28</v>
      </c>
      <c r="O75" s="144" t="s">
        <v>28</v>
      </c>
      <c r="P75" s="132" t="s">
        <v>29</v>
      </c>
      <c r="Q75" s="133"/>
      <c r="R75" s="133"/>
      <c r="S75" s="146"/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</row>
    <row r="76" ht="14.25" customHeight="1">
      <c r="A76" s="133">
        <v>28.0</v>
      </c>
      <c r="B76" s="146" t="s">
        <v>1180</v>
      </c>
      <c r="C76" s="13"/>
      <c r="D76" s="131" t="s">
        <v>25</v>
      </c>
      <c r="E76" s="131" t="s">
        <v>57</v>
      </c>
      <c r="F76" s="146"/>
      <c r="G76" s="133" t="s">
        <v>1181</v>
      </c>
      <c r="H76" s="133">
        <v>10.0</v>
      </c>
      <c r="I76" s="133">
        <v>30.0</v>
      </c>
      <c r="J76" s="133" t="s">
        <v>1137</v>
      </c>
      <c r="K76" s="133" t="s">
        <v>1137</v>
      </c>
      <c r="L76" s="133" t="s">
        <v>1137</v>
      </c>
      <c r="M76" s="132" t="s">
        <v>1138</v>
      </c>
      <c r="N76" s="144" t="s">
        <v>28</v>
      </c>
      <c r="O76" s="144" t="s">
        <v>28</v>
      </c>
      <c r="P76" s="132" t="s">
        <v>29</v>
      </c>
      <c r="Q76" s="133"/>
      <c r="R76" s="133"/>
      <c r="S76" s="146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</row>
    <row r="77" ht="14.25" customHeight="1">
      <c r="A77" s="133">
        <v>29.0</v>
      </c>
      <c r="B77" s="146" t="s">
        <v>1139</v>
      </c>
      <c r="C77" s="152" t="s">
        <v>1182</v>
      </c>
      <c r="D77" s="131" t="s">
        <v>25</v>
      </c>
      <c r="E77" s="131" t="s">
        <v>57</v>
      </c>
      <c r="F77" s="146"/>
      <c r="G77" s="133" t="s">
        <v>1183</v>
      </c>
      <c r="H77" s="133">
        <v>10.0</v>
      </c>
      <c r="I77" s="133">
        <v>30.0</v>
      </c>
      <c r="J77" s="133">
        <v>1.0</v>
      </c>
      <c r="K77" s="133">
        <v>1.0</v>
      </c>
      <c r="L77" s="133" t="s">
        <v>1137</v>
      </c>
      <c r="M77" s="132" t="s">
        <v>1138</v>
      </c>
      <c r="N77" s="144" t="s">
        <v>28</v>
      </c>
      <c r="O77" s="144" t="s">
        <v>28</v>
      </c>
      <c r="P77" s="132" t="s">
        <v>29</v>
      </c>
      <c r="Q77" s="133"/>
      <c r="R77" s="133"/>
      <c r="S77" s="146"/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</row>
    <row r="78" ht="14.25" customHeight="1">
      <c r="A78" s="133">
        <v>30.0</v>
      </c>
      <c r="B78" s="146" t="s">
        <v>1169</v>
      </c>
      <c r="C78" s="13"/>
      <c r="D78" s="131" t="s">
        <v>25</v>
      </c>
      <c r="E78" s="131" t="s">
        <v>57</v>
      </c>
      <c r="F78" s="146"/>
      <c r="G78" s="133" t="s">
        <v>1184</v>
      </c>
      <c r="H78" s="133">
        <v>5.0</v>
      </c>
      <c r="I78" s="133">
        <v>18.0</v>
      </c>
      <c r="J78" s="133">
        <v>1.0</v>
      </c>
      <c r="K78" s="133">
        <v>1.0</v>
      </c>
      <c r="L78" s="133" t="s">
        <v>1137</v>
      </c>
      <c r="M78" s="132" t="s">
        <v>1138</v>
      </c>
      <c r="N78" s="144" t="s">
        <v>28</v>
      </c>
      <c r="O78" s="144" t="s">
        <v>28</v>
      </c>
      <c r="P78" s="132" t="s">
        <v>29</v>
      </c>
      <c r="Q78" s="133"/>
      <c r="R78" s="133"/>
      <c r="S78" s="146"/>
      <c r="T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</row>
    <row r="79" ht="14.25" customHeight="1">
      <c r="A79" s="133">
        <v>31.0</v>
      </c>
      <c r="B79" s="146" t="s">
        <v>1139</v>
      </c>
      <c r="C79" s="152" t="s">
        <v>1185</v>
      </c>
      <c r="D79" s="131" t="s">
        <v>25</v>
      </c>
      <c r="E79" s="131" t="s">
        <v>57</v>
      </c>
      <c r="F79" s="146"/>
      <c r="G79" s="133" t="s">
        <v>1149</v>
      </c>
      <c r="H79" s="133">
        <v>3.0</v>
      </c>
      <c r="I79" s="133">
        <v>15.0</v>
      </c>
      <c r="J79" s="133" t="s">
        <v>1137</v>
      </c>
      <c r="K79" s="133" t="s">
        <v>1137</v>
      </c>
      <c r="L79" s="133">
        <v>1.0</v>
      </c>
      <c r="M79" s="132" t="s">
        <v>1159</v>
      </c>
      <c r="N79" s="144" t="s">
        <v>28</v>
      </c>
      <c r="O79" s="144" t="s">
        <v>28</v>
      </c>
      <c r="P79" s="132" t="s">
        <v>29</v>
      </c>
      <c r="Q79" s="133"/>
      <c r="R79" s="133"/>
      <c r="S79" s="146"/>
      <c r="T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</row>
    <row r="80" ht="14.25" customHeight="1">
      <c r="A80" s="133">
        <v>32.0</v>
      </c>
      <c r="B80" s="146" t="s">
        <v>1134</v>
      </c>
      <c r="C80" s="13"/>
      <c r="D80" s="131" t="s">
        <v>25</v>
      </c>
      <c r="E80" s="131" t="s">
        <v>57</v>
      </c>
      <c r="F80" s="146"/>
      <c r="G80" s="133" t="s">
        <v>1136</v>
      </c>
      <c r="H80" s="133">
        <v>4.0</v>
      </c>
      <c r="I80" s="133">
        <v>20.0</v>
      </c>
      <c r="J80" s="133" t="s">
        <v>1137</v>
      </c>
      <c r="K80" s="133" t="s">
        <v>1137</v>
      </c>
      <c r="L80" s="133">
        <v>1.0</v>
      </c>
      <c r="M80" s="132" t="s">
        <v>1159</v>
      </c>
      <c r="N80" s="144" t="s">
        <v>28</v>
      </c>
      <c r="O80" s="144" t="s">
        <v>28</v>
      </c>
      <c r="P80" s="132" t="s">
        <v>29</v>
      </c>
      <c r="Q80" s="133"/>
      <c r="R80" s="133"/>
      <c r="S80" s="146"/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</row>
    <row r="81" ht="14.25" customHeight="1">
      <c r="A81" s="133">
        <v>33.0</v>
      </c>
      <c r="B81" s="146" t="s">
        <v>1139</v>
      </c>
      <c r="C81" s="152" t="s">
        <v>1186</v>
      </c>
      <c r="D81" s="131" t="s">
        <v>25</v>
      </c>
      <c r="E81" s="131" t="s">
        <v>57</v>
      </c>
      <c r="F81" s="146"/>
      <c r="G81" s="133">
        <v>27.075</v>
      </c>
      <c r="H81" s="133">
        <v>4.0</v>
      </c>
      <c r="I81" s="133">
        <v>16.0</v>
      </c>
      <c r="J81" s="133" t="s">
        <v>1137</v>
      </c>
      <c r="K81" s="133" t="s">
        <v>1137</v>
      </c>
      <c r="L81" s="133">
        <v>1.0</v>
      </c>
      <c r="M81" s="130" t="s">
        <v>82</v>
      </c>
      <c r="N81" s="144" t="s">
        <v>28</v>
      </c>
      <c r="O81" s="144" t="s">
        <v>28</v>
      </c>
      <c r="P81" s="132" t="s">
        <v>29</v>
      </c>
      <c r="Q81" s="133"/>
      <c r="R81" s="133"/>
      <c r="S81" s="146"/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</row>
    <row r="82" ht="14.25" customHeight="1">
      <c r="A82" s="133">
        <v>34.0</v>
      </c>
      <c r="B82" s="146" t="s">
        <v>1134</v>
      </c>
      <c r="C82" s="13"/>
      <c r="D82" s="131" t="s">
        <v>25</v>
      </c>
      <c r="E82" s="131" t="s">
        <v>57</v>
      </c>
      <c r="F82" s="146"/>
      <c r="G82" s="133">
        <v>33.975</v>
      </c>
      <c r="H82" s="133">
        <v>4.0</v>
      </c>
      <c r="I82" s="133">
        <v>16.0</v>
      </c>
      <c r="J82" s="133">
        <v>1.0</v>
      </c>
      <c r="K82" s="133">
        <v>1.0</v>
      </c>
      <c r="L82" s="133" t="s">
        <v>1137</v>
      </c>
      <c r="M82" s="130" t="s">
        <v>82</v>
      </c>
      <c r="N82" s="144" t="s">
        <v>28</v>
      </c>
      <c r="O82" s="144" t="s">
        <v>28</v>
      </c>
      <c r="P82" s="132" t="s">
        <v>29</v>
      </c>
      <c r="Q82" s="133"/>
      <c r="R82" s="133"/>
      <c r="S82" s="146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</row>
    <row r="83" ht="14.25" customHeight="1">
      <c r="A83" s="133">
        <v>35.0</v>
      </c>
      <c r="B83" s="146" t="s">
        <v>1187</v>
      </c>
      <c r="C83" s="152" t="s">
        <v>1188</v>
      </c>
      <c r="D83" s="131" t="s">
        <v>25</v>
      </c>
      <c r="E83" s="131" t="s">
        <v>57</v>
      </c>
      <c r="F83" s="146"/>
      <c r="G83" s="133" t="s">
        <v>1183</v>
      </c>
      <c r="H83" s="133">
        <v>10.0</v>
      </c>
      <c r="I83" s="133">
        <v>30.0</v>
      </c>
      <c r="J83" s="133">
        <v>1.0</v>
      </c>
      <c r="K83" s="133">
        <v>1.0</v>
      </c>
      <c r="L83" s="133" t="s">
        <v>1137</v>
      </c>
      <c r="M83" s="132" t="s">
        <v>1189</v>
      </c>
      <c r="N83" s="144" t="s">
        <v>28</v>
      </c>
      <c r="O83" s="144" t="s">
        <v>28</v>
      </c>
      <c r="P83" s="132" t="s">
        <v>29</v>
      </c>
      <c r="Q83" s="133"/>
      <c r="R83" s="133"/>
      <c r="S83" s="146"/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</row>
    <row r="84" ht="14.25" customHeight="1">
      <c r="A84" s="133">
        <v>36.0</v>
      </c>
      <c r="B84" s="146" t="s">
        <v>1190</v>
      </c>
      <c r="C84" s="153"/>
      <c r="D84" s="131" t="s">
        <v>25</v>
      </c>
      <c r="E84" s="131" t="s">
        <v>57</v>
      </c>
      <c r="F84" s="146"/>
      <c r="G84" s="133" t="s">
        <v>1191</v>
      </c>
      <c r="H84" s="133">
        <v>6.0</v>
      </c>
      <c r="I84" s="133">
        <v>12.0</v>
      </c>
      <c r="J84" s="133" t="s">
        <v>1137</v>
      </c>
      <c r="K84" s="133" t="s">
        <v>1137</v>
      </c>
      <c r="L84" s="133">
        <v>1.0</v>
      </c>
      <c r="M84" s="132" t="s">
        <v>82</v>
      </c>
      <c r="N84" s="144" t="s">
        <v>28</v>
      </c>
      <c r="O84" s="144" t="s">
        <v>28</v>
      </c>
      <c r="P84" s="132" t="s">
        <v>29</v>
      </c>
      <c r="Q84" s="133"/>
      <c r="R84" s="133"/>
      <c r="S84" s="146"/>
      <c r="T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</row>
    <row r="85" ht="14.25" customHeight="1">
      <c r="A85" s="133">
        <v>37.0</v>
      </c>
      <c r="B85" s="146" t="s">
        <v>1139</v>
      </c>
      <c r="C85" s="13"/>
      <c r="D85" s="131" t="s">
        <v>25</v>
      </c>
      <c r="E85" s="131" t="s">
        <v>57</v>
      </c>
      <c r="F85" s="146"/>
      <c r="G85" s="133" t="s">
        <v>1191</v>
      </c>
      <c r="H85" s="133">
        <v>4.0</v>
      </c>
      <c r="I85" s="133">
        <v>8.0</v>
      </c>
      <c r="J85" s="133" t="s">
        <v>1137</v>
      </c>
      <c r="K85" s="133" t="s">
        <v>1137</v>
      </c>
      <c r="L85" s="133" t="s">
        <v>1137</v>
      </c>
      <c r="M85" s="132" t="s">
        <v>1189</v>
      </c>
      <c r="N85" s="144" t="s">
        <v>28</v>
      </c>
      <c r="O85" s="144" t="s">
        <v>28</v>
      </c>
      <c r="P85" s="132" t="s">
        <v>29</v>
      </c>
      <c r="Q85" s="133"/>
      <c r="R85" s="133"/>
      <c r="S85" s="146"/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</row>
    <row r="86" ht="14.25" customHeight="1">
      <c r="A86" s="133">
        <v>38.0</v>
      </c>
      <c r="B86" s="146" t="s">
        <v>1139</v>
      </c>
      <c r="C86" s="152" t="s">
        <v>1192</v>
      </c>
      <c r="D86" s="131" t="s">
        <v>25</v>
      </c>
      <c r="E86" s="131" t="s">
        <v>57</v>
      </c>
      <c r="F86" s="146"/>
      <c r="G86" s="133">
        <v>42.5</v>
      </c>
      <c r="H86" s="133">
        <v>2.0</v>
      </c>
      <c r="I86" s="133">
        <v>17.0</v>
      </c>
      <c r="J86" s="133" t="s">
        <v>1137</v>
      </c>
      <c r="K86" s="133" t="s">
        <v>1137</v>
      </c>
      <c r="L86" s="133" t="s">
        <v>1137</v>
      </c>
      <c r="M86" s="144" t="s">
        <v>28</v>
      </c>
      <c r="N86" s="133" t="s">
        <v>401</v>
      </c>
      <c r="O86" s="144" t="s">
        <v>28</v>
      </c>
      <c r="P86" s="132" t="s">
        <v>29</v>
      </c>
      <c r="Q86" s="133"/>
      <c r="R86" s="133"/>
      <c r="S86" s="146"/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</row>
    <row r="87" ht="14.25" customHeight="1">
      <c r="A87" s="133">
        <v>39.0</v>
      </c>
      <c r="B87" s="146" t="s">
        <v>1142</v>
      </c>
      <c r="C87" s="153"/>
      <c r="D87" s="131" t="s">
        <v>25</v>
      </c>
      <c r="E87" s="131" t="s">
        <v>57</v>
      </c>
      <c r="F87" s="146"/>
      <c r="G87" s="133">
        <v>40.0</v>
      </c>
      <c r="H87" s="133">
        <v>1.0</v>
      </c>
      <c r="I87" s="133">
        <v>5.0</v>
      </c>
      <c r="J87" s="133" t="s">
        <v>1137</v>
      </c>
      <c r="K87" s="133" t="s">
        <v>1137</v>
      </c>
      <c r="L87" s="133">
        <v>1.0</v>
      </c>
      <c r="M87" s="144" t="s">
        <v>28</v>
      </c>
      <c r="N87" s="133" t="s">
        <v>323</v>
      </c>
      <c r="O87" s="144" t="s">
        <v>28</v>
      </c>
      <c r="P87" s="132" t="s">
        <v>29</v>
      </c>
      <c r="Q87" s="133"/>
      <c r="R87" s="133"/>
      <c r="S87" s="146"/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</row>
    <row r="88" ht="14.25" customHeight="1">
      <c r="A88" s="133">
        <v>40.0</v>
      </c>
      <c r="B88" s="146" t="s">
        <v>1134</v>
      </c>
      <c r="C88" s="13"/>
      <c r="D88" s="131" t="s">
        <v>25</v>
      </c>
      <c r="E88" s="131" t="s">
        <v>57</v>
      </c>
      <c r="F88" s="146"/>
      <c r="G88" s="133">
        <v>60.0</v>
      </c>
      <c r="H88" s="133">
        <v>2.0</v>
      </c>
      <c r="I88" s="133">
        <v>10.0</v>
      </c>
      <c r="J88" s="133" t="s">
        <v>1137</v>
      </c>
      <c r="K88" s="133" t="s">
        <v>1137</v>
      </c>
      <c r="L88" s="133">
        <v>1.0</v>
      </c>
      <c r="M88" s="144" t="s">
        <v>28</v>
      </c>
      <c r="N88" s="133" t="s">
        <v>323</v>
      </c>
      <c r="O88" s="144" t="s">
        <v>28</v>
      </c>
      <c r="P88" s="132" t="s">
        <v>29</v>
      </c>
      <c r="Q88" s="133"/>
      <c r="R88" s="133"/>
      <c r="S88" s="146"/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</row>
    <row r="89" ht="14.25" customHeight="1">
      <c r="A89" s="133">
        <v>41.0</v>
      </c>
      <c r="B89" s="146" t="s">
        <v>1139</v>
      </c>
      <c r="C89" s="152" t="s">
        <v>1193</v>
      </c>
      <c r="D89" s="131" t="s">
        <v>25</v>
      </c>
      <c r="E89" s="131" t="s">
        <v>57</v>
      </c>
      <c r="F89" s="146"/>
      <c r="G89" s="133" t="s">
        <v>1194</v>
      </c>
      <c r="H89" s="133">
        <v>2.0</v>
      </c>
      <c r="I89" s="133">
        <v>12.0</v>
      </c>
      <c r="J89" s="133" t="s">
        <v>1137</v>
      </c>
      <c r="K89" s="133" t="s">
        <v>1137</v>
      </c>
      <c r="L89" s="133">
        <v>1.0</v>
      </c>
      <c r="M89" s="130" t="s">
        <v>82</v>
      </c>
      <c r="N89" s="144" t="s">
        <v>28</v>
      </c>
      <c r="O89" s="144" t="s">
        <v>28</v>
      </c>
      <c r="P89" s="132" t="s">
        <v>29</v>
      </c>
      <c r="Q89" s="133"/>
      <c r="R89" s="133"/>
      <c r="S89" s="146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</row>
    <row r="90" ht="14.25" customHeight="1">
      <c r="A90" s="133">
        <v>42.0</v>
      </c>
      <c r="B90" s="146" t="s">
        <v>1142</v>
      </c>
      <c r="C90" s="153"/>
      <c r="D90" s="131" t="s">
        <v>25</v>
      </c>
      <c r="E90" s="131" t="s">
        <v>57</v>
      </c>
      <c r="F90" s="146"/>
      <c r="G90" s="133" t="s">
        <v>1195</v>
      </c>
      <c r="H90" s="133">
        <v>1.0</v>
      </c>
      <c r="I90" s="133">
        <v>5.0</v>
      </c>
      <c r="J90" s="133">
        <v>1.0</v>
      </c>
      <c r="K90" s="133">
        <v>1.0</v>
      </c>
      <c r="L90" s="133" t="s">
        <v>1137</v>
      </c>
      <c r="M90" s="130" t="s">
        <v>82</v>
      </c>
      <c r="N90" s="144" t="s">
        <v>28</v>
      </c>
      <c r="O90" s="144" t="s">
        <v>28</v>
      </c>
      <c r="P90" s="132" t="s">
        <v>29</v>
      </c>
      <c r="Q90" s="133"/>
      <c r="R90" s="133"/>
      <c r="S90" s="146"/>
      <c r="T90" s="154"/>
      <c r="U90" s="154"/>
      <c r="V90" s="154"/>
      <c r="W90" s="154"/>
      <c r="X90" s="154"/>
      <c r="Y90" s="154"/>
      <c r="Z90" s="154"/>
      <c r="AA90" s="154"/>
      <c r="AB90" s="154"/>
      <c r="AC90" s="154"/>
      <c r="AD90" s="154"/>
    </row>
    <row r="91" ht="14.25" customHeight="1">
      <c r="A91" s="133">
        <v>43.0</v>
      </c>
      <c r="B91" s="146" t="s">
        <v>1134</v>
      </c>
      <c r="C91" s="13"/>
      <c r="D91" s="131" t="s">
        <v>25</v>
      </c>
      <c r="E91" s="131" t="s">
        <v>57</v>
      </c>
      <c r="F91" s="146"/>
      <c r="G91" s="133" t="s">
        <v>1196</v>
      </c>
      <c r="H91" s="133">
        <v>2.0</v>
      </c>
      <c r="I91" s="133">
        <v>10.0</v>
      </c>
      <c r="J91" s="133">
        <v>1.0</v>
      </c>
      <c r="K91" s="133">
        <v>1.0</v>
      </c>
      <c r="L91" s="133" t="s">
        <v>1137</v>
      </c>
      <c r="M91" s="130" t="s">
        <v>82</v>
      </c>
      <c r="N91" s="144" t="s">
        <v>28</v>
      </c>
      <c r="O91" s="144" t="s">
        <v>28</v>
      </c>
      <c r="P91" s="132" t="s">
        <v>29</v>
      </c>
      <c r="Q91" s="133"/>
      <c r="R91" s="133"/>
      <c r="S91" s="146"/>
      <c r="T91" s="154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</row>
    <row r="92" ht="14.25" customHeight="1">
      <c r="A92" s="133">
        <v>44.0</v>
      </c>
      <c r="B92" s="146" t="s">
        <v>1142</v>
      </c>
      <c r="C92" s="152" t="s">
        <v>1197</v>
      </c>
      <c r="D92" s="131" t="s">
        <v>25</v>
      </c>
      <c r="E92" s="131" t="s">
        <v>57</v>
      </c>
      <c r="F92" s="146"/>
      <c r="G92" s="133" t="s">
        <v>1198</v>
      </c>
      <c r="H92" s="133">
        <v>2.0</v>
      </c>
      <c r="I92" s="133">
        <v>10.0</v>
      </c>
      <c r="J92" s="133" t="s">
        <v>1137</v>
      </c>
      <c r="K92" s="133" t="s">
        <v>1137</v>
      </c>
      <c r="L92" s="133">
        <v>1.0</v>
      </c>
      <c r="M92" s="130" t="s">
        <v>82</v>
      </c>
      <c r="N92" s="144" t="s">
        <v>28</v>
      </c>
      <c r="O92" s="144" t="s">
        <v>28</v>
      </c>
      <c r="P92" s="132" t="s">
        <v>29</v>
      </c>
      <c r="Q92" s="133"/>
      <c r="R92" s="133"/>
      <c r="S92" s="146"/>
      <c r="T92" s="154"/>
      <c r="U92" s="154"/>
      <c r="V92" s="154"/>
      <c r="W92" s="154"/>
      <c r="X92" s="154"/>
      <c r="Y92" s="154"/>
      <c r="Z92" s="154"/>
      <c r="AA92" s="154"/>
      <c r="AB92" s="154"/>
      <c r="AC92" s="154"/>
      <c r="AD92" s="154"/>
    </row>
    <row r="93" ht="14.25" customHeight="1">
      <c r="A93" s="133">
        <v>45.0</v>
      </c>
      <c r="B93" s="146" t="s">
        <v>1139</v>
      </c>
      <c r="C93" s="153"/>
      <c r="D93" s="131" t="s">
        <v>25</v>
      </c>
      <c r="E93" s="131" t="s">
        <v>57</v>
      </c>
      <c r="F93" s="146"/>
      <c r="G93" s="133" t="s">
        <v>1199</v>
      </c>
      <c r="H93" s="133">
        <v>6.0</v>
      </c>
      <c r="I93" s="133">
        <v>15.0</v>
      </c>
      <c r="J93" s="133" t="s">
        <v>1137</v>
      </c>
      <c r="K93" s="133" t="s">
        <v>1137</v>
      </c>
      <c r="L93" s="133">
        <v>1.0</v>
      </c>
      <c r="M93" s="132" t="s">
        <v>1189</v>
      </c>
      <c r="N93" s="144" t="s">
        <v>28</v>
      </c>
      <c r="O93" s="144" t="s">
        <v>28</v>
      </c>
      <c r="P93" s="132" t="s">
        <v>29</v>
      </c>
      <c r="Q93" s="133"/>
      <c r="R93" s="133"/>
      <c r="S93" s="146"/>
      <c r="T93" s="154"/>
      <c r="U93" s="154"/>
      <c r="V93" s="154"/>
      <c r="W93" s="154"/>
      <c r="X93" s="154"/>
      <c r="Y93" s="154"/>
      <c r="Z93" s="154"/>
      <c r="AA93" s="154"/>
      <c r="AB93" s="154"/>
      <c r="AC93" s="154"/>
      <c r="AD93" s="154"/>
    </row>
    <row r="94" ht="14.25" customHeight="1">
      <c r="A94" s="133">
        <v>46.0</v>
      </c>
      <c r="B94" s="146" t="s">
        <v>1169</v>
      </c>
      <c r="C94" s="13"/>
      <c r="D94" s="131" t="s">
        <v>25</v>
      </c>
      <c r="E94" s="131" t="s">
        <v>57</v>
      </c>
      <c r="F94" s="146"/>
      <c r="G94" s="133" t="s">
        <v>1200</v>
      </c>
      <c r="H94" s="133">
        <v>3.0</v>
      </c>
      <c r="I94" s="133">
        <v>15.0</v>
      </c>
      <c r="J94" s="133" t="s">
        <v>1137</v>
      </c>
      <c r="K94" s="133" t="s">
        <v>1137</v>
      </c>
      <c r="L94" s="133">
        <v>1.0</v>
      </c>
      <c r="M94" s="132" t="s">
        <v>82</v>
      </c>
      <c r="N94" s="144" t="s">
        <v>28</v>
      </c>
      <c r="O94" s="144" t="s">
        <v>28</v>
      </c>
      <c r="P94" s="132" t="s">
        <v>29</v>
      </c>
      <c r="Q94" s="133"/>
      <c r="R94" s="133"/>
      <c r="S94" s="146"/>
      <c r="T94" s="154"/>
      <c r="U94" s="154"/>
      <c r="V94" s="154"/>
      <c r="W94" s="154"/>
      <c r="X94" s="154"/>
      <c r="Y94" s="154"/>
      <c r="Z94" s="154"/>
      <c r="AA94" s="154"/>
      <c r="AB94" s="154"/>
      <c r="AC94" s="154"/>
      <c r="AD94" s="154"/>
    </row>
    <row r="95" ht="17.25" customHeight="1">
      <c r="A95" s="133">
        <v>47.0</v>
      </c>
      <c r="B95" s="52" t="s">
        <v>1139</v>
      </c>
      <c r="C95" s="146" t="s">
        <v>1201</v>
      </c>
      <c r="D95" s="131" t="s">
        <v>25</v>
      </c>
      <c r="E95" s="131" t="s">
        <v>57</v>
      </c>
      <c r="F95" s="52"/>
      <c r="G95" s="144" t="s">
        <v>28</v>
      </c>
      <c r="H95" s="133">
        <v>12.0</v>
      </c>
      <c r="I95" s="133">
        <v>30.0</v>
      </c>
      <c r="J95" s="133">
        <v>1.0</v>
      </c>
      <c r="K95" s="133">
        <v>1.0</v>
      </c>
      <c r="L95" s="133">
        <v>1.0</v>
      </c>
      <c r="M95" s="133" t="s">
        <v>1138</v>
      </c>
      <c r="N95" s="144" t="s">
        <v>28</v>
      </c>
      <c r="O95" s="144" t="s">
        <v>28</v>
      </c>
      <c r="P95" s="132" t="s">
        <v>29</v>
      </c>
      <c r="Q95" s="132"/>
      <c r="R95" s="132"/>
      <c r="S95" s="52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</row>
    <row r="96" ht="14.25" customHeight="1">
      <c r="A96" s="133">
        <v>48.0</v>
      </c>
      <c r="B96" s="55" t="s">
        <v>1139</v>
      </c>
      <c r="C96" s="157" t="s">
        <v>1202</v>
      </c>
      <c r="D96" s="131" t="s">
        <v>25</v>
      </c>
      <c r="E96" s="131" t="s">
        <v>57</v>
      </c>
      <c r="F96" s="52"/>
      <c r="G96" s="133" t="s">
        <v>1203</v>
      </c>
      <c r="H96" s="133">
        <v>5.0</v>
      </c>
      <c r="I96" s="133">
        <v>22.0</v>
      </c>
      <c r="J96" s="133" t="s">
        <v>1137</v>
      </c>
      <c r="K96" s="133" t="s">
        <v>1137</v>
      </c>
      <c r="L96" s="133" t="s">
        <v>1137</v>
      </c>
      <c r="M96" s="133" t="s">
        <v>1204</v>
      </c>
      <c r="N96" s="133" t="s">
        <v>1205</v>
      </c>
      <c r="O96" s="144" t="s">
        <v>28</v>
      </c>
      <c r="P96" s="132" t="s">
        <v>29</v>
      </c>
      <c r="Q96" s="132"/>
      <c r="R96" s="132"/>
      <c r="S96" s="52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</row>
    <row r="97" ht="14.25" customHeight="1">
      <c r="A97" s="133">
        <v>49.0</v>
      </c>
      <c r="B97" s="55" t="s">
        <v>1142</v>
      </c>
      <c r="C97" s="153"/>
      <c r="D97" s="131" t="s">
        <v>25</v>
      </c>
      <c r="E97" s="131" t="s">
        <v>57</v>
      </c>
      <c r="F97" s="52"/>
      <c r="G97" s="133" t="s">
        <v>1203</v>
      </c>
      <c r="H97" s="133">
        <v>5.0</v>
      </c>
      <c r="I97" s="133">
        <v>22.0</v>
      </c>
      <c r="J97" s="133" t="s">
        <v>1137</v>
      </c>
      <c r="K97" s="133" t="s">
        <v>1137</v>
      </c>
      <c r="L97" s="133">
        <v>1.0</v>
      </c>
      <c r="M97" s="133" t="s">
        <v>1204</v>
      </c>
      <c r="N97" s="133" t="s">
        <v>1205</v>
      </c>
      <c r="O97" s="144" t="s">
        <v>28</v>
      </c>
      <c r="P97" s="132" t="s">
        <v>29</v>
      </c>
      <c r="Q97" s="132"/>
      <c r="R97" s="132"/>
      <c r="S97" s="52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</row>
    <row r="98" ht="14.25" customHeight="1">
      <c r="A98" s="133">
        <v>50.0</v>
      </c>
      <c r="B98" s="55" t="s">
        <v>1134</v>
      </c>
      <c r="C98" s="13"/>
      <c r="D98" s="131" t="s">
        <v>25</v>
      </c>
      <c r="E98" s="131" t="s">
        <v>57</v>
      </c>
      <c r="F98" s="52"/>
      <c r="G98" s="133" t="s">
        <v>1206</v>
      </c>
      <c r="H98" s="133">
        <v>4.0</v>
      </c>
      <c r="I98" s="133">
        <v>20.0</v>
      </c>
      <c r="J98" s="133" t="s">
        <v>1137</v>
      </c>
      <c r="K98" s="133" t="s">
        <v>1137</v>
      </c>
      <c r="L98" s="133">
        <v>1.0</v>
      </c>
      <c r="M98" s="133" t="s">
        <v>1204</v>
      </c>
      <c r="N98" s="133" t="s">
        <v>27</v>
      </c>
      <c r="O98" s="144" t="s">
        <v>28</v>
      </c>
      <c r="P98" s="132" t="s">
        <v>29</v>
      </c>
      <c r="Q98" s="132"/>
      <c r="R98" s="132"/>
      <c r="S98" s="52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  <c r="AD98" s="129"/>
    </row>
    <row r="99" ht="14.25" customHeight="1">
      <c r="A99" s="133">
        <v>51.0</v>
      </c>
      <c r="B99" s="55" t="s">
        <v>1139</v>
      </c>
      <c r="C99" s="157" t="s">
        <v>1207</v>
      </c>
      <c r="D99" s="131" t="s">
        <v>25</v>
      </c>
      <c r="E99" s="131" t="s">
        <v>57</v>
      </c>
      <c r="F99" s="52"/>
      <c r="G99" s="156" t="s">
        <v>1208</v>
      </c>
      <c r="H99" s="156">
        <v>30.0</v>
      </c>
      <c r="I99" s="156" t="s">
        <v>1209</v>
      </c>
      <c r="J99" s="156">
        <v>1.0</v>
      </c>
      <c r="K99" s="156">
        <v>1.0</v>
      </c>
      <c r="L99" s="156">
        <v>0.0</v>
      </c>
      <c r="M99" s="156" t="s">
        <v>1210</v>
      </c>
      <c r="N99" s="144" t="s">
        <v>28</v>
      </c>
      <c r="O99" s="144" t="s">
        <v>28</v>
      </c>
      <c r="P99" s="132" t="s">
        <v>29</v>
      </c>
      <c r="Q99" s="132"/>
      <c r="R99" s="132"/>
      <c r="S99" s="52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</row>
    <row r="100" ht="14.25" customHeight="1">
      <c r="A100" s="133">
        <v>52.0</v>
      </c>
      <c r="B100" s="55" t="s">
        <v>1142</v>
      </c>
      <c r="C100" s="153"/>
      <c r="D100" s="131" t="s">
        <v>25</v>
      </c>
      <c r="E100" s="131" t="s">
        <v>57</v>
      </c>
      <c r="F100" s="52"/>
      <c r="G100" s="153"/>
      <c r="H100" s="153"/>
      <c r="I100" s="153"/>
      <c r="J100" s="153"/>
      <c r="K100" s="153"/>
      <c r="L100" s="153"/>
      <c r="M100" s="153"/>
      <c r="N100" s="144" t="s">
        <v>28</v>
      </c>
      <c r="O100" s="144" t="s">
        <v>28</v>
      </c>
      <c r="P100" s="132" t="s">
        <v>29</v>
      </c>
      <c r="Q100" s="132"/>
      <c r="R100" s="132"/>
      <c r="S100" s="52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</row>
    <row r="101" ht="14.25" customHeight="1">
      <c r="A101" s="133">
        <v>53.0</v>
      </c>
      <c r="B101" s="55" t="s">
        <v>1134</v>
      </c>
      <c r="C101" s="13"/>
      <c r="D101" s="131" t="s">
        <v>25</v>
      </c>
      <c r="E101" s="131" t="s">
        <v>57</v>
      </c>
      <c r="F101" s="52"/>
      <c r="G101" s="13"/>
      <c r="H101" s="13"/>
      <c r="I101" s="13"/>
      <c r="J101" s="13"/>
      <c r="K101" s="13"/>
      <c r="L101" s="13"/>
      <c r="M101" s="13"/>
      <c r="N101" s="144" t="s">
        <v>28</v>
      </c>
      <c r="O101" s="144" t="s">
        <v>28</v>
      </c>
      <c r="P101" s="132" t="s">
        <v>29</v>
      </c>
      <c r="Q101" s="132"/>
      <c r="R101" s="132"/>
      <c r="S101" s="52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</row>
    <row r="102" ht="14.25" customHeight="1">
      <c r="A102" s="133">
        <v>54.0</v>
      </c>
      <c r="B102" s="55" t="s">
        <v>1142</v>
      </c>
      <c r="C102" s="157" t="s">
        <v>1211</v>
      </c>
      <c r="D102" s="131" t="s">
        <v>25</v>
      </c>
      <c r="E102" s="131" t="s">
        <v>57</v>
      </c>
      <c r="F102" s="52"/>
      <c r="G102" s="133" t="s">
        <v>1198</v>
      </c>
      <c r="H102" s="133">
        <v>2.0</v>
      </c>
      <c r="I102" s="133">
        <v>10.0</v>
      </c>
      <c r="J102" s="133" t="s">
        <v>1137</v>
      </c>
      <c r="K102" s="133" t="s">
        <v>1137</v>
      </c>
      <c r="L102" s="133">
        <v>1.0</v>
      </c>
      <c r="M102" s="133" t="s">
        <v>1138</v>
      </c>
      <c r="N102" s="144" t="s">
        <v>28</v>
      </c>
      <c r="O102" s="144" t="s">
        <v>28</v>
      </c>
      <c r="P102" s="132" t="s">
        <v>29</v>
      </c>
      <c r="Q102" s="132"/>
      <c r="R102" s="132"/>
      <c r="S102" s="52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  <c r="AD102" s="129"/>
    </row>
    <row r="103" ht="14.25" customHeight="1">
      <c r="A103" s="133">
        <v>55.0</v>
      </c>
      <c r="B103" s="55" t="s">
        <v>1139</v>
      </c>
      <c r="C103" s="153"/>
      <c r="D103" s="131" t="s">
        <v>25</v>
      </c>
      <c r="E103" s="131" t="s">
        <v>57</v>
      </c>
      <c r="F103" s="52"/>
      <c r="G103" s="133" t="s">
        <v>1199</v>
      </c>
      <c r="H103" s="133">
        <v>3.0</v>
      </c>
      <c r="I103" s="133">
        <v>15.0</v>
      </c>
      <c r="J103" s="133" t="s">
        <v>1137</v>
      </c>
      <c r="K103" s="133" t="s">
        <v>1137</v>
      </c>
      <c r="L103" s="133">
        <v>1.0</v>
      </c>
      <c r="M103" s="133" t="s">
        <v>1138</v>
      </c>
      <c r="N103" s="144" t="s">
        <v>28</v>
      </c>
      <c r="O103" s="144" t="s">
        <v>28</v>
      </c>
      <c r="P103" s="132" t="s">
        <v>29</v>
      </c>
      <c r="Q103" s="132"/>
      <c r="R103" s="132"/>
      <c r="S103" s="52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</row>
    <row r="104" ht="14.25" customHeight="1">
      <c r="A104" s="133">
        <v>56.0</v>
      </c>
      <c r="B104" s="55" t="s">
        <v>1169</v>
      </c>
      <c r="C104" s="13"/>
      <c r="D104" s="131" t="s">
        <v>25</v>
      </c>
      <c r="E104" s="131" t="s">
        <v>57</v>
      </c>
      <c r="F104" s="52"/>
      <c r="G104" s="133" t="s">
        <v>1200</v>
      </c>
      <c r="H104" s="133">
        <v>2.0</v>
      </c>
      <c r="I104" s="133">
        <v>15.0</v>
      </c>
      <c r="J104" s="133" t="s">
        <v>1137</v>
      </c>
      <c r="K104" s="133" t="s">
        <v>1137</v>
      </c>
      <c r="L104" s="133">
        <v>1.0</v>
      </c>
      <c r="M104" s="133" t="s">
        <v>1138</v>
      </c>
      <c r="N104" s="144" t="s">
        <v>28</v>
      </c>
      <c r="O104" s="144" t="s">
        <v>28</v>
      </c>
      <c r="P104" s="132" t="s">
        <v>29</v>
      </c>
      <c r="Q104" s="132"/>
      <c r="R104" s="132"/>
      <c r="S104" s="52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</row>
    <row r="105" ht="14.25" customHeight="1">
      <c r="A105" s="133">
        <v>57.0</v>
      </c>
      <c r="B105" s="55" t="s">
        <v>1139</v>
      </c>
      <c r="C105" s="157" t="s">
        <v>1212</v>
      </c>
      <c r="D105" s="131" t="s">
        <v>25</v>
      </c>
      <c r="E105" s="131" t="s">
        <v>57</v>
      </c>
      <c r="F105" s="52"/>
      <c r="G105" s="133" t="s">
        <v>1213</v>
      </c>
      <c r="H105" s="133">
        <v>5.0</v>
      </c>
      <c r="I105" s="133">
        <v>25.0</v>
      </c>
      <c r="J105" s="133" t="s">
        <v>1137</v>
      </c>
      <c r="K105" s="133" t="s">
        <v>1137</v>
      </c>
      <c r="L105" s="133">
        <v>1.0</v>
      </c>
      <c r="M105" s="133" t="s">
        <v>1214</v>
      </c>
      <c r="N105" s="133" t="s">
        <v>1215</v>
      </c>
      <c r="O105" s="144" t="s">
        <v>28</v>
      </c>
      <c r="P105" s="132" t="s">
        <v>29</v>
      </c>
      <c r="Q105" s="132"/>
      <c r="R105" s="132"/>
      <c r="S105" s="52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  <c r="AD105" s="129"/>
    </row>
    <row r="106" ht="14.25" customHeight="1">
      <c r="A106" s="133">
        <v>58.0</v>
      </c>
      <c r="B106" s="55" t="s">
        <v>1142</v>
      </c>
      <c r="C106" s="153"/>
      <c r="D106" s="131" t="s">
        <v>25</v>
      </c>
      <c r="E106" s="131" t="s">
        <v>57</v>
      </c>
      <c r="F106" s="52"/>
      <c r="G106" s="133" t="s">
        <v>1216</v>
      </c>
      <c r="H106" s="133">
        <v>5.0</v>
      </c>
      <c r="I106" s="133">
        <v>25.0</v>
      </c>
      <c r="J106" s="133" t="s">
        <v>1137</v>
      </c>
      <c r="K106" s="133" t="s">
        <v>1137</v>
      </c>
      <c r="L106" s="133">
        <v>1.0</v>
      </c>
      <c r="M106" s="133" t="s">
        <v>46</v>
      </c>
      <c r="N106" s="133" t="s">
        <v>1215</v>
      </c>
      <c r="O106" s="144" t="s">
        <v>28</v>
      </c>
      <c r="P106" s="132" t="s">
        <v>29</v>
      </c>
      <c r="Q106" s="132"/>
      <c r="R106" s="132"/>
      <c r="S106" s="52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</row>
    <row r="107" ht="14.25" customHeight="1">
      <c r="A107" s="133">
        <v>59.0</v>
      </c>
      <c r="B107" s="55" t="s">
        <v>1134</v>
      </c>
      <c r="C107" s="13"/>
      <c r="D107" s="131" t="s">
        <v>25</v>
      </c>
      <c r="E107" s="131" t="s">
        <v>57</v>
      </c>
      <c r="F107" s="52"/>
      <c r="G107" s="133" t="s">
        <v>1213</v>
      </c>
      <c r="H107" s="133">
        <v>4.0</v>
      </c>
      <c r="I107" s="133">
        <v>20.0</v>
      </c>
      <c r="J107" s="133">
        <v>1.0</v>
      </c>
      <c r="K107" s="133">
        <v>1.0</v>
      </c>
      <c r="L107" s="144" t="s">
        <v>28</v>
      </c>
      <c r="M107" s="133" t="s">
        <v>1217</v>
      </c>
      <c r="N107" s="133" t="s">
        <v>1218</v>
      </c>
      <c r="O107" s="144" t="s">
        <v>28</v>
      </c>
      <c r="P107" s="132" t="s">
        <v>29</v>
      </c>
      <c r="Q107" s="132"/>
      <c r="R107" s="132"/>
      <c r="S107" s="52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</row>
    <row r="108" ht="14.25" customHeight="1">
      <c r="A108" s="133">
        <v>60.0</v>
      </c>
      <c r="B108" s="55" t="s">
        <v>1219</v>
      </c>
      <c r="C108" s="157" t="s">
        <v>1220</v>
      </c>
      <c r="D108" s="131" t="s">
        <v>25</v>
      </c>
      <c r="E108" s="131" t="s">
        <v>57</v>
      </c>
      <c r="F108" s="52"/>
      <c r="G108" s="133" t="s">
        <v>1221</v>
      </c>
      <c r="H108" s="133">
        <v>3.0</v>
      </c>
      <c r="I108" s="133">
        <v>10.0</v>
      </c>
      <c r="J108" s="133" t="s">
        <v>1137</v>
      </c>
      <c r="K108" s="133" t="s">
        <v>1137</v>
      </c>
      <c r="L108" s="133">
        <v>1.0</v>
      </c>
      <c r="M108" s="133" t="s">
        <v>1132</v>
      </c>
      <c r="N108" s="144" t="s">
        <v>28</v>
      </c>
      <c r="O108" s="144" t="s">
        <v>28</v>
      </c>
      <c r="P108" s="132" t="s">
        <v>29</v>
      </c>
      <c r="Q108" s="132"/>
      <c r="R108" s="132"/>
      <c r="S108" s="52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29"/>
    </row>
    <row r="109" ht="14.25" customHeight="1">
      <c r="A109" s="133">
        <v>61.0</v>
      </c>
      <c r="B109" s="55" t="s">
        <v>1222</v>
      </c>
      <c r="C109" s="153"/>
      <c r="D109" s="131" t="s">
        <v>25</v>
      </c>
      <c r="E109" s="131" t="s">
        <v>57</v>
      </c>
      <c r="F109" s="52"/>
      <c r="G109" s="133" t="s">
        <v>1223</v>
      </c>
      <c r="H109" s="133">
        <v>1.0</v>
      </c>
      <c r="I109" s="133">
        <v>5.0</v>
      </c>
      <c r="J109" s="133" t="s">
        <v>1137</v>
      </c>
      <c r="K109" s="133" t="s">
        <v>1137</v>
      </c>
      <c r="L109" s="133">
        <v>1.0</v>
      </c>
      <c r="M109" s="133" t="s">
        <v>1132</v>
      </c>
      <c r="N109" s="144" t="s">
        <v>28</v>
      </c>
      <c r="O109" s="144" t="s">
        <v>28</v>
      </c>
      <c r="P109" s="132" t="s">
        <v>29</v>
      </c>
      <c r="Q109" s="132"/>
      <c r="R109" s="132"/>
      <c r="S109" s="52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  <c r="AD109" s="129"/>
    </row>
    <row r="110" ht="14.25" customHeight="1">
      <c r="A110" s="133">
        <v>62.0</v>
      </c>
      <c r="B110" s="55" t="s">
        <v>1142</v>
      </c>
      <c r="C110" s="153"/>
      <c r="D110" s="131" t="s">
        <v>25</v>
      </c>
      <c r="E110" s="131" t="s">
        <v>57</v>
      </c>
      <c r="F110" s="52"/>
      <c r="G110" s="133" t="s">
        <v>1223</v>
      </c>
      <c r="H110" s="133">
        <v>1.0</v>
      </c>
      <c r="I110" s="133">
        <v>5.0</v>
      </c>
      <c r="J110" s="133" t="s">
        <v>1137</v>
      </c>
      <c r="K110" s="133" t="s">
        <v>1137</v>
      </c>
      <c r="L110" s="133">
        <v>1.0</v>
      </c>
      <c r="M110" s="133" t="s">
        <v>1132</v>
      </c>
      <c r="N110" s="144" t="s">
        <v>28</v>
      </c>
      <c r="O110" s="144" t="s">
        <v>28</v>
      </c>
      <c r="P110" s="132" t="s">
        <v>29</v>
      </c>
      <c r="Q110" s="132"/>
      <c r="R110" s="132"/>
      <c r="S110" s="52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</row>
    <row r="111" ht="14.25" customHeight="1">
      <c r="A111" s="133">
        <v>63.0</v>
      </c>
      <c r="B111" s="55" t="s">
        <v>1134</v>
      </c>
      <c r="C111" s="13"/>
      <c r="D111" s="131" t="s">
        <v>25</v>
      </c>
      <c r="E111" s="131" t="s">
        <v>57</v>
      </c>
      <c r="F111" s="52"/>
      <c r="G111" s="133" t="s">
        <v>1224</v>
      </c>
      <c r="H111" s="133">
        <v>3.0</v>
      </c>
      <c r="I111" s="133">
        <v>10.0</v>
      </c>
      <c r="J111" s="133">
        <v>1.0</v>
      </c>
      <c r="K111" s="133">
        <v>1.0</v>
      </c>
      <c r="L111" s="133">
        <v>2.0</v>
      </c>
      <c r="M111" s="133" t="s">
        <v>1132</v>
      </c>
      <c r="N111" s="144" t="s">
        <v>28</v>
      </c>
      <c r="O111" s="144" t="s">
        <v>28</v>
      </c>
      <c r="P111" s="132" t="s">
        <v>29</v>
      </c>
      <c r="Q111" s="132"/>
      <c r="R111" s="132"/>
      <c r="S111" s="52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  <c r="AD111" s="129"/>
    </row>
    <row r="112" ht="14.25" customHeight="1">
      <c r="A112" s="133">
        <v>64.0</v>
      </c>
      <c r="B112" s="55" t="s">
        <v>1225</v>
      </c>
      <c r="C112" s="157" t="s">
        <v>1226</v>
      </c>
      <c r="D112" s="131" t="s">
        <v>25</v>
      </c>
      <c r="E112" s="131" t="s">
        <v>57</v>
      </c>
      <c r="F112" s="52"/>
      <c r="G112" s="133" t="s">
        <v>1227</v>
      </c>
      <c r="H112" s="133">
        <v>3.0</v>
      </c>
      <c r="I112" s="133">
        <v>20.0</v>
      </c>
      <c r="J112" s="133" t="s">
        <v>1137</v>
      </c>
      <c r="K112" s="133" t="s">
        <v>1137</v>
      </c>
      <c r="L112" s="133" t="s">
        <v>1137</v>
      </c>
      <c r="M112" s="133" t="s">
        <v>1228</v>
      </c>
      <c r="N112" s="133" t="s">
        <v>449</v>
      </c>
      <c r="O112" s="144" t="s">
        <v>28</v>
      </c>
      <c r="P112" s="132" t="s">
        <v>29</v>
      </c>
      <c r="Q112" s="132"/>
      <c r="R112" s="132"/>
      <c r="S112" s="52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  <c r="AD112" s="129"/>
    </row>
    <row r="113" ht="14.25" customHeight="1">
      <c r="A113" s="133">
        <v>65.0</v>
      </c>
      <c r="B113" s="55" t="s">
        <v>1169</v>
      </c>
      <c r="C113" s="13"/>
      <c r="D113" s="131" t="s">
        <v>25</v>
      </c>
      <c r="E113" s="131" t="s">
        <v>57</v>
      </c>
      <c r="F113" s="52"/>
      <c r="G113" s="133" t="s">
        <v>1229</v>
      </c>
      <c r="H113" s="133">
        <v>3.0</v>
      </c>
      <c r="I113" s="133">
        <v>15.0</v>
      </c>
      <c r="J113" s="133" t="s">
        <v>1137</v>
      </c>
      <c r="K113" s="133" t="s">
        <v>1137</v>
      </c>
      <c r="L113" s="133">
        <v>1.0</v>
      </c>
      <c r="M113" s="133" t="s">
        <v>1228</v>
      </c>
      <c r="N113" s="133" t="s">
        <v>449</v>
      </c>
      <c r="O113" s="144" t="s">
        <v>28</v>
      </c>
      <c r="P113" s="132" t="s">
        <v>29</v>
      </c>
      <c r="Q113" s="132"/>
      <c r="R113" s="132"/>
      <c r="S113" s="52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</row>
    <row r="114" ht="14.25" customHeight="1">
      <c r="A114" s="133">
        <v>66.0</v>
      </c>
      <c r="B114" s="55" t="s">
        <v>1174</v>
      </c>
      <c r="C114" s="157" t="s">
        <v>1230</v>
      </c>
      <c r="D114" s="131" t="s">
        <v>25</v>
      </c>
      <c r="E114" s="131" t="s">
        <v>57</v>
      </c>
      <c r="F114" s="52"/>
      <c r="G114" s="133" t="s">
        <v>1231</v>
      </c>
      <c r="H114" s="133">
        <v>2.0</v>
      </c>
      <c r="I114" s="133">
        <v>8.0</v>
      </c>
      <c r="J114" s="133" t="s">
        <v>1137</v>
      </c>
      <c r="K114" s="133" t="s">
        <v>1137</v>
      </c>
      <c r="L114" s="133">
        <v>1.0</v>
      </c>
      <c r="M114" s="133" t="s">
        <v>1132</v>
      </c>
      <c r="N114" s="144" t="s">
        <v>28</v>
      </c>
      <c r="O114" s="144" t="s">
        <v>28</v>
      </c>
      <c r="P114" s="132" t="s">
        <v>29</v>
      </c>
      <c r="Q114" s="132"/>
      <c r="R114" s="132"/>
      <c r="S114" s="52"/>
      <c r="T114" s="129"/>
      <c r="U114" s="129"/>
      <c r="V114" s="129"/>
      <c r="W114" s="129"/>
      <c r="X114" s="129"/>
      <c r="Y114" s="129"/>
      <c r="Z114" s="129"/>
      <c r="AA114" s="129"/>
      <c r="AB114" s="129"/>
      <c r="AC114" s="129"/>
      <c r="AD114" s="129"/>
    </row>
    <row r="115" ht="14.25" customHeight="1">
      <c r="A115" s="133">
        <v>67.0</v>
      </c>
      <c r="B115" s="55" t="s">
        <v>1139</v>
      </c>
      <c r="C115" s="153"/>
      <c r="D115" s="131" t="s">
        <v>25</v>
      </c>
      <c r="E115" s="131" t="s">
        <v>57</v>
      </c>
      <c r="F115" s="52"/>
      <c r="G115" s="133" t="s">
        <v>1232</v>
      </c>
      <c r="H115" s="133">
        <v>5.0</v>
      </c>
      <c r="I115" s="133">
        <v>20.0</v>
      </c>
      <c r="J115" s="133" t="s">
        <v>1137</v>
      </c>
      <c r="K115" s="133" t="s">
        <v>1137</v>
      </c>
      <c r="L115" s="133">
        <v>1.0</v>
      </c>
      <c r="M115" s="133" t="s">
        <v>1132</v>
      </c>
      <c r="N115" s="144" t="s">
        <v>28</v>
      </c>
      <c r="O115" s="144" t="s">
        <v>28</v>
      </c>
      <c r="P115" s="132" t="s">
        <v>29</v>
      </c>
      <c r="Q115" s="132"/>
      <c r="R115" s="132"/>
      <c r="S115" s="52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</row>
    <row r="116" ht="14.25" customHeight="1">
      <c r="A116" s="133">
        <v>68.0</v>
      </c>
      <c r="B116" s="55" t="s">
        <v>1134</v>
      </c>
      <c r="C116" s="13"/>
      <c r="D116" s="131" t="s">
        <v>25</v>
      </c>
      <c r="E116" s="131" t="s">
        <v>57</v>
      </c>
      <c r="F116" s="52"/>
      <c r="G116" s="133" t="s">
        <v>1166</v>
      </c>
      <c r="H116" s="133">
        <v>4.0</v>
      </c>
      <c r="I116" s="133">
        <v>16.0</v>
      </c>
      <c r="J116" s="133">
        <v>1.0</v>
      </c>
      <c r="K116" s="133">
        <v>1.0</v>
      </c>
      <c r="L116" s="133" t="s">
        <v>1137</v>
      </c>
      <c r="M116" s="133" t="s">
        <v>1132</v>
      </c>
      <c r="N116" s="144" t="s">
        <v>28</v>
      </c>
      <c r="O116" s="144" t="s">
        <v>28</v>
      </c>
      <c r="P116" s="132" t="s">
        <v>29</v>
      </c>
      <c r="Q116" s="132"/>
      <c r="R116" s="132"/>
      <c r="S116" s="52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  <c r="AD116" s="129"/>
    </row>
    <row r="117" ht="14.25" customHeight="1">
      <c r="A117" s="133">
        <v>69.0</v>
      </c>
      <c r="B117" s="52" t="s">
        <v>1139</v>
      </c>
      <c r="C117" s="157" t="s">
        <v>1233</v>
      </c>
      <c r="D117" s="131" t="s">
        <v>25</v>
      </c>
      <c r="E117" s="131" t="s">
        <v>57</v>
      </c>
      <c r="F117" s="52"/>
      <c r="G117" s="133" t="s">
        <v>1234</v>
      </c>
      <c r="H117" s="133">
        <v>2.0</v>
      </c>
      <c r="I117" s="133">
        <v>8.0</v>
      </c>
      <c r="J117" s="133" t="s">
        <v>1137</v>
      </c>
      <c r="K117" s="133" t="s">
        <v>1137</v>
      </c>
      <c r="L117" s="133">
        <v>1.0</v>
      </c>
      <c r="M117" s="133" t="s">
        <v>1132</v>
      </c>
      <c r="N117" s="144" t="s">
        <v>28</v>
      </c>
      <c r="O117" s="144" t="s">
        <v>28</v>
      </c>
      <c r="P117" s="132" t="s">
        <v>29</v>
      </c>
      <c r="Q117" s="132"/>
      <c r="R117" s="132"/>
      <c r="S117" s="52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</row>
    <row r="118" ht="14.25" customHeight="1">
      <c r="A118" s="133">
        <v>70.0</v>
      </c>
      <c r="B118" s="55" t="s">
        <v>1142</v>
      </c>
      <c r="C118" s="153"/>
      <c r="D118" s="131" t="s">
        <v>25</v>
      </c>
      <c r="E118" s="131" t="s">
        <v>57</v>
      </c>
      <c r="F118" s="52"/>
      <c r="G118" s="133" t="s">
        <v>1143</v>
      </c>
      <c r="H118" s="133">
        <v>3.0</v>
      </c>
      <c r="I118" s="133">
        <v>10.0</v>
      </c>
      <c r="J118" s="133" t="s">
        <v>1137</v>
      </c>
      <c r="K118" s="133" t="s">
        <v>1137</v>
      </c>
      <c r="L118" s="133">
        <v>1.0</v>
      </c>
      <c r="M118" s="133" t="s">
        <v>1132</v>
      </c>
      <c r="N118" s="144" t="s">
        <v>28</v>
      </c>
      <c r="O118" s="144" t="s">
        <v>28</v>
      </c>
      <c r="P118" s="132" t="s">
        <v>29</v>
      </c>
      <c r="Q118" s="132"/>
      <c r="R118" s="132"/>
      <c r="S118" s="52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</row>
    <row r="119" ht="14.25" customHeight="1">
      <c r="A119" s="133">
        <v>71.0</v>
      </c>
      <c r="B119" s="55" t="s">
        <v>1134</v>
      </c>
      <c r="C119" s="13"/>
      <c r="D119" s="131" t="s">
        <v>25</v>
      </c>
      <c r="E119" s="131" t="s">
        <v>57</v>
      </c>
      <c r="F119" s="52"/>
      <c r="G119" s="133" t="s">
        <v>1198</v>
      </c>
      <c r="H119" s="133">
        <v>5.0</v>
      </c>
      <c r="I119" s="133">
        <v>12.0</v>
      </c>
      <c r="J119" s="133">
        <v>1.0</v>
      </c>
      <c r="K119" s="133">
        <v>1.0</v>
      </c>
      <c r="L119" s="133" t="s">
        <v>1137</v>
      </c>
      <c r="M119" s="133" t="s">
        <v>1145</v>
      </c>
      <c r="N119" s="144" t="s">
        <v>28</v>
      </c>
      <c r="O119" s="144" t="s">
        <v>28</v>
      </c>
      <c r="P119" s="132" t="s">
        <v>29</v>
      </c>
      <c r="Q119" s="132"/>
      <c r="R119" s="132"/>
      <c r="S119" s="52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</row>
    <row r="120" ht="14.25" customHeight="1">
      <c r="A120" s="133">
        <v>72.0</v>
      </c>
      <c r="B120" s="55" t="s">
        <v>1164</v>
      </c>
      <c r="C120" s="157" t="s">
        <v>1235</v>
      </c>
      <c r="D120" s="131" t="s">
        <v>25</v>
      </c>
      <c r="E120" s="131" t="s">
        <v>57</v>
      </c>
      <c r="F120" s="52"/>
      <c r="G120" s="133" t="s">
        <v>1236</v>
      </c>
      <c r="H120" s="133">
        <v>4.0</v>
      </c>
      <c r="I120" s="133">
        <v>20.0</v>
      </c>
      <c r="J120" s="133">
        <v>1.0</v>
      </c>
      <c r="K120" s="133">
        <v>1.0</v>
      </c>
      <c r="L120" s="133">
        <v>0.0</v>
      </c>
      <c r="M120" s="133" t="s">
        <v>1237</v>
      </c>
      <c r="N120" s="133" t="s">
        <v>1238</v>
      </c>
      <c r="O120" s="144" t="s">
        <v>28</v>
      </c>
      <c r="P120" s="132" t="s">
        <v>29</v>
      </c>
      <c r="Q120" s="132"/>
      <c r="R120" s="132"/>
      <c r="S120" s="52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</row>
    <row r="121" ht="14.25" customHeight="1">
      <c r="A121" s="133">
        <v>73.0</v>
      </c>
      <c r="B121" s="55" t="s">
        <v>1142</v>
      </c>
      <c r="C121" s="153"/>
      <c r="D121" s="131" t="s">
        <v>25</v>
      </c>
      <c r="E121" s="131" t="s">
        <v>57</v>
      </c>
      <c r="F121" s="52"/>
      <c r="G121" s="133" t="s">
        <v>1239</v>
      </c>
      <c r="H121" s="133">
        <v>2.0</v>
      </c>
      <c r="I121" s="133">
        <v>8.0</v>
      </c>
      <c r="J121" s="133">
        <v>0.0</v>
      </c>
      <c r="K121" s="133">
        <v>0.0</v>
      </c>
      <c r="L121" s="133">
        <v>1.0</v>
      </c>
      <c r="M121" s="133" t="s">
        <v>1237</v>
      </c>
      <c r="N121" s="133" t="s">
        <v>1238</v>
      </c>
      <c r="O121" s="144" t="s">
        <v>28</v>
      </c>
      <c r="P121" s="132" t="s">
        <v>29</v>
      </c>
      <c r="Q121" s="132"/>
      <c r="R121" s="132"/>
      <c r="S121" s="52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</row>
    <row r="122" ht="14.25" customHeight="1">
      <c r="A122" s="133">
        <v>74.0</v>
      </c>
      <c r="B122" s="55" t="s">
        <v>1134</v>
      </c>
      <c r="C122" s="13"/>
      <c r="D122" s="131" t="s">
        <v>25</v>
      </c>
      <c r="E122" s="131" t="s">
        <v>57</v>
      </c>
      <c r="F122" s="52"/>
      <c r="G122" s="133" t="s">
        <v>1240</v>
      </c>
      <c r="H122" s="133">
        <v>2.0</v>
      </c>
      <c r="I122" s="133">
        <v>8.0</v>
      </c>
      <c r="J122" s="144" t="s">
        <v>28</v>
      </c>
      <c r="K122" s="144" t="s">
        <v>28</v>
      </c>
      <c r="L122" s="133">
        <v>1.0</v>
      </c>
      <c r="M122" s="133" t="s">
        <v>1237</v>
      </c>
      <c r="N122" s="133" t="s">
        <v>1238</v>
      </c>
      <c r="O122" s="144" t="s">
        <v>28</v>
      </c>
      <c r="P122" s="132" t="s">
        <v>29</v>
      </c>
      <c r="Q122" s="132"/>
      <c r="R122" s="132"/>
      <c r="S122" s="52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</row>
    <row r="123" ht="14.25" customHeight="1">
      <c r="A123" s="133">
        <v>75.0</v>
      </c>
      <c r="B123" s="55" t="s">
        <v>1139</v>
      </c>
      <c r="C123" s="146" t="s">
        <v>1241</v>
      </c>
      <c r="D123" s="131" t="s">
        <v>25</v>
      </c>
      <c r="E123" s="131" t="s">
        <v>57</v>
      </c>
      <c r="F123" s="52"/>
      <c r="G123" s="133" t="s">
        <v>1242</v>
      </c>
      <c r="H123" s="133">
        <v>10.0</v>
      </c>
      <c r="I123" s="133">
        <v>30.0</v>
      </c>
      <c r="J123" s="133" t="s">
        <v>1137</v>
      </c>
      <c r="K123" s="133" t="s">
        <v>1137</v>
      </c>
      <c r="L123" s="133">
        <v>1.0</v>
      </c>
      <c r="M123" s="133" t="s">
        <v>1132</v>
      </c>
      <c r="N123" s="144" t="s">
        <v>28</v>
      </c>
      <c r="O123" s="144" t="s">
        <v>28</v>
      </c>
      <c r="P123" s="132" t="s">
        <v>29</v>
      </c>
      <c r="Q123" s="132"/>
      <c r="R123" s="132"/>
      <c r="S123" s="52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</row>
    <row r="124" ht="14.25" customHeight="1">
      <c r="A124" s="133">
        <v>76.0</v>
      </c>
      <c r="B124" s="55" t="s">
        <v>1139</v>
      </c>
      <c r="C124" s="157" t="s">
        <v>1243</v>
      </c>
      <c r="D124" s="131" t="s">
        <v>25</v>
      </c>
      <c r="E124" s="131" t="s">
        <v>57</v>
      </c>
      <c r="F124" s="52"/>
      <c r="G124" s="133" t="s">
        <v>1244</v>
      </c>
      <c r="H124" s="133">
        <v>3.0</v>
      </c>
      <c r="I124" s="133">
        <v>15.0</v>
      </c>
      <c r="J124" s="133">
        <v>0.0</v>
      </c>
      <c r="K124" s="133">
        <v>0.0</v>
      </c>
      <c r="L124" s="133">
        <v>1.0</v>
      </c>
      <c r="M124" s="133" t="s">
        <v>1138</v>
      </c>
      <c r="N124" s="144" t="s">
        <v>28</v>
      </c>
      <c r="O124" s="144" t="s">
        <v>28</v>
      </c>
      <c r="P124" s="132" t="s">
        <v>29</v>
      </c>
      <c r="Q124" s="132"/>
      <c r="R124" s="132"/>
      <c r="S124" s="52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</row>
    <row r="125" ht="14.25" customHeight="1">
      <c r="A125" s="133">
        <v>77.0</v>
      </c>
      <c r="B125" s="55" t="s">
        <v>1134</v>
      </c>
      <c r="C125" s="13"/>
      <c r="D125" s="131" t="s">
        <v>25</v>
      </c>
      <c r="E125" s="131" t="s">
        <v>57</v>
      </c>
      <c r="F125" s="52"/>
      <c r="G125" s="133" t="s">
        <v>1245</v>
      </c>
      <c r="H125" s="133">
        <v>5.0</v>
      </c>
      <c r="I125" s="133">
        <v>20.0</v>
      </c>
      <c r="J125" s="133" t="s">
        <v>1137</v>
      </c>
      <c r="K125" s="133" t="s">
        <v>1137</v>
      </c>
      <c r="L125" s="133">
        <v>1.0</v>
      </c>
      <c r="M125" s="133" t="s">
        <v>1138</v>
      </c>
      <c r="N125" s="144" t="s">
        <v>28</v>
      </c>
      <c r="O125" s="144" t="s">
        <v>28</v>
      </c>
      <c r="P125" s="132" t="s">
        <v>29</v>
      </c>
      <c r="Q125" s="132"/>
      <c r="R125" s="132"/>
      <c r="S125" s="52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</row>
    <row r="126" ht="14.25" customHeight="1">
      <c r="A126" s="133">
        <v>78.0</v>
      </c>
      <c r="B126" s="55" t="s">
        <v>1142</v>
      </c>
      <c r="C126" s="157" t="s">
        <v>1246</v>
      </c>
      <c r="D126" s="131" t="s">
        <v>25</v>
      </c>
      <c r="E126" s="131" t="s">
        <v>57</v>
      </c>
      <c r="F126" s="52"/>
      <c r="G126" s="133" t="s">
        <v>1247</v>
      </c>
      <c r="H126" s="133">
        <v>2.0</v>
      </c>
      <c r="I126" s="133">
        <v>10.0</v>
      </c>
      <c r="J126" s="133" t="s">
        <v>1137</v>
      </c>
      <c r="K126" s="133" t="s">
        <v>1137</v>
      </c>
      <c r="L126" s="133">
        <v>1.0</v>
      </c>
      <c r="M126" s="133" t="s">
        <v>1138</v>
      </c>
      <c r="N126" s="144" t="s">
        <v>28</v>
      </c>
      <c r="O126" s="144" t="s">
        <v>28</v>
      </c>
      <c r="P126" s="132" t="s">
        <v>29</v>
      </c>
      <c r="Q126" s="132"/>
      <c r="R126" s="132"/>
      <c r="S126" s="52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</row>
    <row r="127" ht="14.25" customHeight="1">
      <c r="A127" s="133">
        <v>79.0</v>
      </c>
      <c r="B127" s="55" t="s">
        <v>1139</v>
      </c>
      <c r="C127" s="153"/>
      <c r="D127" s="131" t="s">
        <v>25</v>
      </c>
      <c r="E127" s="131" t="s">
        <v>57</v>
      </c>
      <c r="F127" s="52"/>
      <c r="G127" s="133" t="s">
        <v>1229</v>
      </c>
      <c r="H127" s="133">
        <v>4.0</v>
      </c>
      <c r="I127" s="133">
        <v>20.0</v>
      </c>
      <c r="J127" s="133" t="s">
        <v>1137</v>
      </c>
      <c r="K127" s="133" t="s">
        <v>1137</v>
      </c>
      <c r="L127" s="133">
        <v>1.0</v>
      </c>
      <c r="M127" s="133" t="s">
        <v>1138</v>
      </c>
      <c r="N127" s="144" t="s">
        <v>28</v>
      </c>
      <c r="O127" s="144" t="s">
        <v>28</v>
      </c>
      <c r="P127" s="132" t="s">
        <v>29</v>
      </c>
      <c r="Q127" s="132"/>
      <c r="R127" s="132"/>
      <c r="S127" s="52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</row>
    <row r="128" ht="14.25" customHeight="1">
      <c r="A128" s="133">
        <v>80.0</v>
      </c>
      <c r="B128" s="55" t="s">
        <v>1134</v>
      </c>
      <c r="C128" s="13"/>
      <c r="D128" s="131" t="s">
        <v>25</v>
      </c>
      <c r="E128" s="131" t="s">
        <v>57</v>
      </c>
      <c r="F128" s="52"/>
      <c r="G128" s="133" t="s">
        <v>1248</v>
      </c>
      <c r="H128" s="133">
        <v>3.0</v>
      </c>
      <c r="I128" s="133">
        <v>15.0</v>
      </c>
      <c r="J128" s="133" t="s">
        <v>1137</v>
      </c>
      <c r="K128" s="133" t="s">
        <v>1137</v>
      </c>
      <c r="L128" s="133">
        <v>1.0</v>
      </c>
      <c r="M128" s="133" t="s">
        <v>1138</v>
      </c>
      <c r="N128" s="144" t="s">
        <v>28</v>
      </c>
      <c r="O128" s="144" t="s">
        <v>28</v>
      </c>
      <c r="P128" s="132" t="s">
        <v>29</v>
      </c>
      <c r="Q128" s="132"/>
      <c r="R128" s="132"/>
      <c r="S128" s="52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</row>
    <row r="129" ht="14.25" customHeight="1">
      <c r="A129" s="133">
        <v>81.0</v>
      </c>
      <c r="B129" s="55" t="s">
        <v>1139</v>
      </c>
      <c r="C129" s="157" t="s">
        <v>1249</v>
      </c>
      <c r="D129" s="131" t="s">
        <v>25</v>
      </c>
      <c r="E129" s="131" t="s">
        <v>57</v>
      </c>
      <c r="F129" s="52"/>
      <c r="G129" s="133" t="s">
        <v>1250</v>
      </c>
      <c r="H129" s="133">
        <v>10.0</v>
      </c>
      <c r="I129" s="133">
        <v>50.0</v>
      </c>
      <c r="J129" s="133">
        <v>0.0</v>
      </c>
      <c r="K129" s="133">
        <v>0.0</v>
      </c>
      <c r="L129" s="133">
        <v>2.0</v>
      </c>
      <c r="M129" s="133" t="s">
        <v>1251</v>
      </c>
      <c r="N129" s="144" t="s">
        <v>28</v>
      </c>
      <c r="O129" s="144" t="s">
        <v>28</v>
      </c>
      <c r="P129" s="132" t="s">
        <v>29</v>
      </c>
      <c r="Q129" s="132"/>
      <c r="R129" s="132"/>
      <c r="S129" s="52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</row>
    <row r="130" ht="14.25" customHeight="1">
      <c r="A130" s="133">
        <v>82.0</v>
      </c>
      <c r="B130" s="55" t="s">
        <v>1134</v>
      </c>
      <c r="C130" s="153"/>
      <c r="D130" s="131" t="s">
        <v>25</v>
      </c>
      <c r="E130" s="131" t="s">
        <v>57</v>
      </c>
      <c r="F130" s="52"/>
      <c r="G130" s="133" t="s">
        <v>1252</v>
      </c>
      <c r="H130" s="133">
        <v>5.0</v>
      </c>
      <c r="I130" s="133">
        <v>30.0</v>
      </c>
      <c r="J130" s="133">
        <v>0.0</v>
      </c>
      <c r="K130" s="133">
        <v>0.0</v>
      </c>
      <c r="L130" s="133">
        <v>1.0</v>
      </c>
      <c r="M130" s="133" t="s">
        <v>1251</v>
      </c>
      <c r="N130" s="144" t="s">
        <v>28</v>
      </c>
      <c r="O130" s="144" t="s">
        <v>28</v>
      </c>
      <c r="P130" s="132" t="s">
        <v>29</v>
      </c>
      <c r="Q130" s="132"/>
      <c r="R130" s="132"/>
      <c r="S130" s="52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</row>
    <row r="131" ht="14.25" customHeight="1">
      <c r="A131" s="133">
        <v>83.0</v>
      </c>
      <c r="B131" s="55" t="s">
        <v>1134</v>
      </c>
      <c r="C131" s="13"/>
      <c r="D131" s="131" t="s">
        <v>25</v>
      </c>
      <c r="E131" s="131" t="s">
        <v>57</v>
      </c>
      <c r="F131" s="158"/>
      <c r="G131" s="133" t="s">
        <v>1253</v>
      </c>
      <c r="H131" s="133">
        <v>4.0</v>
      </c>
      <c r="I131" s="133">
        <v>24.0</v>
      </c>
      <c r="J131" s="133">
        <v>0.0</v>
      </c>
      <c r="K131" s="133">
        <v>0.0</v>
      </c>
      <c r="L131" s="133">
        <v>1.0</v>
      </c>
      <c r="M131" s="133" t="s">
        <v>1251</v>
      </c>
      <c r="N131" s="144" t="s">
        <v>28</v>
      </c>
      <c r="O131" s="144" t="s">
        <v>28</v>
      </c>
      <c r="P131" s="132" t="s">
        <v>29</v>
      </c>
      <c r="Q131" s="132"/>
      <c r="R131" s="132"/>
      <c r="S131" s="52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</row>
    <row r="132" ht="14.25" customHeight="1">
      <c r="A132" s="19"/>
      <c r="B132" s="20" t="s">
        <v>1254</v>
      </c>
      <c r="C132" s="21"/>
      <c r="D132" s="22"/>
      <c r="E132" s="22"/>
      <c r="F132" s="23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</row>
    <row r="133" ht="14.25" customHeight="1">
      <c r="A133" s="133">
        <v>1.0</v>
      </c>
      <c r="B133" s="149" t="s">
        <v>1255</v>
      </c>
      <c r="C133" s="149" t="s">
        <v>1256</v>
      </c>
      <c r="D133" s="131" t="s">
        <v>25</v>
      </c>
      <c r="E133" s="131" t="s">
        <v>57</v>
      </c>
      <c r="F133" s="52"/>
      <c r="G133" s="132" t="s">
        <v>1257</v>
      </c>
      <c r="H133" s="132">
        <v>5.0</v>
      </c>
      <c r="I133" s="132">
        <v>15.0</v>
      </c>
      <c r="J133" s="132">
        <v>2.0</v>
      </c>
      <c r="K133" s="132">
        <v>2.0</v>
      </c>
      <c r="L133" s="132">
        <v>3.0</v>
      </c>
      <c r="M133" s="132" t="s">
        <v>82</v>
      </c>
      <c r="N133" s="159" t="s">
        <v>138</v>
      </c>
      <c r="O133" s="132">
        <v>300.0</v>
      </c>
      <c r="P133" s="132" t="s">
        <v>66</v>
      </c>
      <c r="Q133" s="132">
        <v>15.0</v>
      </c>
      <c r="R133" s="132"/>
      <c r="S133" s="52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</row>
    <row r="134" ht="14.25" customHeight="1">
      <c r="A134" s="133">
        <v>2.0</v>
      </c>
      <c r="B134" s="149" t="s">
        <v>1258</v>
      </c>
      <c r="C134" s="149" t="s">
        <v>1256</v>
      </c>
      <c r="D134" s="131" t="s">
        <v>25</v>
      </c>
      <c r="E134" s="131" t="s">
        <v>57</v>
      </c>
      <c r="F134" s="52"/>
      <c r="G134" s="132">
        <v>196.0</v>
      </c>
      <c r="H134" s="132">
        <v>13.0</v>
      </c>
      <c r="I134" s="132">
        <v>40.0</v>
      </c>
      <c r="J134" s="159">
        <v>0.0</v>
      </c>
      <c r="K134" s="159">
        <v>0.0</v>
      </c>
      <c r="L134" s="132">
        <v>3.0</v>
      </c>
      <c r="M134" s="132" t="s">
        <v>82</v>
      </c>
      <c r="N134" s="159" t="s">
        <v>138</v>
      </c>
      <c r="O134" s="132">
        <v>300.0</v>
      </c>
      <c r="P134" s="132" t="s">
        <v>66</v>
      </c>
      <c r="Q134" s="132">
        <v>40.0</v>
      </c>
      <c r="R134" s="132"/>
      <c r="S134" s="52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</row>
    <row r="135" ht="14.25" customHeight="1">
      <c r="A135" s="133">
        <v>3.0</v>
      </c>
      <c r="B135" s="149" t="s">
        <v>1259</v>
      </c>
      <c r="C135" s="149" t="s">
        <v>1256</v>
      </c>
      <c r="D135" s="131" t="s">
        <v>25</v>
      </c>
      <c r="E135" s="131" t="s">
        <v>57</v>
      </c>
      <c r="F135" s="52"/>
      <c r="G135" s="132">
        <v>500.0</v>
      </c>
      <c r="H135" s="132">
        <v>13.0</v>
      </c>
      <c r="I135" s="132">
        <v>40.0</v>
      </c>
      <c r="J135" s="132">
        <v>1.0</v>
      </c>
      <c r="K135" s="132">
        <v>1.0</v>
      </c>
      <c r="L135" s="159">
        <v>0.0</v>
      </c>
      <c r="M135" s="132" t="s">
        <v>82</v>
      </c>
      <c r="N135" s="159" t="s">
        <v>138</v>
      </c>
      <c r="O135" s="132">
        <v>300.0</v>
      </c>
      <c r="P135" s="132" t="s">
        <v>66</v>
      </c>
      <c r="Q135" s="132">
        <v>40.0</v>
      </c>
      <c r="R135" s="132"/>
      <c r="S135" s="52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</row>
    <row r="136" ht="14.25" customHeight="1">
      <c r="A136" s="133">
        <v>4.0</v>
      </c>
      <c r="B136" s="149" t="s">
        <v>1260</v>
      </c>
      <c r="C136" s="149" t="s">
        <v>1256</v>
      </c>
      <c r="D136" s="131" t="s">
        <v>25</v>
      </c>
      <c r="E136" s="131" t="s">
        <v>57</v>
      </c>
      <c r="F136" s="52"/>
      <c r="G136" s="132">
        <v>197.8</v>
      </c>
      <c r="H136" s="132">
        <v>9.0</v>
      </c>
      <c r="I136" s="132">
        <v>25.0</v>
      </c>
      <c r="J136" s="132">
        <v>1.0</v>
      </c>
      <c r="K136" s="132">
        <v>1.0</v>
      </c>
      <c r="L136" s="159">
        <v>0.0</v>
      </c>
      <c r="M136" s="132" t="s">
        <v>82</v>
      </c>
      <c r="N136" s="159" t="s">
        <v>138</v>
      </c>
      <c r="O136" s="132">
        <v>300.0</v>
      </c>
      <c r="P136" s="132" t="s">
        <v>66</v>
      </c>
      <c r="Q136" s="132">
        <v>25.0</v>
      </c>
      <c r="R136" s="132"/>
      <c r="S136" s="52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</row>
    <row r="137" ht="14.25" customHeight="1">
      <c r="A137" s="19">
        <v>5.0</v>
      </c>
      <c r="B137" s="149" t="s">
        <v>1261</v>
      </c>
      <c r="C137" s="149" t="s">
        <v>1262</v>
      </c>
      <c r="D137" s="131" t="s">
        <v>25</v>
      </c>
      <c r="E137" s="131" t="s">
        <v>26</v>
      </c>
      <c r="F137" s="52"/>
      <c r="G137" s="159">
        <v>160.0</v>
      </c>
      <c r="H137" s="159">
        <v>8.0</v>
      </c>
      <c r="I137" s="159">
        <v>40.0</v>
      </c>
      <c r="J137" s="159">
        <v>1.0</v>
      </c>
      <c r="K137" s="159">
        <v>1.0</v>
      </c>
      <c r="L137" s="159">
        <v>0.0</v>
      </c>
      <c r="M137" s="159" t="s">
        <v>82</v>
      </c>
      <c r="N137" s="159" t="s">
        <v>138</v>
      </c>
      <c r="O137" s="159">
        <v>300.0</v>
      </c>
      <c r="P137" s="159" t="s">
        <v>29</v>
      </c>
      <c r="Q137" s="132"/>
      <c r="R137" s="132"/>
      <c r="S137" s="160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</row>
    <row r="138" ht="14.25" customHeight="1">
      <c r="A138" s="161">
        <v>6.0</v>
      </c>
      <c r="B138" s="162" t="s">
        <v>1263</v>
      </c>
      <c r="C138" s="163" t="s">
        <v>1264</v>
      </c>
      <c r="D138" s="164" t="s">
        <v>25</v>
      </c>
      <c r="E138" s="164" t="s">
        <v>1265</v>
      </c>
      <c r="F138" s="53"/>
      <c r="G138" s="165">
        <v>434.08</v>
      </c>
      <c r="H138" s="165">
        <v>10.0</v>
      </c>
      <c r="I138" s="165">
        <v>50.0</v>
      </c>
      <c r="J138" s="165">
        <v>0.0</v>
      </c>
      <c r="K138" s="165">
        <v>0.0</v>
      </c>
      <c r="L138" s="165">
        <v>1.0</v>
      </c>
      <c r="M138" s="164" t="s">
        <v>1266</v>
      </c>
      <c r="N138" s="164" t="s">
        <v>1267</v>
      </c>
      <c r="O138" s="165">
        <v>170.0</v>
      </c>
      <c r="P138" s="165" t="s">
        <v>66</v>
      </c>
      <c r="Q138" s="165">
        <v>2.0</v>
      </c>
      <c r="R138" s="33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</row>
    <row r="139" ht="14.25" customHeight="1">
      <c r="A139" s="161">
        <v>7.0</v>
      </c>
      <c r="B139" s="25" t="s">
        <v>1261</v>
      </c>
      <c r="C139" s="25" t="s">
        <v>1268</v>
      </c>
      <c r="D139" s="33" t="s">
        <v>25</v>
      </c>
      <c r="E139" s="33" t="s">
        <v>1269</v>
      </c>
      <c r="F139" s="53"/>
      <c r="G139" s="48">
        <v>600.0</v>
      </c>
      <c r="H139" s="48">
        <v>5.0</v>
      </c>
      <c r="I139" s="48">
        <v>15.0</v>
      </c>
      <c r="J139" s="48">
        <v>1.0</v>
      </c>
      <c r="K139" s="48">
        <v>1.0</v>
      </c>
      <c r="L139" s="48">
        <v>0.0</v>
      </c>
      <c r="M139" s="33" t="s">
        <v>1270</v>
      </c>
      <c r="N139" s="33"/>
      <c r="O139" s="33"/>
      <c r="P139" s="48" t="s">
        <v>66</v>
      </c>
      <c r="Q139" s="48">
        <v>1.0</v>
      </c>
      <c r="R139" s="33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</row>
    <row r="140" ht="14.25" customHeight="1">
      <c r="A140" s="19">
        <v>8.0</v>
      </c>
      <c r="B140" s="131" t="s">
        <v>1271</v>
      </c>
      <c r="C140" s="131" t="s">
        <v>1272</v>
      </c>
      <c r="D140" s="131" t="s">
        <v>25</v>
      </c>
      <c r="E140" s="162" t="s">
        <v>837</v>
      </c>
      <c r="F140" s="55"/>
      <c r="G140" s="167">
        <v>600.0</v>
      </c>
      <c r="H140" s="167">
        <v>20.0</v>
      </c>
      <c r="I140" s="167">
        <v>100.0</v>
      </c>
      <c r="J140" s="167">
        <v>1.0</v>
      </c>
      <c r="K140" s="167">
        <v>1.0</v>
      </c>
      <c r="L140" s="167">
        <v>0.0</v>
      </c>
      <c r="M140" s="167" t="s">
        <v>82</v>
      </c>
      <c r="N140" s="167" t="s">
        <v>138</v>
      </c>
      <c r="O140" s="167">
        <v>300.0</v>
      </c>
      <c r="P140" s="167" t="s">
        <v>66</v>
      </c>
      <c r="Q140" s="167">
        <v>10.0</v>
      </c>
      <c r="R140" s="132"/>
      <c r="S140" s="160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</row>
    <row r="141" ht="14.25" customHeight="1">
      <c r="A141" s="19">
        <v>9.0</v>
      </c>
      <c r="B141" s="162" t="s">
        <v>1273</v>
      </c>
      <c r="C141" s="131" t="s">
        <v>1274</v>
      </c>
      <c r="D141" s="131" t="s">
        <v>25</v>
      </c>
      <c r="E141" s="162" t="s">
        <v>1275</v>
      </c>
      <c r="F141" s="55"/>
      <c r="G141" s="168">
        <v>2500.0</v>
      </c>
      <c r="H141" s="167">
        <v>13.0</v>
      </c>
      <c r="I141" s="167">
        <v>27.0</v>
      </c>
      <c r="J141" s="167">
        <v>0.0</v>
      </c>
      <c r="K141" s="167">
        <v>0.0</v>
      </c>
      <c r="L141" s="167">
        <v>4.0</v>
      </c>
      <c r="M141" s="169" t="s">
        <v>1276</v>
      </c>
      <c r="N141" s="167" t="s">
        <v>138</v>
      </c>
      <c r="O141" s="167">
        <v>200.0</v>
      </c>
      <c r="P141" s="167" t="s">
        <v>29</v>
      </c>
      <c r="Q141" s="167">
        <v>0.0</v>
      </c>
      <c r="R141" s="132"/>
      <c r="S141" s="160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</row>
    <row r="142" ht="14.25" customHeight="1">
      <c r="A142" s="19">
        <v>10.0</v>
      </c>
      <c r="B142" s="131" t="s">
        <v>1261</v>
      </c>
      <c r="C142" s="131" t="s">
        <v>1277</v>
      </c>
      <c r="D142" s="131" t="s">
        <v>25</v>
      </c>
      <c r="E142" s="162" t="s">
        <v>1278</v>
      </c>
      <c r="F142" s="55"/>
      <c r="G142" s="167">
        <v>595.0</v>
      </c>
      <c r="H142" s="167">
        <v>15.0</v>
      </c>
      <c r="I142" s="167">
        <v>20.0</v>
      </c>
      <c r="J142" s="167">
        <v>0.0</v>
      </c>
      <c r="K142" s="167">
        <v>0.0</v>
      </c>
      <c r="L142" s="167">
        <v>2.0</v>
      </c>
      <c r="M142" s="169" t="s">
        <v>1279</v>
      </c>
      <c r="N142" s="167" t="s">
        <v>401</v>
      </c>
      <c r="O142" s="167">
        <v>300.0</v>
      </c>
      <c r="P142" s="167" t="s">
        <v>66</v>
      </c>
      <c r="Q142" s="167">
        <v>1.0</v>
      </c>
      <c r="R142" s="132"/>
      <c r="S142" s="160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</row>
    <row r="143" ht="14.25" customHeight="1">
      <c r="A143" s="19">
        <v>11.0</v>
      </c>
      <c r="B143" s="131" t="s">
        <v>1261</v>
      </c>
      <c r="C143" s="131" t="s">
        <v>1280</v>
      </c>
      <c r="D143" s="131" t="s">
        <v>25</v>
      </c>
      <c r="E143" s="162" t="s">
        <v>1281</v>
      </c>
      <c r="F143" s="55"/>
      <c r="G143" s="167">
        <v>40.0</v>
      </c>
      <c r="H143" s="167">
        <v>13.0</v>
      </c>
      <c r="I143" s="167">
        <v>50.0</v>
      </c>
      <c r="J143" s="167">
        <v>0.0</v>
      </c>
      <c r="K143" s="167">
        <v>1.0</v>
      </c>
      <c r="L143" s="167">
        <v>0.0</v>
      </c>
      <c r="M143" s="169" t="s">
        <v>1282</v>
      </c>
      <c r="N143" s="167" t="s">
        <v>82</v>
      </c>
      <c r="O143" s="167">
        <v>150.0</v>
      </c>
      <c r="P143" s="167" t="s">
        <v>29</v>
      </c>
      <c r="Q143" s="167" t="s">
        <v>1137</v>
      </c>
      <c r="R143" s="132"/>
      <c r="S143" s="160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</row>
    <row r="144" ht="14.25" customHeight="1">
      <c r="A144" s="19">
        <v>12.0</v>
      </c>
      <c r="B144" s="131" t="s">
        <v>1261</v>
      </c>
      <c r="C144" s="131" t="s">
        <v>1283</v>
      </c>
      <c r="D144" s="131" t="s">
        <v>25</v>
      </c>
      <c r="E144" s="170" t="s">
        <v>1284</v>
      </c>
      <c r="F144" s="55"/>
      <c r="G144" s="130">
        <v>600.0</v>
      </c>
      <c r="H144" s="130">
        <v>9.0</v>
      </c>
      <c r="I144" s="130">
        <v>30.0</v>
      </c>
      <c r="J144" s="130">
        <v>1.0</v>
      </c>
      <c r="K144" s="130">
        <v>1.0</v>
      </c>
      <c r="L144" s="130">
        <v>3.0</v>
      </c>
      <c r="M144" s="169" t="s">
        <v>82</v>
      </c>
      <c r="N144" s="167" t="s">
        <v>1285</v>
      </c>
      <c r="O144" s="130">
        <v>250.0</v>
      </c>
      <c r="P144" s="171" t="s">
        <v>66</v>
      </c>
      <c r="Q144" s="130" t="s">
        <v>1137</v>
      </c>
      <c r="R144" s="132"/>
      <c r="S144" s="160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</row>
    <row r="145" ht="14.25" customHeight="1">
      <c r="A145" s="19">
        <v>13.0</v>
      </c>
      <c r="B145" s="131" t="s">
        <v>1261</v>
      </c>
      <c r="C145" s="131" t="s">
        <v>1286</v>
      </c>
      <c r="D145" s="131" t="s">
        <v>25</v>
      </c>
      <c r="E145" s="162" t="s">
        <v>1287</v>
      </c>
      <c r="F145" s="55"/>
      <c r="G145" s="167">
        <v>35.0</v>
      </c>
      <c r="H145" s="167">
        <v>15.0</v>
      </c>
      <c r="I145" s="167">
        <v>300.0</v>
      </c>
      <c r="J145" s="167">
        <v>1.0</v>
      </c>
      <c r="K145" s="167">
        <v>1.0</v>
      </c>
      <c r="L145" s="167">
        <v>2.0</v>
      </c>
      <c r="M145" s="167" t="s">
        <v>1288</v>
      </c>
      <c r="N145" s="167" t="s">
        <v>138</v>
      </c>
      <c r="O145" s="167">
        <v>500.0</v>
      </c>
      <c r="P145" s="167" t="s">
        <v>29</v>
      </c>
      <c r="Q145" s="167" t="s">
        <v>401</v>
      </c>
      <c r="R145" s="132"/>
      <c r="S145" s="160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</row>
    <row r="146" ht="14.25" customHeight="1">
      <c r="A146" s="19">
        <v>14.0</v>
      </c>
      <c r="B146" s="131" t="s">
        <v>1261</v>
      </c>
      <c r="C146" s="131" t="s">
        <v>1289</v>
      </c>
      <c r="D146" s="131" t="s">
        <v>25</v>
      </c>
      <c r="E146" s="162" t="s">
        <v>1290</v>
      </c>
      <c r="F146" s="55"/>
      <c r="G146" s="167">
        <v>50.0</v>
      </c>
      <c r="H146" s="167">
        <v>4.0</v>
      </c>
      <c r="I146" s="167">
        <v>25.0</v>
      </c>
      <c r="J146" s="167">
        <v>0.0</v>
      </c>
      <c r="K146" s="167">
        <v>0.0</v>
      </c>
      <c r="L146" s="167">
        <v>1.0</v>
      </c>
      <c r="M146" s="167" t="s">
        <v>82</v>
      </c>
      <c r="N146" s="167" t="s">
        <v>138</v>
      </c>
      <c r="O146" s="167">
        <v>200.0</v>
      </c>
      <c r="P146" s="167" t="s">
        <v>29</v>
      </c>
      <c r="Q146" s="167" t="s">
        <v>401</v>
      </c>
      <c r="R146" s="132"/>
      <c r="S146" s="160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</row>
    <row r="147" ht="14.25" customHeight="1">
      <c r="A147" s="19">
        <v>15.0</v>
      </c>
      <c r="B147" s="131" t="s">
        <v>1261</v>
      </c>
      <c r="C147" s="131" t="s">
        <v>1291</v>
      </c>
      <c r="D147" s="131" t="s">
        <v>25</v>
      </c>
      <c r="E147" s="162" t="s">
        <v>1292</v>
      </c>
      <c r="F147" s="55"/>
      <c r="G147" s="167">
        <v>88.0</v>
      </c>
      <c r="H147" s="167">
        <v>4.0</v>
      </c>
      <c r="I147" s="167">
        <v>15.0</v>
      </c>
      <c r="J147" s="130">
        <v>1.0</v>
      </c>
      <c r="K147" s="130">
        <v>1.0</v>
      </c>
      <c r="L147" s="130">
        <v>0.0</v>
      </c>
      <c r="M147" s="130" t="s">
        <v>27</v>
      </c>
      <c r="N147" s="167" t="s">
        <v>138</v>
      </c>
      <c r="O147" s="167">
        <v>300.0</v>
      </c>
      <c r="P147" s="130" t="s">
        <v>29</v>
      </c>
      <c r="Q147" s="167" t="s">
        <v>401</v>
      </c>
      <c r="R147" s="132"/>
      <c r="S147" s="160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</row>
    <row r="148" ht="14.25" customHeight="1">
      <c r="A148" s="19">
        <v>16.0</v>
      </c>
      <c r="B148" s="131" t="s">
        <v>1261</v>
      </c>
      <c r="C148" s="131" t="s">
        <v>1293</v>
      </c>
      <c r="D148" s="131" t="s">
        <v>25</v>
      </c>
      <c r="E148" s="131" t="s">
        <v>1294</v>
      </c>
      <c r="F148" s="55"/>
      <c r="G148" s="167">
        <v>140.045</v>
      </c>
      <c r="H148" s="167">
        <v>20.0</v>
      </c>
      <c r="I148" s="167">
        <v>150.0</v>
      </c>
      <c r="J148" s="167">
        <v>1.0</v>
      </c>
      <c r="K148" s="167">
        <v>1.0</v>
      </c>
      <c r="L148" s="167">
        <v>0.0</v>
      </c>
      <c r="M148" s="167" t="s">
        <v>27</v>
      </c>
      <c r="N148" s="167" t="s">
        <v>138</v>
      </c>
      <c r="O148" s="167">
        <v>150.0</v>
      </c>
      <c r="P148" s="167" t="s">
        <v>29</v>
      </c>
      <c r="Q148" s="167" t="s">
        <v>401</v>
      </c>
      <c r="R148" s="132"/>
      <c r="S148" s="160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</row>
    <row r="149" ht="14.25" customHeight="1">
      <c r="A149" s="19">
        <v>17.0</v>
      </c>
      <c r="B149" s="131" t="s">
        <v>1261</v>
      </c>
      <c r="C149" s="131" t="s">
        <v>1295</v>
      </c>
      <c r="D149" s="131" t="s">
        <v>25</v>
      </c>
      <c r="E149" s="131" t="s">
        <v>189</v>
      </c>
      <c r="F149" s="55"/>
      <c r="G149" s="167">
        <v>80.0</v>
      </c>
      <c r="H149" s="130">
        <v>10.0</v>
      </c>
      <c r="I149" s="130">
        <v>25.0</v>
      </c>
      <c r="J149" s="130">
        <v>2.0</v>
      </c>
      <c r="K149" s="130">
        <v>2.0</v>
      </c>
      <c r="L149" s="130">
        <v>1.0</v>
      </c>
      <c r="M149" s="167" t="s">
        <v>1046</v>
      </c>
      <c r="N149" s="130" t="s">
        <v>46</v>
      </c>
      <c r="O149" s="130">
        <v>300.0</v>
      </c>
      <c r="P149" s="130" t="s">
        <v>29</v>
      </c>
      <c r="Q149" s="130" t="s">
        <v>401</v>
      </c>
      <c r="R149" s="132"/>
      <c r="S149" s="160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</row>
    <row r="150" ht="14.25" customHeight="1">
      <c r="A150" s="19">
        <v>18.0</v>
      </c>
      <c r="B150" s="162" t="s">
        <v>1296</v>
      </c>
      <c r="C150" s="131" t="s">
        <v>1297</v>
      </c>
      <c r="D150" s="131" t="s">
        <v>25</v>
      </c>
      <c r="E150" s="162" t="s">
        <v>189</v>
      </c>
      <c r="F150" s="55"/>
      <c r="G150" s="167" t="s">
        <v>1298</v>
      </c>
      <c r="H150" s="167" t="s">
        <v>1299</v>
      </c>
      <c r="I150" s="167">
        <v>50.0</v>
      </c>
      <c r="J150" s="167">
        <v>2.0</v>
      </c>
      <c r="K150" s="167">
        <v>2.0</v>
      </c>
      <c r="L150" s="167">
        <v>0.0</v>
      </c>
      <c r="M150" s="167" t="s">
        <v>1300</v>
      </c>
      <c r="N150" s="167" t="s">
        <v>1301</v>
      </c>
      <c r="O150" s="167">
        <v>500.0</v>
      </c>
      <c r="P150" s="167" t="s">
        <v>29</v>
      </c>
      <c r="Q150" s="167" t="s">
        <v>401</v>
      </c>
      <c r="R150" s="132"/>
      <c r="S150" s="160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</row>
    <row r="151" ht="14.25" customHeight="1">
      <c r="A151" s="19">
        <v>19.0</v>
      </c>
      <c r="B151" s="131" t="s">
        <v>1261</v>
      </c>
      <c r="C151" s="131" t="s">
        <v>1302</v>
      </c>
      <c r="D151" s="131" t="s">
        <v>25</v>
      </c>
      <c r="E151" s="162" t="s">
        <v>1303</v>
      </c>
      <c r="F151" s="172" t="s">
        <v>46</v>
      </c>
      <c r="G151" s="167">
        <v>600.0</v>
      </c>
      <c r="H151" s="167">
        <v>5.0</v>
      </c>
      <c r="I151" s="167">
        <v>15.0</v>
      </c>
      <c r="J151" s="167">
        <v>2.0</v>
      </c>
      <c r="K151" s="167">
        <v>1.0</v>
      </c>
      <c r="L151" s="167">
        <v>0.0</v>
      </c>
      <c r="M151" s="167" t="s">
        <v>1279</v>
      </c>
      <c r="N151" s="167" t="s">
        <v>46</v>
      </c>
      <c r="O151" s="167">
        <v>165.0</v>
      </c>
      <c r="P151" s="167" t="s">
        <v>29</v>
      </c>
      <c r="Q151" s="167" t="s">
        <v>401</v>
      </c>
      <c r="R151" s="132"/>
      <c r="S151" s="160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</row>
    <row r="152" ht="14.25" customHeight="1">
      <c r="A152" s="19">
        <v>20.0</v>
      </c>
      <c r="B152" s="131" t="s">
        <v>1261</v>
      </c>
      <c r="C152" s="131" t="s">
        <v>1304</v>
      </c>
      <c r="D152" s="131" t="s">
        <v>25</v>
      </c>
      <c r="E152" s="162" t="s">
        <v>57</v>
      </c>
      <c r="F152" s="55"/>
      <c r="G152" s="167">
        <v>392.0</v>
      </c>
      <c r="H152" s="167">
        <v>60.0</v>
      </c>
      <c r="I152" s="167">
        <v>210.0</v>
      </c>
      <c r="J152" s="167">
        <v>1.0</v>
      </c>
      <c r="K152" s="167">
        <v>1.0</v>
      </c>
      <c r="L152" s="167">
        <v>0.0</v>
      </c>
      <c r="M152" s="167" t="s">
        <v>427</v>
      </c>
      <c r="N152" s="167" t="s">
        <v>83</v>
      </c>
      <c r="O152" s="167">
        <v>350.0</v>
      </c>
      <c r="P152" s="167" t="s">
        <v>29</v>
      </c>
      <c r="Q152" s="167" t="s">
        <v>1137</v>
      </c>
      <c r="R152" s="132"/>
      <c r="S152" s="160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</row>
    <row r="153" ht="14.25" customHeight="1">
      <c r="A153" s="19">
        <v>21.0</v>
      </c>
      <c r="B153" s="131" t="s">
        <v>1305</v>
      </c>
      <c r="C153" s="131" t="s">
        <v>1306</v>
      </c>
      <c r="D153" s="131" t="s">
        <v>25</v>
      </c>
      <c r="E153" s="162" t="s">
        <v>837</v>
      </c>
      <c r="F153" s="172" t="s">
        <v>138</v>
      </c>
      <c r="G153" s="167">
        <v>60.0</v>
      </c>
      <c r="H153" s="167">
        <v>6.0</v>
      </c>
      <c r="I153" s="167">
        <v>30.0</v>
      </c>
      <c r="J153" s="167">
        <v>0.0</v>
      </c>
      <c r="K153" s="167">
        <v>0.0</v>
      </c>
      <c r="L153" s="167">
        <v>1.0</v>
      </c>
      <c r="M153" s="167" t="s">
        <v>427</v>
      </c>
      <c r="N153" s="167" t="s">
        <v>83</v>
      </c>
      <c r="O153" s="167">
        <v>50.0</v>
      </c>
      <c r="P153" s="167" t="s">
        <v>29</v>
      </c>
      <c r="Q153" s="167" t="s">
        <v>401</v>
      </c>
      <c r="R153" s="132"/>
      <c r="S153" s="160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</row>
    <row r="154" ht="14.25" customHeight="1">
      <c r="A154" s="19">
        <v>22.0</v>
      </c>
      <c r="B154" s="131" t="s">
        <v>1261</v>
      </c>
      <c r="C154" s="131" t="s">
        <v>1307</v>
      </c>
      <c r="D154" s="131" t="s">
        <v>25</v>
      </c>
      <c r="E154" s="131" t="s">
        <v>1308</v>
      </c>
      <c r="F154" s="55"/>
      <c r="G154" s="167">
        <v>600.0</v>
      </c>
      <c r="H154" s="130">
        <v>5.0</v>
      </c>
      <c r="I154" s="167">
        <v>20.0</v>
      </c>
      <c r="J154" s="130">
        <v>1.0</v>
      </c>
      <c r="K154" s="130">
        <v>1.0</v>
      </c>
      <c r="L154" s="130">
        <v>1.0</v>
      </c>
      <c r="M154" s="130" t="s">
        <v>1309</v>
      </c>
      <c r="N154" s="130" t="s">
        <v>1310</v>
      </c>
      <c r="O154" s="130" t="s">
        <v>1257</v>
      </c>
      <c r="P154" s="130" t="s">
        <v>29</v>
      </c>
      <c r="Q154" s="130" t="s">
        <v>1137</v>
      </c>
      <c r="R154" s="132"/>
      <c r="S154" s="160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</row>
    <row r="155" ht="14.25" customHeight="1">
      <c r="A155" s="19">
        <v>23.0</v>
      </c>
      <c r="B155" s="131" t="s">
        <v>1311</v>
      </c>
      <c r="C155" s="131" t="s">
        <v>1312</v>
      </c>
      <c r="D155" s="131" t="s">
        <v>25</v>
      </c>
      <c r="E155" s="131" t="s">
        <v>1313</v>
      </c>
      <c r="F155" s="55"/>
      <c r="G155" s="167">
        <v>600.0</v>
      </c>
      <c r="H155" s="130">
        <v>3.0</v>
      </c>
      <c r="I155" s="130">
        <v>9.0</v>
      </c>
      <c r="J155" s="130">
        <v>5.0</v>
      </c>
      <c r="K155" s="130">
        <v>4.0</v>
      </c>
      <c r="L155" s="130">
        <v>1.0</v>
      </c>
      <c r="M155" s="167" t="s">
        <v>1314</v>
      </c>
      <c r="N155" s="167" t="s">
        <v>427</v>
      </c>
      <c r="O155" s="130">
        <v>150.0</v>
      </c>
      <c r="P155" s="130" t="s">
        <v>29</v>
      </c>
      <c r="Q155" s="130" t="s">
        <v>1137</v>
      </c>
      <c r="R155" s="132"/>
      <c r="S155" s="160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</row>
    <row r="156" ht="18.75" customHeight="1">
      <c r="A156" s="19">
        <v>24.0</v>
      </c>
      <c r="B156" s="131" t="s">
        <v>1261</v>
      </c>
      <c r="C156" s="131" t="s">
        <v>1315</v>
      </c>
      <c r="D156" s="131" t="s">
        <v>25</v>
      </c>
      <c r="E156" s="162" t="s">
        <v>1316</v>
      </c>
      <c r="F156" s="55"/>
      <c r="G156" s="167">
        <v>75.0</v>
      </c>
      <c r="H156" s="167">
        <v>10.0</v>
      </c>
      <c r="I156" s="167">
        <v>40.0</v>
      </c>
      <c r="J156" s="167">
        <v>0.0</v>
      </c>
      <c r="K156" s="167">
        <v>0.0</v>
      </c>
      <c r="L156" s="167">
        <v>1.0</v>
      </c>
      <c r="M156" s="167" t="s">
        <v>1288</v>
      </c>
      <c r="N156" s="167" t="s">
        <v>427</v>
      </c>
      <c r="O156" s="167">
        <v>200.0</v>
      </c>
      <c r="P156" s="167" t="s">
        <v>66</v>
      </c>
      <c r="Q156" s="167">
        <v>6.0</v>
      </c>
      <c r="R156" s="132"/>
      <c r="S156" s="160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</row>
    <row r="157" ht="14.25" customHeight="1">
      <c r="A157" s="19">
        <v>25.0</v>
      </c>
      <c r="B157" s="131" t="s">
        <v>1261</v>
      </c>
      <c r="C157" s="131" t="s">
        <v>1256</v>
      </c>
      <c r="D157" s="131" t="s">
        <v>25</v>
      </c>
      <c r="E157" s="162" t="s">
        <v>1317</v>
      </c>
      <c r="F157" s="172" t="s">
        <v>46</v>
      </c>
      <c r="G157" s="167">
        <v>35.0</v>
      </c>
      <c r="H157" s="167">
        <v>20.0</v>
      </c>
      <c r="I157" s="167">
        <v>70.0</v>
      </c>
      <c r="J157" s="167">
        <v>0.0</v>
      </c>
      <c r="K157" s="167">
        <v>0.0</v>
      </c>
      <c r="L157" s="167">
        <v>1.0</v>
      </c>
      <c r="M157" s="167" t="s">
        <v>1288</v>
      </c>
      <c r="N157" s="167" t="s">
        <v>427</v>
      </c>
      <c r="O157" s="167">
        <v>200.0</v>
      </c>
      <c r="P157" s="167" t="s">
        <v>29</v>
      </c>
      <c r="Q157" s="167" t="s">
        <v>1318</v>
      </c>
      <c r="R157" s="132"/>
      <c r="S157" s="160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</row>
    <row r="158" ht="14.25" hidden="1" customHeight="1">
      <c r="A158" s="19">
        <v>26.0</v>
      </c>
      <c r="B158" s="131" t="s">
        <v>1261</v>
      </c>
      <c r="C158" s="131" t="s">
        <v>1256</v>
      </c>
      <c r="D158" s="131" t="s">
        <v>25</v>
      </c>
      <c r="E158" s="131"/>
      <c r="F158" s="55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2"/>
      <c r="S158" s="160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</row>
    <row r="159" ht="14.25" customHeight="1">
      <c r="A159" s="173">
        <v>27.0</v>
      </c>
      <c r="B159" s="131" t="s">
        <v>1319</v>
      </c>
      <c r="C159" s="131" t="s">
        <v>1320</v>
      </c>
      <c r="D159" s="131" t="s">
        <v>25</v>
      </c>
      <c r="E159" s="131" t="s">
        <v>647</v>
      </c>
      <c r="F159" s="172" t="s">
        <v>46</v>
      </c>
      <c r="G159" s="167">
        <v>80.0</v>
      </c>
      <c r="H159" s="167">
        <v>4.0</v>
      </c>
      <c r="I159" s="167">
        <v>25.0</v>
      </c>
      <c r="J159" s="167">
        <v>0.0</v>
      </c>
      <c r="K159" s="167">
        <v>0.0</v>
      </c>
      <c r="L159" s="167">
        <v>1.0</v>
      </c>
      <c r="M159" s="167" t="s">
        <v>1288</v>
      </c>
      <c r="N159" s="167" t="s">
        <v>46</v>
      </c>
      <c r="O159" s="167">
        <v>0.0</v>
      </c>
      <c r="P159" s="167" t="s">
        <v>29</v>
      </c>
      <c r="Q159" s="167" t="s">
        <v>1137</v>
      </c>
      <c r="R159" s="132"/>
      <c r="S159" s="160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</row>
    <row r="160" ht="14.25" customHeight="1">
      <c r="A160" s="173">
        <v>28.0</v>
      </c>
      <c r="B160" s="131" t="s">
        <v>1261</v>
      </c>
      <c r="C160" s="131" t="s">
        <v>1321</v>
      </c>
      <c r="D160" s="131" t="s">
        <v>25</v>
      </c>
      <c r="E160" s="162" t="s">
        <v>1322</v>
      </c>
      <c r="F160" s="172" t="s">
        <v>46</v>
      </c>
      <c r="G160" s="167">
        <v>300.0</v>
      </c>
      <c r="H160" s="167">
        <v>7.0</v>
      </c>
      <c r="I160" s="167">
        <v>31.0</v>
      </c>
      <c r="J160" s="167">
        <v>1.0</v>
      </c>
      <c r="K160" s="167">
        <v>1.0</v>
      </c>
      <c r="L160" s="167">
        <v>0.0</v>
      </c>
      <c r="M160" s="167" t="s">
        <v>1288</v>
      </c>
      <c r="N160" s="167" t="s">
        <v>1323</v>
      </c>
      <c r="O160" s="167">
        <v>150.0</v>
      </c>
      <c r="P160" s="167" t="s">
        <v>29</v>
      </c>
      <c r="Q160" s="167" t="s">
        <v>1137</v>
      </c>
      <c r="R160" s="132"/>
      <c r="S160" s="160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</row>
    <row r="161" ht="14.25" customHeight="1">
      <c r="A161" s="173">
        <v>29.0</v>
      </c>
      <c r="B161" s="131" t="s">
        <v>1261</v>
      </c>
      <c r="C161" s="131" t="s">
        <v>1324</v>
      </c>
      <c r="D161" s="131" t="s">
        <v>25</v>
      </c>
      <c r="E161" s="162" t="s">
        <v>1325</v>
      </c>
      <c r="F161" s="55"/>
      <c r="G161" s="167">
        <v>80.0</v>
      </c>
      <c r="H161" s="167">
        <v>20.0</v>
      </c>
      <c r="I161" s="167">
        <v>84.0</v>
      </c>
      <c r="J161" s="167">
        <v>2.0</v>
      </c>
      <c r="K161" s="167">
        <v>2.0</v>
      </c>
      <c r="L161" s="167">
        <v>0.0</v>
      </c>
      <c r="M161" s="167" t="s">
        <v>1326</v>
      </c>
      <c r="N161" s="167" t="s">
        <v>1327</v>
      </c>
      <c r="O161" s="167">
        <v>130.0</v>
      </c>
      <c r="P161" s="167" t="s">
        <v>29</v>
      </c>
      <c r="Q161" s="167">
        <v>3.0</v>
      </c>
      <c r="R161" s="132"/>
      <c r="S161" s="160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</row>
    <row r="162" ht="14.25" customHeight="1">
      <c r="A162" s="167">
        <v>30.0</v>
      </c>
      <c r="B162" s="131" t="s">
        <v>1261</v>
      </c>
      <c r="C162" s="129" t="s">
        <v>1328</v>
      </c>
      <c r="D162" s="131" t="s">
        <v>25</v>
      </c>
      <c r="E162" s="162" t="s">
        <v>1329</v>
      </c>
      <c r="F162" s="55"/>
      <c r="G162" s="167">
        <v>48.0</v>
      </c>
      <c r="H162" s="167">
        <v>6.0</v>
      </c>
      <c r="I162" s="167">
        <v>30.0</v>
      </c>
      <c r="J162" s="167">
        <v>3.0</v>
      </c>
      <c r="K162" s="167">
        <v>3.0</v>
      </c>
      <c r="L162" s="167">
        <v>0.0</v>
      </c>
      <c r="M162" s="167" t="s">
        <v>1288</v>
      </c>
      <c r="N162" s="167" t="s">
        <v>138</v>
      </c>
      <c r="O162" s="167">
        <v>0.0</v>
      </c>
      <c r="P162" s="167" t="s">
        <v>29</v>
      </c>
      <c r="Q162" s="167" t="s">
        <v>1137</v>
      </c>
      <c r="R162" s="132"/>
      <c r="S162" s="160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</row>
    <row r="163" ht="14.25" customHeight="1">
      <c r="A163" s="173">
        <v>31.0</v>
      </c>
      <c r="B163" s="131" t="s">
        <v>1261</v>
      </c>
      <c r="C163" s="131" t="s">
        <v>1330</v>
      </c>
      <c r="D163" s="131" t="s">
        <v>25</v>
      </c>
      <c r="E163" s="162" t="s">
        <v>1329</v>
      </c>
      <c r="F163" s="167" t="s">
        <v>46</v>
      </c>
      <c r="G163" s="167">
        <v>600.0</v>
      </c>
      <c r="H163" s="167">
        <v>10.0</v>
      </c>
      <c r="I163" s="167">
        <v>150.0</v>
      </c>
      <c r="J163" s="167">
        <v>1.0</v>
      </c>
      <c r="K163" s="167">
        <v>1.0</v>
      </c>
      <c r="L163" s="167">
        <v>1.0</v>
      </c>
      <c r="M163" s="167" t="s">
        <v>1288</v>
      </c>
      <c r="N163" s="167" t="s">
        <v>46</v>
      </c>
      <c r="O163" s="167">
        <v>10.0</v>
      </c>
      <c r="P163" s="167" t="s">
        <v>66</v>
      </c>
      <c r="Q163" s="167">
        <v>1.0</v>
      </c>
      <c r="R163" s="132"/>
      <c r="S163" s="160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</row>
    <row r="164" ht="14.25" customHeight="1">
      <c r="A164" s="174"/>
      <c r="B164" s="175" t="s">
        <v>1331</v>
      </c>
      <c r="C164" s="176"/>
      <c r="D164" s="177"/>
      <c r="E164" s="177"/>
      <c r="F164" s="178"/>
      <c r="G164" s="177"/>
      <c r="H164" s="177"/>
      <c r="I164" s="177"/>
      <c r="J164" s="177"/>
      <c r="K164" s="177"/>
      <c r="L164" s="177"/>
      <c r="M164" s="177"/>
      <c r="N164" s="177"/>
      <c r="O164" s="177"/>
      <c r="P164" s="177"/>
      <c r="Q164" s="177"/>
      <c r="R164" s="177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  <c r="AC164" s="179"/>
      <c r="AD164" s="179"/>
    </row>
    <row r="165" ht="14.25" customHeight="1">
      <c r="A165" s="133">
        <v>1.0</v>
      </c>
      <c r="B165" s="131" t="s">
        <v>1332</v>
      </c>
      <c r="C165" s="131" t="s">
        <v>1333</v>
      </c>
      <c r="D165" s="131" t="s">
        <v>25</v>
      </c>
      <c r="E165" s="131" t="s">
        <v>1334</v>
      </c>
      <c r="F165" s="55"/>
      <c r="G165" s="130">
        <v>107.52</v>
      </c>
      <c r="H165" s="130">
        <v>30.0</v>
      </c>
      <c r="I165" s="130">
        <v>500.0</v>
      </c>
      <c r="J165" s="130">
        <v>1.0</v>
      </c>
      <c r="K165" s="130">
        <v>1.0</v>
      </c>
      <c r="L165" s="130">
        <v>1.0</v>
      </c>
      <c r="M165" s="130" t="s">
        <v>1335</v>
      </c>
      <c r="N165" s="130" t="s">
        <v>39</v>
      </c>
      <c r="O165" s="130">
        <v>120.0</v>
      </c>
      <c r="P165" s="130" t="s">
        <v>29</v>
      </c>
      <c r="Q165" s="130" t="s">
        <v>401</v>
      </c>
      <c r="R165" s="132"/>
      <c r="S165" s="52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</row>
    <row r="166" ht="14.25" customHeight="1">
      <c r="A166" s="133">
        <v>2.0</v>
      </c>
      <c r="B166" s="131" t="s">
        <v>1336</v>
      </c>
      <c r="C166" s="131" t="s">
        <v>1337</v>
      </c>
      <c r="D166" s="131" t="s">
        <v>25</v>
      </c>
      <c r="E166" s="131" t="s">
        <v>1338</v>
      </c>
      <c r="F166" s="55"/>
      <c r="G166" s="130">
        <v>112.0</v>
      </c>
      <c r="H166" s="130">
        <v>32.0</v>
      </c>
      <c r="I166" s="130">
        <v>45.0</v>
      </c>
      <c r="J166" s="130">
        <v>1.0</v>
      </c>
      <c r="K166" s="130">
        <v>1.0</v>
      </c>
      <c r="L166" s="130">
        <v>1.0</v>
      </c>
      <c r="M166" s="130" t="s">
        <v>1335</v>
      </c>
      <c r="N166" s="130" t="s">
        <v>39</v>
      </c>
      <c r="O166" s="130">
        <v>50.0</v>
      </c>
      <c r="P166" s="130" t="s">
        <v>29</v>
      </c>
      <c r="Q166" s="130" t="s">
        <v>401</v>
      </c>
      <c r="R166" s="132"/>
      <c r="S166" s="52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</row>
    <row r="167" ht="14.25" customHeight="1">
      <c r="A167" s="133">
        <v>3.0</v>
      </c>
      <c r="B167" s="131" t="s">
        <v>1339</v>
      </c>
      <c r="C167" s="131" t="s">
        <v>1340</v>
      </c>
      <c r="D167" s="131" t="s">
        <v>25</v>
      </c>
      <c r="E167" s="131" t="s">
        <v>1338</v>
      </c>
      <c r="F167" s="55"/>
      <c r="G167" s="130">
        <v>133.3</v>
      </c>
      <c r="H167" s="130">
        <v>38.0</v>
      </c>
      <c r="I167" s="130">
        <v>180.0</v>
      </c>
      <c r="J167" s="130">
        <v>1.0</v>
      </c>
      <c r="K167" s="130">
        <v>1.0</v>
      </c>
      <c r="L167" s="130">
        <v>1.0</v>
      </c>
      <c r="M167" s="130" t="s">
        <v>1335</v>
      </c>
      <c r="N167" s="130" t="s">
        <v>39</v>
      </c>
      <c r="O167" s="130">
        <v>120.0</v>
      </c>
      <c r="P167" s="130" t="s">
        <v>29</v>
      </c>
      <c r="Q167" s="130" t="s">
        <v>401</v>
      </c>
      <c r="R167" s="132"/>
      <c r="S167" s="52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</row>
    <row r="168" ht="14.25" customHeight="1">
      <c r="A168" s="133">
        <v>4.0</v>
      </c>
      <c r="B168" s="131" t="s">
        <v>1341</v>
      </c>
      <c r="C168" s="131" t="s">
        <v>1342</v>
      </c>
      <c r="D168" s="131" t="s">
        <v>25</v>
      </c>
      <c r="E168" s="131" t="s">
        <v>1334</v>
      </c>
      <c r="F168" s="55"/>
      <c r="G168" s="130">
        <v>156.04</v>
      </c>
      <c r="H168" s="130">
        <v>44.0</v>
      </c>
      <c r="I168" s="130">
        <v>100.0</v>
      </c>
      <c r="J168" s="130">
        <v>1.0</v>
      </c>
      <c r="K168" s="130">
        <v>1.0</v>
      </c>
      <c r="L168" s="130">
        <v>1.0</v>
      </c>
      <c r="M168" s="130" t="s">
        <v>1335</v>
      </c>
      <c r="N168" s="130" t="s">
        <v>39</v>
      </c>
      <c r="O168" s="130">
        <v>85.0</v>
      </c>
      <c r="P168" s="130" t="s">
        <v>29</v>
      </c>
      <c r="Q168" s="130" t="s">
        <v>401</v>
      </c>
      <c r="R168" s="132"/>
      <c r="S168" s="52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</row>
    <row r="169" ht="14.25" customHeight="1">
      <c r="A169" s="133">
        <v>5.0</v>
      </c>
      <c r="B169" s="131" t="s">
        <v>1343</v>
      </c>
      <c r="C169" s="131" t="s">
        <v>1344</v>
      </c>
      <c r="D169" s="131" t="s">
        <v>25</v>
      </c>
      <c r="E169" s="131" t="s">
        <v>1338</v>
      </c>
      <c r="F169" s="55"/>
      <c r="G169" s="130">
        <v>239.68</v>
      </c>
      <c r="H169" s="130">
        <v>68.0</v>
      </c>
      <c r="I169" s="130">
        <v>100.0</v>
      </c>
      <c r="J169" s="130">
        <v>1.0</v>
      </c>
      <c r="K169" s="130">
        <v>1.0</v>
      </c>
      <c r="L169" s="130">
        <v>1.0</v>
      </c>
      <c r="M169" s="130" t="s">
        <v>1335</v>
      </c>
      <c r="N169" s="130" t="s">
        <v>39</v>
      </c>
      <c r="O169" s="130">
        <v>80.0</v>
      </c>
      <c r="P169" s="130" t="s">
        <v>29</v>
      </c>
      <c r="Q169" s="130" t="s">
        <v>401</v>
      </c>
      <c r="R169" s="132"/>
      <c r="S169" s="52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</row>
    <row r="170" ht="14.25" customHeight="1">
      <c r="A170" s="133">
        <v>6.0</v>
      </c>
      <c r="B170" s="131" t="s">
        <v>1345</v>
      </c>
      <c r="C170" s="131" t="s">
        <v>1346</v>
      </c>
      <c r="D170" s="131" t="s">
        <v>25</v>
      </c>
      <c r="E170" s="131" t="s">
        <v>1338</v>
      </c>
      <c r="F170" s="55"/>
      <c r="G170" s="130">
        <v>118.8</v>
      </c>
      <c r="H170" s="130">
        <v>33.0</v>
      </c>
      <c r="I170" s="130">
        <v>82.0</v>
      </c>
      <c r="J170" s="130">
        <v>1.0</v>
      </c>
      <c r="K170" s="130">
        <v>1.0</v>
      </c>
      <c r="L170" s="130">
        <v>1.0</v>
      </c>
      <c r="M170" s="130" t="s">
        <v>1335</v>
      </c>
      <c r="N170" s="130" t="s">
        <v>39</v>
      </c>
      <c r="O170" s="130">
        <v>90.0</v>
      </c>
      <c r="P170" s="130" t="s">
        <v>29</v>
      </c>
      <c r="Q170" s="130" t="s">
        <v>401</v>
      </c>
      <c r="R170" s="132"/>
      <c r="S170" s="52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</row>
    <row r="171" ht="14.25" customHeight="1">
      <c r="A171" s="133">
        <v>7.0</v>
      </c>
      <c r="B171" s="131" t="s">
        <v>1347</v>
      </c>
      <c r="C171" s="131" t="s">
        <v>1348</v>
      </c>
      <c r="D171" s="131" t="s">
        <v>25</v>
      </c>
      <c r="E171" s="131" t="s">
        <v>1338</v>
      </c>
      <c r="F171" s="55"/>
      <c r="G171" s="130">
        <v>132.0</v>
      </c>
      <c r="H171" s="130">
        <v>37.0</v>
      </c>
      <c r="I171" s="130">
        <v>30.0</v>
      </c>
      <c r="J171" s="130">
        <v>1.0</v>
      </c>
      <c r="K171" s="130">
        <v>1.0</v>
      </c>
      <c r="L171" s="130">
        <v>1.0</v>
      </c>
      <c r="M171" s="130" t="s">
        <v>1335</v>
      </c>
      <c r="N171" s="130" t="s">
        <v>39</v>
      </c>
      <c r="O171" s="130">
        <v>35.0</v>
      </c>
      <c r="P171" s="130" t="s">
        <v>29</v>
      </c>
      <c r="Q171" s="130" t="s">
        <v>401</v>
      </c>
      <c r="R171" s="132"/>
      <c r="S171" s="52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</row>
    <row r="172" ht="14.25" customHeight="1">
      <c r="A172" s="133">
        <v>8.0</v>
      </c>
      <c r="B172" s="131" t="s">
        <v>1349</v>
      </c>
      <c r="C172" s="131" t="s">
        <v>1350</v>
      </c>
      <c r="D172" s="131" t="s">
        <v>25</v>
      </c>
      <c r="E172" s="131" t="s">
        <v>1338</v>
      </c>
      <c r="F172" s="55"/>
      <c r="G172" s="130">
        <v>339.0</v>
      </c>
      <c r="H172" s="130">
        <v>96.0</v>
      </c>
      <c r="I172" s="130">
        <v>15.0</v>
      </c>
      <c r="J172" s="130">
        <v>1.0</v>
      </c>
      <c r="K172" s="130">
        <v>1.0</v>
      </c>
      <c r="L172" s="130">
        <v>1.0</v>
      </c>
      <c r="M172" s="130" t="s">
        <v>1335</v>
      </c>
      <c r="N172" s="130" t="s">
        <v>39</v>
      </c>
      <c r="O172" s="130">
        <v>15.0</v>
      </c>
      <c r="P172" s="130" t="s">
        <v>29</v>
      </c>
      <c r="Q172" s="130" t="s">
        <v>401</v>
      </c>
      <c r="R172" s="132"/>
      <c r="S172" s="52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</row>
    <row r="173" ht="14.25" customHeight="1">
      <c r="A173" s="133">
        <v>9.0</v>
      </c>
      <c r="B173" s="131" t="s">
        <v>1351</v>
      </c>
      <c r="C173" s="131" t="s">
        <v>1352</v>
      </c>
      <c r="D173" s="131" t="s">
        <v>25</v>
      </c>
      <c r="E173" s="131" t="s">
        <v>1338</v>
      </c>
      <c r="F173" s="55"/>
      <c r="G173" s="130">
        <v>255.5</v>
      </c>
      <c r="H173" s="130">
        <v>73.0</v>
      </c>
      <c r="I173" s="130">
        <v>74.0</v>
      </c>
      <c r="J173" s="130">
        <v>1.0</v>
      </c>
      <c r="K173" s="130">
        <v>1.0</v>
      </c>
      <c r="L173" s="130">
        <v>1.0</v>
      </c>
      <c r="M173" s="130" t="s">
        <v>1335</v>
      </c>
      <c r="N173" s="130" t="s">
        <v>39</v>
      </c>
      <c r="O173" s="130">
        <v>80.0</v>
      </c>
      <c r="P173" s="130" t="s">
        <v>29</v>
      </c>
      <c r="Q173" s="130" t="s">
        <v>401</v>
      </c>
      <c r="R173" s="132"/>
      <c r="S173" s="52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</row>
    <row r="174" ht="14.25" customHeight="1">
      <c r="A174" s="133">
        <v>10.0</v>
      </c>
      <c r="B174" s="131" t="s">
        <v>1353</v>
      </c>
      <c r="C174" s="131" t="s">
        <v>1354</v>
      </c>
      <c r="D174" s="131" t="s">
        <v>25</v>
      </c>
      <c r="E174" s="131" t="s">
        <v>1338</v>
      </c>
      <c r="F174" s="55"/>
      <c r="G174" s="130">
        <v>100.82</v>
      </c>
      <c r="H174" s="130">
        <v>28.0</v>
      </c>
      <c r="I174" s="130">
        <v>20.0</v>
      </c>
      <c r="J174" s="130">
        <v>1.0</v>
      </c>
      <c r="K174" s="130">
        <v>1.0</v>
      </c>
      <c r="L174" s="130">
        <v>1.0</v>
      </c>
      <c r="M174" s="130" t="s">
        <v>1355</v>
      </c>
      <c r="N174" s="130" t="s">
        <v>39</v>
      </c>
      <c r="O174" s="130">
        <v>20.0</v>
      </c>
      <c r="P174" s="130" t="s">
        <v>29</v>
      </c>
      <c r="Q174" s="130" t="s">
        <v>401</v>
      </c>
      <c r="R174" s="132"/>
      <c r="S174" s="52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</row>
    <row r="175" ht="14.25" customHeight="1">
      <c r="A175" s="133">
        <v>11.0</v>
      </c>
      <c r="B175" s="131" t="s">
        <v>1356</v>
      </c>
      <c r="C175" s="131" t="s">
        <v>1357</v>
      </c>
      <c r="D175" s="131" t="s">
        <v>25</v>
      </c>
      <c r="E175" s="131" t="s">
        <v>1338</v>
      </c>
      <c r="F175" s="55"/>
      <c r="G175" s="130">
        <v>84.0</v>
      </c>
      <c r="H175" s="130">
        <v>24.0</v>
      </c>
      <c r="I175" s="130">
        <v>91.0</v>
      </c>
      <c r="J175" s="130">
        <v>1.0</v>
      </c>
      <c r="K175" s="130">
        <v>1.0</v>
      </c>
      <c r="L175" s="130">
        <v>1.0</v>
      </c>
      <c r="M175" s="130" t="s">
        <v>1355</v>
      </c>
      <c r="N175" s="130" t="s">
        <v>39</v>
      </c>
      <c r="O175" s="130">
        <v>100.0</v>
      </c>
      <c r="P175" s="130" t="s">
        <v>29</v>
      </c>
      <c r="Q175" s="130" t="s">
        <v>401</v>
      </c>
      <c r="R175" s="132"/>
      <c r="S175" s="52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</row>
    <row r="176" ht="14.25" customHeight="1">
      <c r="A176" s="133">
        <v>12.0</v>
      </c>
      <c r="B176" s="131" t="s">
        <v>1358</v>
      </c>
      <c r="C176" s="131" t="s">
        <v>1359</v>
      </c>
      <c r="D176" s="131" t="s">
        <v>25</v>
      </c>
      <c r="E176" s="131" t="s">
        <v>1338</v>
      </c>
      <c r="F176" s="55"/>
      <c r="G176" s="130">
        <v>132.0</v>
      </c>
      <c r="H176" s="130">
        <v>37.0</v>
      </c>
      <c r="I176" s="130">
        <v>40.0</v>
      </c>
      <c r="J176" s="130">
        <v>1.0</v>
      </c>
      <c r="K176" s="130">
        <v>1.0</v>
      </c>
      <c r="L176" s="130">
        <v>1.0</v>
      </c>
      <c r="M176" s="130" t="s">
        <v>1335</v>
      </c>
      <c r="N176" s="130" t="s">
        <v>39</v>
      </c>
      <c r="O176" s="130">
        <v>45.0</v>
      </c>
      <c r="P176" s="130" t="s">
        <v>29</v>
      </c>
      <c r="Q176" s="130" t="s">
        <v>401</v>
      </c>
      <c r="R176" s="132"/>
      <c r="S176" s="52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</row>
    <row r="177" ht="14.25" customHeight="1">
      <c r="A177" s="133">
        <v>13.0</v>
      </c>
      <c r="B177" s="131" t="s">
        <v>1360</v>
      </c>
      <c r="C177" s="131" t="s">
        <v>1361</v>
      </c>
      <c r="D177" s="131" t="s">
        <v>25</v>
      </c>
      <c r="E177" s="131" t="s">
        <v>1338</v>
      </c>
      <c r="F177" s="55"/>
      <c r="G177" s="130">
        <v>273.6</v>
      </c>
      <c r="H177" s="130">
        <v>78.0</v>
      </c>
      <c r="I177" s="130">
        <v>25.0</v>
      </c>
      <c r="J177" s="130">
        <v>3.0</v>
      </c>
      <c r="K177" s="130">
        <v>3.0</v>
      </c>
      <c r="L177" s="130">
        <v>1.0</v>
      </c>
      <c r="M177" s="130" t="s">
        <v>1355</v>
      </c>
      <c r="N177" s="130" t="s">
        <v>39</v>
      </c>
      <c r="O177" s="130">
        <v>30.0</v>
      </c>
      <c r="P177" s="130" t="s">
        <v>29</v>
      </c>
      <c r="Q177" s="130" t="s">
        <v>401</v>
      </c>
      <c r="R177" s="132"/>
      <c r="S177" s="52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</row>
    <row r="178" ht="14.25" customHeight="1">
      <c r="A178" s="133">
        <v>14.0</v>
      </c>
      <c r="B178" s="131" t="s">
        <v>1362</v>
      </c>
      <c r="C178" s="131" t="s">
        <v>1363</v>
      </c>
      <c r="D178" s="131" t="s">
        <v>25</v>
      </c>
      <c r="E178" s="131" t="s">
        <v>1338</v>
      </c>
      <c r="F178" s="55"/>
      <c r="G178" s="130">
        <v>152.28</v>
      </c>
      <c r="H178" s="130">
        <v>43.0</v>
      </c>
      <c r="I178" s="130">
        <v>42.0</v>
      </c>
      <c r="J178" s="130">
        <v>1.0</v>
      </c>
      <c r="K178" s="130">
        <v>1.0</v>
      </c>
      <c r="L178" s="130">
        <v>1.0</v>
      </c>
      <c r="M178" s="130" t="s">
        <v>1355</v>
      </c>
      <c r="N178" s="130" t="s">
        <v>39</v>
      </c>
      <c r="O178" s="130">
        <v>45.0</v>
      </c>
      <c r="P178" s="130" t="s">
        <v>29</v>
      </c>
      <c r="Q178" s="130" t="s">
        <v>401</v>
      </c>
      <c r="R178" s="132"/>
      <c r="S178" s="52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</row>
    <row r="179" ht="14.25" customHeight="1">
      <c r="A179" s="133">
        <v>15.0</v>
      </c>
      <c r="B179" s="131" t="s">
        <v>1364</v>
      </c>
      <c r="C179" s="131" t="s">
        <v>1365</v>
      </c>
      <c r="D179" s="131" t="s">
        <v>25</v>
      </c>
      <c r="E179" s="131" t="s">
        <v>1338</v>
      </c>
      <c r="F179" s="55"/>
      <c r="G179" s="130">
        <v>88.8</v>
      </c>
      <c r="H179" s="130">
        <v>25.0</v>
      </c>
      <c r="I179" s="130">
        <v>30.0</v>
      </c>
      <c r="J179" s="130">
        <v>1.0</v>
      </c>
      <c r="K179" s="130">
        <v>1.0</v>
      </c>
      <c r="L179" s="130">
        <v>1.0</v>
      </c>
      <c r="M179" s="130" t="s">
        <v>1335</v>
      </c>
      <c r="N179" s="130" t="s">
        <v>39</v>
      </c>
      <c r="O179" s="130">
        <v>35.0</v>
      </c>
      <c r="P179" s="130" t="s">
        <v>29</v>
      </c>
      <c r="Q179" s="130" t="s">
        <v>401</v>
      </c>
      <c r="R179" s="132"/>
      <c r="S179" s="52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</row>
    <row r="180" ht="14.25" customHeight="1">
      <c r="A180" s="133">
        <v>16.0</v>
      </c>
      <c r="B180" s="131" t="s">
        <v>1366</v>
      </c>
      <c r="C180" s="131" t="s">
        <v>1367</v>
      </c>
      <c r="D180" s="131" t="s">
        <v>25</v>
      </c>
      <c r="E180" s="131" t="s">
        <v>1368</v>
      </c>
      <c r="F180" s="55"/>
      <c r="G180" s="130">
        <v>162.0</v>
      </c>
      <c r="H180" s="130">
        <v>46.0</v>
      </c>
      <c r="I180" s="130">
        <v>100.0</v>
      </c>
      <c r="J180" s="130">
        <v>2.0</v>
      </c>
      <c r="K180" s="130">
        <v>2.0</v>
      </c>
      <c r="L180" s="130">
        <v>1.0</v>
      </c>
      <c r="M180" s="130" t="s">
        <v>1355</v>
      </c>
      <c r="N180" s="130" t="s">
        <v>39</v>
      </c>
      <c r="O180" s="130">
        <v>110.0</v>
      </c>
      <c r="P180" s="130" t="s">
        <v>29</v>
      </c>
      <c r="Q180" s="130" t="s">
        <v>401</v>
      </c>
      <c r="R180" s="132"/>
      <c r="S180" s="52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</row>
    <row r="181" ht="14.25" customHeight="1">
      <c r="A181" s="133">
        <v>17.0</v>
      </c>
      <c r="B181" s="131" t="s">
        <v>1369</v>
      </c>
      <c r="C181" s="131" t="s">
        <v>1370</v>
      </c>
      <c r="D181" s="131" t="s">
        <v>25</v>
      </c>
      <c r="E181" s="131" t="s">
        <v>1338</v>
      </c>
      <c r="F181" s="55"/>
      <c r="G181" s="130">
        <v>107.06</v>
      </c>
      <c r="H181" s="130">
        <v>30.0</v>
      </c>
      <c r="I181" s="130">
        <v>35.0</v>
      </c>
      <c r="J181" s="130">
        <v>1.0</v>
      </c>
      <c r="K181" s="130">
        <v>1.0</v>
      </c>
      <c r="L181" s="130">
        <v>1.0</v>
      </c>
      <c r="M181" s="130" t="s">
        <v>1355</v>
      </c>
      <c r="N181" s="130" t="s">
        <v>39</v>
      </c>
      <c r="O181" s="130">
        <v>40.0</v>
      </c>
      <c r="P181" s="130" t="s">
        <v>29</v>
      </c>
      <c r="Q181" s="130" t="s">
        <v>401</v>
      </c>
      <c r="R181" s="132"/>
      <c r="S181" s="52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</row>
    <row r="182" ht="14.25" customHeight="1">
      <c r="A182" s="133">
        <v>18.0</v>
      </c>
      <c r="B182" s="131" t="s">
        <v>1371</v>
      </c>
      <c r="C182" s="131" t="s">
        <v>1372</v>
      </c>
      <c r="D182" s="131" t="s">
        <v>25</v>
      </c>
      <c r="E182" s="131" t="s">
        <v>1334</v>
      </c>
      <c r="F182" s="55"/>
      <c r="G182" s="130">
        <v>150.1</v>
      </c>
      <c r="H182" s="130">
        <v>42.0</v>
      </c>
      <c r="I182" s="130">
        <v>128.0</v>
      </c>
      <c r="J182" s="130">
        <v>1.0</v>
      </c>
      <c r="K182" s="130">
        <v>1.0</v>
      </c>
      <c r="L182" s="130">
        <v>1.0</v>
      </c>
      <c r="M182" s="130" t="s">
        <v>1355</v>
      </c>
      <c r="N182" s="130" t="s">
        <v>39</v>
      </c>
      <c r="O182" s="130">
        <v>140.0</v>
      </c>
      <c r="P182" s="130" t="s">
        <v>29</v>
      </c>
      <c r="Q182" s="130" t="s">
        <v>401</v>
      </c>
      <c r="R182" s="132"/>
      <c r="S182" s="52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</row>
    <row r="183" ht="14.25" customHeight="1">
      <c r="A183" s="133">
        <v>19.0</v>
      </c>
      <c r="B183" s="131" t="s">
        <v>1373</v>
      </c>
      <c r="C183" s="131" t="s">
        <v>1374</v>
      </c>
      <c r="D183" s="131" t="s">
        <v>25</v>
      </c>
      <c r="E183" s="131" t="s">
        <v>1334</v>
      </c>
      <c r="F183" s="55"/>
      <c r="G183" s="130">
        <v>106.02</v>
      </c>
      <c r="H183" s="130">
        <v>30.0</v>
      </c>
      <c r="I183" s="130">
        <v>35.0</v>
      </c>
      <c r="J183" s="130">
        <v>1.0</v>
      </c>
      <c r="K183" s="130">
        <v>1.0</v>
      </c>
      <c r="L183" s="130">
        <v>1.0</v>
      </c>
      <c r="M183" s="130" t="s">
        <v>1335</v>
      </c>
      <c r="N183" s="130" t="s">
        <v>39</v>
      </c>
      <c r="O183" s="130">
        <v>40.0</v>
      </c>
      <c r="P183" s="130" t="s">
        <v>29</v>
      </c>
      <c r="Q183" s="130" t="s">
        <v>401</v>
      </c>
      <c r="R183" s="132"/>
      <c r="S183" s="52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</row>
    <row r="184" ht="14.25" customHeight="1">
      <c r="A184" s="133">
        <v>20.0</v>
      </c>
      <c r="B184" s="131" t="s">
        <v>1375</v>
      </c>
      <c r="C184" s="131" t="s">
        <v>1376</v>
      </c>
      <c r="D184" s="131" t="s">
        <v>25</v>
      </c>
      <c r="E184" s="131" t="s">
        <v>1338</v>
      </c>
      <c r="F184" s="55"/>
      <c r="G184" s="130">
        <v>237.9</v>
      </c>
      <c r="H184" s="130">
        <v>67.0</v>
      </c>
      <c r="I184" s="130">
        <v>92.0</v>
      </c>
      <c r="J184" s="130">
        <v>1.0</v>
      </c>
      <c r="K184" s="130">
        <v>1.0</v>
      </c>
      <c r="L184" s="130">
        <v>1.0</v>
      </c>
      <c r="M184" s="130" t="s">
        <v>1335</v>
      </c>
      <c r="N184" s="130" t="s">
        <v>39</v>
      </c>
      <c r="O184" s="130">
        <v>100.0</v>
      </c>
      <c r="P184" s="130" t="s">
        <v>29</v>
      </c>
      <c r="Q184" s="130" t="s">
        <v>401</v>
      </c>
      <c r="R184" s="132"/>
      <c r="S184" s="52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</row>
    <row r="185" ht="14.25" customHeight="1">
      <c r="A185" s="133">
        <v>21.0</v>
      </c>
      <c r="B185" s="131" t="s">
        <v>1377</v>
      </c>
      <c r="C185" s="131" t="s">
        <v>1378</v>
      </c>
      <c r="D185" s="131" t="s">
        <v>25</v>
      </c>
      <c r="E185" s="131" t="s">
        <v>1334</v>
      </c>
      <c r="F185" s="55"/>
      <c r="G185" s="130">
        <v>170.98</v>
      </c>
      <c r="H185" s="130">
        <v>48.0</v>
      </c>
      <c r="I185" s="130">
        <v>15.0</v>
      </c>
      <c r="J185" s="130">
        <v>1.0</v>
      </c>
      <c r="K185" s="130">
        <v>1.0</v>
      </c>
      <c r="L185" s="130">
        <v>1.0</v>
      </c>
      <c r="M185" s="130" t="s">
        <v>1335</v>
      </c>
      <c r="N185" s="130" t="s">
        <v>39</v>
      </c>
      <c r="O185" s="130">
        <v>15.0</v>
      </c>
      <c r="P185" s="130" t="s">
        <v>29</v>
      </c>
      <c r="Q185" s="130" t="s">
        <v>401</v>
      </c>
      <c r="R185" s="132"/>
      <c r="S185" s="52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</row>
    <row r="186" ht="14.25" customHeight="1">
      <c r="A186" s="133">
        <v>22.0</v>
      </c>
      <c r="B186" s="131" t="s">
        <v>1379</v>
      </c>
      <c r="C186" s="131" t="s">
        <v>1380</v>
      </c>
      <c r="D186" s="131" t="s">
        <v>25</v>
      </c>
      <c r="E186" s="131" t="s">
        <v>1338</v>
      </c>
      <c r="F186" s="55"/>
      <c r="G186" s="130">
        <v>124.32</v>
      </c>
      <c r="H186" s="130">
        <v>35.0</v>
      </c>
      <c r="I186" s="130">
        <v>91.0</v>
      </c>
      <c r="J186" s="130">
        <v>1.0</v>
      </c>
      <c r="K186" s="130">
        <v>1.0</v>
      </c>
      <c r="L186" s="130">
        <v>1.0</v>
      </c>
      <c r="M186" s="130" t="s">
        <v>1335</v>
      </c>
      <c r="N186" s="130" t="s">
        <v>39</v>
      </c>
      <c r="O186" s="130">
        <v>100.0</v>
      </c>
      <c r="P186" s="130" t="s">
        <v>29</v>
      </c>
      <c r="Q186" s="130" t="s">
        <v>401</v>
      </c>
      <c r="R186" s="132"/>
      <c r="S186" s="52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</row>
    <row r="187" ht="14.25" customHeight="1">
      <c r="A187" s="133">
        <v>23.0</v>
      </c>
      <c r="B187" s="131" t="s">
        <v>1381</v>
      </c>
      <c r="C187" s="131" t="s">
        <v>1382</v>
      </c>
      <c r="D187" s="131" t="s">
        <v>25</v>
      </c>
      <c r="E187" s="131" t="s">
        <v>1338</v>
      </c>
      <c r="F187" s="55"/>
      <c r="G187" s="130">
        <v>82.62</v>
      </c>
      <c r="H187" s="130">
        <v>23.0</v>
      </c>
      <c r="I187" s="130">
        <v>15.0</v>
      </c>
      <c r="J187" s="130">
        <v>1.0</v>
      </c>
      <c r="K187" s="130">
        <v>1.0</v>
      </c>
      <c r="L187" s="130">
        <v>1.0</v>
      </c>
      <c r="M187" s="130" t="s">
        <v>1335</v>
      </c>
      <c r="N187" s="130" t="s">
        <v>39</v>
      </c>
      <c r="O187" s="130">
        <v>15.0</v>
      </c>
      <c r="P187" s="130" t="s">
        <v>29</v>
      </c>
      <c r="Q187" s="130" t="s">
        <v>401</v>
      </c>
      <c r="R187" s="132"/>
      <c r="S187" s="52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</row>
    <row r="188" ht="14.25" customHeight="1">
      <c r="A188" s="133">
        <v>24.0</v>
      </c>
      <c r="B188" s="131" t="s">
        <v>1383</v>
      </c>
      <c r="C188" s="131" t="s">
        <v>1384</v>
      </c>
      <c r="D188" s="131" t="s">
        <v>25</v>
      </c>
      <c r="E188" s="131" t="s">
        <v>1338</v>
      </c>
      <c r="F188" s="55"/>
      <c r="G188" s="130">
        <v>267.18</v>
      </c>
      <c r="H188" s="130">
        <v>76.0</v>
      </c>
      <c r="I188" s="130">
        <v>194.0</v>
      </c>
      <c r="J188" s="130">
        <v>1.0</v>
      </c>
      <c r="K188" s="130">
        <v>1.0</v>
      </c>
      <c r="L188" s="130">
        <v>1.0</v>
      </c>
      <c r="M188" s="130" t="s">
        <v>1335</v>
      </c>
      <c r="N188" s="130" t="s">
        <v>39</v>
      </c>
      <c r="O188" s="130">
        <v>215.0</v>
      </c>
      <c r="P188" s="130" t="s">
        <v>29</v>
      </c>
      <c r="Q188" s="130" t="s">
        <v>401</v>
      </c>
      <c r="R188" s="132"/>
      <c r="S188" s="52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</row>
    <row r="189" ht="14.25" customHeight="1">
      <c r="A189" s="133">
        <v>25.0</v>
      </c>
      <c r="B189" s="52" t="s">
        <v>1385</v>
      </c>
      <c r="C189" s="131" t="s">
        <v>1386</v>
      </c>
      <c r="D189" s="131" t="s">
        <v>25</v>
      </c>
      <c r="E189" s="131" t="s">
        <v>1338</v>
      </c>
      <c r="F189" s="55"/>
      <c r="G189" s="130">
        <v>212.16</v>
      </c>
      <c r="H189" s="130">
        <v>60.0</v>
      </c>
      <c r="I189" s="130">
        <v>15.0</v>
      </c>
      <c r="J189" s="130">
        <v>1.0</v>
      </c>
      <c r="K189" s="130">
        <v>1.0</v>
      </c>
      <c r="L189" s="130">
        <v>1.0</v>
      </c>
      <c r="M189" s="130" t="s">
        <v>1355</v>
      </c>
      <c r="N189" s="130" t="s">
        <v>39</v>
      </c>
      <c r="O189" s="130">
        <v>15.0</v>
      </c>
      <c r="P189" s="130" t="s">
        <v>29</v>
      </c>
      <c r="Q189" s="130" t="s">
        <v>401</v>
      </c>
      <c r="R189" s="132"/>
      <c r="S189" s="52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</row>
    <row r="190" ht="14.25" customHeight="1">
      <c r="A190" s="133">
        <v>26.0</v>
      </c>
      <c r="B190" s="131" t="s">
        <v>1387</v>
      </c>
      <c r="C190" s="131" t="s">
        <v>1388</v>
      </c>
      <c r="D190" s="131" t="s">
        <v>25</v>
      </c>
      <c r="E190" s="131" t="s">
        <v>1338</v>
      </c>
      <c r="F190" s="55"/>
      <c r="G190" s="130">
        <v>264.0</v>
      </c>
      <c r="H190" s="130">
        <v>75.0</v>
      </c>
      <c r="I190" s="130">
        <v>95.0</v>
      </c>
      <c r="J190" s="130">
        <v>1.0</v>
      </c>
      <c r="K190" s="130">
        <v>1.0</v>
      </c>
      <c r="L190" s="130">
        <v>1.0</v>
      </c>
      <c r="M190" s="130" t="s">
        <v>1355</v>
      </c>
      <c r="N190" s="130" t="s">
        <v>39</v>
      </c>
      <c r="O190" s="130">
        <v>105.0</v>
      </c>
      <c r="P190" s="130" t="s">
        <v>29</v>
      </c>
      <c r="Q190" s="130" t="s">
        <v>401</v>
      </c>
      <c r="R190" s="132"/>
      <c r="S190" s="52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</row>
    <row r="191" ht="14.25" customHeight="1">
      <c r="A191" s="133">
        <v>27.0</v>
      </c>
      <c r="B191" s="131" t="s">
        <v>1389</v>
      </c>
      <c r="C191" s="131" t="s">
        <v>1390</v>
      </c>
      <c r="D191" s="131" t="s">
        <v>25</v>
      </c>
      <c r="E191" s="131" t="s">
        <v>1338</v>
      </c>
      <c r="F191" s="55"/>
      <c r="G191" s="130">
        <v>158.1</v>
      </c>
      <c r="H191" s="130">
        <v>45.0</v>
      </c>
      <c r="I191" s="130">
        <v>126.0</v>
      </c>
      <c r="J191" s="130">
        <v>1.0</v>
      </c>
      <c r="K191" s="130">
        <v>1.0</v>
      </c>
      <c r="L191" s="130">
        <v>1.0</v>
      </c>
      <c r="M191" s="130" t="s">
        <v>1355</v>
      </c>
      <c r="N191" s="130" t="s">
        <v>39</v>
      </c>
      <c r="O191" s="130">
        <v>140.0</v>
      </c>
      <c r="P191" s="130" t="s">
        <v>29</v>
      </c>
      <c r="Q191" s="130" t="s">
        <v>401</v>
      </c>
      <c r="R191" s="132"/>
      <c r="S191" s="52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</row>
    <row r="192" ht="14.25" customHeight="1">
      <c r="A192" s="133">
        <v>28.0</v>
      </c>
      <c r="B192" s="131" t="s">
        <v>1391</v>
      </c>
      <c r="C192" s="131" t="s">
        <v>1392</v>
      </c>
      <c r="D192" s="131" t="s">
        <v>25</v>
      </c>
      <c r="E192" s="131" t="s">
        <v>1338</v>
      </c>
      <c r="F192" s="55"/>
      <c r="G192" s="130">
        <v>232.0</v>
      </c>
      <c r="H192" s="130">
        <v>66.0</v>
      </c>
      <c r="I192" s="130">
        <v>30.0</v>
      </c>
      <c r="J192" s="130">
        <v>1.0</v>
      </c>
      <c r="K192" s="130">
        <v>1.0</v>
      </c>
      <c r="L192" s="130">
        <v>1.0</v>
      </c>
      <c r="M192" s="130" t="s">
        <v>1355</v>
      </c>
      <c r="N192" s="130" t="s">
        <v>39</v>
      </c>
      <c r="O192" s="130">
        <v>35.0</v>
      </c>
      <c r="P192" s="130" t="s">
        <v>29</v>
      </c>
      <c r="Q192" s="130" t="s">
        <v>401</v>
      </c>
      <c r="R192" s="132"/>
      <c r="S192" s="52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</row>
    <row r="193" ht="14.25" customHeight="1">
      <c r="A193" s="133">
        <v>29.0</v>
      </c>
      <c r="B193" s="131" t="s">
        <v>1393</v>
      </c>
      <c r="C193" s="131" t="s">
        <v>1394</v>
      </c>
      <c r="D193" s="131" t="s">
        <v>25</v>
      </c>
      <c r="E193" s="131" t="s">
        <v>1338</v>
      </c>
      <c r="F193" s="55"/>
      <c r="G193" s="130">
        <v>172.2</v>
      </c>
      <c r="H193" s="130">
        <v>49.0</v>
      </c>
      <c r="I193" s="130">
        <v>107.0</v>
      </c>
      <c r="J193" s="130">
        <v>1.0</v>
      </c>
      <c r="K193" s="130">
        <v>1.0</v>
      </c>
      <c r="L193" s="130">
        <v>1.0</v>
      </c>
      <c r="M193" s="130" t="s">
        <v>1335</v>
      </c>
      <c r="N193" s="130" t="s">
        <v>39</v>
      </c>
      <c r="O193" s="130">
        <v>120.0</v>
      </c>
      <c r="P193" s="130" t="s">
        <v>29</v>
      </c>
      <c r="Q193" s="130" t="s">
        <v>401</v>
      </c>
      <c r="R193" s="132"/>
      <c r="S193" s="52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</row>
    <row r="194" ht="14.25" customHeight="1">
      <c r="A194" s="133">
        <v>30.0</v>
      </c>
      <c r="B194" s="131" t="s">
        <v>1395</v>
      </c>
      <c r="C194" s="131" t="s">
        <v>1396</v>
      </c>
      <c r="D194" s="131" t="s">
        <v>25</v>
      </c>
      <c r="E194" s="131" t="s">
        <v>1338</v>
      </c>
      <c r="F194" s="55"/>
      <c r="G194" s="130">
        <v>106.2</v>
      </c>
      <c r="H194" s="130">
        <v>30.0</v>
      </c>
      <c r="I194" s="130">
        <v>30.0</v>
      </c>
      <c r="J194" s="130">
        <v>1.0</v>
      </c>
      <c r="K194" s="130">
        <v>1.0</v>
      </c>
      <c r="L194" s="130">
        <v>1.0</v>
      </c>
      <c r="M194" s="130" t="s">
        <v>1335</v>
      </c>
      <c r="N194" s="130" t="s">
        <v>39</v>
      </c>
      <c r="O194" s="130">
        <v>35.0</v>
      </c>
      <c r="P194" s="130" t="s">
        <v>29</v>
      </c>
      <c r="Q194" s="130" t="s">
        <v>401</v>
      </c>
      <c r="R194" s="132"/>
      <c r="S194" s="52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</row>
    <row r="195" ht="14.25" customHeight="1">
      <c r="A195" s="133">
        <v>31.0</v>
      </c>
      <c r="B195" s="131" t="s">
        <v>1397</v>
      </c>
      <c r="C195" s="131" t="s">
        <v>1398</v>
      </c>
      <c r="D195" s="131" t="s">
        <v>25</v>
      </c>
      <c r="E195" s="131" t="s">
        <v>1334</v>
      </c>
      <c r="F195" s="55"/>
      <c r="G195" s="130">
        <v>325.44</v>
      </c>
      <c r="H195" s="130">
        <v>92.0</v>
      </c>
      <c r="I195" s="130">
        <v>183.0</v>
      </c>
      <c r="J195" s="130">
        <v>2.0</v>
      </c>
      <c r="K195" s="130">
        <v>2.0</v>
      </c>
      <c r="L195" s="130">
        <v>1.0</v>
      </c>
      <c r="M195" s="130" t="s">
        <v>1335</v>
      </c>
      <c r="N195" s="130" t="s">
        <v>39</v>
      </c>
      <c r="O195" s="130">
        <v>205.0</v>
      </c>
      <c r="P195" s="130" t="s">
        <v>29</v>
      </c>
      <c r="Q195" s="130" t="s">
        <v>401</v>
      </c>
      <c r="R195" s="132"/>
      <c r="S195" s="52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</row>
    <row r="196" ht="14.25" customHeight="1">
      <c r="A196" s="133">
        <v>32.0</v>
      </c>
      <c r="B196" s="131" t="s">
        <v>1399</v>
      </c>
      <c r="C196" s="131" t="s">
        <v>1400</v>
      </c>
      <c r="D196" s="131" t="s">
        <v>25</v>
      </c>
      <c r="E196" s="131" t="s">
        <v>1334</v>
      </c>
      <c r="F196" s="55"/>
      <c r="G196" s="130">
        <v>178.12</v>
      </c>
      <c r="H196" s="130">
        <v>50.0</v>
      </c>
      <c r="I196" s="130">
        <v>23.0</v>
      </c>
      <c r="J196" s="130">
        <v>2.0</v>
      </c>
      <c r="K196" s="130">
        <v>2.0</v>
      </c>
      <c r="L196" s="130">
        <v>1.0</v>
      </c>
      <c r="M196" s="130" t="s">
        <v>1335</v>
      </c>
      <c r="N196" s="130" t="s">
        <v>39</v>
      </c>
      <c r="O196" s="130">
        <v>25.0</v>
      </c>
      <c r="P196" s="130" t="s">
        <v>29</v>
      </c>
      <c r="Q196" s="130" t="s">
        <v>401</v>
      </c>
      <c r="R196" s="132"/>
      <c r="S196" s="52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</row>
    <row r="197" ht="14.25" customHeight="1">
      <c r="A197" s="133">
        <v>33.0</v>
      </c>
      <c r="B197" s="131" t="s">
        <v>1401</v>
      </c>
      <c r="C197" s="131" t="s">
        <v>1402</v>
      </c>
      <c r="D197" s="131" t="s">
        <v>25</v>
      </c>
      <c r="E197" s="131" t="s">
        <v>1334</v>
      </c>
      <c r="F197" s="55"/>
      <c r="G197" s="130">
        <v>319.48</v>
      </c>
      <c r="H197" s="130">
        <v>91.0</v>
      </c>
      <c r="I197" s="130">
        <v>23.0</v>
      </c>
      <c r="J197" s="130">
        <v>2.0</v>
      </c>
      <c r="K197" s="130">
        <v>2.0</v>
      </c>
      <c r="L197" s="130">
        <v>1.0</v>
      </c>
      <c r="M197" s="130" t="s">
        <v>1335</v>
      </c>
      <c r="N197" s="130" t="s">
        <v>39</v>
      </c>
      <c r="O197" s="130">
        <v>25.0</v>
      </c>
      <c r="P197" s="130" t="s">
        <v>29</v>
      </c>
      <c r="Q197" s="130" t="s">
        <v>401</v>
      </c>
      <c r="R197" s="132"/>
      <c r="S197" s="52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</row>
    <row r="198" ht="14.25" customHeight="1">
      <c r="A198" s="133">
        <v>34.0</v>
      </c>
      <c r="B198" s="131" t="s">
        <v>1403</v>
      </c>
      <c r="C198" s="131" t="s">
        <v>1404</v>
      </c>
      <c r="D198" s="131" t="s">
        <v>25</v>
      </c>
      <c r="E198" s="131" t="s">
        <v>1334</v>
      </c>
      <c r="F198" s="55"/>
      <c r="G198" s="130">
        <v>248.92</v>
      </c>
      <c r="H198" s="130">
        <v>71.0</v>
      </c>
      <c r="I198" s="130">
        <v>91.0</v>
      </c>
      <c r="J198" s="130">
        <v>1.0</v>
      </c>
      <c r="K198" s="130">
        <v>1.0</v>
      </c>
      <c r="L198" s="130">
        <v>1.0</v>
      </c>
      <c r="M198" s="130" t="s">
        <v>1335</v>
      </c>
      <c r="N198" s="130" t="s">
        <v>39</v>
      </c>
      <c r="O198" s="130">
        <v>100.0</v>
      </c>
      <c r="P198" s="130" t="s">
        <v>29</v>
      </c>
      <c r="Q198" s="130" t="s">
        <v>401</v>
      </c>
      <c r="R198" s="132"/>
      <c r="S198" s="52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</row>
    <row r="199" ht="14.25" customHeight="1">
      <c r="A199" s="133">
        <v>35.0</v>
      </c>
      <c r="B199" s="131" t="s">
        <v>1405</v>
      </c>
      <c r="C199" s="131" t="s">
        <v>1406</v>
      </c>
      <c r="D199" s="131" t="s">
        <v>25</v>
      </c>
      <c r="E199" s="131" t="s">
        <v>1334</v>
      </c>
      <c r="F199" s="55"/>
      <c r="G199" s="130">
        <v>251.68</v>
      </c>
      <c r="H199" s="130">
        <v>71.0</v>
      </c>
      <c r="I199" s="130">
        <v>30.0</v>
      </c>
      <c r="J199" s="130">
        <v>1.0</v>
      </c>
      <c r="K199" s="130">
        <v>1.0</v>
      </c>
      <c r="L199" s="130">
        <v>1.0</v>
      </c>
      <c r="M199" s="130" t="s">
        <v>1335</v>
      </c>
      <c r="N199" s="130" t="s">
        <v>39</v>
      </c>
      <c r="O199" s="130">
        <v>35.0</v>
      </c>
      <c r="P199" s="130" t="s">
        <v>29</v>
      </c>
      <c r="Q199" s="130" t="s">
        <v>401</v>
      </c>
      <c r="R199" s="132"/>
      <c r="S199" s="52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</row>
    <row r="200" ht="14.25" customHeight="1">
      <c r="A200" s="133">
        <v>36.0</v>
      </c>
      <c r="B200" s="131" t="s">
        <v>1407</v>
      </c>
      <c r="C200" s="131" t="s">
        <v>1408</v>
      </c>
      <c r="D200" s="131" t="s">
        <v>25</v>
      </c>
      <c r="E200" s="131" t="s">
        <v>1334</v>
      </c>
      <c r="F200" s="55"/>
      <c r="G200" s="130">
        <v>171.7</v>
      </c>
      <c r="H200" s="130">
        <v>49.0</v>
      </c>
      <c r="I200" s="130">
        <v>23.0</v>
      </c>
      <c r="J200" s="130">
        <v>1.0</v>
      </c>
      <c r="K200" s="130">
        <v>1.0</v>
      </c>
      <c r="L200" s="130">
        <v>1.0</v>
      </c>
      <c r="M200" s="130" t="s">
        <v>1355</v>
      </c>
      <c r="N200" s="130" t="s">
        <v>39</v>
      </c>
      <c r="O200" s="130">
        <v>25.0</v>
      </c>
      <c r="P200" s="130" t="s">
        <v>29</v>
      </c>
      <c r="Q200" s="130" t="s">
        <v>401</v>
      </c>
      <c r="R200" s="132"/>
      <c r="S200" s="52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</row>
    <row r="201" ht="14.25" customHeight="1">
      <c r="A201" s="133">
        <v>37.0</v>
      </c>
      <c r="B201" s="131" t="s">
        <v>1409</v>
      </c>
      <c r="C201" s="131" t="s">
        <v>1410</v>
      </c>
      <c r="D201" s="131" t="s">
        <v>25</v>
      </c>
      <c r="E201" s="131" t="s">
        <v>1338</v>
      </c>
      <c r="F201" s="55"/>
      <c r="G201" s="130">
        <v>109.8</v>
      </c>
      <c r="H201" s="130">
        <v>31.0</v>
      </c>
      <c r="I201" s="130">
        <v>23.0</v>
      </c>
      <c r="J201" s="130">
        <v>1.0</v>
      </c>
      <c r="K201" s="130">
        <v>1.0</v>
      </c>
      <c r="L201" s="130">
        <v>1.0</v>
      </c>
      <c r="M201" s="130" t="s">
        <v>1355</v>
      </c>
      <c r="N201" s="130" t="s">
        <v>39</v>
      </c>
      <c r="O201" s="130">
        <v>25.0</v>
      </c>
      <c r="P201" s="130" t="s">
        <v>29</v>
      </c>
      <c r="Q201" s="130" t="s">
        <v>401</v>
      </c>
      <c r="R201" s="132"/>
      <c r="S201" s="52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</row>
    <row r="202" ht="14.25" customHeight="1">
      <c r="A202" s="133">
        <v>38.0</v>
      </c>
      <c r="B202" s="131" t="s">
        <v>1411</v>
      </c>
      <c r="C202" s="131" t="s">
        <v>1412</v>
      </c>
      <c r="D202" s="131" t="s">
        <v>25</v>
      </c>
      <c r="E202" s="131" t="s">
        <v>1338</v>
      </c>
      <c r="F202" s="55"/>
      <c r="G202" s="130">
        <v>144.0</v>
      </c>
      <c r="H202" s="130">
        <v>41.0</v>
      </c>
      <c r="I202" s="130">
        <v>81.0</v>
      </c>
      <c r="J202" s="130">
        <v>1.0</v>
      </c>
      <c r="K202" s="130">
        <v>1.0</v>
      </c>
      <c r="L202" s="130">
        <v>1.0</v>
      </c>
      <c r="M202" s="130" t="s">
        <v>1335</v>
      </c>
      <c r="N202" s="130" t="s">
        <v>39</v>
      </c>
      <c r="O202" s="130">
        <v>90.0</v>
      </c>
      <c r="P202" s="130" t="s">
        <v>29</v>
      </c>
      <c r="Q202" s="130" t="s">
        <v>401</v>
      </c>
      <c r="R202" s="132"/>
      <c r="S202" s="52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</row>
    <row r="203" ht="14.25" customHeight="1">
      <c r="A203" s="133">
        <v>39.0</v>
      </c>
      <c r="B203" s="131" t="s">
        <v>1413</v>
      </c>
      <c r="C203" s="131" t="s">
        <v>1412</v>
      </c>
      <c r="D203" s="131" t="s">
        <v>25</v>
      </c>
      <c r="E203" s="131" t="s">
        <v>1338</v>
      </c>
      <c r="F203" s="55"/>
      <c r="G203" s="130">
        <v>112.0</v>
      </c>
      <c r="H203" s="130">
        <v>30.0</v>
      </c>
      <c r="I203" s="130">
        <v>23.0</v>
      </c>
      <c r="J203" s="130">
        <v>2.0</v>
      </c>
      <c r="K203" s="130">
        <v>2.0</v>
      </c>
      <c r="L203" s="130">
        <v>1.0</v>
      </c>
      <c r="M203" s="130" t="s">
        <v>1335</v>
      </c>
      <c r="N203" s="130" t="s">
        <v>39</v>
      </c>
      <c r="O203" s="130">
        <v>25.0</v>
      </c>
      <c r="P203" s="130" t="s">
        <v>29</v>
      </c>
      <c r="Q203" s="130" t="s">
        <v>401</v>
      </c>
      <c r="R203" s="132"/>
      <c r="S203" s="52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</row>
    <row r="204" ht="14.25" customHeight="1">
      <c r="A204" s="133">
        <v>40.0</v>
      </c>
      <c r="B204" s="131" t="s">
        <v>1414</v>
      </c>
      <c r="C204" s="131" t="s">
        <v>1415</v>
      </c>
      <c r="D204" s="131" t="s">
        <v>25</v>
      </c>
      <c r="E204" s="131" t="s">
        <v>1338</v>
      </c>
      <c r="F204" s="55"/>
      <c r="G204" s="130">
        <v>106.72</v>
      </c>
      <c r="H204" s="130">
        <v>30.0</v>
      </c>
      <c r="I204" s="130">
        <v>107.0</v>
      </c>
      <c r="J204" s="130">
        <v>1.0</v>
      </c>
      <c r="K204" s="130">
        <v>1.0</v>
      </c>
      <c r="L204" s="130">
        <v>1.0</v>
      </c>
      <c r="M204" s="130" t="s">
        <v>1355</v>
      </c>
      <c r="N204" s="130" t="s">
        <v>39</v>
      </c>
      <c r="O204" s="130">
        <v>120.0</v>
      </c>
      <c r="P204" s="130" t="s">
        <v>29</v>
      </c>
      <c r="Q204" s="130" t="s">
        <v>401</v>
      </c>
      <c r="R204" s="132"/>
      <c r="S204" s="52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</row>
    <row r="205" ht="14.25" customHeight="1">
      <c r="A205" s="133">
        <v>41.0</v>
      </c>
      <c r="B205" s="131" t="s">
        <v>1416</v>
      </c>
      <c r="C205" s="131" t="s">
        <v>1417</v>
      </c>
      <c r="D205" s="131" t="s">
        <v>25</v>
      </c>
      <c r="E205" s="131" t="s">
        <v>1368</v>
      </c>
      <c r="F205" s="55"/>
      <c r="G205" s="130">
        <v>121.18</v>
      </c>
      <c r="H205" s="130">
        <v>34.0</v>
      </c>
      <c r="I205" s="130">
        <v>30.0</v>
      </c>
      <c r="J205" s="130">
        <v>1.0</v>
      </c>
      <c r="K205" s="130">
        <v>1.0</v>
      </c>
      <c r="L205" s="130">
        <v>1.0</v>
      </c>
      <c r="M205" s="130" t="s">
        <v>1355</v>
      </c>
      <c r="N205" s="130" t="s">
        <v>39</v>
      </c>
      <c r="O205" s="130">
        <v>35.0</v>
      </c>
      <c r="P205" s="130" t="s">
        <v>29</v>
      </c>
      <c r="Q205" s="130" t="s">
        <v>401</v>
      </c>
      <c r="R205" s="132"/>
      <c r="S205" s="52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</row>
    <row r="206" ht="14.25" customHeight="1">
      <c r="A206" s="133">
        <v>42.0</v>
      </c>
      <c r="B206" s="131" t="s">
        <v>1418</v>
      </c>
      <c r="C206" s="131" t="s">
        <v>1419</v>
      </c>
      <c r="D206" s="131" t="s">
        <v>25</v>
      </c>
      <c r="E206" s="131" t="s">
        <v>1368</v>
      </c>
      <c r="F206" s="55"/>
      <c r="G206" s="130">
        <v>131.76</v>
      </c>
      <c r="H206" s="130">
        <v>37.0</v>
      </c>
      <c r="I206" s="130">
        <v>81.0</v>
      </c>
      <c r="J206" s="130">
        <v>1.0</v>
      </c>
      <c r="K206" s="130">
        <v>1.0</v>
      </c>
      <c r="L206" s="130">
        <v>1.0</v>
      </c>
      <c r="M206" s="130" t="s">
        <v>1355</v>
      </c>
      <c r="N206" s="130" t="s">
        <v>39</v>
      </c>
      <c r="O206" s="130">
        <v>90.0</v>
      </c>
      <c r="P206" s="130" t="s">
        <v>29</v>
      </c>
      <c r="Q206" s="130" t="s">
        <v>401</v>
      </c>
      <c r="R206" s="132"/>
      <c r="S206" s="52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</row>
    <row r="207" ht="14.25" customHeight="1">
      <c r="A207" s="133">
        <v>43.0</v>
      </c>
      <c r="B207" s="131" t="s">
        <v>1420</v>
      </c>
      <c r="C207" s="131" t="s">
        <v>1421</v>
      </c>
      <c r="D207" s="131" t="s">
        <v>25</v>
      </c>
      <c r="E207" s="131" t="s">
        <v>1338</v>
      </c>
      <c r="F207" s="55"/>
      <c r="G207" s="130">
        <v>233.12</v>
      </c>
      <c r="H207" s="130">
        <v>66.0</v>
      </c>
      <c r="I207" s="130">
        <v>30.0</v>
      </c>
      <c r="J207" s="130">
        <v>2.0</v>
      </c>
      <c r="K207" s="130">
        <v>2.0</v>
      </c>
      <c r="L207" s="130">
        <v>1.0</v>
      </c>
      <c r="M207" s="130" t="s">
        <v>1355</v>
      </c>
      <c r="N207" s="130" t="s">
        <v>39</v>
      </c>
      <c r="O207" s="130">
        <v>35.0</v>
      </c>
      <c r="P207" s="130" t="s">
        <v>29</v>
      </c>
      <c r="Q207" s="130" t="s">
        <v>401</v>
      </c>
      <c r="R207" s="132"/>
      <c r="S207" s="52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</row>
    <row r="208" ht="14.25" customHeight="1">
      <c r="A208" s="133">
        <v>44.0</v>
      </c>
      <c r="B208" s="131" t="s">
        <v>1422</v>
      </c>
      <c r="C208" s="131" t="s">
        <v>1359</v>
      </c>
      <c r="D208" s="131" t="s">
        <v>25</v>
      </c>
      <c r="E208" s="131" t="s">
        <v>1338</v>
      </c>
      <c r="F208" s="55"/>
      <c r="G208" s="130">
        <v>196.04</v>
      </c>
      <c r="H208" s="130">
        <v>30.0</v>
      </c>
      <c r="I208" s="130">
        <v>40.0</v>
      </c>
      <c r="J208" s="130">
        <v>3.0</v>
      </c>
      <c r="K208" s="130">
        <v>3.0</v>
      </c>
      <c r="L208" s="130">
        <v>1.0</v>
      </c>
      <c r="M208" s="130" t="s">
        <v>1335</v>
      </c>
      <c r="N208" s="130" t="s">
        <v>39</v>
      </c>
      <c r="O208" s="130">
        <v>450.0</v>
      </c>
      <c r="P208" s="130" t="s">
        <v>66</v>
      </c>
      <c r="Q208" s="130">
        <v>15.0</v>
      </c>
      <c r="R208" s="132"/>
      <c r="S208" s="52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</row>
    <row r="209" ht="14.25" customHeight="1">
      <c r="A209" s="133">
        <v>45.0</v>
      </c>
      <c r="B209" s="131" t="s">
        <v>1423</v>
      </c>
      <c r="C209" s="131" t="s">
        <v>1404</v>
      </c>
      <c r="D209" s="131" t="s">
        <v>25</v>
      </c>
      <c r="E209" s="131" t="s">
        <v>1334</v>
      </c>
      <c r="F209" s="55"/>
      <c r="G209" s="130">
        <v>1344.0</v>
      </c>
      <c r="H209" s="130">
        <v>384.0</v>
      </c>
      <c r="I209" s="130">
        <v>169.0</v>
      </c>
      <c r="J209" s="130">
        <v>4.0</v>
      </c>
      <c r="K209" s="130">
        <v>4.0</v>
      </c>
      <c r="L209" s="130">
        <v>1.0</v>
      </c>
      <c r="M209" s="130" t="s">
        <v>1335</v>
      </c>
      <c r="N209" s="130" t="s">
        <v>39</v>
      </c>
      <c r="O209" s="130">
        <v>20000.0</v>
      </c>
      <c r="P209" s="130" t="s">
        <v>66</v>
      </c>
      <c r="Q209" s="130">
        <v>50.0</v>
      </c>
      <c r="R209" s="132"/>
      <c r="S209" s="52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</row>
    <row r="210" ht="14.25" customHeight="1">
      <c r="A210" s="133">
        <v>46.0</v>
      </c>
      <c r="B210" s="131" t="s">
        <v>1424</v>
      </c>
      <c r="C210" s="131" t="s">
        <v>1425</v>
      </c>
      <c r="D210" s="131" t="s">
        <v>25</v>
      </c>
      <c r="E210" s="131" t="s">
        <v>1338</v>
      </c>
      <c r="F210" s="55"/>
      <c r="G210" s="130">
        <v>6622.0</v>
      </c>
      <c r="H210" s="130">
        <v>5000.0</v>
      </c>
      <c r="I210" s="130">
        <v>30.0</v>
      </c>
      <c r="J210" s="130">
        <v>15.0</v>
      </c>
      <c r="K210" s="130">
        <v>15.0</v>
      </c>
      <c r="L210" s="130">
        <v>1.0</v>
      </c>
      <c r="M210" s="130" t="s">
        <v>1335</v>
      </c>
      <c r="N210" s="130" t="s">
        <v>39</v>
      </c>
      <c r="O210" s="130">
        <v>50000.0</v>
      </c>
      <c r="P210" s="130" t="s">
        <v>29</v>
      </c>
      <c r="Q210" s="130" t="s">
        <v>401</v>
      </c>
      <c r="R210" s="132"/>
      <c r="S210" s="52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</row>
    <row r="211" ht="14.25" customHeight="1">
      <c r="A211" s="19"/>
      <c r="B211" s="20" t="s">
        <v>1426</v>
      </c>
      <c r="C211" s="21"/>
      <c r="D211" s="22"/>
      <c r="E211" s="22"/>
      <c r="F211" s="23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</row>
    <row r="212" ht="14.25" customHeight="1">
      <c r="A212" s="133">
        <v>1.0</v>
      </c>
      <c r="B212" s="131" t="s">
        <v>1427</v>
      </c>
      <c r="C212" s="131" t="s">
        <v>1428</v>
      </c>
      <c r="D212" s="131" t="s">
        <v>25</v>
      </c>
      <c r="E212" s="131" t="s">
        <v>189</v>
      </c>
      <c r="F212" s="55"/>
      <c r="G212" s="130" t="s">
        <v>39</v>
      </c>
      <c r="H212" s="130">
        <v>20.0</v>
      </c>
      <c r="I212" s="130">
        <v>100.0</v>
      </c>
      <c r="J212" s="130">
        <v>2.0</v>
      </c>
      <c r="K212" s="130">
        <v>2.0</v>
      </c>
      <c r="L212" s="130">
        <v>1.0</v>
      </c>
      <c r="M212" s="130">
        <v>1.0</v>
      </c>
      <c r="N212" s="130" t="s">
        <v>39</v>
      </c>
      <c r="O212" s="130">
        <v>100.0</v>
      </c>
      <c r="P212" s="130" t="s">
        <v>66</v>
      </c>
      <c r="Q212" s="130">
        <v>15.0</v>
      </c>
      <c r="R212" s="132"/>
      <c r="S212" s="52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</row>
    <row r="213" ht="14.25" customHeight="1">
      <c r="A213" s="133">
        <v>2.0</v>
      </c>
      <c r="B213" s="131" t="s">
        <v>1429</v>
      </c>
      <c r="C213" s="131" t="s">
        <v>1428</v>
      </c>
      <c r="D213" s="131" t="s">
        <v>25</v>
      </c>
      <c r="E213" s="131" t="s">
        <v>189</v>
      </c>
      <c r="F213" s="55"/>
      <c r="G213" s="130" t="s">
        <v>39</v>
      </c>
      <c r="H213" s="130">
        <v>120.0</v>
      </c>
      <c r="I213" s="130">
        <v>500.0</v>
      </c>
      <c r="J213" s="130">
        <v>3.0</v>
      </c>
      <c r="K213" s="130">
        <v>3.0</v>
      </c>
      <c r="L213" s="130">
        <v>0.0</v>
      </c>
      <c r="M213" s="130">
        <v>1.0</v>
      </c>
      <c r="N213" s="130" t="s">
        <v>39</v>
      </c>
      <c r="O213" s="130">
        <v>1000.0</v>
      </c>
      <c r="P213" s="130" t="s">
        <v>29</v>
      </c>
      <c r="Q213" s="130" t="s">
        <v>39</v>
      </c>
      <c r="R213" s="132"/>
      <c r="S213" s="52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</row>
    <row r="214" ht="14.25" customHeight="1">
      <c r="A214" s="133">
        <v>3.0</v>
      </c>
      <c r="B214" s="131" t="s">
        <v>1430</v>
      </c>
      <c r="C214" s="131" t="s">
        <v>1431</v>
      </c>
      <c r="D214" s="131" t="s">
        <v>25</v>
      </c>
      <c r="E214" s="131" t="s">
        <v>189</v>
      </c>
      <c r="F214" s="55"/>
      <c r="G214" s="130" t="s">
        <v>39</v>
      </c>
      <c r="H214" s="130">
        <v>30.0</v>
      </c>
      <c r="I214" s="130">
        <v>200.0</v>
      </c>
      <c r="J214" s="130">
        <v>2.0</v>
      </c>
      <c r="K214" s="130">
        <v>2.0</v>
      </c>
      <c r="L214" s="130">
        <v>0.0</v>
      </c>
      <c r="M214" s="130">
        <v>1.0</v>
      </c>
      <c r="N214" s="130" t="s">
        <v>39</v>
      </c>
      <c r="O214" s="130">
        <v>0.0</v>
      </c>
      <c r="P214" s="130" t="s">
        <v>29</v>
      </c>
      <c r="Q214" s="130" t="s">
        <v>39</v>
      </c>
      <c r="R214" s="132"/>
      <c r="S214" s="52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</row>
    <row r="215" ht="14.25" customHeight="1">
      <c r="A215" s="133">
        <v>4.0</v>
      </c>
      <c r="B215" s="131" t="s">
        <v>1432</v>
      </c>
      <c r="C215" s="131" t="s">
        <v>1433</v>
      </c>
      <c r="D215" s="131" t="s">
        <v>25</v>
      </c>
      <c r="E215" s="131" t="s">
        <v>189</v>
      </c>
      <c r="F215" s="55"/>
      <c r="G215" s="130" t="s">
        <v>39</v>
      </c>
      <c r="H215" s="130">
        <v>50.0</v>
      </c>
      <c r="I215" s="130">
        <v>300.0</v>
      </c>
      <c r="J215" s="130">
        <v>3.0</v>
      </c>
      <c r="K215" s="130">
        <v>3.0</v>
      </c>
      <c r="L215" s="130">
        <v>10.0</v>
      </c>
      <c r="M215" s="130">
        <v>1.0</v>
      </c>
      <c r="N215" s="130" t="s">
        <v>39</v>
      </c>
      <c r="O215" s="130">
        <v>0.0</v>
      </c>
      <c r="P215" s="130" t="s">
        <v>29</v>
      </c>
      <c r="Q215" s="130" t="s">
        <v>39</v>
      </c>
      <c r="R215" s="132"/>
      <c r="S215" s="52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</row>
    <row r="216" ht="14.25" customHeight="1">
      <c r="A216" s="133">
        <v>5.0</v>
      </c>
      <c r="B216" s="131" t="s">
        <v>1434</v>
      </c>
      <c r="C216" s="131" t="s">
        <v>1435</v>
      </c>
      <c r="D216" s="131" t="s">
        <v>25</v>
      </c>
      <c r="E216" s="131" t="s">
        <v>189</v>
      </c>
      <c r="F216" s="55"/>
      <c r="G216" s="130" t="s">
        <v>39</v>
      </c>
      <c r="H216" s="130">
        <v>20.0</v>
      </c>
      <c r="I216" s="130">
        <v>150.0</v>
      </c>
      <c r="J216" s="130">
        <v>2.0</v>
      </c>
      <c r="K216" s="130">
        <v>2.0</v>
      </c>
      <c r="L216" s="130">
        <v>5.0</v>
      </c>
      <c r="M216" s="130">
        <v>1.0</v>
      </c>
      <c r="N216" s="130" t="s">
        <v>39</v>
      </c>
      <c r="O216" s="130">
        <v>0.0</v>
      </c>
      <c r="P216" s="130" t="s">
        <v>29</v>
      </c>
      <c r="Q216" s="130" t="s">
        <v>39</v>
      </c>
      <c r="R216" s="132"/>
      <c r="S216" s="52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</row>
    <row r="217" ht="14.25" customHeight="1">
      <c r="A217" s="133">
        <v>6.0</v>
      </c>
      <c r="B217" s="131" t="s">
        <v>1436</v>
      </c>
      <c r="C217" s="131" t="s">
        <v>1437</v>
      </c>
      <c r="D217" s="131" t="s">
        <v>25</v>
      </c>
      <c r="E217" s="131" t="s">
        <v>189</v>
      </c>
      <c r="F217" s="55"/>
      <c r="G217" s="130" t="s">
        <v>39</v>
      </c>
      <c r="H217" s="130">
        <v>15.0</v>
      </c>
      <c r="I217" s="130">
        <v>150.0</v>
      </c>
      <c r="J217" s="130">
        <v>2.0</v>
      </c>
      <c r="K217" s="130">
        <v>2.0</v>
      </c>
      <c r="L217" s="130">
        <v>2.0</v>
      </c>
      <c r="M217" s="130">
        <v>1.0</v>
      </c>
      <c r="N217" s="130" t="s">
        <v>143</v>
      </c>
      <c r="O217" s="130">
        <v>0.0</v>
      </c>
      <c r="P217" s="130" t="s">
        <v>29</v>
      </c>
      <c r="Q217" s="130" t="s">
        <v>39</v>
      </c>
      <c r="R217" s="132"/>
      <c r="S217" s="52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</row>
    <row r="218" ht="14.25" customHeight="1">
      <c r="A218" s="19"/>
      <c r="B218" s="20" t="s">
        <v>1438</v>
      </c>
      <c r="C218" s="21"/>
      <c r="D218" s="22"/>
      <c r="E218" s="22"/>
      <c r="F218" s="23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</row>
    <row r="219" ht="14.25" customHeight="1">
      <c r="A219" s="133">
        <v>1.0</v>
      </c>
      <c r="B219" s="149" t="s">
        <v>1439</v>
      </c>
      <c r="C219" s="149" t="s">
        <v>1440</v>
      </c>
      <c r="D219" s="149" t="s">
        <v>25</v>
      </c>
      <c r="E219" s="149" t="s">
        <v>57</v>
      </c>
      <c r="F219" s="52" t="s">
        <v>46</v>
      </c>
      <c r="G219" s="132" t="s">
        <v>1441</v>
      </c>
      <c r="H219" s="132">
        <v>30.0</v>
      </c>
      <c r="I219" s="132">
        <v>4.0</v>
      </c>
      <c r="J219" s="132">
        <v>2.0</v>
      </c>
      <c r="K219" s="132">
        <v>2.0</v>
      </c>
      <c r="L219" s="132">
        <v>0.0</v>
      </c>
      <c r="M219" s="132" t="s">
        <v>172</v>
      </c>
      <c r="N219" s="132" t="s">
        <v>1288</v>
      </c>
      <c r="O219" s="132">
        <v>0.0</v>
      </c>
      <c r="P219" s="132" t="s">
        <v>66</v>
      </c>
      <c r="Q219" s="132">
        <v>120.0</v>
      </c>
      <c r="R219" s="132"/>
      <c r="S219" s="52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</row>
    <row r="220" ht="14.25" customHeight="1">
      <c r="A220" s="133">
        <v>2.0</v>
      </c>
      <c r="B220" s="149" t="s">
        <v>1442</v>
      </c>
      <c r="C220" s="149" t="s">
        <v>1440</v>
      </c>
      <c r="D220" s="149" t="s">
        <v>25</v>
      </c>
      <c r="E220" s="149" t="s">
        <v>57</v>
      </c>
      <c r="F220" s="52" t="s">
        <v>46</v>
      </c>
      <c r="G220" s="132" t="s">
        <v>1443</v>
      </c>
      <c r="H220" s="132">
        <v>5.0</v>
      </c>
      <c r="I220" s="132">
        <v>25.0</v>
      </c>
      <c r="J220" s="132">
        <v>1.0</v>
      </c>
      <c r="K220" s="132">
        <v>1.0</v>
      </c>
      <c r="L220" s="132">
        <v>1.0</v>
      </c>
      <c r="M220" s="132" t="s">
        <v>172</v>
      </c>
      <c r="N220" s="132" t="s">
        <v>1288</v>
      </c>
      <c r="O220" s="132">
        <v>0.0</v>
      </c>
      <c r="P220" s="132" t="s">
        <v>29</v>
      </c>
      <c r="Q220" s="132">
        <v>0.0</v>
      </c>
      <c r="R220" s="132"/>
      <c r="S220" s="52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</row>
    <row r="221" ht="14.25" customHeight="1">
      <c r="A221" s="133">
        <v>3.0</v>
      </c>
      <c r="B221" s="149" t="s">
        <v>1444</v>
      </c>
      <c r="C221" s="149" t="s">
        <v>1440</v>
      </c>
      <c r="D221" s="149" t="s">
        <v>25</v>
      </c>
      <c r="E221" s="149" t="s">
        <v>57</v>
      </c>
      <c r="F221" s="52" t="s">
        <v>46</v>
      </c>
      <c r="G221" s="132" t="s">
        <v>1445</v>
      </c>
      <c r="H221" s="132">
        <v>4.0</v>
      </c>
      <c r="I221" s="132">
        <v>16.0</v>
      </c>
      <c r="J221" s="132">
        <v>1.0</v>
      </c>
      <c r="K221" s="132">
        <v>1.0</v>
      </c>
      <c r="L221" s="132">
        <v>0.0</v>
      </c>
      <c r="M221" s="132" t="s">
        <v>172</v>
      </c>
      <c r="N221" s="132" t="s">
        <v>1288</v>
      </c>
      <c r="O221" s="132">
        <v>0.0</v>
      </c>
      <c r="P221" s="132" t="s">
        <v>66</v>
      </c>
      <c r="Q221" s="132">
        <v>5.0</v>
      </c>
      <c r="R221" s="132"/>
      <c r="S221" s="52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</row>
    <row r="222" ht="14.25" customHeight="1">
      <c r="A222" s="133">
        <v>4.0</v>
      </c>
      <c r="B222" s="149" t="s">
        <v>1446</v>
      </c>
      <c r="C222" s="149" t="s">
        <v>1447</v>
      </c>
      <c r="D222" s="149" t="s">
        <v>25</v>
      </c>
      <c r="E222" s="149" t="s">
        <v>57</v>
      </c>
      <c r="F222" s="52" t="s">
        <v>46</v>
      </c>
      <c r="G222" s="132" t="s">
        <v>1448</v>
      </c>
      <c r="H222" s="132">
        <v>5.0</v>
      </c>
      <c r="I222" s="132">
        <v>25.0</v>
      </c>
      <c r="J222" s="132">
        <v>1.0</v>
      </c>
      <c r="K222" s="132">
        <v>1.0</v>
      </c>
      <c r="L222" s="132">
        <v>0.0</v>
      </c>
      <c r="M222" s="132" t="s">
        <v>172</v>
      </c>
      <c r="N222" s="132" t="s">
        <v>1323</v>
      </c>
      <c r="O222" s="132">
        <v>0.0</v>
      </c>
      <c r="P222" s="132" t="s">
        <v>66</v>
      </c>
      <c r="Q222" s="132">
        <v>5.0</v>
      </c>
      <c r="R222" s="132"/>
      <c r="S222" s="52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</row>
    <row r="223" ht="14.25" customHeight="1">
      <c r="A223" s="133">
        <v>5.0</v>
      </c>
      <c r="B223" s="149" t="s">
        <v>1449</v>
      </c>
      <c r="C223" s="149" t="s">
        <v>1450</v>
      </c>
      <c r="D223" s="149" t="s">
        <v>25</v>
      </c>
      <c r="E223" s="149" t="s">
        <v>57</v>
      </c>
      <c r="F223" s="52" t="s">
        <v>46</v>
      </c>
      <c r="G223" s="132" t="s">
        <v>1451</v>
      </c>
      <c r="H223" s="132">
        <v>5.0</v>
      </c>
      <c r="I223" s="132">
        <v>25.0</v>
      </c>
      <c r="J223" s="132">
        <v>1.0</v>
      </c>
      <c r="K223" s="132">
        <v>1.0</v>
      </c>
      <c r="L223" s="132">
        <v>0.0</v>
      </c>
      <c r="M223" s="132" t="s">
        <v>172</v>
      </c>
      <c r="N223" s="132" t="s">
        <v>1323</v>
      </c>
      <c r="O223" s="132">
        <v>0.0</v>
      </c>
      <c r="P223" s="132" t="s">
        <v>66</v>
      </c>
      <c r="Q223" s="132">
        <v>5.0</v>
      </c>
      <c r="R223" s="132"/>
      <c r="S223" s="52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</row>
    <row r="224" ht="14.25" customHeight="1">
      <c r="A224" s="133">
        <v>6.0</v>
      </c>
      <c r="B224" s="149" t="s">
        <v>1452</v>
      </c>
      <c r="C224" s="149" t="s">
        <v>1453</v>
      </c>
      <c r="D224" s="149" t="s">
        <v>25</v>
      </c>
      <c r="E224" s="149" t="s">
        <v>57</v>
      </c>
      <c r="F224" s="52" t="s">
        <v>46</v>
      </c>
      <c r="G224" s="132" t="s">
        <v>1454</v>
      </c>
      <c r="H224" s="132">
        <v>5.0</v>
      </c>
      <c r="I224" s="132">
        <v>25.0</v>
      </c>
      <c r="J224" s="132">
        <v>1.0</v>
      </c>
      <c r="K224" s="132">
        <v>1.0</v>
      </c>
      <c r="L224" s="132">
        <v>0.0</v>
      </c>
      <c r="M224" s="132" t="s">
        <v>172</v>
      </c>
      <c r="N224" s="132" t="s">
        <v>1323</v>
      </c>
      <c r="O224" s="132">
        <v>0.0</v>
      </c>
      <c r="P224" s="132" t="s">
        <v>66</v>
      </c>
      <c r="Q224" s="132">
        <v>5.0</v>
      </c>
      <c r="R224" s="132"/>
      <c r="S224" s="52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</row>
    <row r="225" ht="14.25" customHeight="1">
      <c r="A225" s="133">
        <v>7.0</v>
      </c>
      <c r="B225" s="149" t="s">
        <v>1455</v>
      </c>
      <c r="C225" s="149" t="s">
        <v>1456</v>
      </c>
      <c r="D225" s="149" t="s">
        <v>25</v>
      </c>
      <c r="E225" s="149" t="s">
        <v>57</v>
      </c>
      <c r="F225" s="52" t="s">
        <v>46</v>
      </c>
      <c r="G225" s="132" t="s">
        <v>1454</v>
      </c>
      <c r="H225" s="132">
        <v>5.0</v>
      </c>
      <c r="I225" s="132">
        <v>25.0</v>
      </c>
      <c r="J225" s="132">
        <v>1.0</v>
      </c>
      <c r="K225" s="132">
        <v>1.0</v>
      </c>
      <c r="L225" s="132">
        <v>0.0</v>
      </c>
      <c r="M225" s="132" t="s">
        <v>172</v>
      </c>
      <c r="N225" s="132" t="s">
        <v>1288</v>
      </c>
      <c r="O225" s="132">
        <v>0.0</v>
      </c>
      <c r="P225" s="132" t="s">
        <v>66</v>
      </c>
      <c r="Q225" s="132">
        <v>5.0</v>
      </c>
      <c r="R225" s="132"/>
      <c r="S225" s="52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</row>
    <row r="226" ht="14.25" customHeight="1">
      <c r="A226" s="133">
        <v>8.0</v>
      </c>
      <c r="B226" s="149" t="s">
        <v>1457</v>
      </c>
      <c r="C226" s="149" t="s">
        <v>1458</v>
      </c>
      <c r="D226" s="149" t="s">
        <v>25</v>
      </c>
      <c r="E226" s="149" t="s">
        <v>57</v>
      </c>
      <c r="F226" s="52" t="s">
        <v>46</v>
      </c>
      <c r="G226" s="132" t="s">
        <v>1459</v>
      </c>
      <c r="H226" s="132">
        <v>5.0</v>
      </c>
      <c r="I226" s="132">
        <v>25.0</v>
      </c>
      <c r="J226" s="132">
        <v>1.0</v>
      </c>
      <c r="K226" s="132">
        <v>1.0</v>
      </c>
      <c r="L226" s="132">
        <v>1.0</v>
      </c>
      <c r="M226" s="132" t="s">
        <v>172</v>
      </c>
      <c r="N226" s="132" t="s">
        <v>1323</v>
      </c>
      <c r="O226" s="132">
        <v>0.0</v>
      </c>
      <c r="P226" s="132" t="s">
        <v>66</v>
      </c>
      <c r="Q226" s="132">
        <v>5.0</v>
      </c>
      <c r="R226" s="132"/>
      <c r="S226" s="52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</row>
    <row r="227" ht="14.25" customHeight="1">
      <c r="A227" s="133">
        <v>9.0</v>
      </c>
      <c r="B227" s="149" t="s">
        <v>1460</v>
      </c>
      <c r="C227" s="149" t="s">
        <v>1461</v>
      </c>
      <c r="D227" s="149" t="s">
        <v>25</v>
      </c>
      <c r="E227" s="149" t="s">
        <v>57</v>
      </c>
      <c r="F227" s="52" t="s">
        <v>46</v>
      </c>
      <c r="G227" s="132" t="s">
        <v>1462</v>
      </c>
      <c r="H227" s="132">
        <v>5.0</v>
      </c>
      <c r="I227" s="132">
        <v>25.0</v>
      </c>
      <c r="J227" s="132">
        <v>1.0</v>
      </c>
      <c r="K227" s="132">
        <v>1.0</v>
      </c>
      <c r="L227" s="132">
        <v>1.0</v>
      </c>
      <c r="M227" s="132" t="s">
        <v>172</v>
      </c>
      <c r="N227" s="132" t="s">
        <v>1323</v>
      </c>
      <c r="O227" s="132">
        <v>0.0</v>
      </c>
      <c r="P227" s="132" t="s">
        <v>66</v>
      </c>
      <c r="Q227" s="132">
        <v>5.0</v>
      </c>
      <c r="R227" s="132"/>
      <c r="S227" s="52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</row>
    <row r="228" ht="14.25" customHeight="1">
      <c r="A228" s="133">
        <v>10.0</v>
      </c>
      <c r="B228" s="149" t="s">
        <v>1463</v>
      </c>
      <c r="C228" s="149" t="s">
        <v>1464</v>
      </c>
      <c r="D228" s="149" t="s">
        <v>25</v>
      </c>
      <c r="E228" s="149" t="s">
        <v>57</v>
      </c>
      <c r="F228" s="52" t="s">
        <v>46</v>
      </c>
      <c r="G228" s="132" t="s">
        <v>1465</v>
      </c>
      <c r="H228" s="132">
        <v>5.0</v>
      </c>
      <c r="I228" s="132">
        <v>25.0</v>
      </c>
      <c r="J228" s="132">
        <v>1.0</v>
      </c>
      <c r="K228" s="132">
        <v>1.0</v>
      </c>
      <c r="L228" s="132">
        <v>0.0</v>
      </c>
      <c r="M228" s="132" t="s">
        <v>172</v>
      </c>
      <c r="N228" s="132" t="s">
        <v>1323</v>
      </c>
      <c r="O228" s="132">
        <v>0.0</v>
      </c>
      <c r="P228" s="132" t="s">
        <v>66</v>
      </c>
      <c r="Q228" s="132">
        <v>5.0</v>
      </c>
      <c r="R228" s="132"/>
      <c r="S228" s="52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</row>
    <row r="229" ht="14.25" customHeight="1">
      <c r="A229" s="133">
        <v>11.0</v>
      </c>
      <c r="B229" s="149" t="s">
        <v>1466</v>
      </c>
      <c r="C229" s="149" t="s">
        <v>1467</v>
      </c>
      <c r="D229" s="149" t="s">
        <v>25</v>
      </c>
      <c r="E229" s="149" t="s">
        <v>57</v>
      </c>
      <c r="F229" s="52" t="s">
        <v>46</v>
      </c>
      <c r="G229" s="132" t="s">
        <v>1468</v>
      </c>
      <c r="H229" s="132">
        <v>5.0</v>
      </c>
      <c r="I229" s="132">
        <v>25.0</v>
      </c>
      <c r="J229" s="132">
        <v>1.0</v>
      </c>
      <c r="K229" s="132">
        <v>1.0</v>
      </c>
      <c r="L229" s="132">
        <v>1.0</v>
      </c>
      <c r="M229" s="132" t="s">
        <v>172</v>
      </c>
      <c r="N229" s="132" t="s">
        <v>1323</v>
      </c>
      <c r="O229" s="132">
        <v>0.0</v>
      </c>
      <c r="P229" s="132" t="s">
        <v>66</v>
      </c>
      <c r="Q229" s="132">
        <v>5.0</v>
      </c>
      <c r="R229" s="132"/>
      <c r="S229" s="52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</row>
    <row r="230" ht="14.25" customHeight="1">
      <c r="A230" s="133">
        <v>12.0</v>
      </c>
      <c r="B230" s="149" t="s">
        <v>1469</v>
      </c>
      <c r="C230" s="149" t="s">
        <v>1470</v>
      </c>
      <c r="D230" s="149" t="s">
        <v>25</v>
      </c>
      <c r="E230" s="149" t="s">
        <v>57</v>
      </c>
      <c r="F230" s="52" t="s">
        <v>46</v>
      </c>
      <c r="G230" s="132" t="s">
        <v>1471</v>
      </c>
      <c r="H230" s="132">
        <v>5.0</v>
      </c>
      <c r="I230" s="132">
        <v>25.0</v>
      </c>
      <c r="J230" s="132">
        <v>1.0</v>
      </c>
      <c r="K230" s="132">
        <v>1.0</v>
      </c>
      <c r="L230" s="132">
        <v>1.0</v>
      </c>
      <c r="M230" s="132" t="s">
        <v>172</v>
      </c>
      <c r="N230" s="132" t="s">
        <v>1323</v>
      </c>
      <c r="O230" s="132">
        <v>0.0</v>
      </c>
      <c r="P230" s="132" t="s">
        <v>66</v>
      </c>
      <c r="Q230" s="132">
        <v>5.0</v>
      </c>
      <c r="R230" s="132"/>
      <c r="S230" s="52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</row>
    <row r="231" ht="14.25" customHeight="1">
      <c r="A231" s="133">
        <v>13.0</v>
      </c>
      <c r="B231" s="149" t="s">
        <v>1472</v>
      </c>
      <c r="C231" s="149" t="s">
        <v>1473</v>
      </c>
      <c r="D231" s="149" t="s">
        <v>25</v>
      </c>
      <c r="E231" s="149" t="s">
        <v>57</v>
      </c>
      <c r="F231" s="52" t="s">
        <v>46</v>
      </c>
      <c r="G231" s="132" t="s">
        <v>1465</v>
      </c>
      <c r="H231" s="132">
        <v>5.0</v>
      </c>
      <c r="I231" s="132">
        <v>25.0</v>
      </c>
      <c r="J231" s="132">
        <v>1.0</v>
      </c>
      <c r="K231" s="132">
        <v>1.0</v>
      </c>
      <c r="L231" s="132">
        <v>0.0</v>
      </c>
      <c r="M231" s="132" t="s">
        <v>172</v>
      </c>
      <c r="N231" s="132" t="s">
        <v>1323</v>
      </c>
      <c r="O231" s="132">
        <v>0.0</v>
      </c>
      <c r="P231" s="132" t="s">
        <v>66</v>
      </c>
      <c r="Q231" s="132">
        <v>5.0</v>
      </c>
      <c r="R231" s="132"/>
      <c r="S231" s="52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</row>
    <row r="232" ht="14.25" customHeight="1">
      <c r="A232" s="133">
        <v>14.0</v>
      </c>
      <c r="B232" s="149" t="s">
        <v>1474</v>
      </c>
      <c r="C232" s="149" t="s">
        <v>1440</v>
      </c>
      <c r="D232" s="149" t="s">
        <v>25</v>
      </c>
      <c r="E232" s="149" t="s">
        <v>57</v>
      </c>
      <c r="F232" s="52" t="s">
        <v>46</v>
      </c>
      <c r="G232" s="132" t="s">
        <v>1465</v>
      </c>
      <c r="H232" s="132">
        <v>5.0</v>
      </c>
      <c r="I232" s="132">
        <v>25.0</v>
      </c>
      <c r="J232" s="132">
        <v>1.0</v>
      </c>
      <c r="K232" s="132">
        <v>1.0</v>
      </c>
      <c r="L232" s="132">
        <v>0.0</v>
      </c>
      <c r="M232" s="132" t="s">
        <v>172</v>
      </c>
      <c r="N232" s="132" t="s">
        <v>1288</v>
      </c>
      <c r="O232" s="132">
        <v>0.0</v>
      </c>
      <c r="P232" s="132" t="s">
        <v>66</v>
      </c>
      <c r="Q232" s="132">
        <v>5.0</v>
      </c>
      <c r="R232" s="132"/>
      <c r="S232" s="52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</row>
    <row r="233" ht="14.25" customHeight="1">
      <c r="A233" s="133">
        <v>15.0</v>
      </c>
      <c r="B233" s="149" t="s">
        <v>1475</v>
      </c>
      <c r="C233" s="149" t="s">
        <v>1476</v>
      </c>
      <c r="D233" s="149" t="s">
        <v>25</v>
      </c>
      <c r="E233" s="149" t="s">
        <v>57</v>
      </c>
      <c r="F233" s="52" t="s">
        <v>46</v>
      </c>
      <c r="G233" s="132" t="s">
        <v>1468</v>
      </c>
      <c r="H233" s="132">
        <v>5.0</v>
      </c>
      <c r="I233" s="132">
        <v>25.0</v>
      </c>
      <c r="J233" s="132">
        <v>1.0</v>
      </c>
      <c r="K233" s="132">
        <v>1.0</v>
      </c>
      <c r="L233" s="132">
        <v>0.0</v>
      </c>
      <c r="M233" s="132" t="s">
        <v>172</v>
      </c>
      <c r="N233" s="132" t="s">
        <v>1288</v>
      </c>
      <c r="O233" s="132">
        <v>0.0</v>
      </c>
      <c r="P233" s="132" t="s">
        <v>66</v>
      </c>
      <c r="Q233" s="132">
        <v>5.0</v>
      </c>
      <c r="R233" s="132"/>
      <c r="S233" s="52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</row>
    <row r="234" ht="13.5" customHeight="1">
      <c r="A234" s="133">
        <v>16.0</v>
      </c>
      <c r="B234" s="149" t="s">
        <v>1477</v>
      </c>
      <c r="C234" s="149" t="s">
        <v>1478</v>
      </c>
      <c r="D234" s="149" t="s">
        <v>25</v>
      </c>
      <c r="E234" s="149" t="s">
        <v>57</v>
      </c>
      <c r="F234" s="52" t="s">
        <v>46</v>
      </c>
      <c r="G234" s="132" t="s">
        <v>1471</v>
      </c>
      <c r="H234" s="132">
        <v>5.0</v>
      </c>
      <c r="I234" s="132">
        <v>25.0</v>
      </c>
      <c r="J234" s="132">
        <v>1.0</v>
      </c>
      <c r="K234" s="132">
        <v>1.0</v>
      </c>
      <c r="L234" s="132">
        <v>1.0</v>
      </c>
      <c r="M234" s="132" t="s">
        <v>172</v>
      </c>
      <c r="N234" s="132" t="s">
        <v>1323</v>
      </c>
      <c r="O234" s="132">
        <v>0.0</v>
      </c>
      <c r="P234" s="132" t="s">
        <v>66</v>
      </c>
      <c r="Q234" s="132">
        <v>5.0</v>
      </c>
      <c r="R234" s="132"/>
      <c r="S234" s="52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</row>
    <row r="235" ht="14.25" customHeight="1">
      <c r="A235" s="19"/>
      <c r="B235" s="20" t="s">
        <v>1479</v>
      </c>
      <c r="C235" s="21"/>
      <c r="D235" s="22"/>
      <c r="E235" s="22"/>
      <c r="F235" s="23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</row>
    <row r="236" ht="14.25" customHeight="1">
      <c r="A236" s="133">
        <v>1.0</v>
      </c>
      <c r="B236" s="149" t="s">
        <v>1480</v>
      </c>
      <c r="C236" s="149" t="s">
        <v>1481</v>
      </c>
      <c r="D236" s="131" t="s">
        <v>25</v>
      </c>
      <c r="E236" s="131" t="s">
        <v>57</v>
      </c>
      <c r="F236" s="52"/>
      <c r="G236" s="132">
        <v>683.0</v>
      </c>
      <c r="H236" s="132">
        <v>50.0</v>
      </c>
      <c r="I236" s="132">
        <v>250.0</v>
      </c>
      <c r="J236" s="132">
        <v>2.0</v>
      </c>
      <c r="K236" s="132">
        <v>2.0</v>
      </c>
      <c r="L236" s="144" t="s">
        <v>28</v>
      </c>
      <c r="M236" s="132" t="s">
        <v>1482</v>
      </c>
      <c r="N236" s="132" t="s">
        <v>1483</v>
      </c>
      <c r="O236" s="132">
        <v>1500.0</v>
      </c>
      <c r="P236" s="132" t="s">
        <v>66</v>
      </c>
      <c r="Q236" s="132">
        <v>15.0</v>
      </c>
      <c r="R236" s="132"/>
      <c r="S236" s="52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</row>
    <row r="237" ht="14.25" customHeight="1">
      <c r="A237" s="133">
        <v>2.0</v>
      </c>
      <c r="B237" s="149" t="s">
        <v>1484</v>
      </c>
      <c r="C237" s="149" t="s">
        <v>1485</v>
      </c>
      <c r="D237" s="131" t="s">
        <v>25</v>
      </c>
      <c r="E237" s="131" t="s">
        <v>57</v>
      </c>
      <c r="F237" s="52"/>
      <c r="G237" s="132">
        <v>100.0</v>
      </c>
      <c r="H237" s="132">
        <v>10.0</v>
      </c>
      <c r="I237" s="132">
        <v>50.0</v>
      </c>
      <c r="J237" s="132">
        <v>1.0</v>
      </c>
      <c r="K237" s="132">
        <v>1.0</v>
      </c>
      <c r="L237" s="144" t="s">
        <v>28</v>
      </c>
      <c r="M237" s="132" t="s">
        <v>1482</v>
      </c>
      <c r="N237" s="132" t="s">
        <v>1483</v>
      </c>
      <c r="O237" s="132">
        <v>0.0</v>
      </c>
      <c r="P237" s="132" t="s">
        <v>29</v>
      </c>
      <c r="Q237" s="132">
        <v>0.0</v>
      </c>
      <c r="R237" s="132"/>
      <c r="S237" s="52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</row>
    <row r="238" ht="14.25" customHeight="1">
      <c r="A238" s="133">
        <v>3.0</v>
      </c>
      <c r="B238" s="149" t="s">
        <v>1439</v>
      </c>
      <c r="C238" s="149" t="s">
        <v>1486</v>
      </c>
      <c r="D238" s="131" t="s">
        <v>25</v>
      </c>
      <c r="E238" s="131" t="s">
        <v>57</v>
      </c>
      <c r="F238" s="52"/>
      <c r="G238" s="132">
        <v>660.0</v>
      </c>
      <c r="H238" s="132">
        <v>50.0</v>
      </c>
      <c r="I238" s="132">
        <v>250.0</v>
      </c>
      <c r="J238" s="132">
        <v>1.0</v>
      </c>
      <c r="K238" s="132">
        <v>1.0</v>
      </c>
      <c r="L238" s="144" t="s">
        <v>28</v>
      </c>
      <c r="M238" s="132" t="s">
        <v>1482</v>
      </c>
      <c r="N238" s="132" t="s">
        <v>1288</v>
      </c>
      <c r="O238" s="132">
        <v>0.0</v>
      </c>
      <c r="P238" s="132" t="s">
        <v>29</v>
      </c>
      <c r="Q238" s="132">
        <v>0.0</v>
      </c>
      <c r="R238" s="132"/>
      <c r="S238" s="52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</row>
    <row r="239" ht="14.25" customHeight="1">
      <c r="A239" s="133">
        <v>4.0</v>
      </c>
      <c r="B239" s="149" t="s">
        <v>1487</v>
      </c>
      <c r="C239" s="149" t="s">
        <v>1488</v>
      </c>
      <c r="D239" s="131" t="s">
        <v>25</v>
      </c>
      <c r="E239" s="131" t="s">
        <v>57</v>
      </c>
      <c r="F239" s="52"/>
      <c r="G239" s="132">
        <v>500.0</v>
      </c>
      <c r="H239" s="132">
        <v>50.0</v>
      </c>
      <c r="I239" s="132">
        <v>250.0</v>
      </c>
      <c r="J239" s="144" t="s">
        <v>28</v>
      </c>
      <c r="K239" s="144" t="s">
        <v>28</v>
      </c>
      <c r="L239" s="132">
        <v>12.0</v>
      </c>
      <c r="M239" s="132" t="s">
        <v>1482</v>
      </c>
      <c r="N239" s="132" t="s">
        <v>1288</v>
      </c>
      <c r="O239" s="132">
        <v>0.0</v>
      </c>
      <c r="P239" s="132" t="s">
        <v>29</v>
      </c>
      <c r="Q239" s="132">
        <v>0.0</v>
      </c>
      <c r="R239" s="132"/>
      <c r="S239" s="52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</row>
    <row r="240" ht="14.25" customHeight="1">
      <c r="A240" s="133">
        <v>5.0</v>
      </c>
      <c r="B240" s="149" t="s">
        <v>1489</v>
      </c>
      <c r="C240" s="149" t="s">
        <v>1490</v>
      </c>
      <c r="D240" s="131" t="s">
        <v>25</v>
      </c>
      <c r="E240" s="131" t="s">
        <v>57</v>
      </c>
      <c r="F240" s="52"/>
      <c r="G240" s="132">
        <v>221.0</v>
      </c>
      <c r="H240" s="132">
        <v>50.0</v>
      </c>
      <c r="I240" s="132">
        <v>50.0</v>
      </c>
      <c r="J240" s="132">
        <v>1.0</v>
      </c>
      <c r="K240" s="132">
        <v>1.0</v>
      </c>
      <c r="L240" s="132">
        <v>1.0</v>
      </c>
      <c r="M240" s="132" t="s">
        <v>1491</v>
      </c>
      <c r="N240" s="132" t="s">
        <v>1492</v>
      </c>
      <c r="O240" s="132">
        <v>99.0</v>
      </c>
      <c r="P240" s="132" t="s">
        <v>66</v>
      </c>
      <c r="Q240" s="132">
        <v>1.0</v>
      </c>
      <c r="R240" s="132"/>
      <c r="S240" s="52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</row>
    <row r="241" ht="14.25" customHeight="1">
      <c r="A241" s="133">
        <v>6.0</v>
      </c>
      <c r="B241" s="149" t="s">
        <v>1493</v>
      </c>
      <c r="C241" s="149" t="s">
        <v>1490</v>
      </c>
      <c r="D241" s="131" t="s">
        <v>25</v>
      </c>
      <c r="E241" s="131" t="s">
        <v>57</v>
      </c>
      <c r="F241" s="52"/>
      <c r="G241" s="132">
        <v>476.0</v>
      </c>
      <c r="H241" s="132">
        <v>20.0</v>
      </c>
      <c r="I241" s="132">
        <v>100.0</v>
      </c>
      <c r="J241" s="144" t="s">
        <v>28</v>
      </c>
      <c r="K241" s="144" t="s">
        <v>28</v>
      </c>
      <c r="L241" s="132">
        <v>2.0</v>
      </c>
      <c r="M241" s="132" t="s">
        <v>1491</v>
      </c>
      <c r="N241" s="132" t="s">
        <v>1492</v>
      </c>
      <c r="O241" s="132">
        <v>0.0</v>
      </c>
      <c r="P241" s="132" t="s">
        <v>29</v>
      </c>
      <c r="Q241" s="132">
        <v>0.0</v>
      </c>
      <c r="R241" s="132"/>
      <c r="S241" s="52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</row>
    <row r="242" ht="14.25" customHeight="1">
      <c r="A242" s="133">
        <v>7.0</v>
      </c>
      <c r="B242" s="149" t="s">
        <v>1494</v>
      </c>
      <c r="C242" s="149" t="s">
        <v>1495</v>
      </c>
      <c r="D242" s="131" t="s">
        <v>25</v>
      </c>
      <c r="E242" s="131" t="s">
        <v>57</v>
      </c>
      <c r="F242" s="52"/>
      <c r="G242" s="132">
        <v>30.0</v>
      </c>
      <c r="H242" s="132">
        <v>4.0</v>
      </c>
      <c r="I242" s="132">
        <v>20.0</v>
      </c>
      <c r="J242" s="144" t="s">
        <v>28</v>
      </c>
      <c r="K242" s="144" t="s">
        <v>28</v>
      </c>
      <c r="L242" s="132">
        <v>1.0</v>
      </c>
      <c r="M242" s="132" t="s">
        <v>1491</v>
      </c>
      <c r="N242" s="132" t="s">
        <v>1492</v>
      </c>
      <c r="O242" s="132">
        <v>86.0</v>
      </c>
      <c r="P242" s="132" t="s">
        <v>66</v>
      </c>
      <c r="Q242" s="132">
        <v>0.0</v>
      </c>
      <c r="R242" s="132"/>
      <c r="S242" s="52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</row>
    <row r="243" ht="14.25" customHeight="1">
      <c r="A243" s="133">
        <v>8.0</v>
      </c>
      <c r="B243" s="149" t="s">
        <v>1496</v>
      </c>
      <c r="C243" s="149" t="s">
        <v>1495</v>
      </c>
      <c r="D243" s="131" t="s">
        <v>25</v>
      </c>
      <c r="E243" s="131" t="s">
        <v>57</v>
      </c>
      <c r="F243" s="52"/>
      <c r="G243" s="132">
        <v>110.0</v>
      </c>
      <c r="H243" s="132">
        <v>10.0</v>
      </c>
      <c r="I243" s="132">
        <v>50.0</v>
      </c>
      <c r="J243" s="144" t="s">
        <v>28</v>
      </c>
      <c r="K243" s="144" t="s">
        <v>28</v>
      </c>
      <c r="L243" s="132">
        <v>6.0</v>
      </c>
      <c r="M243" s="132" t="s">
        <v>1491</v>
      </c>
      <c r="N243" s="132" t="s">
        <v>1492</v>
      </c>
      <c r="O243" s="132">
        <v>0.0</v>
      </c>
      <c r="P243" s="132" t="s">
        <v>29</v>
      </c>
      <c r="Q243" s="132">
        <v>0.0</v>
      </c>
      <c r="R243" s="132"/>
      <c r="S243" s="52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</row>
    <row r="244" ht="14.25" customHeight="1">
      <c r="A244" s="133">
        <v>9.0</v>
      </c>
      <c r="B244" s="149" t="s">
        <v>1497</v>
      </c>
      <c r="C244" s="149" t="s">
        <v>1498</v>
      </c>
      <c r="D244" s="131" t="s">
        <v>25</v>
      </c>
      <c r="E244" s="131" t="s">
        <v>57</v>
      </c>
      <c r="F244" s="52"/>
      <c r="G244" s="132">
        <v>200.0</v>
      </c>
      <c r="H244" s="132">
        <v>4.0</v>
      </c>
      <c r="I244" s="132">
        <v>24.0</v>
      </c>
      <c r="J244" s="144" t="s">
        <v>28</v>
      </c>
      <c r="K244" s="144" t="s">
        <v>28</v>
      </c>
      <c r="L244" s="132">
        <v>1.0</v>
      </c>
      <c r="M244" s="132" t="s">
        <v>1491</v>
      </c>
      <c r="N244" s="132" t="s">
        <v>1492</v>
      </c>
      <c r="O244" s="132">
        <v>255.0</v>
      </c>
      <c r="P244" s="132" t="s">
        <v>66</v>
      </c>
      <c r="Q244" s="132">
        <v>1.0</v>
      </c>
      <c r="R244" s="132"/>
      <c r="S244" s="52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</row>
    <row r="245" ht="14.25" customHeight="1">
      <c r="A245" s="133">
        <v>10.0</v>
      </c>
      <c r="B245" s="149" t="s">
        <v>1499</v>
      </c>
      <c r="C245" s="149" t="s">
        <v>1500</v>
      </c>
      <c r="D245" s="131" t="s">
        <v>25</v>
      </c>
      <c r="E245" s="131" t="s">
        <v>57</v>
      </c>
      <c r="F245" s="52"/>
      <c r="G245" s="132">
        <v>500.0</v>
      </c>
      <c r="H245" s="132">
        <v>22.0</v>
      </c>
      <c r="I245" s="132">
        <v>120.0</v>
      </c>
      <c r="J245" s="144" t="s">
        <v>28</v>
      </c>
      <c r="K245" s="144" t="s">
        <v>28</v>
      </c>
      <c r="L245" s="132">
        <v>1.0</v>
      </c>
      <c r="M245" s="132" t="s">
        <v>1491</v>
      </c>
      <c r="N245" s="132" t="s">
        <v>1492</v>
      </c>
      <c r="O245" s="132">
        <v>0.0</v>
      </c>
      <c r="P245" s="132" t="s">
        <v>29</v>
      </c>
      <c r="Q245" s="132">
        <v>0.0</v>
      </c>
      <c r="R245" s="132"/>
      <c r="S245" s="52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</row>
    <row r="246" ht="14.25" customHeight="1">
      <c r="A246" s="133">
        <v>11.0</v>
      </c>
      <c r="B246" s="149" t="s">
        <v>1500</v>
      </c>
      <c r="C246" s="149" t="s">
        <v>1498</v>
      </c>
      <c r="D246" s="131" t="s">
        <v>25</v>
      </c>
      <c r="E246" s="131" t="s">
        <v>57</v>
      </c>
      <c r="F246" s="52"/>
      <c r="G246" s="132">
        <v>600.0</v>
      </c>
      <c r="H246" s="132">
        <v>23.0</v>
      </c>
      <c r="I246" s="132">
        <v>130.0</v>
      </c>
      <c r="J246" s="144" t="s">
        <v>28</v>
      </c>
      <c r="K246" s="144" t="s">
        <v>28</v>
      </c>
      <c r="L246" s="132">
        <v>12.0</v>
      </c>
      <c r="M246" s="132" t="s">
        <v>1491</v>
      </c>
      <c r="N246" s="132" t="s">
        <v>1492</v>
      </c>
      <c r="O246" s="132">
        <v>0.0</v>
      </c>
      <c r="P246" s="132" t="s">
        <v>29</v>
      </c>
      <c r="Q246" s="132">
        <v>0.0</v>
      </c>
      <c r="R246" s="132"/>
      <c r="S246" s="52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</row>
    <row r="247" ht="14.25" customHeight="1">
      <c r="A247" s="133">
        <v>12.0</v>
      </c>
      <c r="B247" s="149" t="s">
        <v>1501</v>
      </c>
      <c r="C247" s="149" t="s">
        <v>1502</v>
      </c>
      <c r="D247" s="131" t="s">
        <v>25</v>
      </c>
      <c r="E247" s="131" t="s">
        <v>57</v>
      </c>
      <c r="F247" s="52"/>
      <c r="G247" s="132">
        <v>96.0</v>
      </c>
      <c r="H247" s="132">
        <v>4.0</v>
      </c>
      <c r="I247" s="132">
        <v>16.0</v>
      </c>
      <c r="J247" s="144" t="s">
        <v>28</v>
      </c>
      <c r="K247" s="144" t="s">
        <v>28</v>
      </c>
      <c r="L247" s="132">
        <v>1.0</v>
      </c>
      <c r="M247" s="132" t="s">
        <v>1491</v>
      </c>
      <c r="N247" s="132" t="s">
        <v>1492</v>
      </c>
      <c r="O247" s="132">
        <v>69.0</v>
      </c>
      <c r="P247" s="132" t="s">
        <v>66</v>
      </c>
      <c r="Q247" s="132">
        <v>0.0</v>
      </c>
      <c r="R247" s="132"/>
      <c r="S247" s="52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</row>
    <row r="248" ht="14.25" customHeight="1">
      <c r="A248" s="133">
        <v>13.0</v>
      </c>
      <c r="B248" s="149" t="s">
        <v>1503</v>
      </c>
      <c r="C248" s="149" t="s">
        <v>1502</v>
      </c>
      <c r="D248" s="131" t="s">
        <v>25</v>
      </c>
      <c r="E248" s="131" t="s">
        <v>57</v>
      </c>
      <c r="F248" s="52"/>
      <c r="G248" s="132">
        <v>264.0</v>
      </c>
      <c r="H248" s="132">
        <v>12.0</v>
      </c>
      <c r="I248" s="132">
        <v>47.0</v>
      </c>
      <c r="J248" s="144" t="s">
        <v>28</v>
      </c>
      <c r="K248" s="144" t="s">
        <v>28</v>
      </c>
      <c r="L248" s="132">
        <v>1.0</v>
      </c>
      <c r="M248" s="132" t="s">
        <v>1491</v>
      </c>
      <c r="N248" s="132" t="s">
        <v>1492</v>
      </c>
      <c r="O248" s="132">
        <v>0.0</v>
      </c>
      <c r="P248" s="132" t="s">
        <v>29</v>
      </c>
      <c r="Q248" s="132">
        <v>0.0</v>
      </c>
      <c r="R248" s="132"/>
      <c r="S248" s="52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  <c r="AD248" s="129"/>
    </row>
    <row r="249" ht="14.25" customHeight="1">
      <c r="A249" s="133">
        <v>14.0</v>
      </c>
      <c r="B249" s="149" t="s">
        <v>1504</v>
      </c>
      <c r="C249" s="149" t="s">
        <v>1502</v>
      </c>
      <c r="D249" s="131" t="s">
        <v>25</v>
      </c>
      <c r="E249" s="131" t="s">
        <v>57</v>
      </c>
      <c r="F249" s="52"/>
      <c r="G249" s="132">
        <v>250.0</v>
      </c>
      <c r="H249" s="132">
        <v>22.0</v>
      </c>
      <c r="I249" s="132">
        <v>108.0</v>
      </c>
      <c r="J249" s="144" t="s">
        <v>28</v>
      </c>
      <c r="K249" s="144" t="s">
        <v>28</v>
      </c>
      <c r="L249" s="132">
        <v>10.0</v>
      </c>
      <c r="M249" s="132" t="s">
        <v>1491</v>
      </c>
      <c r="N249" s="132" t="s">
        <v>1492</v>
      </c>
      <c r="O249" s="132">
        <v>0.0</v>
      </c>
      <c r="P249" s="132" t="s">
        <v>29</v>
      </c>
      <c r="Q249" s="132">
        <v>0.0</v>
      </c>
      <c r="R249" s="132"/>
      <c r="S249" s="52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  <c r="AD249" s="129"/>
    </row>
    <row r="250" ht="14.25" customHeight="1">
      <c r="A250" s="133">
        <v>15.0</v>
      </c>
      <c r="B250" s="149" t="s">
        <v>1505</v>
      </c>
      <c r="C250" s="149" t="s">
        <v>1506</v>
      </c>
      <c r="D250" s="131" t="s">
        <v>25</v>
      </c>
      <c r="E250" s="131" t="s">
        <v>57</v>
      </c>
      <c r="F250" s="52"/>
      <c r="G250" s="132">
        <v>144.0</v>
      </c>
      <c r="H250" s="132">
        <v>10.0</v>
      </c>
      <c r="I250" s="132">
        <v>50.0</v>
      </c>
      <c r="J250" s="144" t="s">
        <v>28</v>
      </c>
      <c r="K250" s="144" t="s">
        <v>28</v>
      </c>
      <c r="L250" s="132">
        <v>1.0</v>
      </c>
      <c r="M250" s="132" t="s">
        <v>1491</v>
      </c>
      <c r="N250" s="132" t="s">
        <v>1492</v>
      </c>
      <c r="O250" s="132">
        <v>97.0</v>
      </c>
      <c r="P250" s="132" t="s">
        <v>66</v>
      </c>
      <c r="Q250" s="132">
        <v>1.0</v>
      </c>
      <c r="R250" s="132"/>
      <c r="S250" s="52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  <c r="AD250" s="129"/>
    </row>
    <row r="251" ht="14.25" customHeight="1">
      <c r="A251" s="133">
        <v>16.0</v>
      </c>
      <c r="B251" s="149" t="s">
        <v>1507</v>
      </c>
      <c r="C251" s="149" t="s">
        <v>1506</v>
      </c>
      <c r="D251" s="131" t="s">
        <v>25</v>
      </c>
      <c r="E251" s="131" t="s">
        <v>57</v>
      </c>
      <c r="F251" s="52"/>
      <c r="G251" s="132">
        <v>400.0</v>
      </c>
      <c r="H251" s="132">
        <v>25.0</v>
      </c>
      <c r="I251" s="132">
        <v>130.0</v>
      </c>
      <c r="J251" s="144" t="s">
        <v>28</v>
      </c>
      <c r="K251" s="144" t="s">
        <v>28</v>
      </c>
      <c r="L251" s="132">
        <v>1.0</v>
      </c>
      <c r="M251" s="132" t="s">
        <v>1491</v>
      </c>
      <c r="N251" s="132" t="s">
        <v>1492</v>
      </c>
      <c r="O251" s="132">
        <v>0.0</v>
      </c>
      <c r="P251" s="132" t="s">
        <v>29</v>
      </c>
      <c r="Q251" s="132">
        <v>0.0</v>
      </c>
      <c r="R251" s="132"/>
      <c r="S251" s="52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  <c r="AD251" s="129"/>
    </row>
    <row r="252" ht="14.25" customHeight="1">
      <c r="A252" s="133">
        <v>17.0</v>
      </c>
      <c r="B252" s="149" t="s">
        <v>1508</v>
      </c>
      <c r="C252" s="149" t="s">
        <v>1509</v>
      </c>
      <c r="D252" s="131" t="s">
        <v>25</v>
      </c>
      <c r="E252" s="131" t="s">
        <v>57</v>
      </c>
      <c r="F252" s="52"/>
      <c r="G252" s="132">
        <v>125.0</v>
      </c>
      <c r="H252" s="132">
        <v>2.0</v>
      </c>
      <c r="I252" s="132">
        <v>8.0</v>
      </c>
      <c r="J252" s="144" t="s">
        <v>28</v>
      </c>
      <c r="K252" s="144" t="s">
        <v>28</v>
      </c>
      <c r="L252" s="132">
        <v>1.0</v>
      </c>
      <c r="M252" s="132" t="s">
        <v>1491</v>
      </c>
      <c r="N252" s="132" t="s">
        <v>1492</v>
      </c>
      <c r="O252" s="132">
        <v>148.0</v>
      </c>
      <c r="P252" s="132" t="s">
        <v>29</v>
      </c>
      <c r="Q252" s="132">
        <v>0.0</v>
      </c>
      <c r="R252" s="132"/>
      <c r="S252" s="52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  <c r="AD252" s="129"/>
    </row>
    <row r="253" ht="14.25" customHeight="1">
      <c r="A253" s="133">
        <v>18.0</v>
      </c>
      <c r="B253" s="149" t="s">
        <v>1510</v>
      </c>
      <c r="C253" s="149" t="s">
        <v>1511</v>
      </c>
      <c r="D253" s="131" t="s">
        <v>25</v>
      </c>
      <c r="E253" s="131" t="s">
        <v>57</v>
      </c>
      <c r="F253" s="52"/>
      <c r="G253" s="132">
        <v>336.0</v>
      </c>
      <c r="H253" s="132">
        <v>12.0</v>
      </c>
      <c r="I253" s="132">
        <v>60.0</v>
      </c>
      <c r="J253" s="144" t="s">
        <v>28</v>
      </c>
      <c r="K253" s="144" t="s">
        <v>28</v>
      </c>
      <c r="L253" s="132">
        <v>1.0</v>
      </c>
      <c r="M253" s="132" t="s">
        <v>1491</v>
      </c>
      <c r="N253" s="132" t="s">
        <v>1492</v>
      </c>
      <c r="O253" s="132">
        <v>0.0</v>
      </c>
      <c r="P253" s="132" t="s">
        <v>29</v>
      </c>
      <c r="Q253" s="132">
        <v>0.0</v>
      </c>
      <c r="R253" s="132"/>
      <c r="S253" s="52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  <c r="AD253" s="129"/>
    </row>
    <row r="254" ht="14.25" customHeight="1">
      <c r="A254" s="133">
        <v>19.0</v>
      </c>
      <c r="B254" s="149" t="s">
        <v>1511</v>
      </c>
      <c r="C254" s="149" t="s">
        <v>1509</v>
      </c>
      <c r="D254" s="131" t="s">
        <v>25</v>
      </c>
      <c r="E254" s="131" t="s">
        <v>57</v>
      </c>
      <c r="F254" s="52"/>
      <c r="G254" s="132">
        <v>545.0</v>
      </c>
      <c r="H254" s="132">
        <v>18.0</v>
      </c>
      <c r="I254" s="132">
        <v>90.0</v>
      </c>
      <c r="J254" s="144" t="s">
        <v>28</v>
      </c>
      <c r="K254" s="144" t="s">
        <v>28</v>
      </c>
      <c r="L254" s="132">
        <v>6.0</v>
      </c>
      <c r="M254" s="132" t="s">
        <v>1491</v>
      </c>
      <c r="N254" s="132" t="s">
        <v>1492</v>
      </c>
      <c r="O254" s="132">
        <v>0.0</v>
      </c>
      <c r="P254" s="132" t="s">
        <v>29</v>
      </c>
      <c r="Q254" s="132">
        <v>0.0</v>
      </c>
      <c r="R254" s="132"/>
      <c r="S254" s="52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  <c r="AD254" s="129"/>
    </row>
    <row r="255" ht="14.25" customHeight="1">
      <c r="A255" s="133">
        <v>20.0</v>
      </c>
      <c r="B255" s="149" t="s">
        <v>1512</v>
      </c>
      <c r="C255" s="149" t="s">
        <v>1513</v>
      </c>
      <c r="D255" s="131" t="s">
        <v>25</v>
      </c>
      <c r="E255" s="131" t="s">
        <v>57</v>
      </c>
      <c r="F255" s="52"/>
      <c r="G255" s="132">
        <v>154.0</v>
      </c>
      <c r="H255" s="132">
        <v>3.0</v>
      </c>
      <c r="I255" s="132">
        <v>12.0</v>
      </c>
      <c r="J255" s="144" t="s">
        <v>28</v>
      </c>
      <c r="K255" s="144" t="s">
        <v>28</v>
      </c>
      <c r="L255" s="132">
        <v>1.0</v>
      </c>
      <c r="M255" s="132" t="s">
        <v>1491</v>
      </c>
      <c r="N255" s="132" t="s">
        <v>1492</v>
      </c>
      <c r="O255" s="132">
        <v>171.0</v>
      </c>
      <c r="P255" s="132" t="s">
        <v>66</v>
      </c>
      <c r="Q255" s="132">
        <v>1.0</v>
      </c>
      <c r="R255" s="132"/>
      <c r="S255" s="52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  <c r="AD255" s="129"/>
    </row>
    <row r="256" ht="14.25" customHeight="1">
      <c r="A256" s="133">
        <v>21.0</v>
      </c>
      <c r="B256" s="149" t="s">
        <v>1514</v>
      </c>
      <c r="C256" s="149" t="s">
        <v>1513</v>
      </c>
      <c r="D256" s="131" t="s">
        <v>25</v>
      </c>
      <c r="E256" s="131" t="s">
        <v>57</v>
      </c>
      <c r="F256" s="52"/>
      <c r="G256" s="132">
        <v>392.0</v>
      </c>
      <c r="H256" s="132">
        <v>20.0</v>
      </c>
      <c r="I256" s="132">
        <v>100.0</v>
      </c>
      <c r="J256" s="144" t="s">
        <v>28</v>
      </c>
      <c r="K256" s="144" t="s">
        <v>28</v>
      </c>
      <c r="L256" s="132">
        <v>1.0</v>
      </c>
      <c r="M256" s="132" t="s">
        <v>1491</v>
      </c>
      <c r="N256" s="132" t="s">
        <v>1492</v>
      </c>
      <c r="O256" s="132">
        <v>0.0</v>
      </c>
      <c r="P256" s="132" t="s">
        <v>29</v>
      </c>
      <c r="Q256" s="132">
        <v>0.0</v>
      </c>
      <c r="R256" s="132"/>
      <c r="S256" s="52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  <c r="AD256" s="129"/>
    </row>
    <row r="257" ht="14.25" customHeight="1">
      <c r="A257" s="133">
        <v>22.0</v>
      </c>
      <c r="B257" s="149" t="s">
        <v>1515</v>
      </c>
      <c r="C257" s="149" t="s">
        <v>1516</v>
      </c>
      <c r="D257" s="131" t="s">
        <v>25</v>
      </c>
      <c r="E257" s="131" t="s">
        <v>57</v>
      </c>
      <c r="F257" s="52"/>
      <c r="G257" s="132">
        <v>220.0</v>
      </c>
      <c r="H257" s="132">
        <v>4.0</v>
      </c>
      <c r="I257" s="132">
        <v>20.0</v>
      </c>
      <c r="J257" s="144" t="s">
        <v>28</v>
      </c>
      <c r="K257" s="144" t="s">
        <v>28</v>
      </c>
      <c r="L257" s="132">
        <v>1.0</v>
      </c>
      <c r="M257" s="132" t="s">
        <v>1491</v>
      </c>
      <c r="N257" s="132" t="s">
        <v>1492</v>
      </c>
      <c r="O257" s="132">
        <v>85.0</v>
      </c>
      <c r="P257" s="132" t="s">
        <v>66</v>
      </c>
      <c r="Q257" s="132">
        <v>1.0</v>
      </c>
      <c r="R257" s="132"/>
      <c r="S257" s="52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</row>
    <row r="258" ht="14.25" customHeight="1">
      <c r="A258" s="133">
        <v>23.0</v>
      </c>
      <c r="B258" s="149" t="s">
        <v>1517</v>
      </c>
      <c r="C258" s="149" t="s">
        <v>1516</v>
      </c>
      <c r="D258" s="131" t="s">
        <v>25</v>
      </c>
      <c r="E258" s="131" t="s">
        <v>57</v>
      </c>
      <c r="F258" s="52"/>
      <c r="G258" s="132">
        <v>500.0</v>
      </c>
      <c r="H258" s="132">
        <v>20.0</v>
      </c>
      <c r="I258" s="132">
        <v>100.0</v>
      </c>
      <c r="J258" s="144" t="s">
        <v>28</v>
      </c>
      <c r="K258" s="144" t="s">
        <v>28</v>
      </c>
      <c r="L258" s="132">
        <v>1.0</v>
      </c>
      <c r="M258" s="132" t="s">
        <v>1491</v>
      </c>
      <c r="N258" s="132" t="s">
        <v>1492</v>
      </c>
      <c r="O258" s="132">
        <v>0.0</v>
      </c>
      <c r="P258" s="132" t="s">
        <v>29</v>
      </c>
      <c r="Q258" s="132">
        <v>0.0</v>
      </c>
      <c r="R258" s="132"/>
      <c r="S258" s="52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  <c r="AD258" s="129"/>
    </row>
    <row r="259" ht="14.25" customHeight="1">
      <c r="A259" s="133">
        <v>24.0</v>
      </c>
      <c r="B259" s="149" t="s">
        <v>1518</v>
      </c>
      <c r="C259" s="149" t="s">
        <v>1519</v>
      </c>
      <c r="D259" s="131" t="s">
        <v>25</v>
      </c>
      <c r="E259" s="131" t="s">
        <v>57</v>
      </c>
      <c r="F259" s="52"/>
      <c r="G259" s="132">
        <v>230.0</v>
      </c>
      <c r="H259" s="132">
        <v>4.0</v>
      </c>
      <c r="I259" s="132">
        <v>20.0</v>
      </c>
      <c r="J259" s="144" t="s">
        <v>28</v>
      </c>
      <c r="K259" s="144" t="s">
        <v>28</v>
      </c>
      <c r="L259" s="132">
        <v>1.0</v>
      </c>
      <c r="M259" s="132" t="s">
        <v>1491</v>
      </c>
      <c r="N259" s="132" t="s">
        <v>1492</v>
      </c>
      <c r="O259" s="132">
        <v>163.0</v>
      </c>
      <c r="P259" s="132" t="s">
        <v>66</v>
      </c>
      <c r="Q259" s="132">
        <v>1.0</v>
      </c>
      <c r="R259" s="132"/>
      <c r="S259" s="52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</row>
    <row r="260" ht="14.25" customHeight="1">
      <c r="A260" s="133">
        <v>25.0</v>
      </c>
      <c r="B260" s="149" t="s">
        <v>1520</v>
      </c>
      <c r="C260" s="149" t="s">
        <v>1519</v>
      </c>
      <c r="D260" s="131" t="s">
        <v>25</v>
      </c>
      <c r="E260" s="131" t="s">
        <v>57</v>
      </c>
      <c r="F260" s="52"/>
      <c r="G260" s="132">
        <v>500.0</v>
      </c>
      <c r="H260" s="132">
        <v>20.0</v>
      </c>
      <c r="I260" s="132">
        <v>100.0</v>
      </c>
      <c r="J260" s="144" t="s">
        <v>28</v>
      </c>
      <c r="K260" s="144" t="s">
        <v>28</v>
      </c>
      <c r="L260" s="132">
        <v>1.0</v>
      </c>
      <c r="M260" s="132" t="s">
        <v>1491</v>
      </c>
      <c r="N260" s="132" t="s">
        <v>1492</v>
      </c>
      <c r="O260" s="132">
        <v>0.0</v>
      </c>
      <c r="P260" s="132" t="s">
        <v>29</v>
      </c>
      <c r="Q260" s="132">
        <v>0.0</v>
      </c>
      <c r="R260" s="132"/>
      <c r="S260" s="52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  <c r="AD260" s="129"/>
    </row>
    <row r="261" ht="14.25" customHeight="1">
      <c r="A261" s="133">
        <v>26.0</v>
      </c>
      <c r="B261" s="149" t="s">
        <v>1521</v>
      </c>
      <c r="C261" s="149" t="s">
        <v>1522</v>
      </c>
      <c r="D261" s="131" t="s">
        <v>25</v>
      </c>
      <c r="E261" s="131" t="s">
        <v>57</v>
      </c>
      <c r="F261" s="52"/>
      <c r="G261" s="132">
        <v>220.0</v>
      </c>
      <c r="H261" s="132">
        <v>3.0</v>
      </c>
      <c r="I261" s="132">
        <v>12.0</v>
      </c>
      <c r="J261" s="144" t="s">
        <v>28</v>
      </c>
      <c r="K261" s="144" t="s">
        <v>28</v>
      </c>
      <c r="L261" s="132">
        <v>1.0</v>
      </c>
      <c r="M261" s="132" t="s">
        <v>1491</v>
      </c>
      <c r="N261" s="132" t="s">
        <v>1492</v>
      </c>
      <c r="O261" s="132">
        <v>94.0</v>
      </c>
      <c r="P261" s="132" t="s">
        <v>66</v>
      </c>
      <c r="Q261" s="132">
        <v>1.0</v>
      </c>
      <c r="R261" s="132"/>
      <c r="S261" s="52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  <c r="AD261" s="129"/>
    </row>
    <row r="262" ht="14.25" customHeight="1">
      <c r="A262" s="133">
        <v>27.0</v>
      </c>
      <c r="B262" s="149" t="s">
        <v>1523</v>
      </c>
      <c r="C262" s="149" t="s">
        <v>1522</v>
      </c>
      <c r="D262" s="131" t="s">
        <v>25</v>
      </c>
      <c r="E262" s="131" t="s">
        <v>57</v>
      </c>
      <c r="F262" s="52"/>
      <c r="G262" s="132">
        <v>500.0</v>
      </c>
      <c r="H262" s="132">
        <v>20.0</v>
      </c>
      <c r="I262" s="132">
        <v>100.0</v>
      </c>
      <c r="J262" s="144" t="s">
        <v>28</v>
      </c>
      <c r="K262" s="144" t="s">
        <v>28</v>
      </c>
      <c r="L262" s="132">
        <v>1.0</v>
      </c>
      <c r="M262" s="132" t="s">
        <v>1491</v>
      </c>
      <c r="N262" s="132" t="s">
        <v>1492</v>
      </c>
      <c r="O262" s="132">
        <v>0.0</v>
      </c>
      <c r="P262" s="132" t="s">
        <v>29</v>
      </c>
      <c r="Q262" s="132">
        <v>0.0</v>
      </c>
      <c r="R262" s="132"/>
      <c r="S262" s="52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  <c r="AD262" s="129"/>
    </row>
    <row r="263" ht="14.25" customHeight="1">
      <c r="A263" s="133">
        <v>28.0</v>
      </c>
      <c r="B263" s="149" t="s">
        <v>1524</v>
      </c>
      <c r="C263" s="149" t="s">
        <v>1522</v>
      </c>
      <c r="D263" s="131" t="s">
        <v>25</v>
      </c>
      <c r="E263" s="131" t="s">
        <v>57</v>
      </c>
      <c r="F263" s="52"/>
      <c r="G263" s="132">
        <v>400.0</v>
      </c>
      <c r="H263" s="132">
        <v>20.0</v>
      </c>
      <c r="I263" s="132">
        <v>100.0</v>
      </c>
      <c r="J263" s="144" t="s">
        <v>28</v>
      </c>
      <c r="K263" s="144" t="s">
        <v>28</v>
      </c>
      <c r="L263" s="132">
        <v>7.0</v>
      </c>
      <c r="M263" s="132" t="s">
        <v>1491</v>
      </c>
      <c r="N263" s="132" t="s">
        <v>1492</v>
      </c>
      <c r="O263" s="132">
        <v>0.0</v>
      </c>
      <c r="P263" s="132" t="s">
        <v>29</v>
      </c>
      <c r="Q263" s="132">
        <v>0.0</v>
      </c>
      <c r="R263" s="132"/>
      <c r="S263" s="52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  <c r="AD263" s="129"/>
    </row>
    <row r="264" ht="14.25" customHeight="1">
      <c r="A264" s="133">
        <v>29.0</v>
      </c>
      <c r="B264" s="149" t="s">
        <v>1525</v>
      </c>
      <c r="C264" s="149" t="s">
        <v>1526</v>
      </c>
      <c r="D264" s="131" t="s">
        <v>25</v>
      </c>
      <c r="E264" s="131" t="s">
        <v>57</v>
      </c>
      <c r="F264" s="52"/>
      <c r="G264" s="132">
        <v>200.0</v>
      </c>
      <c r="H264" s="132">
        <v>8.0</v>
      </c>
      <c r="I264" s="132">
        <v>40.0</v>
      </c>
      <c r="J264" s="144" t="s">
        <v>28</v>
      </c>
      <c r="K264" s="144" t="s">
        <v>28</v>
      </c>
      <c r="L264" s="132">
        <v>1.0</v>
      </c>
      <c r="M264" s="132" t="s">
        <v>1491</v>
      </c>
      <c r="N264" s="132" t="s">
        <v>1492</v>
      </c>
      <c r="O264" s="132">
        <v>112.0</v>
      </c>
      <c r="P264" s="132" t="s">
        <v>66</v>
      </c>
      <c r="Q264" s="132">
        <v>1.0</v>
      </c>
      <c r="R264" s="132"/>
      <c r="S264" s="52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  <c r="AD264" s="129"/>
    </row>
    <row r="265" ht="14.25" customHeight="1">
      <c r="A265" s="133">
        <v>30.0</v>
      </c>
      <c r="B265" s="149" t="s">
        <v>1527</v>
      </c>
      <c r="C265" s="149" t="s">
        <v>1528</v>
      </c>
      <c r="D265" s="131" t="s">
        <v>25</v>
      </c>
      <c r="E265" s="131" t="s">
        <v>57</v>
      </c>
      <c r="F265" s="52"/>
      <c r="G265" s="132">
        <v>230.0</v>
      </c>
      <c r="H265" s="132">
        <v>4.0</v>
      </c>
      <c r="I265" s="132">
        <v>10.0</v>
      </c>
      <c r="J265" s="132">
        <v>0.0</v>
      </c>
      <c r="K265" s="132">
        <v>0.0</v>
      </c>
      <c r="L265" s="132">
        <v>1.0</v>
      </c>
      <c r="M265" s="132" t="s">
        <v>1491</v>
      </c>
      <c r="N265" s="132" t="s">
        <v>1492</v>
      </c>
      <c r="O265" s="132">
        <v>110.0</v>
      </c>
      <c r="P265" s="132" t="s">
        <v>66</v>
      </c>
      <c r="Q265" s="132">
        <v>1.0</v>
      </c>
      <c r="R265" s="132"/>
      <c r="S265" s="52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  <c r="AD265" s="129"/>
    </row>
    <row r="266" ht="14.25" customHeight="1">
      <c r="A266" s="133">
        <v>31.0</v>
      </c>
      <c r="B266" s="149" t="s">
        <v>1529</v>
      </c>
      <c r="C266" s="149" t="s">
        <v>1530</v>
      </c>
      <c r="D266" s="131" t="s">
        <v>25</v>
      </c>
      <c r="E266" s="131" t="s">
        <v>57</v>
      </c>
      <c r="F266" s="52"/>
      <c r="G266" s="132">
        <v>500.0</v>
      </c>
      <c r="H266" s="132">
        <v>12.0</v>
      </c>
      <c r="I266" s="132">
        <v>100.0</v>
      </c>
      <c r="J266" s="132">
        <v>0.0</v>
      </c>
      <c r="K266" s="132">
        <v>0.0</v>
      </c>
      <c r="L266" s="132">
        <v>1.0</v>
      </c>
      <c r="M266" s="132" t="s">
        <v>1491</v>
      </c>
      <c r="N266" s="132" t="s">
        <v>1492</v>
      </c>
      <c r="O266" s="132">
        <v>0.0</v>
      </c>
      <c r="P266" s="132" t="s">
        <v>29</v>
      </c>
      <c r="Q266" s="132">
        <v>0.0</v>
      </c>
      <c r="R266" s="132"/>
      <c r="S266" s="52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  <c r="AD266" s="129"/>
    </row>
    <row r="267" ht="14.25" customHeight="1">
      <c r="A267" s="133">
        <v>32.0</v>
      </c>
      <c r="B267" s="149" t="s">
        <v>1531</v>
      </c>
      <c r="C267" s="149" t="s">
        <v>1532</v>
      </c>
      <c r="D267" s="131" t="s">
        <v>25</v>
      </c>
      <c r="E267" s="131" t="s">
        <v>57</v>
      </c>
      <c r="F267" s="52"/>
      <c r="G267" s="132">
        <v>220.0</v>
      </c>
      <c r="H267" s="132">
        <v>4.0</v>
      </c>
      <c r="I267" s="132">
        <v>12.0</v>
      </c>
      <c r="J267" s="132">
        <v>0.0</v>
      </c>
      <c r="K267" s="132">
        <v>0.0</v>
      </c>
      <c r="L267" s="132">
        <v>1.0</v>
      </c>
      <c r="M267" s="132" t="s">
        <v>1491</v>
      </c>
      <c r="N267" s="132" t="s">
        <v>1492</v>
      </c>
      <c r="O267" s="132">
        <v>100.0</v>
      </c>
      <c r="P267" s="132" t="s">
        <v>66</v>
      </c>
      <c r="Q267" s="132">
        <v>1.0</v>
      </c>
      <c r="R267" s="132"/>
      <c r="S267" s="52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  <c r="AD267" s="129"/>
    </row>
    <row r="268" ht="14.25" customHeight="1">
      <c r="A268" s="133">
        <v>33.0</v>
      </c>
      <c r="B268" s="149" t="s">
        <v>1533</v>
      </c>
      <c r="C268" s="149" t="s">
        <v>1532</v>
      </c>
      <c r="D268" s="131" t="s">
        <v>25</v>
      </c>
      <c r="E268" s="131" t="s">
        <v>57</v>
      </c>
      <c r="F268" s="52"/>
      <c r="G268" s="132">
        <v>500.0</v>
      </c>
      <c r="H268" s="132">
        <v>10.0</v>
      </c>
      <c r="I268" s="132">
        <v>70.0</v>
      </c>
      <c r="J268" s="132">
        <v>0.0</v>
      </c>
      <c r="K268" s="132">
        <v>0.0</v>
      </c>
      <c r="L268" s="132">
        <v>1.0</v>
      </c>
      <c r="M268" s="132" t="s">
        <v>1491</v>
      </c>
      <c r="N268" s="132" t="s">
        <v>1492</v>
      </c>
      <c r="O268" s="132">
        <v>0.0</v>
      </c>
      <c r="P268" s="132" t="s">
        <v>29</v>
      </c>
      <c r="Q268" s="132">
        <v>0.0</v>
      </c>
      <c r="R268" s="132"/>
      <c r="S268" s="52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  <c r="AD268" s="129"/>
    </row>
    <row r="269" ht="14.25" customHeight="1">
      <c r="A269" s="133">
        <v>34.0</v>
      </c>
      <c r="B269" s="149" t="s">
        <v>1534</v>
      </c>
      <c r="C269" s="149" t="s">
        <v>1535</v>
      </c>
      <c r="D269" s="131" t="s">
        <v>25</v>
      </c>
      <c r="E269" s="131" t="s">
        <v>57</v>
      </c>
      <c r="F269" s="52"/>
      <c r="G269" s="132">
        <v>40.0</v>
      </c>
      <c r="H269" s="132">
        <v>3.0</v>
      </c>
      <c r="I269" s="132">
        <v>50.0</v>
      </c>
      <c r="J269" s="132">
        <v>0.0</v>
      </c>
      <c r="K269" s="132">
        <v>0.0</v>
      </c>
      <c r="L269" s="132">
        <v>1.0</v>
      </c>
      <c r="M269" s="132" t="s">
        <v>1491</v>
      </c>
      <c r="N269" s="132" t="s">
        <v>1492</v>
      </c>
      <c r="O269" s="132">
        <v>160.0</v>
      </c>
      <c r="P269" s="132" t="s">
        <v>66</v>
      </c>
      <c r="Q269" s="132">
        <v>1.0</v>
      </c>
      <c r="R269" s="132"/>
      <c r="S269" s="52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  <c r="AD269" s="129"/>
    </row>
    <row r="270" ht="14.25" customHeight="1">
      <c r="A270" s="133">
        <v>35.0</v>
      </c>
      <c r="B270" s="149" t="s">
        <v>1536</v>
      </c>
      <c r="C270" s="149" t="s">
        <v>1535</v>
      </c>
      <c r="D270" s="131" t="s">
        <v>25</v>
      </c>
      <c r="E270" s="131" t="s">
        <v>57</v>
      </c>
      <c r="F270" s="52"/>
      <c r="G270" s="132">
        <v>300.0</v>
      </c>
      <c r="H270" s="132">
        <v>10.0</v>
      </c>
      <c r="I270" s="132">
        <v>100.0</v>
      </c>
      <c r="J270" s="132">
        <v>1.0</v>
      </c>
      <c r="K270" s="132">
        <v>1.0</v>
      </c>
      <c r="L270" s="144" t="s">
        <v>28</v>
      </c>
      <c r="M270" s="132" t="s">
        <v>1491</v>
      </c>
      <c r="N270" s="132" t="s">
        <v>1492</v>
      </c>
      <c r="O270" s="132">
        <v>0.0</v>
      </c>
      <c r="P270" s="132" t="s">
        <v>29</v>
      </c>
      <c r="Q270" s="132">
        <v>0.0</v>
      </c>
      <c r="R270" s="132"/>
      <c r="S270" s="52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  <c r="AD270" s="129"/>
    </row>
    <row r="271" ht="14.25" customHeight="1">
      <c r="A271" s="133">
        <v>36.0</v>
      </c>
      <c r="B271" s="149" t="s">
        <v>1537</v>
      </c>
      <c r="C271" s="149" t="s">
        <v>1535</v>
      </c>
      <c r="D271" s="131" t="s">
        <v>25</v>
      </c>
      <c r="E271" s="131" t="s">
        <v>57</v>
      </c>
      <c r="F271" s="52"/>
      <c r="G271" s="132">
        <v>225.0</v>
      </c>
      <c r="H271" s="132">
        <v>12.0</v>
      </c>
      <c r="I271" s="132">
        <v>75.0</v>
      </c>
      <c r="J271" s="132">
        <v>1.0</v>
      </c>
      <c r="K271" s="132">
        <v>1.0</v>
      </c>
      <c r="L271" s="144" t="s">
        <v>28</v>
      </c>
      <c r="M271" s="132" t="s">
        <v>1491</v>
      </c>
      <c r="N271" s="132" t="s">
        <v>1492</v>
      </c>
      <c r="O271" s="132">
        <v>0.0</v>
      </c>
      <c r="P271" s="132" t="s">
        <v>29</v>
      </c>
      <c r="Q271" s="132">
        <v>0.0</v>
      </c>
      <c r="R271" s="132"/>
      <c r="S271" s="52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  <c r="AD271" s="129"/>
    </row>
    <row r="272" ht="14.25" customHeight="1">
      <c r="A272" s="133">
        <v>37.0</v>
      </c>
      <c r="B272" s="149" t="s">
        <v>1538</v>
      </c>
      <c r="C272" s="149" t="s">
        <v>1539</v>
      </c>
      <c r="D272" s="131" t="s">
        <v>25</v>
      </c>
      <c r="E272" s="131" t="s">
        <v>57</v>
      </c>
      <c r="F272" s="52"/>
      <c r="G272" s="132">
        <v>180.0</v>
      </c>
      <c r="H272" s="132">
        <v>4.0</v>
      </c>
      <c r="I272" s="132">
        <v>16.0</v>
      </c>
      <c r="J272" s="132">
        <v>0.0</v>
      </c>
      <c r="K272" s="132">
        <v>0.0</v>
      </c>
      <c r="L272" s="132">
        <v>1.0</v>
      </c>
      <c r="M272" s="132" t="s">
        <v>1491</v>
      </c>
      <c r="N272" s="132" t="s">
        <v>1492</v>
      </c>
      <c r="O272" s="132">
        <v>115.0</v>
      </c>
      <c r="P272" s="132" t="s">
        <v>66</v>
      </c>
      <c r="Q272" s="132">
        <v>1.0</v>
      </c>
      <c r="R272" s="132"/>
      <c r="S272" s="52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</row>
    <row r="273" ht="14.25" customHeight="1">
      <c r="A273" s="133">
        <v>38.0</v>
      </c>
      <c r="B273" s="149" t="s">
        <v>1540</v>
      </c>
      <c r="C273" s="149" t="s">
        <v>1539</v>
      </c>
      <c r="D273" s="131" t="s">
        <v>25</v>
      </c>
      <c r="E273" s="131" t="s">
        <v>57</v>
      </c>
      <c r="F273" s="52"/>
      <c r="G273" s="132">
        <v>500.0</v>
      </c>
      <c r="H273" s="132">
        <v>12.0</v>
      </c>
      <c r="I273" s="132">
        <v>100.0</v>
      </c>
      <c r="J273" s="132">
        <v>0.0</v>
      </c>
      <c r="K273" s="132">
        <v>0.0</v>
      </c>
      <c r="L273" s="132">
        <v>1.0</v>
      </c>
      <c r="M273" s="132" t="s">
        <v>1491</v>
      </c>
      <c r="N273" s="132" t="s">
        <v>1492</v>
      </c>
      <c r="O273" s="132">
        <v>0.0</v>
      </c>
      <c r="P273" s="132" t="s">
        <v>29</v>
      </c>
      <c r="Q273" s="132">
        <v>0.0</v>
      </c>
      <c r="R273" s="132"/>
      <c r="S273" s="52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</row>
    <row r="274" ht="14.25" customHeight="1">
      <c r="A274" s="133">
        <v>39.0</v>
      </c>
      <c r="B274" s="149" t="s">
        <v>1541</v>
      </c>
      <c r="C274" s="149" t="s">
        <v>1542</v>
      </c>
      <c r="D274" s="131" t="s">
        <v>25</v>
      </c>
      <c r="E274" s="131" t="s">
        <v>57</v>
      </c>
      <c r="F274" s="52"/>
      <c r="G274" s="132">
        <v>125.0</v>
      </c>
      <c r="H274" s="132">
        <v>2.0</v>
      </c>
      <c r="I274" s="132">
        <v>10.0</v>
      </c>
      <c r="J274" s="132">
        <v>0.0</v>
      </c>
      <c r="K274" s="132">
        <v>0.0</v>
      </c>
      <c r="L274" s="132">
        <v>1.0</v>
      </c>
      <c r="M274" s="132" t="s">
        <v>1491</v>
      </c>
      <c r="N274" s="132" t="s">
        <v>1492</v>
      </c>
      <c r="O274" s="132">
        <v>112.0</v>
      </c>
      <c r="P274" s="132" t="s">
        <v>66</v>
      </c>
      <c r="Q274" s="132">
        <v>1.0</v>
      </c>
      <c r="R274" s="132"/>
      <c r="S274" s="52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  <c r="AD274" s="129"/>
    </row>
    <row r="275" ht="14.25" customHeight="1">
      <c r="A275" s="133">
        <v>40.0</v>
      </c>
      <c r="B275" s="149" t="s">
        <v>1543</v>
      </c>
      <c r="C275" s="149" t="s">
        <v>1542</v>
      </c>
      <c r="D275" s="131" t="s">
        <v>25</v>
      </c>
      <c r="E275" s="131" t="s">
        <v>57</v>
      </c>
      <c r="F275" s="52"/>
      <c r="G275" s="132">
        <v>450.0</v>
      </c>
      <c r="H275" s="132">
        <v>8.0</v>
      </c>
      <c r="I275" s="132">
        <v>50.0</v>
      </c>
      <c r="J275" s="132">
        <v>0.0</v>
      </c>
      <c r="K275" s="132">
        <v>0.0</v>
      </c>
      <c r="L275" s="132">
        <v>1.0</v>
      </c>
      <c r="M275" s="132" t="s">
        <v>1491</v>
      </c>
      <c r="N275" s="132" t="s">
        <v>1492</v>
      </c>
      <c r="O275" s="132">
        <v>0.0</v>
      </c>
      <c r="P275" s="132" t="s">
        <v>29</v>
      </c>
      <c r="Q275" s="132">
        <v>0.0</v>
      </c>
      <c r="R275" s="132"/>
      <c r="S275" s="52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</row>
    <row r="276" ht="14.25" customHeight="1">
      <c r="A276" s="133">
        <v>41.0</v>
      </c>
      <c r="B276" s="149" t="s">
        <v>1544</v>
      </c>
      <c r="C276" s="149" t="s">
        <v>1545</v>
      </c>
      <c r="D276" s="131" t="s">
        <v>25</v>
      </c>
      <c r="E276" s="131" t="s">
        <v>57</v>
      </c>
      <c r="F276" s="52"/>
      <c r="G276" s="132">
        <v>220.0</v>
      </c>
      <c r="H276" s="132">
        <v>1.0</v>
      </c>
      <c r="I276" s="132">
        <v>3.0</v>
      </c>
      <c r="J276" s="132">
        <v>0.0</v>
      </c>
      <c r="K276" s="132">
        <v>0.0</v>
      </c>
      <c r="L276" s="132">
        <v>1.0</v>
      </c>
      <c r="M276" s="132" t="s">
        <v>1491</v>
      </c>
      <c r="N276" s="132" t="s">
        <v>1492</v>
      </c>
      <c r="O276" s="132">
        <v>187.0</v>
      </c>
      <c r="P276" s="132" t="s">
        <v>66</v>
      </c>
      <c r="Q276" s="132">
        <v>1.0</v>
      </c>
      <c r="R276" s="132"/>
      <c r="S276" s="52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</row>
    <row r="277" ht="14.25" customHeight="1">
      <c r="A277" s="133">
        <v>42.0</v>
      </c>
      <c r="B277" s="149" t="s">
        <v>1546</v>
      </c>
      <c r="C277" s="149" t="s">
        <v>1545</v>
      </c>
      <c r="D277" s="131" t="s">
        <v>25</v>
      </c>
      <c r="E277" s="131" t="s">
        <v>57</v>
      </c>
      <c r="F277" s="52"/>
      <c r="G277" s="132">
        <v>600.0</v>
      </c>
      <c r="H277" s="132">
        <v>27.0</v>
      </c>
      <c r="I277" s="132">
        <v>40.0</v>
      </c>
      <c r="J277" s="132">
        <v>0.0</v>
      </c>
      <c r="K277" s="132">
        <v>0.0</v>
      </c>
      <c r="L277" s="132">
        <v>12.0</v>
      </c>
      <c r="M277" s="132" t="s">
        <v>1491</v>
      </c>
      <c r="N277" s="132" t="s">
        <v>1492</v>
      </c>
      <c r="O277" s="132">
        <v>0.0</v>
      </c>
      <c r="P277" s="132" t="s">
        <v>29</v>
      </c>
      <c r="Q277" s="132">
        <v>0.0</v>
      </c>
      <c r="R277" s="132"/>
      <c r="S277" s="52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</row>
    <row r="278" ht="14.25" customHeight="1">
      <c r="A278" s="133">
        <v>43.0</v>
      </c>
      <c r="B278" s="149" t="s">
        <v>1547</v>
      </c>
      <c r="C278" s="149" t="s">
        <v>1545</v>
      </c>
      <c r="D278" s="131" t="s">
        <v>25</v>
      </c>
      <c r="E278" s="131" t="s">
        <v>57</v>
      </c>
      <c r="F278" s="52"/>
      <c r="G278" s="132">
        <v>600.0</v>
      </c>
      <c r="H278" s="132">
        <v>20.0</v>
      </c>
      <c r="I278" s="132">
        <v>50.0</v>
      </c>
      <c r="J278" s="132">
        <v>0.0</v>
      </c>
      <c r="K278" s="132">
        <v>0.0</v>
      </c>
      <c r="L278" s="132">
        <v>12.0</v>
      </c>
      <c r="M278" s="132" t="s">
        <v>1491</v>
      </c>
      <c r="N278" s="132" t="s">
        <v>1492</v>
      </c>
      <c r="O278" s="132">
        <v>0.0</v>
      </c>
      <c r="P278" s="132" t="s">
        <v>29</v>
      </c>
      <c r="Q278" s="132">
        <v>0.0</v>
      </c>
      <c r="R278" s="132"/>
      <c r="S278" s="52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</row>
    <row r="279" ht="14.25" customHeight="1">
      <c r="A279" s="133">
        <v>45.0</v>
      </c>
      <c r="B279" s="149" t="s">
        <v>1548</v>
      </c>
      <c r="C279" s="149" t="s">
        <v>1549</v>
      </c>
      <c r="D279" s="131" t="s">
        <v>25</v>
      </c>
      <c r="E279" s="131" t="s">
        <v>57</v>
      </c>
      <c r="F279" s="52"/>
      <c r="G279" s="132">
        <v>400.0</v>
      </c>
      <c r="H279" s="132">
        <v>10.0</v>
      </c>
      <c r="I279" s="132">
        <v>50.0</v>
      </c>
      <c r="J279" s="132">
        <v>1.0</v>
      </c>
      <c r="K279" s="132">
        <v>1.0</v>
      </c>
      <c r="L279" s="132">
        <v>1.0</v>
      </c>
      <c r="M279" s="132" t="s">
        <v>1491</v>
      </c>
      <c r="N279" s="132" t="s">
        <v>1492</v>
      </c>
      <c r="O279" s="132">
        <v>477.0</v>
      </c>
      <c r="P279" s="132" t="s">
        <v>66</v>
      </c>
      <c r="Q279" s="132">
        <v>1.0</v>
      </c>
      <c r="R279" s="132"/>
      <c r="S279" s="52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</row>
    <row r="280" ht="14.25" customHeight="1">
      <c r="A280" s="133">
        <v>46.0</v>
      </c>
      <c r="B280" s="149" t="s">
        <v>1550</v>
      </c>
      <c r="C280" s="149" t="s">
        <v>1549</v>
      </c>
      <c r="D280" s="131" t="s">
        <v>25</v>
      </c>
      <c r="E280" s="131" t="s">
        <v>57</v>
      </c>
      <c r="F280" s="52"/>
      <c r="G280" s="132">
        <v>500.0</v>
      </c>
      <c r="H280" s="132">
        <v>15.0</v>
      </c>
      <c r="I280" s="132">
        <v>100.0</v>
      </c>
      <c r="J280" s="132">
        <v>1.0</v>
      </c>
      <c r="K280" s="132">
        <v>1.0</v>
      </c>
      <c r="L280" s="132">
        <v>1.0</v>
      </c>
      <c r="M280" s="132" t="s">
        <v>1491</v>
      </c>
      <c r="N280" s="132" t="s">
        <v>1492</v>
      </c>
      <c r="O280" s="132">
        <v>0.0</v>
      </c>
      <c r="P280" s="132" t="s">
        <v>29</v>
      </c>
      <c r="Q280" s="132">
        <v>0.0</v>
      </c>
      <c r="R280" s="132"/>
      <c r="S280" s="52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</row>
    <row r="281" ht="14.25" customHeight="1">
      <c r="A281" s="133">
        <v>47.0</v>
      </c>
      <c r="B281" s="149" t="s">
        <v>1551</v>
      </c>
      <c r="C281" s="149" t="s">
        <v>1549</v>
      </c>
      <c r="D281" s="131" t="s">
        <v>25</v>
      </c>
      <c r="E281" s="131" t="s">
        <v>57</v>
      </c>
      <c r="F281" s="52"/>
      <c r="G281" s="132">
        <v>400.0</v>
      </c>
      <c r="H281" s="132">
        <v>18.0</v>
      </c>
      <c r="I281" s="132">
        <v>90.0</v>
      </c>
      <c r="J281" s="132">
        <v>0.0</v>
      </c>
      <c r="K281" s="132">
        <v>0.0</v>
      </c>
      <c r="L281" s="132">
        <v>12.0</v>
      </c>
      <c r="M281" s="132" t="s">
        <v>1491</v>
      </c>
      <c r="N281" s="132" t="s">
        <v>1492</v>
      </c>
      <c r="O281" s="132">
        <v>0.0</v>
      </c>
      <c r="P281" s="132" t="s">
        <v>29</v>
      </c>
      <c r="Q281" s="132">
        <v>0.0</v>
      </c>
      <c r="R281" s="132"/>
      <c r="S281" s="52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</row>
    <row r="282" ht="14.25" customHeight="1">
      <c r="A282" s="133">
        <v>48.0</v>
      </c>
      <c r="B282" s="149" t="s">
        <v>1082</v>
      </c>
      <c r="C282" s="149" t="s">
        <v>1552</v>
      </c>
      <c r="D282" s="131" t="s">
        <v>25</v>
      </c>
      <c r="E282" s="131" t="s">
        <v>57</v>
      </c>
      <c r="F282" s="52"/>
      <c r="G282" s="132">
        <v>220.0</v>
      </c>
      <c r="H282" s="132">
        <v>4.0</v>
      </c>
      <c r="I282" s="132">
        <v>10.0</v>
      </c>
      <c r="J282" s="132">
        <v>0.0</v>
      </c>
      <c r="K282" s="132">
        <v>0.0</v>
      </c>
      <c r="L282" s="132">
        <v>1.0</v>
      </c>
      <c r="M282" s="132" t="s">
        <v>1491</v>
      </c>
      <c r="N282" s="132" t="s">
        <v>1492</v>
      </c>
      <c r="O282" s="132">
        <v>170.0</v>
      </c>
      <c r="P282" s="132" t="s">
        <v>66</v>
      </c>
      <c r="Q282" s="132">
        <v>1.0</v>
      </c>
      <c r="R282" s="132"/>
      <c r="S282" s="52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</row>
    <row r="283" ht="14.25" customHeight="1">
      <c r="A283" s="133">
        <v>49.0</v>
      </c>
      <c r="B283" s="149" t="s">
        <v>1553</v>
      </c>
      <c r="C283" s="149" t="s">
        <v>1552</v>
      </c>
      <c r="D283" s="131" t="s">
        <v>25</v>
      </c>
      <c r="E283" s="131" t="s">
        <v>57</v>
      </c>
      <c r="F283" s="52"/>
      <c r="G283" s="132">
        <v>450.0</v>
      </c>
      <c r="H283" s="132">
        <v>20.0</v>
      </c>
      <c r="I283" s="132">
        <v>60.0</v>
      </c>
      <c r="J283" s="132">
        <v>0.0</v>
      </c>
      <c r="K283" s="132">
        <v>0.0</v>
      </c>
      <c r="L283" s="132">
        <v>1.0</v>
      </c>
      <c r="M283" s="132" t="s">
        <v>1491</v>
      </c>
      <c r="N283" s="132" t="s">
        <v>1492</v>
      </c>
      <c r="O283" s="132">
        <v>0.0</v>
      </c>
      <c r="P283" s="132" t="s">
        <v>29</v>
      </c>
      <c r="Q283" s="132">
        <v>0.0</v>
      </c>
      <c r="R283" s="132"/>
      <c r="S283" s="52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</row>
    <row r="284" ht="14.25" customHeight="1">
      <c r="A284" s="133">
        <v>50.0</v>
      </c>
      <c r="B284" s="149" t="s">
        <v>1554</v>
      </c>
      <c r="C284" s="149" t="s">
        <v>1555</v>
      </c>
      <c r="D284" s="131" t="s">
        <v>25</v>
      </c>
      <c r="E284" s="131" t="s">
        <v>57</v>
      </c>
      <c r="F284" s="52"/>
      <c r="G284" s="132">
        <v>300.0</v>
      </c>
      <c r="H284" s="132">
        <v>20.0</v>
      </c>
      <c r="I284" s="132">
        <v>100.0</v>
      </c>
      <c r="J284" s="132">
        <v>0.0</v>
      </c>
      <c r="K284" s="132">
        <v>0.0</v>
      </c>
      <c r="L284" s="132">
        <v>1.0</v>
      </c>
      <c r="M284" s="132" t="s">
        <v>1491</v>
      </c>
      <c r="N284" s="132" t="s">
        <v>1492</v>
      </c>
      <c r="O284" s="132">
        <v>260.0</v>
      </c>
      <c r="P284" s="132" t="s">
        <v>66</v>
      </c>
      <c r="Q284" s="132">
        <v>1.0</v>
      </c>
      <c r="R284" s="132"/>
      <c r="S284" s="52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</row>
    <row r="285" ht="14.25" customHeight="1">
      <c r="A285" s="133">
        <v>51.0</v>
      </c>
      <c r="B285" s="149" t="s">
        <v>1556</v>
      </c>
      <c r="C285" s="149" t="s">
        <v>1555</v>
      </c>
      <c r="D285" s="131" t="s">
        <v>25</v>
      </c>
      <c r="E285" s="131" t="s">
        <v>57</v>
      </c>
      <c r="F285" s="52"/>
      <c r="G285" s="132">
        <v>450.0</v>
      </c>
      <c r="H285" s="132">
        <v>20.0</v>
      </c>
      <c r="I285" s="132">
        <v>100.0</v>
      </c>
      <c r="J285" s="132">
        <v>0.0</v>
      </c>
      <c r="K285" s="132">
        <v>0.0</v>
      </c>
      <c r="L285" s="132">
        <v>1.0</v>
      </c>
      <c r="M285" s="132" t="s">
        <v>1491</v>
      </c>
      <c r="N285" s="132" t="s">
        <v>1492</v>
      </c>
      <c r="O285" s="132">
        <v>0.0</v>
      </c>
      <c r="P285" s="132" t="s">
        <v>29</v>
      </c>
      <c r="Q285" s="132">
        <v>0.0</v>
      </c>
      <c r="R285" s="132"/>
      <c r="S285" s="52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</row>
    <row r="286" ht="14.25" customHeight="1">
      <c r="A286" s="133">
        <v>52.0</v>
      </c>
      <c r="B286" s="149" t="s">
        <v>1557</v>
      </c>
      <c r="C286" s="149" t="s">
        <v>1558</v>
      </c>
      <c r="D286" s="131" t="s">
        <v>25</v>
      </c>
      <c r="E286" s="131" t="s">
        <v>57</v>
      </c>
      <c r="F286" s="52"/>
      <c r="G286" s="132">
        <v>112.0</v>
      </c>
      <c r="H286" s="132">
        <v>4.0</v>
      </c>
      <c r="I286" s="132">
        <v>12.0</v>
      </c>
      <c r="J286" s="132">
        <v>0.0</v>
      </c>
      <c r="K286" s="132">
        <v>0.0</v>
      </c>
      <c r="L286" s="132">
        <v>1.0</v>
      </c>
      <c r="M286" s="132" t="s">
        <v>1491</v>
      </c>
      <c r="N286" s="132" t="s">
        <v>1492</v>
      </c>
      <c r="O286" s="132">
        <v>130.0</v>
      </c>
      <c r="P286" s="132" t="s">
        <v>66</v>
      </c>
      <c r="Q286" s="132">
        <v>1.0</v>
      </c>
      <c r="R286" s="132"/>
      <c r="S286" s="52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  <c r="AD286" s="129"/>
    </row>
    <row r="287" ht="14.25" customHeight="1">
      <c r="A287" s="133">
        <v>53.0</v>
      </c>
      <c r="B287" s="149" t="s">
        <v>1559</v>
      </c>
      <c r="C287" s="149" t="s">
        <v>1558</v>
      </c>
      <c r="D287" s="131" t="s">
        <v>25</v>
      </c>
      <c r="E287" s="131" t="s">
        <v>57</v>
      </c>
      <c r="F287" s="52"/>
      <c r="G287" s="132">
        <v>260.0</v>
      </c>
      <c r="H287" s="132">
        <v>8.0</v>
      </c>
      <c r="I287" s="132">
        <v>24.0</v>
      </c>
      <c r="J287" s="132">
        <v>0.0</v>
      </c>
      <c r="K287" s="132">
        <v>0.0</v>
      </c>
      <c r="L287" s="132">
        <v>1.0</v>
      </c>
      <c r="M287" s="132" t="s">
        <v>1491</v>
      </c>
      <c r="N287" s="132" t="s">
        <v>1492</v>
      </c>
      <c r="O287" s="132">
        <v>0.0</v>
      </c>
      <c r="P287" s="132" t="s">
        <v>29</v>
      </c>
      <c r="Q287" s="132">
        <v>0.0</v>
      </c>
      <c r="R287" s="132"/>
      <c r="S287" s="52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  <c r="AD287" s="129"/>
    </row>
    <row r="288" ht="14.25" customHeight="1">
      <c r="A288" s="133">
        <v>54.0</v>
      </c>
      <c r="B288" s="149" t="s">
        <v>1560</v>
      </c>
      <c r="C288" s="149" t="s">
        <v>1561</v>
      </c>
      <c r="D288" s="131" t="s">
        <v>25</v>
      </c>
      <c r="E288" s="131" t="s">
        <v>57</v>
      </c>
      <c r="F288" s="52"/>
      <c r="G288" s="132">
        <v>98.0</v>
      </c>
      <c r="H288" s="132">
        <v>2.0</v>
      </c>
      <c r="I288" s="132">
        <v>8.0</v>
      </c>
      <c r="J288" s="132">
        <v>0.0</v>
      </c>
      <c r="K288" s="132">
        <v>0.0</v>
      </c>
      <c r="L288" s="132">
        <v>1.0</v>
      </c>
      <c r="M288" s="132" t="s">
        <v>1491</v>
      </c>
      <c r="N288" s="132" t="s">
        <v>1492</v>
      </c>
      <c r="O288" s="132">
        <v>146.0</v>
      </c>
      <c r="P288" s="132" t="s">
        <v>66</v>
      </c>
      <c r="Q288" s="132">
        <v>1.0</v>
      </c>
      <c r="R288" s="132"/>
      <c r="S288" s="52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</row>
    <row r="289" ht="14.25" customHeight="1">
      <c r="A289" s="133">
        <v>55.0</v>
      </c>
      <c r="B289" s="149" t="s">
        <v>1562</v>
      </c>
      <c r="C289" s="149" t="s">
        <v>1561</v>
      </c>
      <c r="D289" s="131" t="s">
        <v>25</v>
      </c>
      <c r="E289" s="131" t="s">
        <v>57</v>
      </c>
      <c r="F289" s="52"/>
      <c r="G289" s="132">
        <v>287.0</v>
      </c>
      <c r="H289" s="132">
        <v>12.0</v>
      </c>
      <c r="I289" s="132">
        <v>100.0</v>
      </c>
      <c r="J289" s="132">
        <v>0.0</v>
      </c>
      <c r="K289" s="132">
        <v>0.0</v>
      </c>
      <c r="L289" s="132">
        <v>1.0</v>
      </c>
      <c r="M289" s="132" t="s">
        <v>1491</v>
      </c>
      <c r="N289" s="132" t="s">
        <v>1492</v>
      </c>
      <c r="O289" s="132">
        <v>0.0</v>
      </c>
      <c r="P289" s="132" t="s">
        <v>29</v>
      </c>
      <c r="Q289" s="132">
        <v>0.0</v>
      </c>
      <c r="R289" s="132"/>
      <c r="S289" s="52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</row>
    <row r="290" ht="14.25" customHeight="1">
      <c r="A290" s="133">
        <v>56.0</v>
      </c>
      <c r="B290" s="149" t="s">
        <v>1563</v>
      </c>
      <c r="C290" s="149" t="s">
        <v>1564</v>
      </c>
      <c r="D290" s="131" t="s">
        <v>25</v>
      </c>
      <c r="E290" s="131" t="s">
        <v>57</v>
      </c>
      <c r="F290" s="52"/>
      <c r="G290" s="132">
        <v>200.0</v>
      </c>
      <c r="H290" s="132">
        <v>10.0</v>
      </c>
      <c r="I290" s="132">
        <v>40.0</v>
      </c>
      <c r="J290" s="132">
        <v>0.0</v>
      </c>
      <c r="K290" s="132">
        <v>0.0</v>
      </c>
      <c r="L290" s="132">
        <v>1.0</v>
      </c>
      <c r="M290" s="132" t="s">
        <v>1491</v>
      </c>
      <c r="N290" s="132" t="s">
        <v>1492</v>
      </c>
      <c r="O290" s="132">
        <v>279.0</v>
      </c>
      <c r="P290" s="132" t="s">
        <v>66</v>
      </c>
      <c r="Q290" s="132">
        <v>1.0</v>
      </c>
      <c r="R290" s="132"/>
      <c r="S290" s="52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  <c r="AD290" s="129"/>
    </row>
    <row r="291" ht="14.25" customHeight="1">
      <c r="A291" s="133">
        <v>57.0</v>
      </c>
      <c r="B291" s="149" t="s">
        <v>1565</v>
      </c>
      <c r="C291" s="149" t="s">
        <v>1564</v>
      </c>
      <c r="D291" s="131" t="s">
        <v>25</v>
      </c>
      <c r="E291" s="131" t="s">
        <v>57</v>
      </c>
      <c r="F291" s="52"/>
      <c r="G291" s="132">
        <v>576.0</v>
      </c>
      <c r="H291" s="132">
        <v>30.0</v>
      </c>
      <c r="I291" s="132">
        <v>100.0</v>
      </c>
      <c r="J291" s="132">
        <v>0.0</v>
      </c>
      <c r="K291" s="132">
        <v>0.0</v>
      </c>
      <c r="L291" s="132">
        <v>1.0</v>
      </c>
      <c r="M291" s="132" t="s">
        <v>1491</v>
      </c>
      <c r="N291" s="132" t="s">
        <v>1492</v>
      </c>
      <c r="O291" s="132">
        <v>0.0</v>
      </c>
      <c r="P291" s="132" t="s">
        <v>29</v>
      </c>
      <c r="Q291" s="132">
        <v>0.0</v>
      </c>
      <c r="R291" s="132"/>
      <c r="S291" s="52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  <c r="AD291" s="129"/>
    </row>
    <row r="292" ht="14.25" customHeight="1">
      <c r="A292" s="133">
        <v>58.0</v>
      </c>
      <c r="B292" s="149" t="s">
        <v>1566</v>
      </c>
      <c r="C292" s="149" t="s">
        <v>1567</v>
      </c>
      <c r="D292" s="131" t="s">
        <v>25</v>
      </c>
      <c r="E292" s="131" t="s">
        <v>57</v>
      </c>
      <c r="F292" s="52"/>
      <c r="G292" s="132">
        <v>100.0</v>
      </c>
      <c r="H292" s="132">
        <v>2.0</v>
      </c>
      <c r="I292" s="132">
        <v>10.0</v>
      </c>
      <c r="J292" s="132">
        <v>0.0</v>
      </c>
      <c r="K292" s="132">
        <v>0.0</v>
      </c>
      <c r="L292" s="132">
        <v>1.0</v>
      </c>
      <c r="M292" s="132" t="s">
        <v>1491</v>
      </c>
      <c r="N292" s="132" t="s">
        <v>1492</v>
      </c>
      <c r="O292" s="132">
        <v>91.0</v>
      </c>
      <c r="P292" s="132" t="s">
        <v>66</v>
      </c>
      <c r="Q292" s="132">
        <v>1.0</v>
      </c>
      <c r="R292" s="132"/>
      <c r="S292" s="52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  <c r="AD292" s="129"/>
    </row>
    <row r="293" ht="14.25" customHeight="1">
      <c r="A293" s="133">
        <v>59.0</v>
      </c>
      <c r="B293" s="149" t="s">
        <v>1568</v>
      </c>
      <c r="C293" s="149" t="s">
        <v>1567</v>
      </c>
      <c r="D293" s="131" t="s">
        <v>25</v>
      </c>
      <c r="E293" s="131" t="s">
        <v>57</v>
      </c>
      <c r="F293" s="52"/>
      <c r="G293" s="132">
        <v>420.0</v>
      </c>
      <c r="H293" s="132">
        <v>4.0</v>
      </c>
      <c r="I293" s="132">
        <v>30.0</v>
      </c>
      <c r="J293" s="132">
        <v>0.0</v>
      </c>
      <c r="K293" s="132">
        <v>0.0</v>
      </c>
      <c r="L293" s="132">
        <v>1.0</v>
      </c>
      <c r="M293" s="132" t="s">
        <v>1491</v>
      </c>
      <c r="N293" s="132" t="s">
        <v>1492</v>
      </c>
      <c r="O293" s="132">
        <v>0.0</v>
      </c>
      <c r="P293" s="132" t="s">
        <v>29</v>
      </c>
      <c r="Q293" s="132">
        <v>0.0</v>
      </c>
      <c r="R293" s="132"/>
      <c r="S293" s="52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</row>
    <row r="294" ht="14.25" customHeight="1">
      <c r="A294" s="19"/>
      <c r="B294" s="20" t="s">
        <v>1569</v>
      </c>
      <c r="C294" s="21"/>
      <c r="D294" s="22"/>
      <c r="E294" s="22"/>
      <c r="F294" s="23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  <c r="AD294" s="129"/>
    </row>
    <row r="295" ht="14.25" customHeight="1">
      <c r="A295" s="133">
        <v>1.0</v>
      </c>
      <c r="B295" s="131" t="s">
        <v>1570</v>
      </c>
      <c r="C295" s="131" t="s">
        <v>1571</v>
      </c>
      <c r="D295" s="131" t="s">
        <v>25</v>
      </c>
      <c r="E295" s="149" t="s">
        <v>57</v>
      </c>
      <c r="F295" s="55"/>
      <c r="G295" s="130">
        <v>348.0</v>
      </c>
      <c r="H295" s="130" t="s">
        <v>39</v>
      </c>
      <c r="I295" s="130" t="s">
        <v>39</v>
      </c>
      <c r="J295" s="130">
        <v>1.0</v>
      </c>
      <c r="K295" s="130">
        <v>1.0</v>
      </c>
      <c r="L295" s="130">
        <v>0.0</v>
      </c>
      <c r="M295" s="130">
        <v>1.0</v>
      </c>
      <c r="N295" s="130">
        <v>1.0</v>
      </c>
      <c r="O295" s="130" t="s">
        <v>39</v>
      </c>
      <c r="P295" s="130" t="s">
        <v>335</v>
      </c>
      <c r="Q295" s="130" t="s">
        <v>39</v>
      </c>
      <c r="R295" s="180">
        <v>44616.0</v>
      </c>
      <c r="S295" s="52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  <c r="AD295" s="129"/>
    </row>
    <row r="296" ht="14.25" customHeight="1">
      <c r="A296" s="133">
        <v>2.0</v>
      </c>
      <c r="B296" s="131" t="s">
        <v>1572</v>
      </c>
      <c r="C296" s="131" t="s">
        <v>1571</v>
      </c>
      <c r="D296" s="131" t="s">
        <v>25</v>
      </c>
      <c r="E296" s="149" t="s">
        <v>57</v>
      </c>
      <c r="F296" s="55"/>
      <c r="G296" s="130">
        <v>450.0</v>
      </c>
      <c r="H296" s="130">
        <v>10.0</v>
      </c>
      <c r="I296" s="130">
        <v>80.0</v>
      </c>
      <c r="J296" s="130">
        <v>1.0</v>
      </c>
      <c r="K296" s="130">
        <v>1.0</v>
      </c>
      <c r="L296" s="130">
        <v>1.0</v>
      </c>
      <c r="M296" s="130">
        <v>1.0</v>
      </c>
      <c r="N296" s="130">
        <v>1.0</v>
      </c>
      <c r="O296" s="130" t="s">
        <v>39</v>
      </c>
      <c r="P296" s="130" t="s">
        <v>335</v>
      </c>
      <c r="Q296" s="130" t="s">
        <v>39</v>
      </c>
      <c r="R296" s="132"/>
      <c r="S296" s="52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</row>
    <row r="297" ht="14.25" customHeight="1">
      <c r="A297" s="133">
        <v>3.0</v>
      </c>
      <c r="B297" s="131" t="s">
        <v>1573</v>
      </c>
      <c r="C297" s="131" t="s">
        <v>1574</v>
      </c>
      <c r="D297" s="131" t="s">
        <v>25</v>
      </c>
      <c r="E297" s="149" t="s">
        <v>57</v>
      </c>
      <c r="F297" s="55"/>
      <c r="G297" s="130">
        <v>24.0</v>
      </c>
      <c r="H297" s="130">
        <v>2.0</v>
      </c>
      <c r="I297" s="130">
        <v>20.0</v>
      </c>
      <c r="J297" s="130">
        <v>1.0</v>
      </c>
      <c r="K297" s="130">
        <v>1.0</v>
      </c>
      <c r="L297" s="130">
        <v>1.0</v>
      </c>
      <c r="M297" s="130">
        <v>1.0</v>
      </c>
      <c r="N297" s="130">
        <v>1.0</v>
      </c>
      <c r="O297" s="130" t="s">
        <v>39</v>
      </c>
      <c r="P297" s="130" t="s">
        <v>335</v>
      </c>
      <c r="Q297" s="130" t="s">
        <v>39</v>
      </c>
      <c r="R297" s="132"/>
      <c r="S297" s="52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  <c r="AD297" s="129"/>
    </row>
    <row r="298" ht="14.25" customHeight="1">
      <c r="A298" s="133">
        <v>4.0</v>
      </c>
      <c r="B298" s="131" t="s">
        <v>1575</v>
      </c>
      <c r="C298" s="131" t="s">
        <v>1576</v>
      </c>
      <c r="D298" s="131" t="s">
        <v>25</v>
      </c>
      <c r="E298" s="149" t="s">
        <v>57</v>
      </c>
      <c r="F298" s="55"/>
      <c r="G298" s="130">
        <v>35.0</v>
      </c>
      <c r="H298" s="130">
        <v>5.0</v>
      </c>
      <c r="I298" s="130">
        <v>50.0</v>
      </c>
      <c r="J298" s="130">
        <v>1.0</v>
      </c>
      <c r="K298" s="130">
        <v>1.0</v>
      </c>
      <c r="L298" s="130">
        <v>1.0</v>
      </c>
      <c r="M298" s="130">
        <v>1.0</v>
      </c>
      <c r="N298" s="130">
        <v>1.0</v>
      </c>
      <c r="O298" s="130" t="s">
        <v>39</v>
      </c>
      <c r="P298" s="130" t="s">
        <v>335</v>
      </c>
      <c r="Q298" s="130" t="s">
        <v>39</v>
      </c>
      <c r="R298" s="132"/>
      <c r="S298" s="52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  <c r="AD298" s="129"/>
    </row>
    <row r="299" ht="14.25" customHeight="1">
      <c r="A299" s="133">
        <v>5.0</v>
      </c>
      <c r="B299" s="131" t="s">
        <v>1577</v>
      </c>
      <c r="C299" s="131" t="s">
        <v>1576</v>
      </c>
      <c r="D299" s="131" t="s">
        <v>25</v>
      </c>
      <c r="E299" s="149" t="s">
        <v>57</v>
      </c>
      <c r="F299" s="55"/>
      <c r="G299" s="130">
        <v>76.0</v>
      </c>
      <c r="H299" s="130">
        <v>2.0</v>
      </c>
      <c r="I299" s="130">
        <v>20.0</v>
      </c>
      <c r="J299" s="130">
        <v>1.0</v>
      </c>
      <c r="K299" s="130">
        <v>1.0</v>
      </c>
      <c r="L299" s="130">
        <v>1.0</v>
      </c>
      <c r="M299" s="130">
        <v>1.0</v>
      </c>
      <c r="N299" s="130">
        <v>1.0</v>
      </c>
      <c r="O299" s="130" t="s">
        <v>39</v>
      </c>
      <c r="P299" s="130" t="s">
        <v>335</v>
      </c>
      <c r="Q299" s="130" t="s">
        <v>39</v>
      </c>
      <c r="R299" s="132"/>
      <c r="S299" s="52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</row>
    <row r="300" ht="14.25" customHeight="1">
      <c r="A300" s="133">
        <v>6.0</v>
      </c>
      <c r="B300" s="131" t="s">
        <v>1578</v>
      </c>
      <c r="C300" s="131" t="s">
        <v>1576</v>
      </c>
      <c r="D300" s="149" t="s">
        <v>25</v>
      </c>
      <c r="E300" s="149" t="s">
        <v>57</v>
      </c>
      <c r="F300" s="55"/>
      <c r="G300" s="130">
        <v>400.0</v>
      </c>
      <c r="H300" s="130">
        <v>10.0</v>
      </c>
      <c r="I300" s="130">
        <v>100.0</v>
      </c>
      <c r="J300" s="130">
        <v>1.0</v>
      </c>
      <c r="K300" s="130">
        <v>1.0</v>
      </c>
      <c r="L300" s="130">
        <v>1.0</v>
      </c>
      <c r="M300" s="130">
        <v>1.0</v>
      </c>
      <c r="N300" s="130">
        <v>1.0</v>
      </c>
      <c r="O300" s="130" t="s">
        <v>39</v>
      </c>
      <c r="P300" s="130" t="s">
        <v>335</v>
      </c>
      <c r="Q300" s="130" t="s">
        <v>39</v>
      </c>
      <c r="R300" s="132"/>
      <c r="S300" s="52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</row>
    <row r="301" ht="14.25" customHeight="1">
      <c r="A301" s="133">
        <v>7.0</v>
      </c>
      <c r="B301" s="131" t="s">
        <v>1579</v>
      </c>
      <c r="C301" s="131" t="s">
        <v>1580</v>
      </c>
      <c r="D301" s="131" t="s">
        <v>25</v>
      </c>
      <c r="E301" s="149" t="s">
        <v>57</v>
      </c>
      <c r="F301" s="55"/>
      <c r="G301" s="130">
        <v>681.0</v>
      </c>
      <c r="H301" s="130">
        <v>12.0</v>
      </c>
      <c r="I301" s="130">
        <v>120.0</v>
      </c>
      <c r="J301" s="130">
        <v>1.0</v>
      </c>
      <c r="K301" s="130">
        <v>1.0</v>
      </c>
      <c r="L301" s="130">
        <v>1.0</v>
      </c>
      <c r="M301" s="130">
        <v>1.0</v>
      </c>
      <c r="N301" s="130">
        <v>1.0</v>
      </c>
      <c r="O301" s="130" t="s">
        <v>39</v>
      </c>
      <c r="P301" s="130" t="s">
        <v>335</v>
      </c>
      <c r="Q301" s="130" t="s">
        <v>39</v>
      </c>
      <c r="R301" s="132"/>
      <c r="S301" s="52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  <c r="AD301" s="129"/>
    </row>
    <row r="302" ht="14.25" customHeight="1">
      <c r="A302" s="133">
        <v>8.0</v>
      </c>
      <c r="B302" s="131" t="s">
        <v>1581</v>
      </c>
      <c r="C302" s="131" t="s">
        <v>1580</v>
      </c>
      <c r="D302" s="131" t="s">
        <v>25</v>
      </c>
      <c r="E302" s="149" t="s">
        <v>57</v>
      </c>
      <c r="F302" s="55"/>
      <c r="G302" s="130">
        <v>586.6</v>
      </c>
      <c r="H302" s="130">
        <v>10.0</v>
      </c>
      <c r="I302" s="130">
        <v>100.0</v>
      </c>
      <c r="J302" s="130">
        <v>1.0</v>
      </c>
      <c r="K302" s="130">
        <v>1.0</v>
      </c>
      <c r="L302" s="130">
        <v>1.0</v>
      </c>
      <c r="M302" s="130">
        <v>1.0</v>
      </c>
      <c r="N302" s="130">
        <v>1.0</v>
      </c>
      <c r="O302" s="130" t="s">
        <v>39</v>
      </c>
      <c r="P302" s="130" t="s">
        <v>335</v>
      </c>
      <c r="Q302" s="130" t="s">
        <v>39</v>
      </c>
      <c r="R302" s="132"/>
      <c r="S302" s="52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  <c r="AD302" s="129"/>
    </row>
    <row r="303" ht="14.25" customHeight="1">
      <c r="A303" s="133">
        <v>9.0</v>
      </c>
      <c r="B303" s="131" t="s">
        <v>1582</v>
      </c>
      <c r="C303" s="131" t="s">
        <v>1580</v>
      </c>
      <c r="D303" s="131" t="s">
        <v>25</v>
      </c>
      <c r="E303" s="149" t="s">
        <v>57</v>
      </c>
      <c r="F303" s="55"/>
      <c r="G303" s="130">
        <v>60.59</v>
      </c>
      <c r="H303" s="130">
        <v>3.0</v>
      </c>
      <c r="I303" s="130">
        <v>30.0</v>
      </c>
      <c r="J303" s="130">
        <v>1.0</v>
      </c>
      <c r="K303" s="130">
        <v>1.0</v>
      </c>
      <c r="L303" s="130">
        <v>1.0</v>
      </c>
      <c r="M303" s="130">
        <v>1.0</v>
      </c>
      <c r="N303" s="130">
        <v>1.0</v>
      </c>
      <c r="O303" s="130" t="s">
        <v>39</v>
      </c>
      <c r="P303" s="130" t="s">
        <v>335</v>
      </c>
      <c r="Q303" s="130" t="s">
        <v>39</v>
      </c>
      <c r="R303" s="132"/>
      <c r="S303" s="52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  <c r="AD303" s="129"/>
    </row>
    <row r="304" ht="14.25" customHeight="1">
      <c r="A304" s="133">
        <v>10.0</v>
      </c>
      <c r="B304" s="131" t="s">
        <v>1583</v>
      </c>
      <c r="C304" s="131" t="s">
        <v>1580</v>
      </c>
      <c r="D304" s="131" t="s">
        <v>25</v>
      </c>
      <c r="E304" s="149" t="s">
        <v>57</v>
      </c>
      <c r="F304" s="55"/>
      <c r="G304" s="130">
        <v>776.0</v>
      </c>
      <c r="H304" s="130">
        <v>7.0</v>
      </c>
      <c r="I304" s="130">
        <v>70.0</v>
      </c>
      <c r="J304" s="130">
        <v>1.0</v>
      </c>
      <c r="K304" s="130">
        <v>1.0</v>
      </c>
      <c r="L304" s="130">
        <v>1.0</v>
      </c>
      <c r="M304" s="130">
        <v>1.0</v>
      </c>
      <c r="N304" s="130">
        <v>1.0</v>
      </c>
      <c r="O304" s="130" t="s">
        <v>39</v>
      </c>
      <c r="P304" s="130" t="s">
        <v>335</v>
      </c>
      <c r="Q304" s="130" t="s">
        <v>39</v>
      </c>
      <c r="R304" s="132"/>
      <c r="S304" s="52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  <c r="AD304" s="129"/>
    </row>
    <row r="305" ht="14.25" customHeight="1">
      <c r="A305" s="133">
        <v>11.0</v>
      </c>
      <c r="B305" s="131" t="s">
        <v>1584</v>
      </c>
      <c r="C305" s="131" t="s">
        <v>1580</v>
      </c>
      <c r="D305" s="131" t="s">
        <v>25</v>
      </c>
      <c r="E305" s="149" t="s">
        <v>57</v>
      </c>
      <c r="F305" s="55"/>
      <c r="G305" s="130">
        <v>903.0</v>
      </c>
      <c r="H305" s="130">
        <v>14.0</v>
      </c>
      <c r="I305" s="130">
        <v>140.0</v>
      </c>
      <c r="J305" s="130">
        <v>1.0</v>
      </c>
      <c r="K305" s="130">
        <v>1.0</v>
      </c>
      <c r="L305" s="130">
        <v>1.0</v>
      </c>
      <c r="M305" s="130">
        <v>1.0</v>
      </c>
      <c r="N305" s="130">
        <v>1.0</v>
      </c>
      <c r="O305" s="130" t="s">
        <v>39</v>
      </c>
      <c r="P305" s="130" t="s">
        <v>335</v>
      </c>
      <c r="Q305" s="130" t="s">
        <v>39</v>
      </c>
      <c r="R305" s="132"/>
      <c r="S305" s="52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  <c r="AD305" s="129"/>
    </row>
    <row r="306" ht="14.25" customHeight="1">
      <c r="A306" s="133">
        <v>12.0</v>
      </c>
      <c r="B306" s="131" t="s">
        <v>1585</v>
      </c>
      <c r="C306" s="131" t="s">
        <v>1586</v>
      </c>
      <c r="D306" s="131" t="s">
        <v>25</v>
      </c>
      <c r="E306" s="149" t="s">
        <v>57</v>
      </c>
      <c r="F306" s="55"/>
      <c r="G306" s="130">
        <v>42.2</v>
      </c>
      <c r="H306" s="130">
        <v>3.0</v>
      </c>
      <c r="I306" s="130">
        <v>30.0</v>
      </c>
      <c r="J306" s="130">
        <v>1.0</v>
      </c>
      <c r="K306" s="130">
        <v>1.0</v>
      </c>
      <c r="L306" s="130">
        <v>1.0</v>
      </c>
      <c r="M306" s="130">
        <v>1.0</v>
      </c>
      <c r="N306" s="130">
        <v>1.0</v>
      </c>
      <c r="O306" s="130" t="s">
        <v>39</v>
      </c>
      <c r="P306" s="130" t="s">
        <v>335</v>
      </c>
      <c r="Q306" s="130" t="s">
        <v>39</v>
      </c>
      <c r="R306" s="132"/>
      <c r="S306" s="52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  <c r="AD306" s="129"/>
    </row>
    <row r="307" ht="14.25" customHeight="1">
      <c r="A307" s="133">
        <v>13.0</v>
      </c>
      <c r="B307" s="131" t="s">
        <v>1587</v>
      </c>
      <c r="C307" s="131" t="s">
        <v>1586</v>
      </c>
      <c r="D307" s="131" t="s">
        <v>25</v>
      </c>
      <c r="E307" s="149" t="s">
        <v>57</v>
      </c>
      <c r="F307" s="55"/>
      <c r="G307" s="130">
        <v>218.0</v>
      </c>
      <c r="H307" s="130">
        <v>5.0</v>
      </c>
      <c r="I307" s="130">
        <v>50.0</v>
      </c>
      <c r="J307" s="130">
        <v>1.0</v>
      </c>
      <c r="K307" s="130">
        <v>1.0</v>
      </c>
      <c r="L307" s="130">
        <v>1.0</v>
      </c>
      <c r="M307" s="130">
        <v>1.0</v>
      </c>
      <c r="N307" s="130">
        <v>1.0</v>
      </c>
      <c r="O307" s="130" t="s">
        <v>39</v>
      </c>
      <c r="P307" s="130" t="s">
        <v>335</v>
      </c>
      <c r="Q307" s="130" t="s">
        <v>39</v>
      </c>
      <c r="R307" s="132"/>
      <c r="S307" s="52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  <c r="AD307" s="129"/>
    </row>
    <row r="308" ht="14.25" customHeight="1">
      <c r="A308" s="133">
        <v>14.0</v>
      </c>
      <c r="B308" s="131" t="s">
        <v>1588</v>
      </c>
      <c r="C308" s="131" t="s">
        <v>1589</v>
      </c>
      <c r="D308" s="131" t="s">
        <v>25</v>
      </c>
      <c r="E308" s="149" t="s">
        <v>57</v>
      </c>
      <c r="F308" s="55"/>
      <c r="G308" s="130">
        <v>1029.0</v>
      </c>
      <c r="H308" s="130">
        <v>14.0</v>
      </c>
      <c r="I308" s="130">
        <v>140.0</v>
      </c>
      <c r="J308" s="130">
        <v>1.0</v>
      </c>
      <c r="K308" s="130">
        <v>1.0</v>
      </c>
      <c r="L308" s="130">
        <v>1.0</v>
      </c>
      <c r="M308" s="130">
        <v>1.0</v>
      </c>
      <c r="N308" s="130">
        <v>1.0</v>
      </c>
      <c r="O308" s="130" t="s">
        <v>39</v>
      </c>
      <c r="P308" s="130" t="s">
        <v>335</v>
      </c>
      <c r="Q308" s="130" t="s">
        <v>39</v>
      </c>
      <c r="R308" s="132"/>
      <c r="S308" s="52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9"/>
    </row>
    <row r="309" ht="14.25" customHeight="1">
      <c r="A309" s="133">
        <v>15.0</v>
      </c>
      <c r="B309" s="131" t="s">
        <v>1590</v>
      </c>
      <c r="C309" s="131" t="s">
        <v>1591</v>
      </c>
      <c r="D309" s="131" t="s">
        <v>25</v>
      </c>
      <c r="E309" s="149" t="s">
        <v>57</v>
      </c>
      <c r="F309" s="55"/>
      <c r="G309" s="130">
        <v>135.0</v>
      </c>
      <c r="H309" s="130">
        <v>5.0</v>
      </c>
      <c r="I309" s="130">
        <v>50.0</v>
      </c>
      <c r="J309" s="130">
        <v>1.0</v>
      </c>
      <c r="K309" s="130">
        <v>1.0</v>
      </c>
      <c r="L309" s="130">
        <v>1.0</v>
      </c>
      <c r="M309" s="130">
        <v>1.0</v>
      </c>
      <c r="N309" s="130">
        <v>1.0</v>
      </c>
      <c r="O309" s="130" t="s">
        <v>39</v>
      </c>
      <c r="P309" s="130" t="s">
        <v>335</v>
      </c>
      <c r="Q309" s="130" t="s">
        <v>39</v>
      </c>
      <c r="R309" s="132"/>
      <c r="S309" s="52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  <c r="AD309" s="129"/>
    </row>
    <row r="310" ht="14.25" customHeight="1">
      <c r="A310" s="133">
        <v>16.0</v>
      </c>
      <c r="B310" s="131" t="s">
        <v>1592</v>
      </c>
      <c r="C310" s="131" t="s">
        <v>1593</v>
      </c>
      <c r="D310" s="131" t="s">
        <v>25</v>
      </c>
      <c r="E310" s="149" t="s">
        <v>57</v>
      </c>
      <c r="F310" s="55"/>
      <c r="G310" s="130">
        <v>136.0</v>
      </c>
      <c r="H310" s="130">
        <v>15.0</v>
      </c>
      <c r="I310" s="130">
        <v>150.0</v>
      </c>
      <c r="J310" s="130">
        <v>1.0</v>
      </c>
      <c r="K310" s="130">
        <v>1.0</v>
      </c>
      <c r="L310" s="130">
        <v>1.0</v>
      </c>
      <c r="M310" s="130">
        <v>1.0</v>
      </c>
      <c r="N310" s="130">
        <v>1.0</v>
      </c>
      <c r="O310" s="130" t="s">
        <v>39</v>
      </c>
      <c r="P310" s="130" t="s">
        <v>335</v>
      </c>
      <c r="Q310" s="130" t="s">
        <v>39</v>
      </c>
      <c r="R310" s="132"/>
      <c r="S310" s="52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</row>
    <row r="311" ht="14.25" customHeight="1">
      <c r="A311" s="133">
        <v>17.0</v>
      </c>
      <c r="B311" s="131" t="s">
        <v>1594</v>
      </c>
      <c r="C311" s="131" t="s">
        <v>1595</v>
      </c>
      <c r="D311" s="131" t="s">
        <v>25</v>
      </c>
      <c r="E311" s="149" t="s">
        <v>57</v>
      </c>
      <c r="F311" s="55"/>
      <c r="G311" s="130">
        <v>375.0</v>
      </c>
      <c r="H311" s="130">
        <v>12.0</v>
      </c>
      <c r="I311" s="130">
        <v>120.0</v>
      </c>
      <c r="J311" s="130">
        <v>1.0</v>
      </c>
      <c r="K311" s="130">
        <v>1.0</v>
      </c>
      <c r="L311" s="130">
        <v>1.0</v>
      </c>
      <c r="M311" s="130">
        <v>1.0</v>
      </c>
      <c r="N311" s="130">
        <v>1.0</v>
      </c>
      <c r="O311" s="130" t="s">
        <v>39</v>
      </c>
      <c r="P311" s="130" t="s">
        <v>335</v>
      </c>
      <c r="Q311" s="130" t="s">
        <v>39</v>
      </c>
      <c r="R311" s="132"/>
      <c r="S311" s="52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</row>
    <row r="312" ht="14.25" customHeight="1">
      <c r="A312" s="133">
        <v>18.0</v>
      </c>
      <c r="B312" s="131" t="s">
        <v>1596</v>
      </c>
      <c r="C312" s="131" t="s">
        <v>1597</v>
      </c>
      <c r="D312" s="131" t="s">
        <v>25</v>
      </c>
      <c r="E312" s="149" t="s">
        <v>57</v>
      </c>
      <c r="F312" s="55"/>
      <c r="G312" s="130">
        <v>153.1</v>
      </c>
      <c r="H312" s="130">
        <v>16.0</v>
      </c>
      <c r="I312" s="130">
        <v>160.0</v>
      </c>
      <c r="J312" s="130">
        <v>1.0</v>
      </c>
      <c r="K312" s="130">
        <v>1.0</v>
      </c>
      <c r="L312" s="130">
        <v>1.0</v>
      </c>
      <c r="M312" s="130">
        <v>1.0</v>
      </c>
      <c r="N312" s="130">
        <v>1.0</v>
      </c>
      <c r="O312" s="130" t="s">
        <v>39</v>
      </c>
      <c r="P312" s="130" t="s">
        <v>335</v>
      </c>
      <c r="Q312" s="130" t="s">
        <v>39</v>
      </c>
      <c r="R312" s="132"/>
      <c r="S312" s="52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  <c r="AD312" s="129"/>
    </row>
    <row r="313" ht="14.25" customHeight="1">
      <c r="A313" s="133">
        <v>19.0</v>
      </c>
      <c r="B313" s="131" t="s">
        <v>1598</v>
      </c>
      <c r="C313" s="131" t="s">
        <v>1597</v>
      </c>
      <c r="D313" s="131" t="s">
        <v>25</v>
      </c>
      <c r="E313" s="149" t="s">
        <v>57</v>
      </c>
      <c r="F313" s="55"/>
      <c r="G313" s="130">
        <v>164.5</v>
      </c>
      <c r="H313" s="130">
        <v>20.0</v>
      </c>
      <c r="I313" s="130">
        <v>200.0</v>
      </c>
      <c r="J313" s="130">
        <v>0.0</v>
      </c>
      <c r="K313" s="130">
        <v>0.0</v>
      </c>
      <c r="L313" s="130">
        <v>3.0</v>
      </c>
      <c r="M313" s="130">
        <v>1.0</v>
      </c>
      <c r="N313" s="130">
        <v>1.0</v>
      </c>
      <c r="O313" s="130" t="s">
        <v>39</v>
      </c>
      <c r="P313" s="130" t="s">
        <v>335</v>
      </c>
      <c r="Q313" s="130" t="s">
        <v>39</v>
      </c>
      <c r="R313" s="132"/>
      <c r="S313" s="52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</row>
    <row r="314" ht="14.25" customHeight="1">
      <c r="A314" s="133">
        <v>20.0</v>
      </c>
      <c r="B314" s="131" t="s">
        <v>1599</v>
      </c>
      <c r="C314" s="131" t="s">
        <v>1597</v>
      </c>
      <c r="D314" s="131" t="s">
        <v>25</v>
      </c>
      <c r="E314" s="149" t="s">
        <v>57</v>
      </c>
      <c r="F314" s="55"/>
      <c r="G314" s="130">
        <v>41.0</v>
      </c>
      <c r="H314" s="130">
        <v>2.0</v>
      </c>
      <c r="I314" s="130">
        <v>20.0</v>
      </c>
      <c r="J314" s="130">
        <v>1.0</v>
      </c>
      <c r="K314" s="130">
        <v>1.0</v>
      </c>
      <c r="L314" s="130">
        <v>1.0</v>
      </c>
      <c r="M314" s="130">
        <v>1.0</v>
      </c>
      <c r="N314" s="130">
        <v>1.0</v>
      </c>
      <c r="O314" s="130" t="s">
        <v>39</v>
      </c>
      <c r="P314" s="130" t="s">
        <v>335</v>
      </c>
      <c r="Q314" s="130" t="s">
        <v>39</v>
      </c>
      <c r="R314" s="132"/>
      <c r="S314" s="52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</row>
    <row r="315" ht="14.25" customHeight="1">
      <c r="A315" s="133">
        <v>21.0</v>
      </c>
      <c r="B315" s="131" t="s">
        <v>1600</v>
      </c>
      <c r="C315" s="131" t="s">
        <v>1601</v>
      </c>
      <c r="D315" s="131" t="s">
        <v>25</v>
      </c>
      <c r="E315" s="149" t="s">
        <v>57</v>
      </c>
      <c r="F315" s="55"/>
      <c r="G315" s="130">
        <v>46.0</v>
      </c>
      <c r="H315" s="130">
        <v>4.0</v>
      </c>
      <c r="I315" s="130">
        <v>40.0</v>
      </c>
      <c r="J315" s="130">
        <v>4.0</v>
      </c>
      <c r="K315" s="130">
        <v>4.0</v>
      </c>
      <c r="L315" s="130">
        <v>1.0</v>
      </c>
      <c r="M315" s="130">
        <v>1.0</v>
      </c>
      <c r="N315" s="130">
        <v>1.0</v>
      </c>
      <c r="O315" s="130" t="s">
        <v>39</v>
      </c>
      <c r="P315" s="130" t="s">
        <v>47</v>
      </c>
      <c r="Q315" s="130">
        <v>10.0</v>
      </c>
      <c r="R315" s="132"/>
      <c r="S315" s="52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</row>
    <row r="316" ht="14.25" customHeight="1">
      <c r="A316" s="133">
        <v>22.0</v>
      </c>
      <c r="B316" s="131" t="s">
        <v>1602</v>
      </c>
      <c r="C316" s="131" t="s">
        <v>1593</v>
      </c>
      <c r="D316" s="131" t="s">
        <v>25</v>
      </c>
      <c r="E316" s="149" t="s">
        <v>57</v>
      </c>
      <c r="F316" s="55"/>
      <c r="G316" s="130">
        <v>36.0</v>
      </c>
      <c r="H316" s="130">
        <v>10.0</v>
      </c>
      <c r="I316" s="130">
        <v>100.0</v>
      </c>
      <c r="J316" s="130">
        <v>1.0</v>
      </c>
      <c r="K316" s="130">
        <v>1.0</v>
      </c>
      <c r="L316" s="130">
        <v>1.0</v>
      </c>
      <c r="M316" s="130">
        <v>1.0</v>
      </c>
      <c r="N316" s="130">
        <v>1.0</v>
      </c>
      <c r="O316" s="130" t="s">
        <v>39</v>
      </c>
      <c r="P316" s="130" t="s">
        <v>335</v>
      </c>
      <c r="Q316" s="130" t="s">
        <v>39</v>
      </c>
      <c r="R316" s="132"/>
      <c r="S316" s="52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</row>
    <row r="317" ht="14.25" customHeight="1">
      <c r="A317" s="133">
        <v>23.0</v>
      </c>
      <c r="B317" s="131" t="s">
        <v>1603</v>
      </c>
      <c r="C317" s="131" t="s">
        <v>1597</v>
      </c>
      <c r="D317" s="131" t="s">
        <v>25</v>
      </c>
      <c r="E317" s="149" t="s">
        <v>57</v>
      </c>
      <c r="F317" s="55"/>
      <c r="G317" s="130">
        <v>900.0</v>
      </c>
      <c r="H317" s="130">
        <v>18.0</v>
      </c>
      <c r="I317" s="130">
        <v>180.0</v>
      </c>
      <c r="J317" s="130">
        <v>7.0</v>
      </c>
      <c r="K317" s="130">
        <v>7.0</v>
      </c>
      <c r="L317" s="130">
        <v>3.0</v>
      </c>
      <c r="M317" s="130">
        <v>1.0</v>
      </c>
      <c r="N317" s="130">
        <v>1.0</v>
      </c>
      <c r="O317" s="130" t="s">
        <v>39</v>
      </c>
      <c r="P317" s="130" t="s">
        <v>335</v>
      </c>
      <c r="Q317" s="130" t="s">
        <v>39</v>
      </c>
      <c r="R317" s="132"/>
      <c r="S317" s="52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</row>
    <row r="318" ht="14.25" customHeight="1">
      <c r="A318" s="133">
        <v>24.0</v>
      </c>
      <c r="B318" s="131" t="s">
        <v>1604</v>
      </c>
      <c r="C318" s="131" t="s">
        <v>1593</v>
      </c>
      <c r="D318" s="131" t="s">
        <v>25</v>
      </c>
      <c r="E318" s="149" t="s">
        <v>57</v>
      </c>
      <c r="F318" s="55"/>
      <c r="G318" s="130">
        <v>139.0</v>
      </c>
      <c r="H318" s="130">
        <v>4.0</v>
      </c>
      <c r="I318" s="130">
        <v>40.0</v>
      </c>
      <c r="J318" s="130">
        <v>1.0</v>
      </c>
      <c r="K318" s="130">
        <v>1.0</v>
      </c>
      <c r="L318" s="130">
        <v>1.0</v>
      </c>
      <c r="M318" s="130">
        <v>1.0</v>
      </c>
      <c r="N318" s="130">
        <v>1.0</v>
      </c>
      <c r="O318" s="130" t="s">
        <v>39</v>
      </c>
      <c r="P318" s="130" t="s">
        <v>335</v>
      </c>
      <c r="Q318" s="130" t="s">
        <v>39</v>
      </c>
      <c r="R318" s="132"/>
      <c r="S318" s="52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</row>
    <row r="319" ht="14.25" customHeight="1">
      <c r="A319" s="133">
        <v>25.0</v>
      </c>
      <c r="B319" s="131" t="s">
        <v>1605</v>
      </c>
      <c r="C319" s="131" t="s">
        <v>1593</v>
      </c>
      <c r="D319" s="131" t="s">
        <v>25</v>
      </c>
      <c r="E319" s="149" t="s">
        <v>57</v>
      </c>
      <c r="F319" s="55"/>
      <c r="G319" s="130" t="s">
        <v>39</v>
      </c>
      <c r="H319" s="130">
        <v>4.0</v>
      </c>
      <c r="I319" s="130">
        <v>40.0</v>
      </c>
      <c r="J319" s="130">
        <v>1.0</v>
      </c>
      <c r="K319" s="130">
        <v>1.0</v>
      </c>
      <c r="L319" s="130">
        <v>0.0</v>
      </c>
      <c r="M319" s="130">
        <v>1.0</v>
      </c>
      <c r="N319" s="130">
        <v>1.0</v>
      </c>
      <c r="O319" s="130" t="s">
        <v>39</v>
      </c>
      <c r="P319" s="130" t="s">
        <v>335</v>
      </c>
      <c r="Q319" s="130" t="s">
        <v>39</v>
      </c>
      <c r="R319" s="132"/>
      <c r="S319" s="52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</row>
    <row r="320" ht="14.25" customHeight="1">
      <c r="A320" s="19"/>
      <c r="B320" s="20" t="s">
        <v>1606</v>
      </c>
      <c r="C320" s="21"/>
      <c r="D320" s="22"/>
      <c r="E320" s="22"/>
      <c r="F320" s="23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</row>
    <row r="321" ht="14.25" customHeight="1">
      <c r="A321" s="133">
        <v>1.0</v>
      </c>
      <c r="B321" s="131" t="s">
        <v>1607</v>
      </c>
      <c r="C321" s="131" t="s">
        <v>1608</v>
      </c>
      <c r="D321" s="131" t="s">
        <v>25</v>
      </c>
      <c r="E321" s="131" t="s">
        <v>57</v>
      </c>
      <c r="F321" s="55"/>
      <c r="G321" s="130">
        <v>235.5</v>
      </c>
      <c r="H321" s="130">
        <v>17.0</v>
      </c>
      <c r="I321" s="130">
        <v>85.0</v>
      </c>
      <c r="J321" s="130">
        <v>1.0</v>
      </c>
      <c r="K321" s="130">
        <v>1.0</v>
      </c>
      <c r="L321" s="130">
        <v>7.0</v>
      </c>
      <c r="M321" s="130" t="s">
        <v>39</v>
      </c>
      <c r="N321" s="130" t="s">
        <v>1609</v>
      </c>
      <c r="O321" s="130">
        <v>255.0</v>
      </c>
      <c r="P321" s="130" t="s">
        <v>66</v>
      </c>
      <c r="Q321" s="130">
        <v>17.0</v>
      </c>
      <c r="R321" s="132"/>
      <c r="S321" s="52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</row>
    <row r="322" ht="14.25" customHeight="1">
      <c r="A322" s="133">
        <v>2.0</v>
      </c>
      <c r="B322" s="131" t="s">
        <v>1610</v>
      </c>
      <c r="C322" s="131" t="s">
        <v>1611</v>
      </c>
      <c r="D322" s="131" t="s">
        <v>25</v>
      </c>
      <c r="E322" s="131" t="s">
        <v>57</v>
      </c>
      <c r="F322" s="55"/>
      <c r="G322" s="130">
        <v>600.0</v>
      </c>
      <c r="H322" s="144" t="s">
        <v>28</v>
      </c>
      <c r="I322" s="130" t="s">
        <v>1612</v>
      </c>
      <c r="J322" s="144" t="s">
        <v>28</v>
      </c>
      <c r="K322" s="144" t="s">
        <v>28</v>
      </c>
      <c r="L322" s="130">
        <v>8.0</v>
      </c>
      <c r="M322" s="132" t="s">
        <v>1075</v>
      </c>
      <c r="N322" s="130" t="s">
        <v>1076</v>
      </c>
      <c r="O322" s="130">
        <v>300.0</v>
      </c>
      <c r="P322" s="132" t="s">
        <v>29</v>
      </c>
      <c r="Q322" s="132"/>
      <c r="R322" s="132"/>
      <c r="S322" s="52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</row>
    <row r="323" ht="14.25" customHeight="1">
      <c r="A323" s="133">
        <v>3.0</v>
      </c>
      <c r="B323" s="131" t="s">
        <v>1613</v>
      </c>
      <c r="C323" s="131" t="s">
        <v>1614</v>
      </c>
      <c r="D323" s="131" t="s">
        <v>25</v>
      </c>
      <c r="E323" s="131" t="s">
        <v>57</v>
      </c>
      <c r="F323" s="55"/>
      <c r="G323" s="130">
        <v>360.0</v>
      </c>
      <c r="H323" s="144" t="s">
        <v>28</v>
      </c>
      <c r="I323" s="130" t="s">
        <v>1615</v>
      </c>
      <c r="J323" s="144" t="s">
        <v>28</v>
      </c>
      <c r="K323" s="144" t="s">
        <v>28</v>
      </c>
      <c r="L323" s="130">
        <v>8.0</v>
      </c>
      <c r="M323" s="132" t="s">
        <v>1075</v>
      </c>
      <c r="N323" s="130" t="s">
        <v>1076</v>
      </c>
      <c r="O323" s="130">
        <v>300.0</v>
      </c>
      <c r="P323" s="132" t="s">
        <v>29</v>
      </c>
      <c r="Q323" s="132"/>
      <c r="R323" s="132"/>
      <c r="S323" s="52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</row>
    <row r="324" ht="14.25" customHeight="1">
      <c r="A324" s="133">
        <v>4.0</v>
      </c>
      <c r="B324" s="131" t="s">
        <v>1616</v>
      </c>
      <c r="C324" s="131" t="s">
        <v>1614</v>
      </c>
      <c r="D324" s="131" t="s">
        <v>25</v>
      </c>
      <c r="E324" s="131" t="s">
        <v>57</v>
      </c>
      <c r="F324" s="55"/>
      <c r="G324" s="130">
        <v>480.0</v>
      </c>
      <c r="H324" s="144" t="s">
        <v>28</v>
      </c>
      <c r="I324" s="130" t="s">
        <v>1617</v>
      </c>
      <c r="J324" s="144" t="s">
        <v>28</v>
      </c>
      <c r="K324" s="144" t="s">
        <v>28</v>
      </c>
      <c r="L324" s="130">
        <v>8.0</v>
      </c>
      <c r="M324" s="132" t="s">
        <v>1075</v>
      </c>
      <c r="N324" s="130" t="s">
        <v>1076</v>
      </c>
      <c r="O324" s="130">
        <v>300.0</v>
      </c>
      <c r="P324" s="132" t="s">
        <v>29</v>
      </c>
      <c r="Q324" s="132"/>
      <c r="R324" s="132"/>
      <c r="S324" s="52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  <c r="AD324" s="129"/>
    </row>
    <row r="325" ht="14.25" customHeight="1">
      <c r="A325" s="133">
        <v>5.0</v>
      </c>
      <c r="B325" s="131" t="s">
        <v>1618</v>
      </c>
      <c r="C325" s="131" t="s">
        <v>1619</v>
      </c>
      <c r="D325" s="131" t="s">
        <v>25</v>
      </c>
      <c r="E325" s="131" t="s">
        <v>57</v>
      </c>
      <c r="F325" s="55"/>
      <c r="G325" s="130">
        <v>360.0</v>
      </c>
      <c r="H325" s="144" t="s">
        <v>28</v>
      </c>
      <c r="I325" s="130" t="s">
        <v>1615</v>
      </c>
      <c r="J325" s="144" t="s">
        <v>28</v>
      </c>
      <c r="K325" s="144" t="s">
        <v>28</v>
      </c>
      <c r="L325" s="130">
        <v>6.0</v>
      </c>
      <c r="M325" s="132" t="s">
        <v>1075</v>
      </c>
      <c r="N325" s="130" t="s">
        <v>1076</v>
      </c>
      <c r="O325" s="130">
        <v>300.0</v>
      </c>
      <c r="P325" s="132" t="s">
        <v>29</v>
      </c>
      <c r="Q325" s="132"/>
      <c r="R325" s="132"/>
      <c r="S325" s="52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  <c r="AD325" s="129"/>
    </row>
    <row r="326" ht="14.25" customHeight="1">
      <c r="A326" s="133">
        <v>6.0</v>
      </c>
      <c r="B326" s="131" t="s">
        <v>1620</v>
      </c>
      <c r="C326" s="131" t="s">
        <v>1621</v>
      </c>
      <c r="D326" s="131" t="s">
        <v>25</v>
      </c>
      <c r="E326" s="131" t="s">
        <v>57</v>
      </c>
      <c r="F326" s="55"/>
      <c r="G326" s="130">
        <v>360.0</v>
      </c>
      <c r="H326" s="144" t="s">
        <v>28</v>
      </c>
      <c r="I326" s="130" t="s">
        <v>1622</v>
      </c>
      <c r="J326" s="144" t="s">
        <v>28</v>
      </c>
      <c r="K326" s="144" t="s">
        <v>28</v>
      </c>
      <c r="L326" s="130">
        <v>6.0</v>
      </c>
      <c r="M326" s="132" t="s">
        <v>1075</v>
      </c>
      <c r="N326" s="130" t="s">
        <v>1076</v>
      </c>
      <c r="O326" s="130">
        <v>300.0</v>
      </c>
      <c r="P326" s="132" t="s">
        <v>29</v>
      </c>
      <c r="Q326" s="132"/>
      <c r="R326" s="132"/>
      <c r="S326" s="52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  <c r="AD326" s="129"/>
    </row>
    <row r="327" ht="14.25" customHeight="1">
      <c r="A327" s="133">
        <v>7.0</v>
      </c>
      <c r="B327" s="131" t="s">
        <v>1623</v>
      </c>
      <c r="C327" s="131" t="s">
        <v>1624</v>
      </c>
      <c r="D327" s="131" t="s">
        <v>25</v>
      </c>
      <c r="E327" s="131" t="s">
        <v>57</v>
      </c>
      <c r="F327" s="55"/>
      <c r="G327" s="130">
        <v>600.0</v>
      </c>
      <c r="H327" s="144" t="s">
        <v>28</v>
      </c>
      <c r="I327" s="130" t="s">
        <v>1625</v>
      </c>
      <c r="J327" s="144" t="s">
        <v>28</v>
      </c>
      <c r="K327" s="144" t="s">
        <v>28</v>
      </c>
      <c r="L327" s="130">
        <v>2.0</v>
      </c>
      <c r="M327" s="132" t="s">
        <v>1075</v>
      </c>
      <c r="N327" s="130" t="s">
        <v>1076</v>
      </c>
      <c r="O327" s="130">
        <v>300.0</v>
      </c>
      <c r="P327" s="132" t="s">
        <v>29</v>
      </c>
      <c r="Q327" s="132"/>
      <c r="R327" s="132"/>
      <c r="S327" s="52"/>
      <c r="T327" s="129"/>
      <c r="U327" s="129"/>
      <c r="V327" s="129"/>
      <c r="W327" s="129"/>
      <c r="X327" s="129"/>
      <c r="Y327" s="129"/>
      <c r="Z327" s="129"/>
      <c r="AA327" s="129"/>
      <c r="AB327" s="129"/>
      <c r="AC327" s="129"/>
      <c r="AD327" s="129"/>
    </row>
    <row r="328" ht="14.25" customHeight="1">
      <c r="A328" s="133">
        <v>8.0</v>
      </c>
      <c r="B328" s="131" t="s">
        <v>1626</v>
      </c>
      <c r="C328" s="131" t="s">
        <v>1608</v>
      </c>
      <c r="D328" s="131" t="s">
        <v>25</v>
      </c>
      <c r="E328" s="131" t="s">
        <v>57</v>
      </c>
      <c r="F328" s="55"/>
      <c r="G328" s="130">
        <v>500.0</v>
      </c>
      <c r="H328" s="144" t="s">
        <v>28</v>
      </c>
      <c r="I328" s="130" t="s">
        <v>1627</v>
      </c>
      <c r="J328" s="144" t="s">
        <v>28</v>
      </c>
      <c r="K328" s="144" t="s">
        <v>28</v>
      </c>
      <c r="L328" s="130">
        <v>7.0</v>
      </c>
      <c r="M328" s="132" t="s">
        <v>1075</v>
      </c>
      <c r="N328" s="130" t="s">
        <v>1076</v>
      </c>
      <c r="O328" s="130">
        <v>100.0</v>
      </c>
      <c r="P328" s="132" t="s">
        <v>29</v>
      </c>
      <c r="Q328" s="132"/>
      <c r="R328" s="132"/>
      <c r="S328" s="52"/>
      <c r="T328" s="129"/>
      <c r="U328" s="129"/>
      <c r="V328" s="129"/>
      <c r="W328" s="129"/>
      <c r="X328" s="129"/>
      <c r="Y328" s="129"/>
      <c r="Z328" s="129"/>
      <c r="AA328" s="129"/>
      <c r="AB328" s="129"/>
      <c r="AC328" s="129"/>
      <c r="AD328" s="129"/>
    </row>
    <row r="329" ht="14.25" customHeight="1">
      <c r="A329" s="133">
        <v>9.0</v>
      </c>
      <c r="B329" s="131" t="s">
        <v>1628</v>
      </c>
      <c r="C329" s="131" t="s">
        <v>1629</v>
      </c>
      <c r="D329" s="131" t="s">
        <v>25</v>
      </c>
      <c r="E329" s="131" t="s">
        <v>57</v>
      </c>
      <c r="F329" s="55"/>
      <c r="G329" s="130">
        <v>100.0</v>
      </c>
      <c r="H329" s="144" t="s">
        <v>28</v>
      </c>
      <c r="I329" s="130" t="s">
        <v>1630</v>
      </c>
      <c r="J329" s="144" t="s">
        <v>28</v>
      </c>
      <c r="K329" s="144" t="s">
        <v>28</v>
      </c>
      <c r="L329" s="130">
        <v>1.0</v>
      </c>
      <c r="M329" s="132" t="s">
        <v>1075</v>
      </c>
      <c r="N329" s="130" t="s">
        <v>1076</v>
      </c>
      <c r="O329" s="130">
        <v>50.0</v>
      </c>
      <c r="P329" s="132" t="s">
        <v>66</v>
      </c>
      <c r="Q329" s="130">
        <v>3.0</v>
      </c>
      <c r="R329" s="132"/>
      <c r="S329" s="52"/>
      <c r="T329" s="129"/>
      <c r="U329" s="129"/>
      <c r="V329" s="129"/>
      <c r="W329" s="129"/>
      <c r="X329" s="129"/>
      <c r="Y329" s="129"/>
      <c r="Z329" s="129"/>
      <c r="AA329" s="129"/>
      <c r="AB329" s="129"/>
      <c r="AC329" s="129"/>
      <c r="AD329" s="129"/>
    </row>
    <row r="330" ht="14.25" customHeight="1">
      <c r="A330" s="133">
        <v>10.0</v>
      </c>
      <c r="B330" s="131" t="s">
        <v>1631</v>
      </c>
      <c r="C330" s="131" t="s">
        <v>1632</v>
      </c>
      <c r="D330" s="131" t="s">
        <v>25</v>
      </c>
      <c r="E330" s="131" t="s">
        <v>57</v>
      </c>
      <c r="F330" s="55"/>
      <c r="G330" s="130">
        <v>100.0</v>
      </c>
      <c r="H330" s="144" t="s">
        <v>28</v>
      </c>
      <c r="I330" s="130" t="s">
        <v>1633</v>
      </c>
      <c r="J330" s="144" t="s">
        <v>28</v>
      </c>
      <c r="K330" s="144" t="s">
        <v>28</v>
      </c>
      <c r="L330" s="130">
        <v>1.0</v>
      </c>
      <c r="M330" s="132" t="s">
        <v>1075</v>
      </c>
      <c r="N330" s="130" t="s">
        <v>1076</v>
      </c>
      <c r="O330" s="130">
        <v>50.0</v>
      </c>
      <c r="P330" s="132" t="s">
        <v>66</v>
      </c>
      <c r="Q330" s="130">
        <v>2.0</v>
      </c>
      <c r="R330" s="132"/>
      <c r="S330" s="52"/>
      <c r="T330" s="129"/>
      <c r="U330" s="129"/>
      <c r="V330" s="129"/>
      <c r="W330" s="129"/>
      <c r="X330" s="129"/>
      <c r="Y330" s="129"/>
      <c r="Z330" s="129"/>
      <c r="AA330" s="129"/>
      <c r="AB330" s="129"/>
      <c r="AC330" s="129"/>
      <c r="AD330" s="129"/>
    </row>
    <row r="331" ht="15.75" customHeight="1">
      <c r="A331" s="181"/>
      <c r="B331" s="182" t="s">
        <v>1634</v>
      </c>
      <c r="C331" s="182"/>
      <c r="D331" s="182"/>
      <c r="E331" s="182"/>
      <c r="F331" s="182"/>
      <c r="G331" s="183"/>
      <c r="H331" s="184"/>
      <c r="I331" s="184"/>
      <c r="J331" s="185"/>
      <c r="K331" s="185"/>
      <c r="L331" s="185"/>
      <c r="M331" s="185"/>
      <c r="N331" s="185"/>
      <c r="O331" s="185"/>
      <c r="P331" s="184"/>
      <c r="Q331" s="185"/>
      <c r="R331" s="141"/>
      <c r="S331" s="142"/>
      <c r="T331" s="142"/>
      <c r="U331" s="142"/>
      <c r="V331" s="142"/>
      <c r="W331" s="142"/>
      <c r="X331" s="142"/>
      <c r="Y331" s="142"/>
      <c r="Z331" s="142"/>
      <c r="AA331" s="142"/>
      <c r="AB331" s="142"/>
      <c r="AC331" s="142"/>
      <c r="AD331" s="142"/>
    </row>
    <row r="332" ht="14.25" customHeight="1">
      <c r="A332" s="133">
        <v>1.0</v>
      </c>
      <c r="B332" s="149" t="s">
        <v>1635</v>
      </c>
      <c r="C332" s="149" t="s">
        <v>1636</v>
      </c>
      <c r="D332" s="149" t="s">
        <v>1044</v>
      </c>
      <c r="E332" s="149" t="s">
        <v>57</v>
      </c>
      <c r="F332" s="132"/>
      <c r="G332" s="132">
        <v>250.0</v>
      </c>
      <c r="H332" s="132">
        <v>30.0</v>
      </c>
      <c r="I332" s="132">
        <v>100.0</v>
      </c>
      <c r="J332" s="132">
        <v>1.0</v>
      </c>
      <c r="K332" s="132">
        <v>1.0</v>
      </c>
      <c r="L332" s="132">
        <v>0.0</v>
      </c>
      <c r="M332" s="132" t="s">
        <v>1637</v>
      </c>
      <c r="N332" s="132" t="s">
        <v>1638</v>
      </c>
      <c r="O332" s="132">
        <v>500.0</v>
      </c>
      <c r="P332" s="132" t="s">
        <v>66</v>
      </c>
      <c r="Q332" s="132">
        <v>30.0</v>
      </c>
      <c r="R332" s="132"/>
      <c r="S332" s="52"/>
      <c r="T332" s="129"/>
      <c r="U332" s="129"/>
      <c r="V332" s="129"/>
      <c r="W332" s="129"/>
      <c r="X332" s="129"/>
      <c r="Y332" s="129"/>
      <c r="Z332" s="129"/>
      <c r="AA332" s="129"/>
      <c r="AB332" s="129"/>
      <c r="AC332" s="129"/>
      <c r="AD332" s="129"/>
    </row>
    <row r="333" ht="15.75" customHeight="1">
      <c r="A333" s="181"/>
      <c r="B333" s="182" t="s">
        <v>1639</v>
      </c>
      <c r="C333" s="182"/>
      <c r="D333" s="182"/>
      <c r="E333" s="182"/>
      <c r="F333" s="182"/>
      <c r="G333" s="183"/>
      <c r="H333" s="184"/>
      <c r="I333" s="184"/>
      <c r="J333" s="185"/>
      <c r="K333" s="185"/>
      <c r="L333" s="185"/>
      <c r="M333" s="185"/>
      <c r="N333" s="185"/>
      <c r="O333" s="185"/>
      <c r="P333" s="184"/>
      <c r="Q333" s="185"/>
      <c r="R333" s="141"/>
      <c r="S333" s="142"/>
      <c r="T333" s="142"/>
      <c r="U333" s="142"/>
      <c r="V333" s="142"/>
      <c r="W333" s="142"/>
      <c r="X333" s="142"/>
      <c r="Y333" s="142"/>
      <c r="Z333" s="142"/>
      <c r="AA333" s="142"/>
      <c r="AB333" s="142"/>
      <c r="AC333" s="142"/>
      <c r="AD333" s="142"/>
    </row>
    <row r="334" ht="14.25" customHeight="1">
      <c r="A334" s="133">
        <v>1.0</v>
      </c>
      <c r="B334" s="149" t="s">
        <v>1640</v>
      </c>
      <c r="C334" s="149" t="s">
        <v>1641</v>
      </c>
      <c r="D334" s="149" t="s">
        <v>1044</v>
      </c>
      <c r="E334" s="149" t="s">
        <v>57</v>
      </c>
      <c r="F334" s="52"/>
      <c r="G334" s="132">
        <v>864.0</v>
      </c>
      <c r="H334" s="132">
        <v>144.0</v>
      </c>
      <c r="I334" s="132">
        <v>576.0</v>
      </c>
      <c r="J334" s="132">
        <v>8.0</v>
      </c>
      <c r="K334" s="132">
        <v>8.0</v>
      </c>
      <c r="L334" s="132">
        <v>0.0</v>
      </c>
      <c r="M334" s="132" t="s">
        <v>59</v>
      </c>
      <c r="N334" s="132" t="s">
        <v>1642</v>
      </c>
      <c r="O334" s="150">
        <v>12000.0</v>
      </c>
      <c r="P334" s="132" t="s">
        <v>66</v>
      </c>
      <c r="Q334" s="132">
        <v>50.0</v>
      </c>
      <c r="R334" s="186">
        <v>44638.0</v>
      </c>
      <c r="S334" s="52"/>
      <c r="T334" s="129"/>
      <c r="U334" s="129"/>
      <c r="V334" s="129"/>
      <c r="W334" s="129"/>
      <c r="X334" s="129"/>
      <c r="Y334" s="129"/>
      <c r="Z334" s="129"/>
      <c r="AA334" s="129"/>
      <c r="AB334" s="129"/>
      <c r="AC334" s="129"/>
      <c r="AD334" s="129"/>
    </row>
    <row r="335" ht="14.25" customHeight="1">
      <c r="A335" s="133">
        <v>2.0</v>
      </c>
      <c r="B335" s="149" t="s">
        <v>1643</v>
      </c>
      <c r="C335" s="149" t="s">
        <v>1644</v>
      </c>
      <c r="D335" s="149" t="s">
        <v>1044</v>
      </c>
      <c r="E335" s="149" t="s">
        <v>57</v>
      </c>
      <c r="F335" s="52"/>
      <c r="G335" s="132">
        <v>120.0</v>
      </c>
      <c r="H335" s="132">
        <v>3.0</v>
      </c>
      <c r="I335" s="132">
        <v>12.0</v>
      </c>
      <c r="J335" s="132">
        <v>0.0</v>
      </c>
      <c r="K335" s="132">
        <v>0.0</v>
      </c>
      <c r="L335" s="132">
        <v>1.0</v>
      </c>
      <c r="M335" s="132" t="s">
        <v>1645</v>
      </c>
      <c r="N335" s="144" t="s">
        <v>28</v>
      </c>
      <c r="O335" s="144" t="s">
        <v>28</v>
      </c>
      <c r="P335" s="132" t="s">
        <v>66</v>
      </c>
      <c r="Q335" s="132">
        <v>3.0</v>
      </c>
      <c r="R335" s="132"/>
      <c r="S335" s="52"/>
      <c r="T335" s="129"/>
      <c r="U335" s="129"/>
      <c r="V335" s="129"/>
      <c r="W335" s="129"/>
      <c r="X335" s="129"/>
      <c r="Y335" s="129"/>
      <c r="Z335" s="129"/>
      <c r="AA335" s="129"/>
      <c r="AB335" s="129"/>
      <c r="AC335" s="129"/>
      <c r="AD335" s="129"/>
    </row>
    <row r="336" ht="14.25" customHeight="1">
      <c r="A336" s="133">
        <v>3.0</v>
      </c>
      <c r="B336" s="149" t="s">
        <v>1646</v>
      </c>
      <c r="C336" s="149" t="s">
        <v>1647</v>
      </c>
      <c r="D336" s="149" t="s">
        <v>1044</v>
      </c>
      <c r="E336" s="149" t="s">
        <v>57</v>
      </c>
      <c r="F336" s="149"/>
      <c r="G336" s="132">
        <v>48.0</v>
      </c>
      <c r="H336" s="132">
        <v>1.0</v>
      </c>
      <c r="I336" s="132">
        <v>4.0</v>
      </c>
      <c r="J336" s="132">
        <v>0.0</v>
      </c>
      <c r="K336" s="132">
        <v>0.0</v>
      </c>
      <c r="L336" s="132">
        <v>1.0</v>
      </c>
      <c r="M336" s="132" t="s">
        <v>1645</v>
      </c>
      <c r="N336" s="144" t="s">
        <v>28</v>
      </c>
      <c r="O336" s="144" t="s">
        <v>28</v>
      </c>
      <c r="P336" s="132" t="s">
        <v>66</v>
      </c>
      <c r="Q336" s="132">
        <v>1.0</v>
      </c>
      <c r="R336" s="132"/>
      <c r="S336" s="52"/>
      <c r="T336" s="187"/>
      <c r="U336" s="187"/>
      <c r="V336" s="187"/>
      <c r="W336" s="187"/>
      <c r="X336" s="187"/>
      <c r="Y336" s="187"/>
      <c r="Z336" s="187"/>
      <c r="AA336" s="187"/>
      <c r="AB336" s="187"/>
      <c r="AC336" s="187"/>
      <c r="AD336" s="187"/>
    </row>
    <row r="337" ht="14.25" customHeight="1">
      <c r="A337" s="133">
        <v>4.0</v>
      </c>
      <c r="B337" s="149" t="s">
        <v>1648</v>
      </c>
      <c r="C337" s="149" t="s">
        <v>1649</v>
      </c>
      <c r="D337" s="149" t="s">
        <v>1044</v>
      </c>
      <c r="E337" s="149" t="s">
        <v>57</v>
      </c>
      <c r="F337" s="149"/>
      <c r="G337" s="132">
        <v>66.0</v>
      </c>
      <c r="H337" s="132">
        <v>1.0</v>
      </c>
      <c r="I337" s="132">
        <v>5.0</v>
      </c>
      <c r="J337" s="132">
        <v>0.0</v>
      </c>
      <c r="K337" s="132">
        <v>0.0</v>
      </c>
      <c r="L337" s="132">
        <v>1.0</v>
      </c>
      <c r="M337" s="132" t="s">
        <v>1645</v>
      </c>
      <c r="N337" s="144" t="s">
        <v>28</v>
      </c>
      <c r="O337" s="144" t="s">
        <v>28</v>
      </c>
      <c r="P337" s="132" t="s">
        <v>66</v>
      </c>
      <c r="Q337" s="132">
        <v>1.0</v>
      </c>
      <c r="R337" s="132"/>
      <c r="S337" s="52"/>
      <c r="T337" s="187"/>
      <c r="U337" s="187"/>
      <c r="V337" s="187"/>
      <c r="W337" s="187"/>
      <c r="X337" s="187"/>
      <c r="Y337" s="187"/>
      <c r="Z337" s="187"/>
      <c r="AA337" s="187"/>
      <c r="AB337" s="187"/>
      <c r="AC337" s="187"/>
      <c r="AD337" s="187"/>
    </row>
    <row r="338" ht="14.25" customHeight="1">
      <c r="A338" s="133">
        <v>5.0</v>
      </c>
      <c r="B338" s="149" t="s">
        <v>1650</v>
      </c>
      <c r="C338" s="149" t="s">
        <v>1651</v>
      </c>
      <c r="D338" s="149" t="s">
        <v>1044</v>
      </c>
      <c r="E338" s="149" t="s">
        <v>57</v>
      </c>
      <c r="F338" s="149"/>
      <c r="G338" s="132">
        <v>84.0</v>
      </c>
      <c r="H338" s="132">
        <v>2.0</v>
      </c>
      <c r="I338" s="132">
        <v>8.0</v>
      </c>
      <c r="J338" s="132">
        <v>0.0</v>
      </c>
      <c r="K338" s="132">
        <v>0.0</v>
      </c>
      <c r="L338" s="132">
        <v>1.0</v>
      </c>
      <c r="M338" s="132" t="s">
        <v>1645</v>
      </c>
      <c r="N338" s="144" t="s">
        <v>28</v>
      </c>
      <c r="O338" s="144" t="s">
        <v>28</v>
      </c>
      <c r="P338" s="132" t="s">
        <v>66</v>
      </c>
      <c r="Q338" s="132">
        <v>2.0</v>
      </c>
      <c r="R338" s="132"/>
      <c r="S338" s="52"/>
      <c r="T338" s="187"/>
      <c r="U338" s="187"/>
      <c r="V338" s="187"/>
      <c r="W338" s="187"/>
      <c r="X338" s="187"/>
      <c r="Y338" s="187"/>
      <c r="Z338" s="187"/>
      <c r="AA338" s="187"/>
      <c r="AB338" s="187"/>
      <c r="AC338" s="187"/>
      <c r="AD338" s="187"/>
    </row>
    <row r="339" ht="14.25" customHeight="1">
      <c r="A339" s="133">
        <v>6.0</v>
      </c>
      <c r="B339" s="149" t="s">
        <v>1652</v>
      </c>
      <c r="C339" s="149" t="s">
        <v>1653</v>
      </c>
      <c r="D339" s="149" t="s">
        <v>1044</v>
      </c>
      <c r="E339" s="149" t="s">
        <v>57</v>
      </c>
      <c r="F339" s="149"/>
      <c r="G339" s="132">
        <v>120.0</v>
      </c>
      <c r="H339" s="132">
        <v>3.0</v>
      </c>
      <c r="I339" s="132">
        <v>12.0</v>
      </c>
      <c r="J339" s="132">
        <v>0.0</v>
      </c>
      <c r="K339" s="132">
        <v>0.0</v>
      </c>
      <c r="L339" s="132">
        <v>1.0</v>
      </c>
      <c r="M339" s="132" t="s">
        <v>1645</v>
      </c>
      <c r="N339" s="144" t="s">
        <v>28</v>
      </c>
      <c r="O339" s="144" t="s">
        <v>28</v>
      </c>
      <c r="P339" s="132" t="s">
        <v>66</v>
      </c>
      <c r="Q339" s="132">
        <v>3.0</v>
      </c>
      <c r="R339" s="132"/>
      <c r="S339" s="52"/>
      <c r="T339" s="187"/>
      <c r="U339" s="187"/>
      <c r="V339" s="187"/>
      <c r="W339" s="187"/>
      <c r="X339" s="187"/>
      <c r="Y339" s="187"/>
      <c r="Z339" s="187"/>
      <c r="AA339" s="187"/>
      <c r="AB339" s="187"/>
      <c r="AC339" s="187"/>
      <c r="AD339" s="187"/>
    </row>
    <row r="340" ht="14.25" customHeight="1">
      <c r="A340" s="133">
        <v>7.0</v>
      </c>
      <c r="B340" s="149" t="s">
        <v>1654</v>
      </c>
      <c r="C340" s="149" t="s">
        <v>1641</v>
      </c>
      <c r="D340" s="149" t="s">
        <v>1044</v>
      </c>
      <c r="E340" s="149" t="s">
        <v>57</v>
      </c>
      <c r="F340" s="149"/>
      <c r="G340" s="132">
        <v>120.0</v>
      </c>
      <c r="H340" s="132">
        <v>3.0</v>
      </c>
      <c r="I340" s="132">
        <v>12.0</v>
      </c>
      <c r="J340" s="132">
        <v>0.0</v>
      </c>
      <c r="K340" s="132">
        <v>0.0</v>
      </c>
      <c r="L340" s="132">
        <v>1.0</v>
      </c>
      <c r="M340" s="132" t="s">
        <v>1645</v>
      </c>
      <c r="N340" s="144" t="s">
        <v>28</v>
      </c>
      <c r="O340" s="144" t="s">
        <v>28</v>
      </c>
      <c r="P340" s="132" t="s">
        <v>66</v>
      </c>
      <c r="Q340" s="132">
        <v>3.0</v>
      </c>
      <c r="R340" s="132"/>
      <c r="S340" s="52"/>
      <c r="T340" s="187"/>
      <c r="U340" s="187"/>
      <c r="V340" s="187"/>
      <c r="W340" s="187"/>
      <c r="X340" s="187"/>
      <c r="Y340" s="187"/>
      <c r="Z340" s="187"/>
      <c r="AA340" s="187"/>
      <c r="AB340" s="187"/>
      <c r="AC340" s="187"/>
      <c r="AD340" s="187"/>
    </row>
    <row r="341" ht="14.25" customHeight="1">
      <c r="A341" s="133">
        <v>8.0</v>
      </c>
      <c r="B341" s="149" t="s">
        <v>1655</v>
      </c>
      <c r="C341" s="149" t="s">
        <v>1656</v>
      </c>
      <c r="D341" s="149" t="s">
        <v>1044</v>
      </c>
      <c r="E341" s="149" t="s">
        <v>57</v>
      </c>
      <c r="F341" s="149"/>
      <c r="G341" s="132">
        <v>30.0</v>
      </c>
      <c r="H341" s="132">
        <v>1.0</v>
      </c>
      <c r="I341" s="132">
        <v>3.0</v>
      </c>
      <c r="J341" s="132">
        <v>0.0</v>
      </c>
      <c r="K341" s="132">
        <v>0.0</v>
      </c>
      <c r="L341" s="132">
        <v>1.0</v>
      </c>
      <c r="M341" s="132" t="s">
        <v>1645</v>
      </c>
      <c r="N341" s="144" t="s">
        <v>28</v>
      </c>
      <c r="O341" s="144" t="s">
        <v>28</v>
      </c>
      <c r="P341" s="132" t="s">
        <v>66</v>
      </c>
      <c r="Q341" s="132">
        <v>1.0</v>
      </c>
      <c r="R341" s="132"/>
      <c r="S341" s="52"/>
      <c r="T341" s="187"/>
      <c r="U341" s="187"/>
      <c r="V341" s="187"/>
      <c r="W341" s="187"/>
      <c r="X341" s="187"/>
      <c r="Y341" s="187"/>
      <c r="Z341" s="187"/>
      <c r="AA341" s="187"/>
      <c r="AB341" s="187"/>
      <c r="AC341" s="187"/>
      <c r="AD341" s="187"/>
    </row>
    <row r="342" ht="14.25" customHeight="1">
      <c r="A342" s="133">
        <v>9.0</v>
      </c>
      <c r="B342" s="149" t="s">
        <v>1657</v>
      </c>
      <c r="C342" s="149" t="s">
        <v>1658</v>
      </c>
      <c r="D342" s="149" t="s">
        <v>1044</v>
      </c>
      <c r="E342" s="149" t="s">
        <v>57</v>
      </c>
      <c r="F342" s="149"/>
      <c r="G342" s="132">
        <v>120.0</v>
      </c>
      <c r="H342" s="132">
        <v>3.0</v>
      </c>
      <c r="I342" s="132">
        <v>12.0</v>
      </c>
      <c r="J342" s="132">
        <v>0.0</v>
      </c>
      <c r="K342" s="132">
        <v>0.0</v>
      </c>
      <c r="L342" s="132">
        <v>1.0</v>
      </c>
      <c r="M342" s="132" t="s">
        <v>1645</v>
      </c>
      <c r="N342" s="144" t="s">
        <v>28</v>
      </c>
      <c r="O342" s="144" t="s">
        <v>28</v>
      </c>
      <c r="P342" s="132" t="s">
        <v>66</v>
      </c>
      <c r="Q342" s="132">
        <v>3.0</v>
      </c>
      <c r="R342" s="132"/>
      <c r="S342" s="52"/>
      <c r="T342" s="187"/>
      <c r="U342" s="187"/>
      <c r="V342" s="187"/>
      <c r="W342" s="187"/>
      <c r="X342" s="187"/>
      <c r="Y342" s="187"/>
      <c r="Z342" s="187"/>
      <c r="AA342" s="187"/>
      <c r="AB342" s="187"/>
      <c r="AC342" s="187"/>
      <c r="AD342" s="187"/>
    </row>
    <row r="343" ht="14.25" customHeight="1">
      <c r="A343" s="133">
        <v>10.0</v>
      </c>
      <c r="B343" s="149" t="s">
        <v>1659</v>
      </c>
      <c r="C343" s="149" t="s">
        <v>1660</v>
      </c>
      <c r="D343" s="149" t="s">
        <v>1044</v>
      </c>
      <c r="E343" s="149" t="s">
        <v>57</v>
      </c>
      <c r="F343" s="149"/>
      <c r="G343" s="132">
        <v>66.0</v>
      </c>
      <c r="H343" s="132">
        <v>1.0</v>
      </c>
      <c r="I343" s="132">
        <v>5.0</v>
      </c>
      <c r="J343" s="132">
        <v>0.0</v>
      </c>
      <c r="K343" s="132">
        <v>0.0</v>
      </c>
      <c r="L343" s="132">
        <v>1.0</v>
      </c>
      <c r="M343" s="132" t="s">
        <v>1645</v>
      </c>
      <c r="N343" s="144" t="s">
        <v>28</v>
      </c>
      <c r="O343" s="144" t="s">
        <v>28</v>
      </c>
      <c r="P343" s="132" t="s">
        <v>66</v>
      </c>
      <c r="Q343" s="132">
        <v>1.0</v>
      </c>
      <c r="R343" s="132"/>
      <c r="S343" s="52"/>
      <c r="T343" s="187"/>
      <c r="U343" s="187"/>
      <c r="V343" s="187"/>
      <c r="W343" s="187"/>
      <c r="X343" s="187"/>
      <c r="Y343" s="187"/>
      <c r="Z343" s="187"/>
      <c r="AA343" s="187"/>
      <c r="AB343" s="187"/>
      <c r="AC343" s="187"/>
      <c r="AD343" s="187"/>
    </row>
    <row r="344" ht="14.25" customHeight="1">
      <c r="A344" s="133">
        <v>11.0</v>
      </c>
      <c r="B344" s="149" t="s">
        <v>1661</v>
      </c>
      <c r="C344" s="149" t="s">
        <v>1662</v>
      </c>
      <c r="D344" s="149" t="s">
        <v>1044</v>
      </c>
      <c r="E344" s="149" t="s">
        <v>57</v>
      </c>
      <c r="F344" s="149"/>
      <c r="G344" s="132">
        <v>120.0</v>
      </c>
      <c r="H344" s="132">
        <v>3.0</v>
      </c>
      <c r="I344" s="132">
        <v>12.0</v>
      </c>
      <c r="J344" s="132">
        <v>0.0</v>
      </c>
      <c r="K344" s="132">
        <v>0.0</v>
      </c>
      <c r="L344" s="132">
        <v>1.0</v>
      </c>
      <c r="M344" s="132" t="s">
        <v>1645</v>
      </c>
      <c r="N344" s="144" t="s">
        <v>28</v>
      </c>
      <c r="O344" s="144" t="s">
        <v>28</v>
      </c>
      <c r="P344" s="132" t="s">
        <v>66</v>
      </c>
      <c r="Q344" s="132">
        <v>3.0</v>
      </c>
      <c r="R344" s="132"/>
      <c r="S344" s="52"/>
      <c r="T344" s="187"/>
      <c r="U344" s="187"/>
      <c r="V344" s="187"/>
      <c r="W344" s="187"/>
      <c r="X344" s="187"/>
      <c r="Y344" s="187"/>
      <c r="Z344" s="187"/>
      <c r="AA344" s="187"/>
      <c r="AB344" s="187"/>
      <c r="AC344" s="187"/>
      <c r="AD344" s="187"/>
    </row>
    <row r="345" ht="14.25" customHeight="1">
      <c r="A345" s="133">
        <v>12.0</v>
      </c>
      <c r="B345" s="149" t="s">
        <v>1663</v>
      </c>
      <c r="C345" s="149" t="s">
        <v>1664</v>
      </c>
      <c r="D345" s="149" t="s">
        <v>1044</v>
      </c>
      <c r="E345" s="149" t="s">
        <v>57</v>
      </c>
      <c r="F345" s="149"/>
      <c r="G345" s="132">
        <v>66.0</v>
      </c>
      <c r="H345" s="132">
        <v>1.0</v>
      </c>
      <c r="I345" s="132">
        <v>5.0</v>
      </c>
      <c r="J345" s="132">
        <v>0.0</v>
      </c>
      <c r="K345" s="132">
        <v>0.0</v>
      </c>
      <c r="L345" s="132">
        <v>1.0</v>
      </c>
      <c r="M345" s="132" t="s">
        <v>1645</v>
      </c>
      <c r="N345" s="144" t="s">
        <v>28</v>
      </c>
      <c r="O345" s="144" t="s">
        <v>28</v>
      </c>
      <c r="P345" s="132" t="s">
        <v>66</v>
      </c>
      <c r="Q345" s="132">
        <v>1.0</v>
      </c>
      <c r="R345" s="132"/>
      <c r="S345" s="52"/>
      <c r="T345" s="187"/>
      <c r="U345" s="187"/>
      <c r="V345" s="187"/>
      <c r="W345" s="187"/>
      <c r="X345" s="187"/>
      <c r="Y345" s="187"/>
      <c r="Z345" s="187"/>
      <c r="AA345" s="187"/>
      <c r="AB345" s="187"/>
      <c r="AC345" s="187"/>
      <c r="AD345" s="187"/>
    </row>
    <row r="346" ht="14.25" customHeight="1">
      <c r="A346" s="133">
        <v>13.0</v>
      </c>
      <c r="B346" s="149" t="s">
        <v>1665</v>
      </c>
      <c r="C346" s="149" t="s">
        <v>1666</v>
      </c>
      <c r="D346" s="149" t="s">
        <v>1044</v>
      </c>
      <c r="E346" s="149" t="s">
        <v>57</v>
      </c>
      <c r="F346" s="149"/>
      <c r="G346" s="132">
        <v>48.0</v>
      </c>
      <c r="H346" s="132">
        <v>1.0</v>
      </c>
      <c r="I346" s="132">
        <v>4.0</v>
      </c>
      <c r="J346" s="132">
        <v>0.0</v>
      </c>
      <c r="K346" s="132">
        <v>0.0</v>
      </c>
      <c r="L346" s="132">
        <v>1.0</v>
      </c>
      <c r="M346" s="132" t="s">
        <v>1645</v>
      </c>
      <c r="N346" s="144" t="s">
        <v>28</v>
      </c>
      <c r="O346" s="144" t="s">
        <v>28</v>
      </c>
      <c r="P346" s="132" t="s">
        <v>66</v>
      </c>
      <c r="Q346" s="132">
        <v>1.0</v>
      </c>
      <c r="R346" s="132"/>
      <c r="S346" s="52"/>
      <c r="T346" s="187"/>
      <c r="U346" s="187"/>
      <c r="V346" s="187"/>
      <c r="W346" s="187"/>
      <c r="X346" s="187"/>
      <c r="Y346" s="187"/>
      <c r="Z346" s="187"/>
      <c r="AA346" s="187"/>
      <c r="AB346" s="187"/>
      <c r="AC346" s="187"/>
      <c r="AD346" s="187"/>
    </row>
    <row r="347" ht="14.25" customHeight="1">
      <c r="A347" s="133">
        <v>14.0</v>
      </c>
      <c r="B347" s="149" t="s">
        <v>1667</v>
      </c>
      <c r="C347" s="149" t="s">
        <v>1668</v>
      </c>
      <c r="D347" s="149" t="s">
        <v>1044</v>
      </c>
      <c r="E347" s="149" t="s">
        <v>57</v>
      </c>
      <c r="F347" s="149"/>
      <c r="G347" s="132">
        <v>120.0</v>
      </c>
      <c r="H347" s="132">
        <v>3.0</v>
      </c>
      <c r="I347" s="132">
        <v>12.0</v>
      </c>
      <c r="J347" s="132">
        <v>0.0</v>
      </c>
      <c r="K347" s="132">
        <v>0.0</v>
      </c>
      <c r="L347" s="132">
        <v>1.0</v>
      </c>
      <c r="M347" s="132" t="s">
        <v>1645</v>
      </c>
      <c r="N347" s="144" t="s">
        <v>28</v>
      </c>
      <c r="O347" s="144" t="s">
        <v>28</v>
      </c>
      <c r="P347" s="132" t="s">
        <v>66</v>
      </c>
      <c r="Q347" s="132">
        <v>3.0</v>
      </c>
      <c r="R347" s="132"/>
      <c r="S347" s="52"/>
      <c r="T347" s="187"/>
      <c r="U347" s="187"/>
      <c r="V347" s="187"/>
      <c r="W347" s="187"/>
      <c r="X347" s="187"/>
      <c r="Y347" s="187"/>
      <c r="Z347" s="187"/>
      <c r="AA347" s="187"/>
      <c r="AB347" s="187"/>
      <c r="AC347" s="187"/>
      <c r="AD347" s="187"/>
    </row>
    <row r="348" ht="14.25" customHeight="1">
      <c r="A348" s="133">
        <v>15.0</v>
      </c>
      <c r="B348" s="149" t="s">
        <v>1669</v>
      </c>
      <c r="C348" s="149" t="s">
        <v>1670</v>
      </c>
      <c r="D348" s="149" t="s">
        <v>1044</v>
      </c>
      <c r="E348" s="149" t="s">
        <v>1671</v>
      </c>
      <c r="F348" s="149"/>
      <c r="G348" s="132">
        <v>82.0</v>
      </c>
      <c r="H348" s="132">
        <v>2.0</v>
      </c>
      <c r="I348" s="132">
        <v>8.0</v>
      </c>
      <c r="J348" s="132">
        <v>0.0</v>
      </c>
      <c r="K348" s="132">
        <v>0.0</v>
      </c>
      <c r="L348" s="132">
        <v>1.0</v>
      </c>
      <c r="M348" s="132" t="s">
        <v>1645</v>
      </c>
      <c r="N348" s="144" t="s">
        <v>28</v>
      </c>
      <c r="O348" s="144" t="s">
        <v>28</v>
      </c>
      <c r="P348" s="132" t="s">
        <v>66</v>
      </c>
      <c r="Q348" s="132">
        <v>2.0</v>
      </c>
      <c r="R348" s="132"/>
      <c r="S348" s="52"/>
      <c r="T348" s="187"/>
      <c r="U348" s="187"/>
      <c r="V348" s="187"/>
      <c r="W348" s="187"/>
      <c r="X348" s="187"/>
      <c r="Y348" s="187"/>
      <c r="Z348" s="187"/>
      <c r="AA348" s="187"/>
      <c r="AB348" s="187"/>
      <c r="AC348" s="187"/>
      <c r="AD348" s="187"/>
    </row>
    <row r="349" ht="14.25" customHeight="1">
      <c r="A349" s="133">
        <v>16.0</v>
      </c>
      <c r="B349" s="149" t="s">
        <v>1672</v>
      </c>
      <c r="C349" s="149" t="s">
        <v>1673</v>
      </c>
      <c r="D349" s="149" t="s">
        <v>1044</v>
      </c>
      <c r="E349" s="149" t="s">
        <v>1671</v>
      </c>
      <c r="F349" s="149"/>
      <c r="G349" s="132">
        <v>70.0</v>
      </c>
      <c r="H349" s="132">
        <v>1.0</v>
      </c>
      <c r="I349" s="132">
        <v>5.0</v>
      </c>
      <c r="J349" s="132">
        <v>0.0</v>
      </c>
      <c r="K349" s="132">
        <v>0.0</v>
      </c>
      <c r="L349" s="132">
        <v>1.0</v>
      </c>
      <c r="M349" s="132" t="s">
        <v>1645</v>
      </c>
      <c r="N349" s="144" t="s">
        <v>28</v>
      </c>
      <c r="O349" s="144" t="s">
        <v>28</v>
      </c>
      <c r="P349" s="132" t="s">
        <v>66</v>
      </c>
      <c r="Q349" s="132">
        <v>1.0</v>
      </c>
      <c r="R349" s="132"/>
      <c r="S349" s="52"/>
      <c r="T349" s="187"/>
      <c r="U349" s="187"/>
      <c r="V349" s="187"/>
      <c r="W349" s="187"/>
      <c r="X349" s="187"/>
      <c r="Y349" s="187"/>
      <c r="Z349" s="187"/>
      <c r="AA349" s="187"/>
      <c r="AB349" s="187"/>
      <c r="AC349" s="187"/>
      <c r="AD349" s="187"/>
    </row>
    <row r="350" ht="14.25" customHeight="1">
      <c r="A350" s="133">
        <v>17.0</v>
      </c>
      <c r="B350" s="149" t="s">
        <v>1674</v>
      </c>
      <c r="C350" s="149" t="s">
        <v>1675</v>
      </c>
      <c r="D350" s="149" t="s">
        <v>1044</v>
      </c>
      <c r="E350" s="149" t="s">
        <v>57</v>
      </c>
      <c r="F350" s="149"/>
      <c r="G350" s="132">
        <v>66.0</v>
      </c>
      <c r="H350" s="132">
        <v>1.0</v>
      </c>
      <c r="I350" s="132">
        <v>5.0</v>
      </c>
      <c r="J350" s="132">
        <v>0.0</v>
      </c>
      <c r="K350" s="132">
        <v>0.0</v>
      </c>
      <c r="L350" s="132">
        <v>1.0</v>
      </c>
      <c r="M350" s="132" t="s">
        <v>1645</v>
      </c>
      <c r="N350" s="144" t="s">
        <v>28</v>
      </c>
      <c r="O350" s="144" t="s">
        <v>28</v>
      </c>
      <c r="P350" s="132" t="s">
        <v>66</v>
      </c>
      <c r="Q350" s="132">
        <v>1.0</v>
      </c>
      <c r="R350" s="132"/>
      <c r="S350" s="52"/>
      <c r="T350" s="187"/>
      <c r="U350" s="187"/>
      <c r="V350" s="187"/>
      <c r="W350" s="187"/>
      <c r="X350" s="187"/>
      <c r="Y350" s="187"/>
      <c r="Z350" s="187"/>
      <c r="AA350" s="187"/>
      <c r="AB350" s="187"/>
      <c r="AC350" s="187"/>
      <c r="AD350" s="187"/>
    </row>
    <row r="351" ht="14.25" customHeight="1">
      <c r="A351" s="133">
        <v>18.0</v>
      </c>
      <c r="B351" s="149" t="s">
        <v>1676</v>
      </c>
      <c r="C351" s="149" t="s">
        <v>1677</v>
      </c>
      <c r="D351" s="149" t="s">
        <v>1044</v>
      </c>
      <c r="E351" s="149" t="s">
        <v>57</v>
      </c>
      <c r="F351" s="149"/>
      <c r="G351" s="132">
        <v>66.0</v>
      </c>
      <c r="H351" s="132">
        <v>1.0</v>
      </c>
      <c r="I351" s="132">
        <v>5.0</v>
      </c>
      <c r="J351" s="132">
        <v>0.0</v>
      </c>
      <c r="K351" s="132">
        <v>0.0</v>
      </c>
      <c r="L351" s="132">
        <v>1.0</v>
      </c>
      <c r="M351" s="132" t="s">
        <v>1645</v>
      </c>
      <c r="N351" s="144" t="s">
        <v>28</v>
      </c>
      <c r="O351" s="144" t="s">
        <v>28</v>
      </c>
      <c r="P351" s="132" t="s">
        <v>66</v>
      </c>
      <c r="Q351" s="132">
        <v>1.0</v>
      </c>
      <c r="R351" s="132"/>
      <c r="S351" s="52"/>
      <c r="T351" s="187"/>
      <c r="U351" s="187"/>
      <c r="V351" s="187"/>
      <c r="W351" s="187"/>
      <c r="X351" s="187"/>
      <c r="Y351" s="187"/>
      <c r="Z351" s="187"/>
      <c r="AA351" s="187"/>
      <c r="AB351" s="187"/>
      <c r="AC351" s="187"/>
      <c r="AD351" s="187"/>
    </row>
    <row r="352" ht="14.25" customHeight="1">
      <c r="A352" s="133">
        <v>19.0</v>
      </c>
      <c r="B352" s="149" t="s">
        <v>1678</v>
      </c>
      <c r="C352" s="149" t="s">
        <v>1679</v>
      </c>
      <c r="D352" s="149" t="s">
        <v>1044</v>
      </c>
      <c r="E352" s="149" t="s">
        <v>57</v>
      </c>
      <c r="F352" s="149"/>
      <c r="G352" s="132">
        <v>66.0</v>
      </c>
      <c r="H352" s="132">
        <v>1.0</v>
      </c>
      <c r="I352" s="132">
        <v>5.0</v>
      </c>
      <c r="J352" s="132">
        <v>0.0</v>
      </c>
      <c r="K352" s="132">
        <v>0.0</v>
      </c>
      <c r="L352" s="132">
        <v>1.0</v>
      </c>
      <c r="M352" s="132" t="s">
        <v>1645</v>
      </c>
      <c r="N352" s="144" t="s">
        <v>28</v>
      </c>
      <c r="O352" s="144" t="s">
        <v>28</v>
      </c>
      <c r="P352" s="132" t="s">
        <v>66</v>
      </c>
      <c r="Q352" s="132">
        <v>1.0</v>
      </c>
      <c r="R352" s="132"/>
      <c r="S352" s="52"/>
      <c r="T352" s="187"/>
      <c r="U352" s="187"/>
      <c r="V352" s="187"/>
      <c r="W352" s="187"/>
      <c r="X352" s="187"/>
      <c r="Y352" s="187"/>
      <c r="Z352" s="187"/>
      <c r="AA352" s="187"/>
      <c r="AB352" s="187"/>
      <c r="AC352" s="187"/>
      <c r="AD352" s="187"/>
    </row>
    <row r="353" ht="14.25" customHeight="1">
      <c r="A353" s="133">
        <v>20.0</v>
      </c>
      <c r="B353" s="149" t="s">
        <v>1680</v>
      </c>
      <c r="C353" s="149" t="s">
        <v>1681</v>
      </c>
      <c r="D353" s="149" t="s">
        <v>1044</v>
      </c>
      <c r="E353" s="149" t="s">
        <v>57</v>
      </c>
      <c r="F353" s="149"/>
      <c r="G353" s="132">
        <v>110.0</v>
      </c>
      <c r="H353" s="132">
        <v>3.0</v>
      </c>
      <c r="I353" s="132">
        <v>12.0</v>
      </c>
      <c r="J353" s="132">
        <v>0.0</v>
      </c>
      <c r="K353" s="132">
        <v>0.0</v>
      </c>
      <c r="L353" s="132">
        <v>1.0</v>
      </c>
      <c r="M353" s="132" t="s">
        <v>1645</v>
      </c>
      <c r="N353" s="144" t="s">
        <v>28</v>
      </c>
      <c r="O353" s="144" t="s">
        <v>28</v>
      </c>
      <c r="P353" s="132" t="s">
        <v>66</v>
      </c>
      <c r="Q353" s="132">
        <v>3.0</v>
      </c>
      <c r="R353" s="132"/>
      <c r="S353" s="52"/>
      <c r="T353" s="187"/>
      <c r="U353" s="187"/>
      <c r="V353" s="187"/>
      <c r="W353" s="187"/>
      <c r="X353" s="187"/>
      <c r="Y353" s="187"/>
      <c r="Z353" s="187"/>
      <c r="AA353" s="187"/>
      <c r="AB353" s="187"/>
      <c r="AC353" s="187"/>
      <c r="AD353" s="187"/>
    </row>
    <row r="354" ht="14.25" customHeight="1">
      <c r="A354" s="133">
        <v>21.0</v>
      </c>
      <c r="B354" s="149" t="s">
        <v>1682</v>
      </c>
      <c r="C354" s="149" t="s">
        <v>1683</v>
      </c>
      <c r="D354" s="149" t="s">
        <v>1044</v>
      </c>
      <c r="E354" s="149" t="s">
        <v>57</v>
      </c>
      <c r="F354" s="149"/>
      <c r="G354" s="132">
        <v>84.0</v>
      </c>
      <c r="H354" s="132">
        <v>2.0</v>
      </c>
      <c r="I354" s="132">
        <v>8.0</v>
      </c>
      <c r="J354" s="132">
        <v>0.0</v>
      </c>
      <c r="K354" s="132">
        <v>0.0</v>
      </c>
      <c r="L354" s="132">
        <v>1.0</v>
      </c>
      <c r="M354" s="132" t="s">
        <v>1645</v>
      </c>
      <c r="N354" s="144" t="s">
        <v>28</v>
      </c>
      <c r="O354" s="144" t="s">
        <v>28</v>
      </c>
      <c r="P354" s="132" t="s">
        <v>66</v>
      </c>
      <c r="Q354" s="132">
        <v>2.0</v>
      </c>
      <c r="R354" s="132"/>
      <c r="S354" s="52"/>
      <c r="T354" s="187"/>
      <c r="U354" s="187"/>
      <c r="V354" s="187"/>
      <c r="W354" s="187"/>
      <c r="X354" s="187"/>
      <c r="Y354" s="187"/>
      <c r="Z354" s="187"/>
      <c r="AA354" s="187"/>
      <c r="AB354" s="187"/>
      <c r="AC354" s="187"/>
      <c r="AD354" s="187"/>
    </row>
    <row r="355" ht="14.25" customHeight="1">
      <c r="A355" s="133">
        <v>22.0</v>
      </c>
      <c r="B355" s="149" t="s">
        <v>1684</v>
      </c>
      <c r="C355" s="149" t="s">
        <v>1685</v>
      </c>
      <c r="D355" s="149" t="s">
        <v>1044</v>
      </c>
      <c r="E355" s="149" t="s">
        <v>1671</v>
      </c>
      <c r="F355" s="149"/>
      <c r="G355" s="132">
        <v>176.0</v>
      </c>
      <c r="H355" s="132">
        <v>4.0</v>
      </c>
      <c r="I355" s="132">
        <v>16.0</v>
      </c>
      <c r="J355" s="132">
        <v>0.0</v>
      </c>
      <c r="K355" s="132">
        <v>0.0</v>
      </c>
      <c r="L355" s="132">
        <v>1.0</v>
      </c>
      <c r="M355" s="132" t="s">
        <v>1645</v>
      </c>
      <c r="N355" s="144" t="s">
        <v>28</v>
      </c>
      <c r="O355" s="144" t="s">
        <v>28</v>
      </c>
      <c r="P355" s="132" t="s">
        <v>66</v>
      </c>
      <c r="Q355" s="132">
        <v>4.0</v>
      </c>
      <c r="R355" s="132"/>
      <c r="S355" s="52"/>
      <c r="T355" s="187"/>
      <c r="U355" s="187"/>
      <c r="V355" s="187"/>
      <c r="W355" s="187"/>
      <c r="X355" s="187"/>
      <c r="Y355" s="187"/>
      <c r="Z355" s="187"/>
      <c r="AA355" s="187"/>
      <c r="AB355" s="187"/>
      <c r="AC355" s="187"/>
      <c r="AD355" s="187"/>
    </row>
    <row r="356" ht="14.25" customHeight="1">
      <c r="A356" s="133">
        <v>23.0</v>
      </c>
      <c r="B356" s="149" t="s">
        <v>1686</v>
      </c>
      <c r="C356" s="149" t="s">
        <v>1687</v>
      </c>
      <c r="D356" s="149" t="s">
        <v>1044</v>
      </c>
      <c r="E356" s="149" t="s">
        <v>57</v>
      </c>
      <c r="F356" s="149"/>
      <c r="G356" s="132">
        <v>120.0</v>
      </c>
      <c r="H356" s="132">
        <v>3.0</v>
      </c>
      <c r="I356" s="132">
        <v>12.0</v>
      </c>
      <c r="J356" s="132">
        <v>0.0</v>
      </c>
      <c r="K356" s="132">
        <v>0.0</v>
      </c>
      <c r="L356" s="132">
        <v>1.0</v>
      </c>
      <c r="M356" s="132" t="s">
        <v>1645</v>
      </c>
      <c r="N356" s="144" t="s">
        <v>28</v>
      </c>
      <c r="O356" s="144" t="s">
        <v>28</v>
      </c>
      <c r="P356" s="132" t="s">
        <v>66</v>
      </c>
      <c r="Q356" s="132">
        <v>3.0</v>
      </c>
      <c r="R356" s="132"/>
      <c r="S356" s="52"/>
      <c r="T356" s="187"/>
      <c r="U356" s="187"/>
      <c r="V356" s="187"/>
      <c r="W356" s="187"/>
      <c r="X356" s="187"/>
      <c r="Y356" s="187"/>
      <c r="Z356" s="187"/>
      <c r="AA356" s="187"/>
      <c r="AB356" s="187"/>
      <c r="AC356" s="187"/>
      <c r="AD356" s="187"/>
    </row>
    <row r="357" ht="14.25" customHeight="1">
      <c r="A357" s="133">
        <v>24.0</v>
      </c>
      <c r="B357" s="149" t="s">
        <v>1688</v>
      </c>
      <c r="C357" s="149" t="s">
        <v>1689</v>
      </c>
      <c r="D357" s="149" t="s">
        <v>1044</v>
      </c>
      <c r="E357" s="149" t="s">
        <v>1671</v>
      </c>
      <c r="F357" s="149"/>
      <c r="G357" s="132">
        <v>96.0</v>
      </c>
      <c r="H357" s="132">
        <v>2.0</v>
      </c>
      <c r="I357" s="132">
        <v>8.0</v>
      </c>
      <c r="J357" s="132">
        <v>0.0</v>
      </c>
      <c r="K357" s="132">
        <v>0.0</v>
      </c>
      <c r="L357" s="132">
        <v>1.0</v>
      </c>
      <c r="M357" s="132" t="s">
        <v>1645</v>
      </c>
      <c r="N357" s="144" t="s">
        <v>28</v>
      </c>
      <c r="O357" s="144" t="s">
        <v>28</v>
      </c>
      <c r="P357" s="132" t="s">
        <v>66</v>
      </c>
      <c r="Q357" s="132">
        <v>2.0</v>
      </c>
      <c r="R357" s="132"/>
      <c r="S357" s="52"/>
      <c r="T357" s="187"/>
      <c r="U357" s="187"/>
      <c r="V357" s="187"/>
      <c r="W357" s="187"/>
      <c r="X357" s="187"/>
      <c r="Y357" s="187"/>
      <c r="Z357" s="187"/>
      <c r="AA357" s="187"/>
      <c r="AB357" s="187"/>
      <c r="AC357" s="187"/>
      <c r="AD357" s="187"/>
    </row>
    <row r="358" ht="14.25" customHeight="1">
      <c r="A358" s="133">
        <v>25.0</v>
      </c>
      <c r="B358" s="149" t="s">
        <v>1690</v>
      </c>
      <c r="C358" s="149" t="s">
        <v>1691</v>
      </c>
      <c r="D358" s="149" t="s">
        <v>1044</v>
      </c>
      <c r="E358" s="149" t="s">
        <v>57</v>
      </c>
      <c r="F358" s="149"/>
      <c r="G358" s="132">
        <v>66.0</v>
      </c>
      <c r="H358" s="132">
        <v>1.0</v>
      </c>
      <c r="I358" s="132">
        <v>5.0</v>
      </c>
      <c r="J358" s="132">
        <v>0.0</v>
      </c>
      <c r="K358" s="132">
        <v>0.0</v>
      </c>
      <c r="L358" s="132">
        <v>1.0</v>
      </c>
      <c r="M358" s="132" t="s">
        <v>1645</v>
      </c>
      <c r="N358" s="144" t="s">
        <v>28</v>
      </c>
      <c r="O358" s="144" t="s">
        <v>28</v>
      </c>
      <c r="P358" s="132" t="s">
        <v>66</v>
      </c>
      <c r="Q358" s="132">
        <v>1.0</v>
      </c>
      <c r="R358" s="132"/>
      <c r="S358" s="52"/>
      <c r="T358" s="187"/>
      <c r="U358" s="187"/>
      <c r="V358" s="187"/>
      <c r="W358" s="187"/>
      <c r="X358" s="187"/>
      <c r="Y358" s="187"/>
      <c r="Z358" s="187"/>
      <c r="AA358" s="187"/>
      <c r="AB358" s="187"/>
      <c r="AC358" s="187"/>
      <c r="AD358" s="187"/>
    </row>
    <row r="359" ht="14.25" customHeight="1">
      <c r="A359" s="133">
        <v>26.0</v>
      </c>
      <c r="B359" s="149" t="s">
        <v>1692</v>
      </c>
      <c r="C359" s="149" t="s">
        <v>1693</v>
      </c>
      <c r="D359" s="149" t="s">
        <v>1044</v>
      </c>
      <c r="E359" s="149" t="s">
        <v>57</v>
      </c>
      <c r="F359" s="149"/>
      <c r="G359" s="132">
        <v>120.0</v>
      </c>
      <c r="H359" s="132">
        <v>3.0</v>
      </c>
      <c r="I359" s="132">
        <v>12.0</v>
      </c>
      <c r="J359" s="132">
        <v>0.0</v>
      </c>
      <c r="K359" s="132">
        <v>0.0</v>
      </c>
      <c r="L359" s="132">
        <v>1.0</v>
      </c>
      <c r="M359" s="132" t="s">
        <v>1645</v>
      </c>
      <c r="N359" s="144" t="s">
        <v>28</v>
      </c>
      <c r="O359" s="144" t="s">
        <v>28</v>
      </c>
      <c r="P359" s="132" t="s">
        <v>66</v>
      </c>
      <c r="Q359" s="132">
        <v>3.0</v>
      </c>
      <c r="R359" s="132"/>
      <c r="S359" s="52"/>
      <c r="T359" s="187"/>
      <c r="U359" s="187"/>
      <c r="V359" s="187"/>
      <c r="W359" s="187"/>
      <c r="X359" s="187"/>
      <c r="Y359" s="187"/>
      <c r="Z359" s="187"/>
      <c r="AA359" s="187"/>
      <c r="AB359" s="187"/>
      <c r="AC359" s="187"/>
      <c r="AD359" s="187"/>
    </row>
    <row r="360" ht="14.25" customHeight="1">
      <c r="A360" s="133">
        <v>27.0</v>
      </c>
      <c r="B360" s="149" t="s">
        <v>1694</v>
      </c>
      <c r="C360" s="149" t="s">
        <v>1695</v>
      </c>
      <c r="D360" s="149" t="s">
        <v>1044</v>
      </c>
      <c r="E360" s="149" t="s">
        <v>57</v>
      </c>
      <c r="F360" s="149"/>
      <c r="G360" s="132">
        <v>160.0</v>
      </c>
      <c r="H360" s="132">
        <v>4.0</v>
      </c>
      <c r="I360" s="132">
        <v>12.0</v>
      </c>
      <c r="J360" s="132">
        <v>0.0</v>
      </c>
      <c r="K360" s="132">
        <v>0.0</v>
      </c>
      <c r="L360" s="132">
        <v>1.0</v>
      </c>
      <c r="M360" s="132" t="s">
        <v>1645</v>
      </c>
      <c r="N360" s="144" t="s">
        <v>28</v>
      </c>
      <c r="O360" s="144" t="s">
        <v>28</v>
      </c>
      <c r="P360" s="132" t="s">
        <v>66</v>
      </c>
      <c r="Q360" s="132">
        <v>4.0</v>
      </c>
      <c r="R360" s="132"/>
      <c r="S360" s="52"/>
      <c r="T360" s="187"/>
      <c r="U360" s="187"/>
      <c r="V360" s="187"/>
      <c r="W360" s="187"/>
      <c r="X360" s="187"/>
      <c r="Y360" s="187"/>
      <c r="Z360" s="187"/>
      <c r="AA360" s="187"/>
      <c r="AB360" s="187"/>
      <c r="AC360" s="187"/>
      <c r="AD360" s="187"/>
    </row>
    <row r="361" ht="14.25" customHeight="1">
      <c r="A361" s="133">
        <v>28.0</v>
      </c>
      <c r="B361" s="149" t="s">
        <v>1696</v>
      </c>
      <c r="C361" s="149" t="s">
        <v>1697</v>
      </c>
      <c r="D361" s="149" t="s">
        <v>1044</v>
      </c>
      <c r="E361" s="149" t="s">
        <v>1671</v>
      </c>
      <c r="F361" s="149"/>
      <c r="G361" s="132">
        <v>72.0</v>
      </c>
      <c r="H361" s="132">
        <v>1.0</v>
      </c>
      <c r="I361" s="132">
        <v>5.0</v>
      </c>
      <c r="J361" s="132">
        <v>0.0</v>
      </c>
      <c r="K361" s="132">
        <v>0.0</v>
      </c>
      <c r="L361" s="132">
        <v>1.0</v>
      </c>
      <c r="M361" s="132" t="s">
        <v>1645</v>
      </c>
      <c r="N361" s="144" t="s">
        <v>28</v>
      </c>
      <c r="O361" s="144" t="s">
        <v>28</v>
      </c>
      <c r="P361" s="132" t="s">
        <v>66</v>
      </c>
      <c r="Q361" s="132">
        <v>1.0</v>
      </c>
      <c r="R361" s="132"/>
      <c r="S361" s="52"/>
      <c r="T361" s="187"/>
      <c r="U361" s="187"/>
      <c r="V361" s="187"/>
      <c r="W361" s="187"/>
      <c r="X361" s="187"/>
      <c r="Y361" s="187"/>
      <c r="Z361" s="187"/>
      <c r="AA361" s="187"/>
      <c r="AB361" s="187"/>
      <c r="AC361" s="187"/>
      <c r="AD361" s="187"/>
    </row>
    <row r="362" ht="14.25" customHeight="1">
      <c r="A362" s="133">
        <v>29.0</v>
      </c>
      <c r="B362" s="149" t="s">
        <v>1698</v>
      </c>
      <c r="C362" s="149" t="s">
        <v>1699</v>
      </c>
      <c r="D362" s="149" t="s">
        <v>1044</v>
      </c>
      <c r="E362" s="149" t="s">
        <v>57</v>
      </c>
      <c r="F362" s="149"/>
      <c r="G362" s="132">
        <v>120.0</v>
      </c>
      <c r="H362" s="132">
        <v>3.0</v>
      </c>
      <c r="I362" s="132">
        <v>12.0</v>
      </c>
      <c r="J362" s="132">
        <v>0.0</v>
      </c>
      <c r="K362" s="132">
        <v>0.0</v>
      </c>
      <c r="L362" s="132">
        <v>1.0</v>
      </c>
      <c r="M362" s="132" t="s">
        <v>1645</v>
      </c>
      <c r="N362" s="144" t="s">
        <v>28</v>
      </c>
      <c r="O362" s="144" t="s">
        <v>28</v>
      </c>
      <c r="P362" s="132" t="s">
        <v>66</v>
      </c>
      <c r="Q362" s="132">
        <v>3.0</v>
      </c>
      <c r="R362" s="132"/>
      <c r="S362" s="52"/>
      <c r="T362" s="187"/>
      <c r="U362" s="187"/>
      <c r="V362" s="187"/>
      <c r="W362" s="187"/>
      <c r="X362" s="187"/>
      <c r="Y362" s="187"/>
      <c r="Z362" s="187"/>
      <c r="AA362" s="187"/>
      <c r="AB362" s="187"/>
      <c r="AC362" s="187"/>
      <c r="AD362" s="187"/>
    </row>
    <row r="363" ht="14.25" customHeight="1">
      <c r="A363" s="133">
        <v>30.0</v>
      </c>
      <c r="B363" s="149" t="s">
        <v>1700</v>
      </c>
      <c r="C363" s="149" t="s">
        <v>1701</v>
      </c>
      <c r="D363" s="149" t="s">
        <v>1044</v>
      </c>
      <c r="E363" s="149" t="s">
        <v>1671</v>
      </c>
      <c r="F363" s="149"/>
      <c r="G363" s="132">
        <v>66.0</v>
      </c>
      <c r="H363" s="132">
        <v>1.0</v>
      </c>
      <c r="I363" s="132">
        <v>5.0</v>
      </c>
      <c r="J363" s="132">
        <v>0.0</v>
      </c>
      <c r="K363" s="132">
        <v>0.0</v>
      </c>
      <c r="L363" s="132">
        <v>1.0</v>
      </c>
      <c r="M363" s="132" t="s">
        <v>1645</v>
      </c>
      <c r="N363" s="144" t="s">
        <v>28</v>
      </c>
      <c r="O363" s="144" t="s">
        <v>28</v>
      </c>
      <c r="P363" s="132" t="s">
        <v>66</v>
      </c>
      <c r="Q363" s="132">
        <v>1.0</v>
      </c>
      <c r="R363" s="132"/>
      <c r="S363" s="52"/>
      <c r="T363" s="187"/>
      <c r="U363" s="187"/>
      <c r="V363" s="187"/>
      <c r="W363" s="187"/>
      <c r="X363" s="187"/>
      <c r="Y363" s="187"/>
      <c r="Z363" s="187"/>
      <c r="AA363" s="187"/>
      <c r="AB363" s="187"/>
      <c r="AC363" s="187"/>
      <c r="AD363" s="187"/>
    </row>
    <row r="364" ht="14.25" customHeight="1">
      <c r="A364" s="133">
        <v>31.0</v>
      </c>
      <c r="B364" s="149" t="s">
        <v>1702</v>
      </c>
      <c r="C364" s="149" t="s">
        <v>1703</v>
      </c>
      <c r="D364" s="149" t="s">
        <v>1044</v>
      </c>
      <c r="E364" s="149" t="s">
        <v>1671</v>
      </c>
      <c r="F364" s="149"/>
      <c r="G364" s="132">
        <v>138.0</v>
      </c>
      <c r="H364" s="132">
        <v>3.0</v>
      </c>
      <c r="I364" s="132">
        <v>12.0</v>
      </c>
      <c r="J364" s="132">
        <v>0.0</v>
      </c>
      <c r="K364" s="132">
        <v>0.0</v>
      </c>
      <c r="L364" s="132">
        <v>1.0</v>
      </c>
      <c r="M364" s="132" t="s">
        <v>1645</v>
      </c>
      <c r="N364" s="144" t="s">
        <v>28</v>
      </c>
      <c r="O364" s="144" t="s">
        <v>28</v>
      </c>
      <c r="P364" s="132" t="s">
        <v>66</v>
      </c>
      <c r="Q364" s="132">
        <v>3.0</v>
      </c>
      <c r="R364" s="132"/>
      <c r="S364" s="52"/>
      <c r="T364" s="187"/>
      <c r="U364" s="187"/>
      <c r="V364" s="187"/>
      <c r="W364" s="187"/>
      <c r="X364" s="187"/>
      <c r="Y364" s="187"/>
      <c r="Z364" s="187"/>
      <c r="AA364" s="187"/>
      <c r="AB364" s="187"/>
      <c r="AC364" s="187"/>
      <c r="AD364" s="187"/>
    </row>
    <row r="365" ht="14.25" customHeight="1">
      <c r="A365" s="133">
        <v>32.0</v>
      </c>
      <c r="B365" s="149" t="s">
        <v>1704</v>
      </c>
      <c r="C365" s="149" t="s">
        <v>1705</v>
      </c>
      <c r="D365" s="149" t="s">
        <v>1044</v>
      </c>
      <c r="E365" s="149" t="s">
        <v>57</v>
      </c>
      <c r="F365" s="149"/>
      <c r="G365" s="132">
        <v>120.0</v>
      </c>
      <c r="H365" s="132">
        <v>3.0</v>
      </c>
      <c r="I365" s="132">
        <v>12.0</v>
      </c>
      <c r="J365" s="132">
        <v>0.0</v>
      </c>
      <c r="K365" s="132">
        <v>0.0</v>
      </c>
      <c r="L365" s="132">
        <v>1.0</v>
      </c>
      <c r="M365" s="132" t="s">
        <v>1645</v>
      </c>
      <c r="N365" s="144" t="s">
        <v>28</v>
      </c>
      <c r="O365" s="144" t="s">
        <v>28</v>
      </c>
      <c r="P365" s="132" t="s">
        <v>66</v>
      </c>
      <c r="Q365" s="132">
        <v>3.0</v>
      </c>
      <c r="R365" s="132"/>
      <c r="S365" s="52"/>
      <c r="T365" s="187"/>
      <c r="U365" s="187"/>
      <c r="V365" s="187"/>
      <c r="W365" s="187"/>
      <c r="X365" s="187"/>
      <c r="Y365" s="187"/>
      <c r="Z365" s="187"/>
      <c r="AA365" s="187"/>
      <c r="AB365" s="187"/>
      <c r="AC365" s="187"/>
      <c r="AD365" s="187"/>
    </row>
    <row r="366" ht="14.25" customHeight="1">
      <c r="A366" s="133">
        <v>33.0</v>
      </c>
      <c r="B366" s="149" t="s">
        <v>1706</v>
      </c>
      <c r="C366" s="149" t="s">
        <v>1707</v>
      </c>
      <c r="D366" s="149" t="s">
        <v>1044</v>
      </c>
      <c r="E366" s="149" t="s">
        <v>57</v>
      </c>
      <c r="F366" s="149"/>
      <c r="G366" s="132">
        <v>96.0</v>
      </c>
      <c r="H366" s="132">
        <v>2.0</v>
      </c>
      <c r="I366" s="132">
        <v>8.0</v>
      </c>
      <c r="J366" s="132">
        <v>0.0</v>
      </c>
      <c r="K366" s="132">
        <v>0.0</v>
      </c>
      <c r="L366" s="132">
        <v>1.0</v>
      </c>
      <c r="M366" s="132" t="s">
        <v>1645</v>
      </c>
      <c r="N366" s="144" t="s">
        <v>28</v>
      </c>
      <c r="O366" s="144" t="s">
        <v>28</v>
      </c>
      <c r="P366" s="132" t="s">
        <v>66</v>
      </c>
      <c r="Q366" s="132">
        <v>2.0</v>
      </c>
      <c r="R366" s="132"/>
      <c r="S366" s="52"/>
      <c r="T366" s="187"/>
      <c r="U366" s="187"/>
      <c r="V366" s="187"/>
      <c r="W366" s="187"/>
      <c r="X366" s="187"/>
      <c r="Y366" s="187"/>
      <c r="Z366" s="187"/>
      <c r="AA366" s="187"/>
      <c r="AB366" s="187"/>
      <c r="AC366" s="187"/>
      <c r="AD366" s="187"/>
    </row>
    <row r="367" ht="14.25" customHeight="1">
      <c r="A367" s="133">
        <v>34.0</v>
      </c>
      <c r="B367" s="149" t="s">
        <v>1708</v>
      </c>
      <c r="C367" s="149" t="s">
        <v>1709</v>
      </c>
      <c r="D367" s="149" t="s">
        <v>1044</v>
      </c>
      <c r="E367" s="149" t="s">
        <v>57</v>
      </c>
      <c r="F367" s="149"/>
      <c r="G367" s="132">
        <v>42.0</v>
      </c>
      <c r="H367" s="132">
        <v>1.0</v>
      </c>
      <c r="I367" s="132">
        <v>4.0</v>
      </c>
      <c r="J367" s="132">
        <v>0.0</v>
      </c>
      <c r="K367" s="132">
        <v>0.0</v>
      </c>
      <c r="L367" s="132">
        <v>1.0</v>
      </c>
      <c r="M367" s="132" t="s">
        <v>1645</v>
      </c>
      <c r="N367" s="144" t="s">
        <v>28</v>
      </c>
      <c r="O367" s="144" t="s">
        <v>28</v>
      </c>
      <c r="P367" s="132" t="s">
        <v>66</v>
      </c>
      <c r="Q367" s="132">
        <v>1.0</v>
      </c>
      <c r="R367" s="132"/>
      <c r="S367" s="52"/>
      <c r="T367" s="187"/>
      <c r="U367" s="187"/>
      <c r="V367" s="187"/>
      <c r="W367" s="187"/>
      <c r="X367" s="187"/>
      <c r="Y367" s="187"/>
      <c r="Z367" s="187"/>
      <c r="AA367" s="187"/>
      <c r="AB367" s="187"/>
      <c r="AC367" s="187"/>
      <c r="AD367" s="187"/>
    </row>
    <row r="368" ht="14.25" customHeight="1">
      <c r="A368" s="133">
        <v>35.0</v>
      </c>
      <c r="B368" s="149" t="s">
        <v>1710</v>
      </c>
      <c r="C368" s="149" t="s">
        <v>1695</v>
      </c>
      <c r="D368" s="149" t="s">
        <v>1044</v>
      </c>
      <c r="E368" s="149" t="s">
        <v>57</v>
      </c>
      <c r="F368" s="149"/>
      <c r="G368" s="132">
        <v>1440.0</v>
      </c>
      <c r="H368" s="132">
        <v>240.0</v>
      </c>
      <c r="I368" s="132">
        <v>960.0</v>
      </c>
      <c r="J368" s="132">
        <v>0.0</v>
      </c>
      <c r="K368" s="132">
        <v>0.0</v>
      </c>
      <c r="L368" s="132">
        <v>18.0</v>
      </c>
      <c r="M368" s="132" t="s">
        <v>1645</v>
      </c>
      <c r="N368" s="132" t="s">
        <v>449</v>
      </c>
      <c r="O368" s="144" t="s">
        <v>28</v>
      </c>
      <c r="P368" s="132" t="s">
        <v>29</v>
      </c>
      <c r="Q368" s="132"/>
      <c r="R368" s="132"/>
      <c r="S368" s="52"/>
      <c r="T368" s="187"/>
      <c r="U368" s="187"/>
      <c r="V368" s="187"/>
      <c r="W368" s="187"/>
      <c r="X368" s="187"/>
      <c r="Y368" s="187"/>
      <c r="Z368" s="187"/>
      <c r="AA368" s="187"/>
      <c r="AB368" s="187"/>
      <c r="AC368" s="187"/>
      <c r="AD368" s="187"/>
    </row>
    <row r="369" ht="14.25" customHeight="1">
      <c r="A369" s="133">
        <v>36.0</v>
      </c>
      <c r="B369" s="149" t="s">
        <v>1711</v>
      </c>
      <c r="C369" s="149" t="s">
        <v>1641</v>
      </c>
      <c r="D369" s="149" t="s">
        <v>1044</v>
      </c>
      <c r="E369" s="149" t="s">
        <v>57</v>
      </c>
      <c r="F369" s="149"/>
      <c r="G369" s="132">
        <v>2061.5</v>
      </c>
      <c r="H369" s="132">
        <v>3435.0</v>
      </c>
      <c r="I369" s="132">
        <v>1374.0</v>
      </c>
      <c r="J369" s="132">
        <v>1.0</v>
      </c>
      <c r="K369" s="132">
        <v>1.0</v>
      </c>
      <c r="L369" s="132">
        <v>18.0</v>
      </c>
      <c r="M369" s="132" t="s">
        <v>1645</v>
      </c>
      <c r="N369" s="132" t="s">
        <v>59</v>
      </c>
      <c r="O369" s="144" t="s">
        <v>28</v>
      </c>
      <c r="P369" s="132" t="s">
        <v>29</v>
      </c>
      <c r="Q369" s="132"/>
      <c r="R369" s="132"/>
      <c r="S369" s="52"/>
      <c r="T369" s="187"/>
      <c r="U369" s="187"/>
      <c r="V369" s="187"/>
      <c r="W369" s="187"/>
      <c r="X369" s="187"/>
      <c r="Y369" s="187"/>
      <c r="Z369" s="187"/>
      <c r="AA369" s="187"/>
      <c r="AB369" s="187"/>
      <c r="AC369" s="187"/>
      <c r="AD369" s="187"/>
    </row>
    <row r="370" ht="14.25" customHeight="1">
      <c r="A370" s="133">
        <v>37.0</v>
      </c>
      <c r="B370" s="149" t="s">
        <v>1712</v>
      </c>
      <c r="C370" s="149" t="s">
        <v>1641</v>
      </c>
      <c r="D370" s="149" t="s">
        <v>1044</v>
      </c>
      <c r="E370" s="149" t="s">
        <v>57</v>
      </c>
      <c r="F370" s="149"/>
      <c r="G370" s="132">
        <v>1309.0</v>
      </c>
      <c r="H370" s="132">
        <v>218.0</v>
      </c>
      <c r="I370" s="132">
        <v>873.0</v>
      </c>
      <c r="J370" s="132">
        <v>1.0</v>
      </c>
      <c r="K370" s="132">
        <v>1.0</v>
      </c>
      <c r="L370" s="132">
        <v>7.0</v>
      </c>
      <c r="M370" s="132" t="s">
        <v>59</v>
      </c>
      <c r="N370" s="132" t="s">
        <v>449</v>
      </c>
      <c r="O370" s="144" t="s">
        <v>28</v>
      </c>
      <c r="P370" s="132" t="s">
        <v>29</v>
      </c>
      <c r="Q370" s="132"/>
      <c r="R370" s="132"/>
      <c r="S370" s="52"/>
      <c r="T370" s="187"/>
      <c r="U370" s="187"/>
      <c r="V370" s="187"/>
      <c r="W370" s="187"/>
      <c r="X370" s="187"/>
      <c r="Y370" s="187"/>
      <c r="Z370" s="187"/>
      <c r="AA370" s="187"/>
      <c r="AB370" s="187"/>
      <c r="AC370" s="187"/>
      <c r="AD370" s="187"/>
    </row>
    <row r="371" ht="14.25" customHeight="1">
      <c r="A371" s="133">
        <v>38.0</v>
      </c>
      <c r="B371" s="149" t="s">
        <v>1713</v>
      </c>
      <c r="C371" s="149" t="s">
        <v>1649</v>
      </c>
      <c r="D371" s="149" t="s">
        <v>1044</v>
      </c>
      <c r="E371" s="149" t="s">
        <v>57</v>
      </c>
      <c r="F371" s="149"/>
      <c r="G371" s="132">
        <v>303.0</v>
      </c>
      <c r="H371" s="132">
        <v>505.0</v>
      </c>
      <c r="I371" s="132">
        <v>202.0</v>
      </c>
      <c r="J371" s="132">
        <v>2.0</v>
      </c>
      <c r="K371" s="132">
        <v>2.0</v>
      </c>
      <c r="L371" s="132">
        <v>6.0</v>
      </c>
      <c r="M371" s="132" t="s">
        <v>1645</v>
      </c>
      <c r="N371" s="132" t="s">
        <v>59</v>
      </c>
      <c r="O371" s="144" t="s">
        <v>28</v>
      </c>
      <c r="P371" s="132" t="s">
        <v>29</v>
      </c>
      <c r="Q371" s="132"/>
      <c r="R371" s="132"/>
      <c r="S371" s="52"/>
      <c r="T371" s="187"/>
      <c r="U371" s="187"/>
      <c r="V371" s="187"/>
      <c r="W371" s="187"/>
      <c r="X371" s="187"/>
      <c r="Y371" s="187"/>
      <c r="Z371" s="187"/>
      <c r="AA371" s="187"/>
      <c r="AB371" s="187"/>
      <c r="AC371" s="187"/>
      <c r="AD371" s="187"/>
    </row>
    <row r="372" ht="14.25" customHeight="1">
      <c r="A372" s="133">
        <v>39.0</v>
      </c>
      <c r="B372" s="149" t="s">
        <v>1714</v>
      </c>
      <c r="C372" s="149" t="s">
        <v>1656</v>
      </c>
      <c r="D372" s="149" t="s">
        <v>1044</v>
      </c>
      <c r="E372" s="149" t="s">
        <v>57</v>
      </c>
      <c r="F372" s="149"/>
      <c r="G372" s="132">
        <v>420.0</v>
      </c>
      <c r="H372" s="132">
        <v>70.0</v>
      </c>
      <c r="I372" s="132">
        <v>280.0</v>
      </c>
      <c r="J372" s="132">
        <v>0.0</v>
      </c>
      <c r="K372" s="132">
        <v>0.0</v>
      </c>
      <c r="L372" s="132">
        <v>11.0</v>
      </c>
      <c r="M372" s="132" t="s">
        <v>59</v>
      </c>
      <c r="N372" s="132" t="s">
        <v>449</v>
      </c>
      <c r="O372" s="144" t="s">
        <v>28</v>
      </c>
      <c r="P372" s="132" t="s">
        <v>29</v>
      </c>
      <c r="Q372" s="132"/>
      <c r="R372" s="132"/>
      <c r="S372" s="52"/>
      <c r="T372" s="187"/>
      <c r="U372" s="187"/>
      <c r="V372" s="187"/>
      <c r="W372" s="187"/>
      <c r="X372" s="187"/>
      <c r="Y372" s="187"/>
      <c r="Z372" s="187"/>
      <c r="AA372" s="187"/>
      <c r="AB372" s="187"/>
      <c r="AC372" s="187"/>
      <c r="AD372" s="187"/>
    </row>
    <row r="373" ht="14.25" customHeight="1">
      <c r="A373" s="133">
        <v>40.0</v>
      </c>
      <c r="B373" s="149" t="s">
        <v>1715</v>
      </c>
      <c r="C373" s="149" t="s">
        <v>1660</v>
      </c>
      <c r="D373" s="149" t="s">
        <v>1044</v>
      </c>
      <c r="E373" s="149" t="s">
        <v>57</v>
      </c>
      <c r="F373" s="149"/>
      <c r="G373" s="132">
        <v>762.0</v>
      </c>
      <c r="H373" s="132">
        <v>127.0</v>
      </c>
      <c r="I373" s="132">
        <v>508.0</v>
      </c>
      <c r="J373" s="132">
        <v>0.0</v>
      </c>
      <c r="K373" s="132">
        <v>0.0</v>
      </c>
      <c r="L373" s="132">
        <v>5.0</v>
      </c>
      <c r="M373" s="132" t="s">
        <v>1645</v>
      </c>
      <c r="N373" s="132" t="s">
        <v>59</v>
      </c>
      <c r="O373" s="144" t="s">
        <v>28</v>
      </c>
      <c r="P373" s="132" t="s">
        <v>29</v>
      </c>
      <c r="Q373" s="132"/>
      <c r="R373" s="132"/>
      <c r="S373" s="52"/>
      <c r="T373" s="187"/>
      <c r="U373" s="187"/>
      <c r="V373" s="187"/>
      <c r="W373" s="187"/>
      <c r="X373" s="187"/>
      <c r="Y373" s="187"/>
      <c r="Z373" s="187"/>
      <c r="AA373" s="187"/>
      <c r="AB373" s="187"/>
      <c r="AC373" s="187"/>
      <c r="AD373" s="187"/>
    </row>
    <row r="374" ht="14.25" customHeight="1">
      <c r="A374" s="133">
        <v>41.0</v>
      </c>
      <c r="B374" s="149" t="s">
        <v>1716</v>
      </c>
      <c r="C374" s="149" t="s">
        <v>1662</v>
      </c>
      <c r="D374" s="149" t="s">
        <v>1044</v>
      </c>
      <c r="E374" s="149" t="s">
        <v>57</v>
      </c>
      <c r="F374" s="149"/>
      <c r="G374" s="132">
        <v>306.0</v>
      </c>
      <c r="H374" s="132">
        <v>51.0</v>
      </c>
      <c r="I374" s="132">
        <v>204.0</v>
      </c>
      <c r="J374" s="132">
        <v>0.0</v>
      </c>
      <c r="K374" s="132">
        <v>0.0</v>
      </c>
      <c r="L374" s="132">
        <v>2.0</v>
      </c>
      <c r="M374" s="132" t="s">
        <v>1645</v>
      </c>
      <c r="N374" s="132" t="s">
        <v>59</v>
      </c>
      <c r="O374" s="144" t="s">
        <v>28</v>
      </c>
      <c r="P374" s="132" t="s">
        <v>29</v>
      </c>
      <c r="Q374" s="132"/>
      <c r="R374" s="132"/>
      <c r="S374" s="52"/>
      <c r="T374" s="187"/>
      <c r="U374" s="187"/>
      <c r="V374" s="187"/>
      <c r="W374" s="187"/>
      <c r="X374" s="187"/>
      <c r="Y374" s="187"/>
      <c r="Z374" s="187"/>
      <c r="AA374" s="187"/>
      <c r="AB374" s="187"/>
      <c r="AC374" s="187"/>
      <c r="AD374" s="187"/>
    </row>
    <row r="375" ht="14.25" customHeight="1">
      <c r="A375" s="133">
        <v>42.0</v>
      </c>
      <c r="B375" s="149" t="s">
        <v>1717</v>
      </c>
      <c r="C375" s="149" t="s">
        <v>1664</v>
      </c>
      <c r="D375" s="149" t="s">
        <v>1044</v>
      </c>
      <c r="E375" s="149" t="s">
        <v>57</v>
      </c>
      <c r="F375" s="149"/>
      <c r="G375" s="132">
        <v>444.42</v>
      </c>
      <c r="H375" s="132">
        <v>74.0</v>
      </c>
      <c r="I375" s="132">
        <v>296.0</v>
      </c>
      <c r="J375" s="132">
        <v>0.0</v>
      </c>
      <c r="K375" s="132">
        <v>0.0</v>
      </c>
      <c r="L375" s="132">
        <v>6.0</v>
      </c>
      <c r="M375" s="132" t="s">
        <v>1645</v>
      </c>
      <c r="N375" s="132" t="s">
        <v>59</v>
      </c>
      <c r="O375" s="144" t="s">
        <v>28</v>
      </c>
      <c r="P375" s="132" t="s">
        <v>29</v>
      </c>
      <c r="Q375" s="132"/>
      <c r="R375" s="132"/>
      <c r="S375" s="52"/>
      <c r="T375" s="187"/>
      <c r="U375" s="187"/>
      <c r="V375" s="187"/>
      <c r="W375" s="187"/>
      <c r="X375" s="187"/>
      <c r="Y375" s="187"/>
      <c r="Z375" s="187"/>
      <c r="AA375" s="187"/>
      <c r="AB375" s="187"/>
      <c r="AC375" s="187"/>
      <c r="AD375" s="187"/>
    </row>
    <row r="376" ht="14.25" customHeight="1">
      <c r="A376" s="133">
        <v>43.0</v>
      </c>
      <c r="B376" s="149" t="s">
        <v>1718</v>
      </c>
      <c r="C376" s="149" t="s">
        <v>1668</v>
      </c>
      <c r="D376" s="149" t="s">
        <v>1044</v>
      </c>
      <c r="E376" s="149" t="s">
        <v>57</v>
      </c>
      <c r="F376" s="149"/>
      <c r="G376" s="132">
        <v>758.88</v>
      </c>
      <c r="H376" s="132">
        <v>126.5</v>
      </c>
      <c r="I376" s="132">
        <v>506.0</v>
      </c>
      <c r="J376" s="132">
        <v>2.0</v>
      </c>
      <c r="K376" s="132">
        <v>2.0</v>
      </c>
      <c r="L376" s="132">
        <v>11.0</v>
      </c>
      <c r="M376" s="132" t="s">
        <v>1645</v>
      </c>
      <c r="N376" s="132" t="s">
        <v>59</v>
      </c>
      <c r="O376" s="144" t="s">
        <v>28</v>
      </c>
      <c r="P376" s="132" t="s">
        <v>29</v>
      </c>
      <c r="Q376" s="132"/>
      <c r="R376" s="132"/>
      <c r="S376" s="52"/>
      <c r="T376" s="187"/>
      <c r="U376" s="187"/>
      <c r="V376" s="187"/>
      <c r="W376" s="187"/>
      <c r="X376" s="187"/>
      <c r="Y376" s="187"/>
      <c r="Z376" s="187"/>
      <c r="AA376" s="187"/>
      <c r="AB376" s="187"/>
      <c r="AC376" s="187"/>
      <c r="AD376" s="187"/>
    </row>
    <row r="377" ht="14.25" customHeight="1">
      <c r="A377" s="133">
        <v>44.0</v>
      </c>
      <c r="B377" s="149" t="s">
        <v>1719</v>
      </c>
      <c r="C377" s="149" t="s">
        <v>1670</v>
      </c>
      <c r="D377" s="149" t="s">
        <v>1044</v>
      </c>
      <c r="E377" s="149" t="s">
        <v>1671</v>
      </c>
      <c r="F377" s="149"/>
      <c r="G377" s="132">
        <v>445.5</v>
      </c>
      <c r="H377" s="132">
        <v>49.0</v>
      </c>
      <c r="I377" s="132">
        <v>297.0</v>
      </c>
      <c r="J377" s="132">
        <v>0.0</v>
      </c>
      <c r="K377" s="132">
        <v>0.0</v>
      </c>
      <c r="L377" s="132">
        <v>8.0</v>
      </c>
      <c r="M377" s="132" t="s">
        <v>59</v>
      </c>
      <c r="N377" s="132" t="s">
        <v>449</v>
      </c>
      <c r="O377" s="144" t="s">
        <v>28</v>
      </c>
      <c r="P377" s="132" t="s">
        <v>29</v>
      </c>
      <c r="Q377" s="132"/>
      <c r="R377" s="132"/>
      <c r="S377" s="52"/>
      <c r="T377" s="187"/>
      <c r="U377" s="187"/>
      <c r="V377" s="187"/>
      <c r="W377" s="187"/>
      <c r="X377" s="187"/>
      <c r="Y377" s="187"/>
      <c r="Z377" s="187"/>
      <c r="AA377" s="187"/>
      <c r="AB377" s="187"/>
      <c r="AC377" s="187"/>
      <c r="AD377" s="187"/>
    </row>
    <row r="378" ht="14.25" customHeight="1">
      <c r="A378" s="133">
        <v>45.0</v>
      </c>
      <c r="B378" s="149" t="s">
        <v>1720</v>
      </c>
      <c r="C378" s="149" t="s">
        <v>1673</v>
      </c>
      <c r="D378" s="149" t="s">
        <v>1044</v>
      </c>
      <c r="E378" s="149" t="s">
        <v>1671</v>
      </c>
      <c r="F378" s="149"/>
      <c r="G378" s="132">
        <v>519.0</v>
      </c>
      <c r="H378" s="132">
        <v>57.6</v>
      </c>
      <c r="I378" s="132">
        <v>346.0</v>
      </c>
      <c r="J378" s="132">
        <v>0.0</v>
      </c>
      <c r="K378" s="132">
        <v>0.0</v>
      </c>
      <c r="L378" s="132">
        <v>8.0</v>
      </c>
      <c r="M378" s="132" t="s">
        <v>59</v>
      </c>
      <c r="N378" s="132" t="s">
        <v>449</v>
      </c>
      <c r="O378" s="144" t="s">
        <v>28</v>
      </c>
      <c r="P378" s="132" t="s">
        <v>29</v>
      </c>
      <c r="Q378" s="132"/>
      <c r="R378" s="132"/>
      <c r="S378" s="52"/>
      <c r="T378" s="187"/>
      <c r="U378" s="187"/>
      <c r="V378" s="187"/>
      <c r="W378" s="187"/>
      <c r="X378" s="187"/>
      <c r="Y378" s="187"/>
      <c r="Z378" s="187"/>
      <c r="AA378" s="187"/>
      <c r="AB378" s="187"/>
      <c r="AC378" s="187"/>
      <c r="AD378" s="187"/>
    </row>
    <row r="379" ht="14.25" customHeight="1">
      <c r="A379" s="133">
        <v>46.0</v>
      </c>
      <c r="B379" s="149" t="s">
        <v>1721</v>
      </c>
      <c r="C379" s="149" t="s">
        <v>1675</v>
      </c>
      <c r="D379" s="149" t="s">
        <v>1044</v>
      </c>
      <c r="E379" s="149" t="s">
        <v>57</v>
      </c>
      <c r="F379" s="149"/>
      <c r="G379" s="132">
        <v>552.0</v>
      </c>
      <c r="H379" s="132">
        <v>167.0</v>
      </c>
      <c r="I379" s="132">
        <v>368.0</v>
      </c>
      <c r="J379" s="132">
        <v>0.0</v>
      </c>
      <c r="K379" s="132">
        <v>0.0</v>
      </c>
      <c r="L379" s="132">
        <v>9.0</v>
      </c>
      <c r="M379" s="132" t="s">
        <v>1645</v>
      </c>
      <c r="N379" s="132" t="s">
        <v>59</v>
      </c>
      <c r="O379" s="144" t="s">
        <v>28</v>
      </c>
      <c r="P379" s="132" t="s">
        <v>29</v>
      </c>
      <c r="Q379" s="132"/>
      <c r="R379" s="132"/>
      <c r="S379" s="52"/>
      <c r="T379" s="187"/>
      <c r="U379" s="187"/>
      <c r="V379" s="187"/>
      <c r="W379" s="187"/>
      <c r="X379" s="187"/>
      <c r="Y379" s="187"/>
      <c r="Z379" s="187"/>
      <c r="AA379" s="187"/>
      <c r="AB379" s="187"/>
      <c r="AC379" s="187"/>
      <c r="AD379" s="187"/>
    </row>
    <row r="380" ht="14.25" customHeight="1">
      <c r="A380" s="133">
        <v>47.0</v>
      </c>
      <c r="B380" s="149" t="s">
        <v>1722</v>
      </c>
      <c r="C380" s="149" t="s">
        <v>1677</v>
      </c>
      <c r="D380" s="149" t="s">
        <v>1044</v>
      </c>
      <c r="E380" s="149" t="s">
        <v>57</v>
      </c>
      <c r="F380" s="149"/>
      <c r="G380" s="132">
        <v>497.0</v>
      </c>
      <c r="H380" s="132">
        <v>331.75</v>
      </c>
      <c r="I380" s="132">
        <v>331.0</v>
      </c>
      <c r="J380" s="132">
        <v>3.0</v>
      </c>
      <c r="K380" s="132">
        <v>3.0</v>
      </c>
      <c r="L380" s="132">
        <v>2.0</v>
      </c>
      <c r="M380" s="132" t="s">
        <v>1645</v>
      </c>
      <c r="N380" s="132" t="s">
        <v>59</v>
      </c>
      <c r="O380" s="144" t="s">
        <v>28</v>
      </c>
      <c r="P380" s="132" t="s">
        <v>29</v>
      </c>
      <c r="Q380" s="132"/>
      <c r="R380" s="132"/>
      <c r="S380" s="52"/>
      <c r="T380" s="187"/>
      <c r="U380" s="187"/>
      <c r="V380" s="187"/>
      <c r="W380" s="187"/>
      <c r="X380" s="187"/>
      <c r="Y380" s="187"/>
      <c r="Z380" s="187"/>
      <c r="AA380" s="187"/>
      <c r="AB380" s="187"/>
      <c r="AC380" s="187"/>
      <c r="AD380" s="187"/>
    </row>
    <row r="381" ht="14.25" customHeight="1">
      <c r="A381" s="133">
        <v>48.0</v>
      </c>
      <c r="B381" s="149" t="s">
        <v>1723</v>
      </c>
      <c r="C381" s="149" t="s">
        <v>1681</v>
      </c>
      <c r="D381" s="149" t="s">
        <v>1044</v>
      </c>
      <c r="E381" s="149" t="s">
        <v>57</v>
      </c>
      <c r="F381" s="149"/>
      <c r="G381" s="132">
        <v>112.0</v>
      </c>
      <c r="H381" s="132">
        <v>18.75</v>
      </c>
      <c r="I381" s="132">
        <v>75.0</v>
      </c>
      <c r="J381" s="132">
        <v>1.0</v>
      </c>
      <c r="K381" s="132">
        <v>1.0</v>
      </c>
      <c r="L381" s="132">
        <v>0.0</v>
      </c>
      <c r="M381" s="132" t="s">
        <v>1645</v>
      </c>
      <c r="N381" s="132" t="s">
        <v>59</v>
      </c>
      <c r="O381" s="144" t="s">
        <v>28</v>
      </c>
      <c r="P381" s="132" t="s">
        <v>29</v>
      </c>
      <c r="Q381" s="132"/>
      <c r="R381" s="132"/>
      <c r="S381" s="52"/>
      <c r="T381" s="187"/>
      <c r="U381" s="187"/>
      <c r="V381" s="187"/>
      <c r="W381" s="187"/>
      <c r="X381" s="187"/>
      <c r="Y381" s="187"/>
      <c r="Z381" s="187"/>
      <c r="AA381" s="187"/>
      <c r="AB381" s="187"/>
      <c r="AC381" s="187"/>
      <c r="AD381" s="187"/>
    </row>
    <row r="382" ht="14.25" customHeight="1">
      <c r="A382" s="133">
        <v>49.0</v>
      </c>
      <c r="B382" s="149" t="s">
        <v>1724</v>
      </c>
      <c r="C382" s="149" t="s">
        <v>1683</v>
      </c>
      <c r="D382" s="149" t="s">
        <v>1044</v>
      </c>
      <c r="E382" s="149" t="s">
        <v>57</v>
      </c>
      <c r="F382" s="149"/>
      <c r="G382" s="132">
        <v>488.0</v>
      </c>
      <c r="H382" s="132">
        <v>81.25</v>
      </c>
      <c r="I382" s="132">
        <v>325.0</v>
      </c>
      <c r="J382" s="132">
        <v>2.0</v>
      </c>
      <c r="K382" s="132">
        <v>2.0</v>
      </c>
      <c r="L382" s="132">
        <v>7.0</v>
      </c>
      <c r="M382" s="132" t="s">
        <v>1645</v>
      </c>
      <c r="N382" s="132" t="s">
        <v>59</v>
      </c>
      <c r="O382" s="144" t="s">
        <v>28</v>
      </c>
      <c r="P382" s="132" t="s">
        <v>29</v>
      </c>
      <c r="Q382" s="132"/>
      <c r="R382" s="132"/>
      <c r="S382" s="52"/>
      <c r="T382" s="187"/>
      <c r="U382" s="187"/>
      <c r="V382" s="187"/>
      <c r="W382" s="187"/>
      <c r="X382" s="187"/>
      <c r="Y382" s="187"/>
      <c r="Z382" s="187"/>
      <c r="AA382" s="187"/>
      <c r="AB382" s="187"/>
      <c r="AC382" s="187"/>
      <c r="AD382" s="187"/>
    </row>
    <row r="383" ht="14.25" customHeight="1">
      <c r="A383" s="133">
        <v>50.0</v>
      </c>
      <c r="B383" s="149" t="s">
        <v>1725</v>
      </c>
      <c r="C383" s="149" t="s">
        <v>1685</v>
      </c>
      <c r="D383" s="149" t="s">
        <v>1044</v>
      </c>
      <c r="E383" s="149" t="s">
        <v>1671</v>
      </c>
      <c r="F383" s="149"/>
      <c r="G383" s="132">
        <v>646.25</v>
      </c>
      <c r="H383" s="132">
        <v>71.8</v>
      </c>
      <c r="I383" s="132">
        <v>431.0</v>
      </c>
      <c r="J383" s="132">
        <v>2.0</v>
      </c>
      <c r="K383" s="132">
        <v>2.0</v>
      </c>
      <c r="L383" s="132">
        <v>9.0</v>
      </c>
      <c r="M383" s="132" t="s">
        <v>1645</v>
      </c>
      <c r="N383" s="132" t="s">
        <v>59</v>
      </c>
      <c r="O383" s="144" t="s">
        <v>28</v>
      </c>
      <c r="P383" s="132" t="s">
        <v>29</v>
      </c>
      <c r="Q383" s="132"/>
      <c r="R383" s="132"/>
      <c r="S383" s="52"/>
      <c r="T383" s="187"/>
      <c r="U383" s="187"/>
      <c r="V383" s="187"/>
      <c r="W383" s="187"/>
      <c r="X383" s="187"/>
      <c r="Y383" s="187"/>
      <c r="Z383" s="187"/>
      <c r="AA383" s="187"/>
      <c r="AB383" s="187"/>
      <c r="AC383" s="187"/>
      <c r="AD383" s="187"/>
    </row>
    <row r="384" ht="14.25" customHeight="1">
      <c r="A384" s="133">
        <v>51.0</v>
      </c>
      <c r="B384" s="149" t="s">
        <v>1726</v>
      </c>
      <c r="C384" s="149" t="s">
        <v>1687</v>
      </c>
      <c r="D384" s="149" t="s">
        <v>1044</v>
      </c>
      <c r="E384" s="149" t="s">
        <v>57</v>
      </c>
      <c r="F384" s="149"/>
      <c r="G384" s="132">
        <v>403.25</v>
      </c>
      <c r="H384" s="132">
        <v>67.25</v>
      </c>
      <c r="I384" s="132">
        <v>269.0</v>
      </c>
      <c r="J384" s="132">
        <v>0.0</v>
      </c>
      <c r="K384" s="132">
        <v>0.0</v>
      </c>
      <c r="L384" s="132">
        <v>9.0</v>
      </c>
      <c r="M384" s="132" t="s">
        <v>1645</v>
      </c>
      <c r="N384" s="132" t="s">
        <v>59</v>
      </c>
      <c r="O384" s="144" t="s">
        <v>28</v>
      </c>
      <c r="P384" s="132" t="s">
        <v>29</v>
      </c>
      <c r="Q384" s="132"/>
      <c r="R384" s="132"/>
      <c r="S384" s="52"/>
      <c r="T384" s="187"/>
      <c r="U384" s="187"/>
      <c r="V384" s="187"/>
      <c r="W384" s="187"/>
      <c r="X384" s="187"/>
      <c r="Y384" s="187"/>
      <c r="Z384" s="187"/>
      <c r="AA384" s="187"/>
      <c r="AB384" s="187"/>
      <c r="AC384" s="187"/>
      <c r="AD384" s="187"/>
    </row>
    <row r="385" ht="14.25" customHeight="1">
      <c r="A385" s="133">
        <v>52.0</v>
      </c>
      <c r="B385" s="149" t="s">
        <v>1727</v>
      </c>
      <c r="C385" s="149" t="s">
        <v>1689</v>
      </c>
      <c r="D385" s="149" t="s">
        <v>1044</v>
      </c>
      <c r="E385" s="149" t="s">
        <v>1671</v>
      </c>
      <c r="F385" s="149"/>
      <c r="G385" s="132">
        <v>686.0</v>
      </c>
      <c r="H385" s="132">
        <v>76.1</v>
      </c>
      <c r="I385" s="132">
        <v>457.0</v>
      </c>
      <c r="J385" s="132">
        <v>0.0</v>
      </c>
      <c r="K385" s="132">
        <v>0.0</v>
      </c>
      <c r="L385" s="132">
        <v>10.0</v>
      </c>
      <c r="M385" s="132" t="s">
        <v>59</v>
      </c>
      <c r="N385" s="132" t="s">
        <v>449</v>
      </c>
      <c r="O385" s="144" t="s">
        <v>28</v>
      </c>
      <c r="P385" s="132" t="s">
        <v>29</v>
      </c>
      <c r="Q385" s="132"/>
      <c r="R385" s="132"/>
      <c r="S385" s="52"/>
      <c r="T385" s="187"/>
      <c r="U385" s="187"/>
      <c r="V385" s="187"/>
      <c r="W385" s="187"/>
      <c r="X385" s="187"/>
      <c r="Y385" s="187"/>
      <c r="Z385" s="187"/>
      <c r="AA385" s="187"/>
      <c r="AB385" s="187"/>
      <c r="AC385" s="187"/>
      <c r="AD385" s="187"/>
    </row>
    <row r="386" ht="14.25" customHeight="1">
      <c r="A386" s="133">
        <v>53.0</v>
      </c>
      <c r="B386" s="149" t="s">
        <v>1728</v>
      </c>
      <c r="C386" s="149" t="s">
        <v>1693</v>
      </c>
      <c r="D386" s="149" t="s">
        <v>1044</v>
      </c>
      <c r="E386" s="149" t="s">
        <v>57</v>
      </c>
      <c r="F386" s="149"/>
      <c r="G386" s="132">
        <v>734.0</v>
      </c>
      <c r="H386" s="132">
        <v>122.25</v>
      </c>
      <c r="I386" s="132">
        <v>489.0</v>
      </c>
      <c r="J386" s="132">
        <v>0.0</v>
      </c>
      <c r="K386" s="132">
        <v>0.0</v>
      </c>
      <c r="L386" s="132">
        <v>9.0</v>
      </c>
      <c r="M386" s="132" t="s">
        <v>59</v>
      </c>
      <c r="N386" s="132" t="s">
        <v>449</v>
      </c>
      <c r="O386" s="144" t="s">
        <v>28</v>
      </c>
      <c r="P386" s="132" t="s">
        <v>29</v>
      </c>
      <c r="Q386" s="132"/>
      <c r="R386" s="132"/>
      <c r="S386" s="52"/>
      <c r="T386" s="187"/>
      <c r="U386" s="187"/>
      <c r="V386" s="187"/>
      <c r="W386" s="187"/>
      <c r="X386" s="187"/>
      <c r="Y386" s="187"/>
      <c r="Z386" s="187"/>
      <c r="AA386" s="187"/>
      <c r="AB386" s="187"/>
      <c r="AC386" s="187"/>
      <c r="AD386" s="187"/>
    </row>
    <row r="387" ht="14.25" customHeight="1">
      <c r="A387" s="133">
        <v>54.0</v>
      </c>
      <c r="B387" s="149" t="s">
        <v>1729</v>
      </c>
      <c r="C387" s="149" t="s">
        <v>1697</v>
      </c>
      <c r="D387" s="149" t="s">
        <v>1044</v>
      </c>
      <c r="E387" s="149" t="s">
        <v>1730</v>
      </c>
      <c r="F387" s="149"/>
      <c r="G387" s="132">
        <v>421.0</v>
      </c>
      <c r="H387" s="132">
        <v>46.8</v>
      </c>
      <c r="I387" s="132">
        <v>281.0</v>
      </c>
      <c r="J387" s="132">
        <v>0.0</v>
      </c>
      <c r="K387" s="132">
        <v>0.0</v>
      </c>
      <c r="L387" s="132">
        <v>6.0</v>
      </c>
      <c r="M387" s="132" t="s">
        <v>59</v>
      </c>
      <c r="N387" s="132" t="s">
        <v>449</v>
      </c>
      <c r="O387" s="144" t="s">
        <v>28</v>
      </c>
      <c r="P387" s="132" t="s">
        <v>29</v>
      </c>
      <c r="Q387" s="132"/>
      <c r="R387" s="132"/>
      <c r="S387" s="52"/>
      <c r="T387" s="187"/>
      <c r="U387" s="187"/>
      <c r="V387" s="187"/>
      <c r="W387" s="187"/>
      <c r="X387" s="187"/>
      <c r="Y387" s="187"/>
      <c r="Z387" s="187"/>
      <c r="AA387" s="187"/>
      <c r="AB387" s="187"/>
      <c r="AC387" s="187"/>
      <c r="AD387" s="187"/>
    </row>
    <row r="388" ht="14.25" customHeight="1">
      <c r="A388" s="133">
        <v>55.0</v>
      </c>
      <c r="B388" s="149" t="s">
        <v>1731</v>
      </c>
      <c r="C388" s="149" t="s">
        <v>1699</v>
      </c>
      <c r="D388" s="149" t="s">
        <v>1044</v>
      </c>
      <c r="E388" s="149" t="s">
        <v>57</v>
      </c>
      <c r="F388" s="149"/>
      <c r="G388" s="132">
        <v>293.0</v>
      </c>
      <c r="H388" s="132">
        <v>48.75</v>
      </c>
      <c r="I388" s="132">
        <v>195.0</v>
      </c>
      <c r="J388" s="132">
        <v>0.0</v>
      </c>
      <c r="K388" s="132">
        <v>0.0</v>
      </c>
      <c r="L388" s="132">
        <v>5.0</v>
      </c>
      <c r="M388" s="132" t="s">
        <v>1645</v>
      </c>
      <c r="N388" s="132" t="s">
        <v>449</v>
      </c>
      <c r="O388" s="144" t="s">
        <v>28</v>
      </c>
      <c r="P388" s="132" t="s">
        <v>29</v>
      </c>
      <c r="Q388" s="132"/>
      <c r="R388" s="132"/>
      <c r="S388" s="52"/>
      <c r="T388" s="187"/>
      <c r="U388" s="187"/>
      <c r="V388" s="187"/>
      <c r="W388" s="187"/>
      <c r="X388" s="187"/>
      <c r="Y388" s="187"/>
      <c r="Z388" s="187"/>
      <c r="AA388" s="187"/>
      <c r="AB388" s="187"/>
      <c r="AC388" s="187"/>
      <c r="AD388" s="187"/>
    </row>
    <row r="389" ht="14.25" customHeight="1">
      <c r="A389" s="133">
        <v>56.0</v>
      </c>
      <c r="B389" s="149" t="s">
        <v>1732</v>
      </c>
      <c r="C389" s="149" t="s">
        <v>1701</v>
      </c>
      <c r="D389" s="149" t="s">
        <v>1044</v>
      </c>
      <c r="E389" s="149" t="s">
        <v>1671</v>
      </c>
      <c r="F389" s="149"/>
      <c r="G389" s="132">
        <v>790.0</v>
      </c>
      <c r="H389" s="132">
        <v>87.83</v>
      </c>
      <c r="I389" s="132">
        <v>527.0</v>
      </c>
      <c r="J389" s="132">
        <v>0.0</v>
      </c>
      <c r="K389" s="132">
        <v>0.0</v>
      </c>
      <c r="L389" s="132">
        <v>11.0</v>
      </c>
      <c r="M389" s="132" t="s">
        <v>59</v>
      </c>
      <c r="N389" s="132" t="s">
        <v>449</v>
      </c>
      <c r="O389" s="144" t="s">
        <v>28</v>
      </c>
      <c r="P389" s="132" t="s">
        <v>29</v>
      </c>
      <c r="Q389" s="132"/>
      <c r="R389" s="132"/>
      <c r="S389" s="52"/>
      <c r="T389" s="187"/>
      <c r="U389" s="187"/>
      <c r="V389" s="187"/>
      <c r="W389" s="187"/>
      <c r="X389" s="187"/>
      <c r="Y389" s="187"/>
      <c r="Z389" s="187"/>
      <c r="AA389" s="187"/>
      <c r="AB389" s="187"/>
      <c r="AC389" s="187"/>
      <c r="AD389" s="187"/>
    </row>
    <row r="390" ht="14.25" customHeight="1">
      <c r="A390" s="133">
        <v>57.0</v>
      </c>
      <c r="B390" s="149" t="s">
        <v>1733</v>
      </c>
      <c r="C390" s="149" t="s">
        <v>1703</v>
      </c>
      <c r="D390" s="149" t="s">
        <v>1044</v>
      </c>
      <c r="E390" s="149" t="s">
        <v>1671</v>
      </c>
      <c r="F390" s="149"/>
      <c r="G390" s="132">
        <v>568.0</v>
      </c>
      <c r="H390" s="132">
        <v>63.1</v>
      </c>
      <c r="I390" s="132">
        <v>379.0</v>
      </c>
      <c r="J390" s="132">
        <v>0.0</v>
      </c>
      <c r="K390" s="132">
        <v>0.0</v>
      </c>
      <c r="L390" s="132">
        <v>8.0</v>
      </c>
      <c r="M390" s="132" t="s">
        <v>59</v>
      </c>
      <c r="N390" s="132" t="s">
        <v>449</v>
      </c>
      <c r="O390" s="144" t="s">
        <v>28</v>
      </c>
      <c r="P390" s="132" t="s">
        <v>29</v>
      </c>
      <c r="Q390" s="132"/>
      <c r="R390" s="132"/>
      <c r="S390" s="52"/>
      <c r="T390" s="187"/>
      <c r="U390" s="187"/>
      <c r="V390" s="187"/>
      <c r="W390" s="187"/>
      <c r="X390" s="187"/>
      <c r="Y390" s="187"/>
      <c r="Z390" s="187"/>
      <c r="AA390" s="187"/>
      <c r="AB390" s="187"/>
      <c r="AC390" s="187"/>
      <c r="AD390" s="187"/>
    </row>
    <row r="391" ht="14.25" customHeight="1">
      <c r="A391" s="133">
        <v>58.0</v>
      </c>
      <c r="B391" s="149" t="s">
        <v>1734</v>
      </c>
      <c r="C391" s="149" t="s">
        <v>1705</v>
      </c>
      <c r="D391" s="149" t="s">
        <v>1044</v>
      </c>
      <c r="E391" s="149" t="s">
        <v>57</v>
      </c>
      <c r="F391" s="149"/>
      <c r="G391" s="132">
        <v>420.0</v>
      </c>
      <c r="H391" s="132">
        <v>70.0</v>
      </c>
      <c r="I391" s="132">
        <v>280.0</v>
      </c>
      <c r="J391" s="132">
        <v>0.0</v>
      </c>
      <c r="K391" s="132">
        <v>0.0</v>
      </c>
      <c r="L391" s="132">
        <v>9.0</v>
      </c>
      <c r="M391" s="132" t="s">
        <v>1645</v>
      </c>
      <c r="N391" s="132" t="s">
        <v>59</v>
      </c>
      <c r="O391" s="144" t="s">
        <v>28</v>
      </c>
      <c r="P391" s="132" t="s">
        <v>29</v>
      </c>
      <c r="Q391" s="132"/>
      <c r="R391" s="132"/>
      <c r="S391" s="52"/>
      <c r="T391" s="187"/>
      <c r="U391" s="187"/>
      <c r="V391" s="187"/>
      <c r="W391" s="187"/>
      <c r="X391" s="187"/>
      <c r="Y391" s="187"/>
      <c r="Z391" s="187"/>
      <c r="AA391" s="187"/>
      <c r="AB391" s="187"/>
      <c r="AC391" s="187"/>
      <c r="AD391" s="187"/>
    </row>
    <row r="392" ht="14.25" customHeight="1">
      <c r="A392" s="133">
        <v>59.0</v>
      </c>
      <c r="B392" s="149" t="s">
        <v>1735</v>
      </c>
      <c r="C392" s="149" t="s">
        <v>1707</v>
      </c>
      <c r="D392" s="149" t="s">
        <v>1044</v>
      </c>
      <c r="E392" s="149" t="s">
        <v>57</v>
      </c>
      <c r="F392" s="149"/>
      <c r="G392" s="132">
        <v>761.0</v>
      </c>
      <c r="H392" s="132">
        <v>126.75</v>
      </c>
      <c r="I392" s="132">
        <v>507.0</v>
      </c>
      <c r="J392" s="132">
        <v>0.0</v>
      </c>
      <c r="K392" s="132">
        <v>0.0</v>
      </c>
      <c r="L392" s="132">
        <v>13.0</v>
      </c>
      <c r="M392" s="132" t="s">
        <v>59</v>
      </c>
      <c r="N392" s="132" t="s">
        <v>449</v>
      </c>
      <c r="O392" s="144" t="s">
        <v>28</v>
      </c>
      <c r="P392" s="132" t="s">
        <v>29</v>
      </c>
      <c r="Q392" s="132"/>
      <c r="R392" s="132"/>
      <c r="S392" s="52"/>
      <c r="T392" s="187"/>
      <c r="U392" s="187"/>
      <c r="V392" s="187"/>
      <c r="W392" s="187"/>
      <c r="X392" s="187"/>
      <c r="Y392" s="187"/>
      <c r="Z392" s="187"/>
      <c r="AA392" s="187"/>
      <c r="AB392" s="187"/>
      <c r="AC392" s="187"/>
      <c r="AD392" s="187"/>
    </row>
    <row r="393" ht="14.25" customHeight="1">
      <c r="A393" s="133">
        <v>60.0</v>
      </c>
      <c r="B393" s="149" t="s">
        <v>1736</v>
      </c>
      <c r="C393" s="149" t="s">
        <v>1707</v>
      </c>
      <c r="D393" s="149" t="s">
        <v>1044</v>
      </c>
      <c r="E393" s="149" t="s">
        <v>57</v>
      </c>
      <c r="F393" s="149"/>
      <c r="G393" s="132">
        <v>1148.0</v>
      </c>
      <c r="H393" s="132">
        <v>191.25</v>
      </c>
      <c r="I393" s="132">
        <v>765.0</v>
      </c>
      <c r="J393" s="132">
        <v>3.0</v>
      </c>
      <c r="K393" s="132">
        <v>3.0</v>
      </c>
      <c r="L393" s="132">
        <v>19.0</v>
      </c>
      <c r="M393" s="132" t="s">
        <v>59</v>
      </c>
      <c r="N393" s="132" t="s">
        <v>449</v>
      </c>
      <c r="O393" s="144" t="s">
        <v>28</v>
      </c>
      <c r="P393" s="132" t="s">
        <v>29</v>
      </c>
      <c r="Q393" s="132"/>
      <c r="R393" s="132"/>
      <c r="S393" s="52"/>
      <c r="T393" s="187"/>
      <c r="U393" s="187"/>
      <c r="V393" s="187"/>
      <c r="W393" s="187"/>
      <c r="X393" s="187"/>
      <c r="Y393" s="187"/>
      <c r="Z393" s="187"/>
      <c r="AA393" s="187"/>
      <c r="AB393" s="187"/>
      <c r="AC393" s="187"/>
      <c r="AD393" s="187"/>
    </row>
    <row r="394" ht="14.25" customHeight="1">
      <c r="A394" s="133">
        <v>61.0</v>
      </c>
      <c r="B394" s="149" t="s">
        <v>1737</v>
      </c>
      <c r="C394" s="149" t="s">
        <v>1675</v>
      </c>
      <c r="D394" s="149" t="s">
        <v>1044</v>
      </c>
      <c r="E394" s="149" t="s">
        <v>57</v>
      </c>
      <c r="F394" s="149"/>
      <c r="G394" s="132">
        <v>553.0</v>
      </c>
      <c r="H394" s="132">
        <v>92.25</v>
      </c>
      <c r="I394" s="132">
        <v>369.0</v>
      </c>
      <c r="J394" s="132">
        <v>0.0</v>
      </c>
      <c r="K394" s="132">
        <v>0.0</v>
      </c>
      <c r="L394" s="132">
        <v>2.0</v>
      </c>
      <c r="M394" s="132" t="s">
        <v>1645</v>
      </c>
      <c r="N394" s="132" t="s">
        <v>59</v>
      </c>
      <c r="O394" s="144" t="s">
        <v>28</v>
      </c>
      <c r="P394" s="132" t="s">
        <v>29</v>
      </c>
      <c r="Q394" s="132"/>
      <c r="R394" s="132"/>
      <c r="S394" s="52"/>
      <c r="T394" s="187"/>
      <c r="U394" s="187"/>
      <c r="V394" s="187"/>
      <c r="W394" s="187"/>
      <c r="X394" s="187"/>
      <c r="Y394" s="187"/>
      <c r="Z394" s="187"/>
      <c r="AA394" s="187"/>
      <c r="AB394" s="187"/>
      <c r="AC394" s="187"/>
      <c r="AD394" s="187"/>
    </row>
    <row r="395" ht="14.25" customHeight="1">
      <c r="A395" s="133">
        <v>62.0</v>
      </c>
      <c r="B395" s="149" t="s">
        <v>1738</v>
      </c>
      <c r="C395" s="149" t="s">
        <v>1705</v>
      </c>
      <c r="D395" s="149" t="s">
        <v>1044</v>
      </c>
      <c r="E395" s="149" t="s">
        <v>57</v>
      </c>
      <c r="F395" s="149"/>
      <c r="G395" s="132">
        <v>270.0</v>
      </c>
      <c r="H395" s="132">
        <v>45.0</v>
      </c>
      <c r="I395" s="132">
        <v>180.0</v>
      </c>
      <c r="J395" s="132">
        <v>1.0</v>
      </c>
      <c r="K395" s="132">
        <v>1.0</v>
      </c>
      <c r="L395" s="132">
        <v>0.0</v>
      </c>
      <c r="M395" s="132" t="s">
        <v>1645</v>
      </c>
      <c r="N395" s="132" t="s">
        <v>59</v>
      </c>
      <c r="O395" s="144" t="s">
        <v>28</v>
      </c>
      <c r="P395" s="132" t="s">
        <v>29</v>
      </c>
      <c r="Q395" s="132"/>
      <c r="R395" s="132"/>
      <c r="S395" s="52"/>
      <c r="T395" s="187"/>
      <c r="U395" s="187"/>
      <c r="V395" s="187"/>
      <c r="W395" s="187"/>
      <c r="X395" s="187"/>
      <c r="Y395" s="187"/>
      <c r="Z395" s="187"/>
      <c r="AA395" s="187"/>
      <c r="AB395" s="187"/>
      <c r="AC395" s="187"/>
      <c r="AD395" s="187"/>
    </row>
    <row r="396" ht="14.25" customHeight="1">
      <c r="A396" s="133">
        <v>63.0</v>
      </c>
      <c r="B396" s="149" t="s">
        <v>1739</v>
      </c>
      <c r="C396" s="149" t="s">
        <v>1740</v>
      </c>
      <c r="D396" s="149" t="s">
        <v>1044</v>
      </c>
      <c r="E396" s="149" t="s">
        <v>1671</v>
      </c>
      <c r="F396" s="149"/>
      <c r="G396" s="132">
        <v>504.0</v>
      </c>
      <c r="H396" s="132">
        <v>56.0</v>
      </c>
      <c r="I396" s="132">
        <v>336.0</v>
      </c>
      <c r="J396" s="132">
        <v>0.0</v>
      </c>
      <c r="K396" s="132">
        <v>0.0</v>
      </c>
      <c r="L396" s="132">
        <v>8.0</v>
      </c>
      <c r="M396" s="132" t="s">
        <v>59</v>
      </c>
      <c r="N396" s="132" t="s">
        <v>449</v>
      </c>
      <c r="O396" s="144" t="s">
        <v>28</v>
      </c>
      <c r="P396" s="132" t="s">
        <v>29</v>
      </c>
      <c r="Q396" s="132"/>
      <c r="R396" s="132"/>
      <c r="S396" s="52"/>
      <c r="T396" s="187"/>
      <c r="U396" s="187"/>
      <c r="V396" s="187"/>
      <c r="W396" s="187"/>
      <c r="X396" s="187"/>
      <c r="Y396" s="187"/>
      <c r="Z396" s="187"/>
      <c r="AA396" s="187"/>
      <c r="AB396" s="187"/>
      <c r="AC396" s="187"/>
      <c r="AD396" s="187"/>
    </row>
    <row r="397" ht="15.75" customHeight="1">
      <c r="A397" s="181"/>
      <c r="B397" s="182" t="s">
        <v>1741</v>
      </c>
      <c r="C397" s="182"/>
      <c r="D397" s="182"/>
      <c r="E397" s="182"/>
      <c r="F397" s="182"/>
      <c r="G397" s="183"/>
      <c r="H397" s="184"/>
      <c r="I397" s="184"/>
      <c r="J397" s="185"/>
      <c r="K397" s="185"/>
      <c r="L397" s="185"/>
      <c r="M397" s="185"/>
      <c r="N397" s="185"/>
      <c r="O397" s="185"/>
      <c r="P397" s="184"/>
      <c r="Q397" s="185"/>
      <c r="R397" s="141"/>
      <c r="S397" s="142"/>
      <c r="T397" s="142"/>
      <c r="U397" s="142"/>
      <c r="V397" s="142"/>
      <c r="W397" s="142"/>
      <c r="X397" s="142"/>
      <c r="Y397" s="142"/>
      <c r="Z397" s="142"/>
      <c r="AA397" s="142"/>
      <c r="AB397" s="142"/>
      <c r="AC397" s="142"/>
      <c r="AD397" s="142"/>
    </row>
    <row r="398" ht="14.25" customHeight="1">
      <c r="A398" s="132">
        <v>1.0</v>
      </c>
      <c r="B398" s="149" t="s">
        <v>43</v>
      </c>
      <c r="C398" s="149" t="s">
        <v>1742</v>
      </c>
      <c r="D398" s="131" t="s">
        <v>25</v>
      </c>
      <c r="E398" s="131" t="s">
        <v>57</v>
      </c>
      <c r="F398" s="52"/>
      <c r="G398" s="132">
        <v>160.0</v>
      </c>
      <c r="H398" s="132">
        <v>9.0</v>
      </c>
      <c r="I398" s="132">
        <v>45.0</v>
      </c>
      <c r="J398" s="132">
        <v>1.0</v>
      </c>
      <c r="K398" s="132">
        <v>1.0</v>
      </c>
      <c r="L398" s="132">
        <v>3.0</v>
      </c>
      <c r="M398" s="132" t="s">
        <v>427</v>
      </c>
      <c r="N398" s="132" t="s">
        <v>401</v>
      </c>
      <c r="O398" s="132">
        <v>100.0</v>
      </c>
      <c r="P398" s="132" t="s">
        <v>66</v>
      </c>
      <c r="Q398" s="132">
        <v>10.0</v>
      </c>
      <c r="R398" s="132"/>
      <c r="S398" s="52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</row>
    <row r="399" ht="14.25" customHeight="1">
      <c r="A399" s="132">
        <v>2.0</v>
      </c>
      <c r="B399" s="149" t="s">
        <v>1743</v>
      </c>
      <c r="C399" s="149" t="s">
        <v>1744</v>
      </c>
      <c r="D399" s="131" t="s">
        <v>25</v>
      </c>
      <c r="E399" s="131" t="s">
        <v>57</v>
      </c>
      <c r="F399" s="52"/>
      <c r="G399" s="132">
        <v>512.0</v>
      </c>
      <c r="H399" s="132">
        <v>51.0</v>
      </c>
      <c r="I399" s="132">
        <v>255.0</v>
      </c>
      <c r="J399" s="132">
        <v>1.0</v>
      </c>
      <c r="K399" s="132">
        <v>1.0</v>
      </c>
      <c r="L399" s="132">
        <v>10.0</v>
      </c>
      <c r="M399" s="132" t="s">
        <v>427</v>
      </c>
      <c r="N399" s="132" t="s">
        <v>401</v>
      </c>
      <c r="O399" s="132">
        <v>300.0</v>
      </c>
      <c r="P399" s="132" t="s">
        <v>29</v>
      </c>
      <c r="Q399" s="132" t="s">
        <v>46</v>
      </c>
      <c r="R399" s="132"/>
      <c r="S399" s="52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</row>
    <row r="400" ht="14.25" customHeight="1">
      <c r="A400" s="132">
        <v>3.0</v>
      </c>
      <c r="B400" s="149" t="s">
        <v>1745</v>
      </c>
      <c r="C400" s="149" t="s">
        <v>1746</v>
      </c>
      <c r="D400" s="131" t="s">
        <v>25</v>
      </c>
      <c r="E400" s="131" t="s">
        <v>57</v>
      </c>
      <c r="F400" s="52"/>
      <c r="G400" s="132">
        <v>844.0</v>
      </c>
      <c r="H400" s="132">
        <v>84.0</v>
      </c>
      <c r="I400" s="132">
        <v>420.0</v>
      </c>
      <c r="J400" s="132">
        <v>1.0</v>
      </c>
      <c r="K400" s="132">
        <v>1.0</v>
      </c>
      <c r="L400" s="132">
        <v>17.0</v>
      </c>
      <c r="M400" s="132" t="s">
        <v>427</v>
      </c>
      <c r="N400" s="132" t="s">
        <v>401</v>
      </c>
      <c r="O400" s="132">
        <v>500.0</v>
      </c>
      <c r="P400" s="132" t="s">
        <v>29</v>
      </c>
      <c r="Q400" s="132" t="s">
        <v>46</v>
      </c>
      <c r="R400" s="132"/>
      <c r="S400" s="52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  <c r="AD400" s="129"/>
    </row>
    <row r="401" ht="14.25" customHeight="1">
      <c r="A401" s="132">
        <v>4.0</v>
      </c>
      <c r="B401" s="149" t="s">
        <v>1747</v>
      </c>
      <c r="C401" s="149" t="s">
        <v>1748</v>
      </c>
      <c r="D401" s="131" t="s">
        <v>25</v>
      </c>
      <c r="E401" s="131" t="s">
        <v>57</v>
      </c>
      <c r="F401" s="52"/>
      <c r="G401" s="132">
        <v>727.0</v>
      </c>
      <c r="H401" s="132">
        <v>73.0</v>
      </c>
      <c r="I401" s="132">
        <v>365.0</v>
      </c>
      <c r="J401" s="132">
        <v>1.0</v>
      </c>
      <c r="K401" s="132">
        <v>1.0</v>
      </c>
      <c r="L401" s="132">
        <v>12.0</v>
      </c>
      <c r="M401" s="132" t="s">
        <v>1749</v>
      </c>
      <c r="N401" s="132" t="s">
        <v>401</v>
      </c>
      <c r="O401" s="132">
        <v>500.0</v>
      </c>
      <c r="P401" s="132" t="s">
        <v>29</v>
      </c>
      <c r="Q401" s="132" t="s">
        <v>46</v>
      </c>
      <c r="R401" s="132"/>
      <c r="S401" s="52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  <c r="AD401" s="129"/>
    </row>
    <row r="402" ht="14.25" customHeight="1">
      <c r="A402" s="132">
        <v>5.0</v>
      </c>
      <c r="B402" s="149" t="s">
        <v>1750</v>
      </c>
      <c r="C402" s="149" t="s">
        <v>1746</v>
      </c>
      <c r="D402" s="131" t="s">
        <v>25</v>
      </c>
      <c r="E402" s="131" t="s">
        <v>57</v>
      </c>
      <c r="F402" s="52"/>
      <c r="G402" s="132">
        <v>400.0</v>
      </c>
      <c r="H402" s="132">
        <v>50.0</v>
      </c>
      <c r="I402" s="132">
        <v>300.0</v>
      </c>
      <c r="J402" s="132">
        <v>1.0</v>
      </c>
      <c r="K402" s="132">
        <v>1.0</v>
      </c>
      <c r="L402" s="129">
        <v>1.0</v>
      </c>
      <c r="M402" s="132" t="s">
        <v>1749</v>
      </c>
      <c r="N402" s="132" t="s">
        <v>401</v>
      </c>
      <c r="O402" s="132">
        <v>300.0</v>
      </c>
      <c r="P402" s="132" t="s">
        <v>29</v>
      </c>
      <c r="Q402" s="132" t="s">
        <v>46</v>
      </c>
      <c r="R402" s="132"/>
      <c r="S402" s="52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  <c r="AD402" s="129"/>
    </row>
    <row r="403" ht="15.75" customHeight="1">
      <c r="A403" s="181"/>
      <c r="B403" s="182" t="s">
        <v>1751</v>
      </c>
      <c r="C403" s="182"/>
      <c r="D403" s="182"/>
      <c r="E403" s="182"/>
      <c r="F403" s="182"/>
      <c r="G403" s="183"/>
      <c r="H403" s="184"/>
      <c r="I403" s="184"/>
      <c r="J403" s="185"/>
      <c r="K403" s="185"/>
      <c r="L403" s="185"/>
      <c r="M403" s="185"/>
      <c r="N403" s="185"/>
      <c r="O403" s="185"/>
      <c r="P403" s="184"/>
      <c r="Q403" s="185"/>
      <c r="R403" s="141"/>
      <c r="S403" s="142"/>
      <c r="T403" s="142"/>
      <c r="U403" s="142"/>
      <c r="V403" s="142"/>
      <c r="W403" s="142"/>
      <c r="X403" s="142"/>
      <c r="Y403" s="142"/>
      <c r="Z403" s="142"/>
      <c r="AA403" s="142"/>
      <c r="AB403" s="142"/>
      <c r="AC403" s="142"/>
      <c r="AD403" s="142"/>
    </row>
    <row r="404" ht="15.75" customHeight="1">
      <c r="A404" s="132">
        <v>1.0</v>
      </c>
      <c r="B404" s="149" t="s">
        <v>1752</v>
      </c>
      <c r="C404" s="188" t="s">
        <v>1753</v>
      </c>
      <c r="D404" s="131" t="s">
        <v>25</v>
      </c>
      <c r="E404" s="131" t="s">
        <v>57</v>
      </c>
      <c r="F404" s="52"/>
      <c r="G404" s="132" t="s">
        <v>1754</v>
      </c>
      <c r="H404" s="132">
        <v>60.0</v>
      </c>
      <c r="I404" s="132">
        <v>300.0</v>
      </c>
      <c r="J404" s="132">
        <v>4.0</v>
      </c>
      <c r="K404" s="132">
        <v>4.0</v>
      </c>
      <c r="L404" s="132">
        <v>13.0</v>
      </c>
      <c r="M404" s="132" t="s">
        <v>1755</v>
      </c>
      <c r="N404" s="132" t="s">
        <v>46</v>
      </c>
      <c r="O404" s="132">
        <v>20000.0</v>
      </c>
      <c r="P404" s="132" t="s">
        <v>66</v>
      </c>
      <c r="Q404" s="132">
        <v>0.0</v>
      </c>
      <c r="R404" s="132"/>
      <c r="S404" s="52"/>
      <c r="T404" s="129"/>
      <c r="U404" s="129"/>
      <c r="V404" s="129"/>
      <c r="W404" s="129"/>
      <c r="X404" s="129"/>
      <c r="Y404" s="129"/>
      <c r="Z404" s="129"/>
      <c r="AA404" s="129"/>
      <c r="AB404" s="129"/>
      <c r="AC404" s="129"/>
      <c r="AD404" s="129"/>
    </row>
    <row r="405" ht="15.75" customHeight="1">
      <c r="A405" s="132">
        <v>2.0</v>
      </c>
      <c r="B405" s="149" t="s">
        <v>1756</v>
      </c>
      <c r="C405" s="149" t="s">
        <v>1757</v>
      </c>
      <c r="D405" s="131" t="s">
        <v>25</v>
      </c>
      <c r="E405" s="131" t="s">
        <v>57</v>
      </c>
      <c r="F405" s="52"/>
      <c r="G405" s="159">
        <v>147.62</v>
      </c>
      <c r="H405" s="132">
        <v>20.0</v>
      </c>
      <c r="I405" s="159">
        <v>92.0</v>
      </c>
      <c r="J405" s="132">
        <v>2.0</v>
      </c>
      <c r="K405" s="132">
        <v>2.0</v>
      </c>
      <c r="L405" s="132">
        <v>6.0</v>
      </c>
      <c r="M405" s="132" t="s">
        <v>1758</v>
      </c>
      <c r="N405" s="132" t="s">
        <v>46</v>
      </c>
      <c r="O405" s="132">
        <v>20000.0</v>
      </c>
      <c r="P405" s="132" t="s">
        <v>66</v>
      </c>
      <c r="Q405" s="132"/>
      <c r="R405" s="132"/>
      <c r="S405" s="52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  <c r="AD405" s="129"/>
    </row>
    <row r="406" ht="15.75" customHeight="1">
      <c r="A406" s="132">
        <v>3.0</v>
      </c>
      <c r="B406" s="149" t="s">
        <v>1759</v>
      </c>
      <c r="C406" s="149" t="s">
        <v>1760</v>
      </c>
      <c r="D406" s="131" t="s">
        <v>25</v>
      </c>
      <c r="E406" s="131" t="s">
        <v>57</v>
      </c>
      <c r="F406" s="52"/>
      <c r="G406" s="132">
        <v>28.0</v>
      </c>
      <c r="H406" s="132">
        <v>10.0</v>
      </c>
      <c r="I406" s="132">
        <v>30.0</v>
      </c>
      <c r="J406" s="132">
        <v>1.0</v>
      </c>
      <c r="K406" s="132">
        <v>1.0</v>
      </c>
      <c r="L406" s="132">
        <v>0.0</v>
      </c>
      <c r="M406" s="132" t="s">
        <v>27</v>
      </c>
      <c r="N406" s="132" t="s">
        <v>46</v>
      </c>
      <c r="O406" s="159" t="s">
        <v>1257</v>
      </c>
      <c r="P406" s="132" t="s">
        <v>29</v>
      </c>
      <c r="Q406" s="132"/>
      <c r="R406" s="132"/>
      <c r="S406" s="52"/>
      <c r="T406" s="129"/>
      <c r="U406" s="129"/>
      <c r="V406" s="129"/>
      <c r="W406" s="129"/>
      <c r="X406" s="129"/>
      <c r="Y406" s="129"/>
      <c r="Z406" s="129"/>
      <c r="AA406" s="129"/>
      <c r="AB406" s="129"/>
      <c r="AC406" s="129"/>
      <c r="AD406" s="129"/>
    </row>
    <row r="407" ht="15.75" customHeight="1">
      <c r="A407" s="132">
        <v>4.0</v>
      </c>
      <c r="B407" s="149" t="s">
        <v>1761</v>
      </c>
      <c r="C407" s="149" t="s">
        <v>1762</v>
      </c>
      <c r="D407" s="131" t="s">
        <v>25</v>
      </c>
      <c r="E407" s="131" t="s">
        <v>57</v>
      </c>
      <c r="F407" s="52"/>
      <c r="G407" s="132">
        <v>156.0</v>
      </c>
      <c r="H407" s="132">
        <v>20.0</v>
      </c>
      <c r="I407" s="132">
        <v>60.0</v>
      </c>
      <c r="J407" s="132">
        <v>0.0</v>
      </c>
      <c r="K407" s="132">
        <v>0.0</v>
      </c>
      <c r="L407" s="132">
        <v>2.0</v>
      </c>
      <c r="M407" s="132" t="s">
        <v>27</v>
      </c>
      <c r="N407" s="132" t="s">
        <v>46</v>
      </c>
      <c r="O407" s="159" t="s">
        <v>1257</v>
      </c>
      <c r="P407" s="132" t="s">
        <v>29</v>
      </c>
      <c r="Q407" s="132"/>
      <c r="R407" s="132"/>
      <c r="S407" s="52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  <c r="AD407" s="129"/>
    </row>
    <row r="408" ht="15.75" customHeight="1">
      <c r="A408" s="132">
        <v>5.0</v>
      </c>
      <c r="B408" s="149" t="s">
        <v>1763</v>
      </c>
      <c r="C408" s="149" t="s">
        <v>1764</v>
      </c>
      <c r="D408" s="131" t="s">
        <v>25</v>
      </c>
      <c r="E408" s="131" t="s">
        <v>57</v>
      </c>
      <c r="F408" s="52"/>
      <c r="G408" s="132">
        <v>100.0</v>
      </c>
      <c r="H408" s="132">
        <v>3.0</v>
      </c>
      <c r="I408" s="132">
        <v>15.0</v>
      </c>
      <c r="J408" s="132">
        <v>0.0</v>
      </c>
      <c r="K408" s="132">
        <v>0.0</v>
      </c>
      <c r="L408" s="132">
        <v>1.0</v>
      </c>
      <c r="M408" s="132" t="s">
        <v>27</v>
      </c>
      <c r="N408" s="132" t="s">
        <v>46</v>
      </c>
      <c r="O408" s="159" t="s">
        <v>1257</v>
      </c>
      <c r="P408" s="132" t="s">
        <v>29</v>
      </c>
      <c r="Q408" s="132"/>
      <c r="R408" s="132"/>
      <c r="S408" s="52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  <c r="AD408" s="129"/>
    </row>
    <row r="409" ht="15.75" customHeight="1">
      <c r="A409" s="132">
        <v>6.0</v>
      </c>
      <c r="B409" s="149" t="s">
        <v>1765</v>
      </c>
      <c r="C409" s="149" t="s">
        <v>1766</v>
      </c>
      <c r="D409" s="131" t="s">
        <v>25</v>
      </c>
      <c r="E409" s="131" t="s">
        <v>57</v>
      </c>
      <c r="F409" s="52"/>
      <c r="G409" s="132">
        <v>92.0</v>
      </c>
      <c r="H409" s="132">
        <v>4.0</v>
      </c>
      <c r="I409" s="132">
        <v>12.0</v>
      </c>
      <c r="J409" s="132">
        <v>0.0</v>
      </c>
      <c r="K409" s="132">
        <v>0.0</v>
      </c>
      <c r="L409" s="132">
        <v>2.0</v>
      </c>
      <c r="M409" s="132" t="s">
        <v>27</v>
      </c>
      <c r="N409" s="132" t="s">
        <v>46</v>
      </c>
      <c r="O409" s="159" t="s">
        <v>1257</v>
      </c>
      <c r="P409" s="132" t="s">
        <v>66</v>
      </c>
      <c r="Q409" s="132">
        <v>2.0</v>
      </c>
      <c r="R409" s="132"/>
      <c r="S409" s="52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  <c r="AD409" s="129"/>
    </row>
    <row r="410" ht="15.75" customHeight="1">
      <c r="A410" s="132">
        <v>7.0</v>
      </c>
      <c r="B410" s="149" t="s">
        <v>1767</v>
      </c>
      <c r="C410" s="149" t="s">
        <v>1768</v>
      </c>
      <c r="D410" s="131" t="s">
        <v>25</v>
      </c>
      <c r="E410" s="131" t="s">
        <v>57</v>
      </c>
      <c r="F410" s="52"/>
      <c r="G410" s="132">
        <v>60.0</v>
      </c>
      <c r="H410" s="132">
        <v>16.0</v>
      </c>
      <c r="I410" s="132">
        <v>130.0</v>
      </c>
      <c r="J410" s="132">
        <v>0.0</v>
      </c>
      <c r="K410" s="132">
        <v>0.0</v>
      </c>
      <c r="L410" s="132">
        <v>1.0</v>
      </c>
      <c r="M410" s="132" t="s">
        <v>27</v>
      </c>
      <c r="N410" s="132" t="s">
        <v>46</v>
      </c>
      <c r="O410" s="159" t="s">
        <v>1257</v>
      </c>
      <c r="P410" s="132" t="s">
        <v>29</v>
      </c>
      <c r="Q410" s="132"/>
      <c r="R410" s="132"/>
      <c r="S410" s="52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  <c r="AD410" s="129"/>
    </row>
    <row r="411" ht="15.75" customHeight="1">
      <c r="A411" s="132">
        <v>8.0</v>
      </c>
      <c r="B411" s="149" t="s">
        <v>1769</v>
      </c>
      <c r="C411" s="149" t="s">
        <v>1770</v>
      </c>
      <c r="D411" s="131" t="s">
        <v>25</v>
      </c>
      <c r="E411" s="131" t="s">
        <v>57</v>
      </c>
      <c r="F411" s="52"/>
      <c r="G411" s="132">
        <v>125.0</v>
      </c>
      <c r="H411" s="132">
        <v>20.0</v>
      </c>
      <c r="I411" s="132">
        <v>100.0</v>
      </c>
      <c r="J411" s="132">
        <v>0.0</v>
      </c>
      <c r="K411" s="132">
        <v>0.0</v>
      </c>
      <c r="L411" s="132">
        <v>1.0</v>
      </c>
      <c r="M411" s="132" t="s">
        <v>27</v>
      </c>
      <c r="N411" s="132" t="s">
        <v>46</v>
      </c>
      <c r="O411" s="159" t="s">
        <v>1257</v>
      </c>
      <c r="P411" s="132" t="s">
        <v>29</v>
      </c>
      <c r="Q411" s="132"/>
      <c r="R411" s="132"/>
      <c r="S411" s="52"/>
      <c r="T411" s="129"/>
      <c r="U411" s="129"/>
      <c r="V411" s="129"/>
      <c r="W411" s="129"/>
      <c r="X411" s="129"/>
      <c r="Y411" s="129"/>
      <c r="Z411" s="129"/>
      <c r="AA411" s="129"/>
      <c r="AB411" s="129"/>
      <c r="AC411" s="129"/>
      <c r="AD411" s="129"/>
    </row>
    <row r="412" ht="15.75" customHeight="1">
      <c r="A412" s="132">
        <v>9.0</v>
      </c>
      <c r="B412" s="149" t="s">
        <v>1771</v>
      </c>
      <c r="C412" s="149" t="s">
        <v>1772</v>
      </c>
      <c r="D412" s="131" t="s">
        <v>25</v>
      </c>
      <c r="E412" s="131" t="s">
        <v>57</v>
      </c>
      <c r="F412" s="52"/>
      <c r="G412" s="132">
        <v>100.0</v>
      </c>
      <c r="H412" s="132">
        <v>10.0</v>
      </c>
      <c r="I412" s="132">
        <v>50.0</v>
      </c>
      <c r="J412" s="132">
        <v>0.0</v>
      </c>
      <c r="K412" s="132">
        <v>0.0</v>
      </c>
      <c r="L412" s="132">
        <v>2.0</v>
      </c>
      <c r="M412" s="132" t="s">
        <v>27</v>
      </c>
      <c r="N412" s="132" t="s">
        <v>46</v>
      </c>
      <c r="O412" s="159" t="s">
        <v>1257</v>
      </c>
      <c r="P412" s="132" t="s">
        <v>29</v>
      </c>
      <c r="Q412" s="132"/>
      <c r="R412" s="132"/>
      <c r="S412" s="52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  <c r="AD412" s="129"/>
    </row>
    <row r="413" ht="15.75" customHeight="1">
      <c r="A413" s="132">
        <v>10.0</v>
      </c>
      <c r="B413" s="149" t="s">
        <v>1773</v>
      </c>
      <c r="C413" s="149" t="s">
        <v>1774</v>
      </c>
      <c r="D413" s="131" t="s">
        <v>25</v>
      </c>
      <c r="E413" s="131" t="s">
        <v>57</v>
      </c>
      <c r="F413" s="52"/>
      <c r="G413" s="132">
        <v>260.0</v>
      </c>
      <c r="H413" s="132">
        <v>15.0</v>
      </c>
      <c r="I413" s="132">
        <v>100.0</v>
      </c>
      <c r="J413" s="132">
        <v>0.0</v>
      </c>
      <c r="K413" s="132">
        <v>0.0</v>
      </c>
      <c r="L413" s="132">
        <v>3.0</v>
      </c>
      <c r="M413" s="132" t="s">
        <v>27</v>
      </c>
      <c r="N413" s="132" t="s">
        <v>46</v>
      </c>
      <c r="O413" s="159" t="s">
        <v>1257</v>
      </c>
      <c r="P413" s="132" t="s">
        <v>29</v>
      </c>
      <c r="Q413" s="132"/>
      <c r="R413" s="132"/>
      <c r="S413" s="52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  <c r="AD413" s="129"/>
    </row>
    <row r="414" ht="15.75" customHeight="1">
      <c r="A414" s="132">
        <v>11.0</v>
      </c>
      <c r="B414" s="149" t="s">
        <v>1775</v>
      </c>
      <c r="C414" s="149" t="s">
        <v>1776</v>
      </c>
      <c r="D414" s="131" t="s">
        <v>25</v>
      </c>
      <c r="E414" s="131" t="s">
        <v>57</v>
      </c>
      <c r="F414" s="52"/>
      <c r="G414" s="132">
        <v>76.0</v>
      </c>
      <c r="H414" s="132">
        <v>30.0</v>
      </c>
      <c r="I414" s="132">
        <v>175.0</v>
      </c>
      <c r="J414" s="132">
        <v>2.0</v>
      </c>
      <c r="K414" s="132">
        <v>2.0</v>
      </c>
      <c r="L414" s="132">
        <v>0.0</v>
      </c>
      <c r="M414" s="132" t="s">
        <v>27</v>
      </c>
      <c r="N414" s="132" t="s">
        <v>46</v>
      </c>
      <c r="O414" s="159" t="s">
        <v>1257</v>
      </c>
      <c r="P414" s="159" t="s">
        <v>29</v>
      </c>
      <c r="Q414" s="132"/>
      <c r="R414" s="132"/>
      <c r="S414" s="52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  <c r="AD414" s="129"/>
    </row>
    <row r="415" ht="15.75" customHeight="1">
      <c r="A415" s="132">
        <v>12.0</v>
      </c>
      <c r="B415" s="149" t="s">
        <v>1777</v>
      </c>
      <c r="C415" s="149" t="s">
        <v>1778</v>
      </c>
      <c r="D415" s="131" t="s">
        <v>25</v>
      </c>
      <c r="E415" s="131" t="s">
        <v>57</v>
      </c>
      <c r="F415" s="52"/>
      <c r="G415" s="132">
        <v>100.0</v>
      </c>
      <c r="H415" s="132">
        <v>20.0</v>
      </c>
      <c r="I415" s="132">
        <v>60.0</v>
      </c>
      <c r="J415" s="132">
        <v>1.0</v>
      </c>
      <c r="K415" s="132">
        <v>1.0</v>
      </c>
      <c r="L415" s="132">
        <v>0.0</v>
      </c>
      <c r="M415" s="132" t="s">
        <v>27</v>
      </c>
      <c r="N415" s="132" t="s">
        <v>46</v>
      </c>
      <c r="O415" s="159" t="s">
        <v>1257</v>
      </c>
      <c r="P415" s="132" t="s">
        <v>29</v>
      </c>
      <c r="Q415" s="132">
        <v>0.0</v>
      </c>
      <c r="R415" s="132"/>
      <c r="S415" s="52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  <c r="AD415" s="129"/>
    </row>
    <row r="416" ht="15.75" customHeight="1">
      <c r="A416" s="132">
        <v>13.0</v>
      </c>
      <c r="B416" s="149" t="s">
        <v>1779</v>
      </c>
      <c r="C416" s="149" t="s">
        <v>1780</v>
      </c>
      <c r="D416" s="131" t="s">
        <v>25</v>
      </c>
      <c r="E416" s="131" t="s">
        <v>57</v>
      </c>
      <c r="F416" s="52"/>
      <c r="G416" s="132">
        <v>250.0</v>
      </c>
      <c r="H416" s="132">
        <v>10.0</v>
      </c>
      <c r="I416" s="132">
        <v>40.0</v>
      </c>
      <c r="J416" s="132">
        <v>1.0</v>
      </c>
      <c r="K416" s="132">
        <v>1.0</v>
      </c>
      <c r="L416" s="132">
        <v>0.0</v>
      </c>
      <c r="M416" s="132" t="s">
        <v>27</v>
      </c>
      <c r="N416" s="132" t="s">
        <v>46</v>
      </c>
      <c r="O416" s="159" t="s">
        <v>1257</v>
      </c>
      <c r="P416" s="132" t="s">
        <v>29</v>
      </c>
      <c r="Q416" s="132"/>
      <c r="R416" s="132"/>
      <c r="S416" s="52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  <c r="AD416" s="129"/>
    </row>
    <row r="417" ht="15.75" customHeight="1">
      <c r="A417" s="132">
        <v>14.0</v>
      </c>
      <c r="B417" s="149" t="s">
        <v>1781</v>
      </c>
      <c r="C417" s="149" t="s">
        <v>1782</v>
      </c>
      <c r="D417" s="131" t="s">
        <v>25</v>
      </c>
      <c r="E417" s="131" t="s">
        <v>57</v>
      </c>
      <c r="F417" s="52"/>
      <c r="G417" s="132">
        <v>84.0</v>
      </c>
      <c r="H417" s="132">
        <v>20.0</v>
      </c>
      <c r="I417" s="132">
        <v>80.0</v>
      </c>
      <c r="J417" s="132">
        <v>1.0</v>
      </c>
      <c r="K417" s="132">
        <v>1.0</v>
      </c>
      <c r="L417" s="132">
        <v>0.0</v>
      </c>
      <c r="M417" s="132" t="s">
        <v>27</v>
      </c>
      <c r="N417" s="132" t="s">
        <v>46</v>
      </c>
      <c r="O417" s="159" t="s">
        <v>1257</v>
      </c>
      <c r="P417" s="132" t="s">
        <v>29</v>
      </c>
      <c r="Q417" s="132"/>
      <c r="R417" s="132"/>
      <c r="S417" s="52"/>
      <c r="T417" s="129"/>
      <c r="U417" s="129"/>
      <c r="V417" s="129"/>
      <c r="W417" s="129"/>
      <c r="X417" s="129"/>
      <c r="Y417" s="129"/>
      <c r="Z417" s="129"/>
      <c r="AA417" s="129"/>
      <c r="AB417" s="129"/>
      <c r="AC417" s="129"/>
      <c r="AD417" s="129"/>
    </row>
    <row r="418" ht="15.75" customHeight="1">
      <c r="A418" s="132">
        <v>15.0</v>
      </c>
      <c r="B418" s="149" t="s">
        <v>1783</v>
      </c>
      <c r="C418" s="149" t="s">
        <v>1784</v>
      </c>
      <c r="D418" s="131" t="s">
        <v>25</v>
      </c>
      <c r="E418" s="131" t="s">
        <v>57</v>
      </c>
      <c r="F418" s="52"/>
      <c r="G418" s="132">
        <v>45.0</v>
      </c>
      <c r="H418" s="132">
        <v>2.0</v>
      </c>
      <c r="I418" s="132">
        <v>10.0</v>
      </c>
      <c r="J418" s="132">
        <v>0.0</v>
      </c>
      <c r="K418" s="132">
        <v>0.0</v>
      </c>
      <c r="L418" s="132">
        <v>1.0</v>
      </c>
      <c r="M418" s="132" t="s">
        <v>27</v>
      </c>
      <c r="N418" s="132" t="s">
        <v>46</v>
      </c>
      <c r="O418" s="159" t="s">
        <v>1257</v>
      </c>
      <c r="P418" s="132" t="s">
        <v>66</v>
      </c>
      <c r="Q418" s="132">
        <v>3.0</v>
      </c>
      <c r="R418" s="132"/>
      <c r="S418" s="52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  <c r="AD418" s="129"/>
    </row>
    <row r="419" ht="15.75" customHeight="1">
      <c r="A419" s="132">
        <v>16.0</v>
      </c>
      <c r="B419" s="149" t="s">
        <v>1785</v>
      </c>
      <c r="C419" s="149" t="s">
        <v>1786</v>
      </c>
      <c r="D419" s="131" t="s">
        <v>25</v>
      </c>
      <c r="E419" s="131" t="s">
        <v>57</v>
      </c>
      <c r="F419" s="52"/>
      <c r="G419" s="132">
        <v>200.0</v>
      </c>
      <c r="H419" s="132">
        <v>20.0</v>
      </c>
      <c r="I419" s="132">
        <v>50.0</v>
      </c>
      <c r="J419" s="132">
        <v>0.0</v>
      </c>
      <c r="K419" s="132">
        <v>0.0</v>
      </c>
      <c r="L419" s="132">
        <v>1.0</v>
      </c>
      <c r="M419" s="132" t="s">
        <v>27</v>
      </c>
      <c r="N419" s="132" t="s">
        <v>46</v>
      </c>
      <c r="O419" s="159" t="s">
        <v>1257</v>
      </c>
      <c r="P419" s="132" t="s">
        <v>29</v>
      </c>
      <c r="Q419" s="132"/>
      <c r="R419" s="132"/>
      <c r="S419" s="52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  <c r="AD419" s="129"/>
    </row>
    <row r="420" ht="15.75" customHeight="1">
      <c r="A420" s="132">
        <v>17.0</v>
      </c>
      <c r="B420" s="149" t="s">
        <v>1787</v>
      </c>
      <c r="C420" s="149" t="s">
        <v>1788</v>
      </c>
      <c r="D420" s="131" t="s">
        <v>25</v>
      </c>
      <c r="E420" s="131" t="s">
        <v>57</v>
      </c>
      <c r="F420" s="52"/>
      <c r="G420" s="132">
        <v>150.0</v>
      </c>
      <c r="H420" s="132">
        <v>9.0</v>
      </c>
      <c r="I420" s="132">
        <v>50.0</v>
      </c>
      <c r="J420" s="132">
        <v>1.0</v>
      </c>
      <c r="K420" s="132">
        <v>1.0</v>
      </c>
      <c r="L420" s="132">
        <v>0.0</v>
      </c>
      <c r="M420" s="132" t="s">
        <v>27</v>
      </c>
      <c r="N420" s="132" t="s">
        <v>46</v>
      </c>
      <c r="O420" s="159" t="s">
        <v>1257</v>
      </c>
      <c r="P420" s="159" t="s">
        <v>29</v>
      </c>
      <c r="Q420" s="132"/>
      <c r="R420" s="132"/>
      <c r="S420" s="52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  <c r="AD420" s="129"/>
    </row>
    <row r="421" ht="15.75" customHeight="1">
      <c r="A421" s="132">
        <v>18.0</v>
      </c>
      <c r="B421" s="149" t="s">
        <v>1789</v>
      </c>
      <c r="C421" s="149" t="s">
        <v>1790</v>
      </c>
      <c r="D421" s="131" t="s">
        <v>25</v>
      </c>
      <c r="E421" s="131" t="s">
        <v>57</v>
      </c>
      <c r="F421" s="52"/>
      <c r="G421" s="132">
        <v>49.0</v>
      </c>
      <c r="H421" s="132">
        <v>2.0</v>
      </c>
      <c r="I421" s="132">
        <v>10.0</v>
      </c>
      <c r="J421" s="132">
        <v>0.0</v>
      </c>
      <c r="K421" s="132">
        <v>0.0</v>
      </c>
      <c r="L421" s="132">
        <v>1.0</v>
      </c>
      <c r="M421" s="132" t="s">
        <v>27</v>
      </c>
      <c r="N421" s="132" t="s">
        <v>46</v>
      </c>
      <c r="O421" s="159" t="s">
        <v>1257</v>
      </c>
      <c r="P421" s="132" t="s">
        <v>66</v>
      </c>
      <c r="Q421" s="132">
        <v>1.0</v>
      </c>
      <c r="R421" s="132"/>
      <c r="S421" s="52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  <c r="AD421" s="129"/>
    </row>
    <row r="422" ht="15.75" customHeight="1">
      <c r="A422" s="132">
        <v>19.0</v>
      </c>
      <c r="B422" s="149" t="s">
        <v>1791</v>
      </c>
      <c r="C422" s="149" t="s">
        <v>1792</v>
      </c>
      <c r="D422" s="131" t="s">
        <v>25</v>
      </c>
      <c r="E422" s="131" t="s">
        <v>57</v>
      </c>
      <c r="F422" s="52"/>
      <c r="G422" s="132">
        <v>70.0</v>
      </c>
      <c r="H422" s="132">
        <v>18.0</v>
      </c>
      <c r="I422" s="132">
        <v>90.0</v>
      </c>
      <c r="J422" s="132">
        <v>0.0</v>
      </c>
      <c r="K422" s="132">
        <v>0.0</v>
      </c>
      <c r="L422" s="132">
        <v>3.0</v>
      </c>
      <c r="M422" s="132" t="s">
        <v>27</v>
      </c>
      <c r="N422" s="132" t="s">
        <v>46</v>
      </c>
      <c r="O422" s="159" t="s">
        <v>1257</v>
      </c>
      <c r="P422" s="132" t="s">
        <v>29</v>
      </c>
      <c r="Q422" s="132"/>
      <c r="R422" s="132"/>
      <c r="S422" s="52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  <c r="AD422" s="129"/>
    </row>
    <row r="423" ht="15.75" customHeight="1">
      <c r="A423" s="132">
        <v>20.0</v>
      </c>
      <c r="B423" s="149" t="s">
        <v>1793</v>
      </c>
      <c r="C423" s="149" t="s">
        <v>1794</v>
      </c>
      <c r="D423" s="131" t="s">
        <v>25</v>
      </c>
      <c r="E423" s="131" t="s">
        <v>57</v>
      </c>
      <c r="F423" s="52"/>
      <c r="G423" s="132">
        <v>70.0</v>
      </c>
      <c r="H423" s="132">
        <v>5.0</v>
      </c>
      <c r="I423" s="132">
        <v>30.0</v>
      </c>
      <c r="J423" s="132">
        <v>1.0</v>
      </c>
      <c r="K423" s="132">
        <v>1.0</v>
      </c>
      <c r="L423" s="132">
        <v>0.0</v>
      </c>
      <c r="M423" s="132" t="s">
        <v>27</v>
      </c>
      <c r="N423" s="132" t="s">
        <v>46</v>
      </c>
      <c r="O423" s="159" t="s">
        <v>1257</v>
      </c>
      <c r="P423" s="132" t="s">
        <v>66</v>
      </c>
      <c r="Q423" s="132">
        <v>5.0</v>
      </c>
      <c r="R423" s="132"/>
      <c r="S423" s="52"/>
      <c r="T423" s="129"/>
      <c r="U423" s="129"/>
      <c r="V423" s="129"/>
      <c r="W423" s="129"/>
      <c r="X423" s="129"/>
      <c r="Y423" s="129"/>
      <c r="Z423" s="129"/>
      <c r="AA423" s="129"/>
      <c r="AB423" s="129"/>
      <c r="AC423" s="129"/>
      <c r="AD423" s="129"/>
    </row>
    <row r="424" ht="15.75" customHeight="1">
      <c r="A424" s="132">
        <v>21.0</v>
      </c>
      <c r="B424" s="149" t="s">
        <v>1795</v>
      </c>
      <c r="C424" s="149" t="s">
        <v>1796</v>
      </c>
      <c r="D424" s="131" t="s">
        <v>25</v>
      </c>
      <c r="E424" s="131" t="s">
        <v>57</v>
      </c>
      <c r="F424" s="52"/>
      <c r="G424" s="132">
        <v>60.0</v>
      </c>
      <c r="H424" s="132">
        <v>4.0</v>
      </c>
      <c r="I424" s="132">
        <v>10.0</v>
      </c>
      <c r="J424" s="132">
        <v>1.0</v>
      </c>
      <c r="K424" s="132">
        <v>1.0</v>
      </c>
      <c r="L424" s="132">
        <v>0.0</v>
      </c>
      <c r="M424" s="132" t="s">
        <v>27</v>
      </c>
      <c r="N424" s="132" t="s">
        <v>46</v>
      </c>
      <c r="O424" s="159" t="s">
        <v>1257</v>
      </c>
      <c r="P424" s="132" t="s">
        <v>29</v>
      </c>
      <c r="Q424" s="132"/>
      <c r="R424" s="132"/>
      <c r="S424" s="52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</row>
    <row r="425" ht="15.75" customHeight="1">
      <c r="A425" s="132">
        <v>22.0</v>
      </c>
      <c r="B425" s="149" t="s">
        <v>1797</v>
      </c>
      <c r="C425" s="149" t="s">
        <v>1798</v>
      </c>
      <c r="D425" s="131" t="s">
        <v>25</v>
      </c>
      <c r="E425" s="131" t="s">
        <v>57</v>
      </c>
      <c r="F425" s="52"/>
      <c r="G425" s="132">
        <v>100.0</v>
      </c>
      <c r="H425" s="132">
        <v>5.0</v>
      </c>
      <c r="I425" s="132">
        <v>125.0</v>
      </c>
      <c r="J425" s="132">
        <v>1.0</v>
      </c>
      <c r="K425" s="132">
        <v>1.0</v>
      </c>
      <c r="L425" s="132">
        <v>0.0</v>
      </c>
      <c r="M425" s="132" t="s">
        <v>27</v>
      </c>
      <c r="N425" s="132" t="s">
        <v>46</v>
      </c>
      <c r="O425" s="159" t="s">
        <v>1257</v>
      </c>
      <c r="P425" s="132" t="s">
        <v>29</v>
      </c>
      <c r="Q425" s="132">
        <v>0.0</v>
      </c>
      <c r="R425" s="132"/>
      <c r="S425" s="52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</row>
    <row r="426" ht="15.75" customHeight="1">
      <c r="A426" s="132">
        <v>23.0</v>
      </c>
      <c r="B426" s="149" t="s">
        <v>1799</v>
      </c>
      <c r="C426" s="149" t="s">
        <v>1800</v>
      </c>
      <c r="D426" s="131" t="s">
        <v>25</v>
      </c>
      <c r="E426" s="131" t="s">
        <v>57</v>
      </c>
      <c r="F426" s="52"/>
      <c r="G426" s="132">
        <v>80.0</v>
      </c>
      <c r="H426" s="132">
        <v>5.0</v>
      </c>
      <c r="I426" s="132">
        <v>25.0</v>
      </c>
      <c r="J426" s="132">
        <v>0.0</v>
      </c>
      <c r="K426" s="132">
        <v>0.0</v>
      </c>
      <c r="L426" s="132">
        <v>1.0</v>
      </c>
      <c r="M426" s="132" t="s">
        <v>82</v>
      </c>
      <c r="N426" s="132" t="s">
        <v>46</v>
      </c>
      <c r="O426" s="159" t="s">
        <v>1257</v>
      </c>
      <c r="P426" s="132" t="s">
        <v>29</v>
      </c>
      <c r="Q426" s="132"/>
      <c r="R426" s="132"/>
      <c r="S426" s="52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  <c r="AD426" s="129"/>
    </row>
    <row r="427" ht="15.75" customHeight="1">
      <c r="A427" s="132">
        <v>24.0</v>
      </c>
      <c r="B427" s="149" t="s">
        <v>1801</v>
      </c>
      <c r="C427" s="149" t="s">
        <v>1802</v>
      </c>
      <c r="D427" s="131" t="s">
        <v>25</v>
      </c>
      <c r="E427" s="131" t="s">
        <v>57</v>
      </c>
      <c r="F427" s="52"/>
      <c r="G427" s="132">
        <v>127.0</v>
      </c>
      <c r="H427" s="132">
        <v>25.0</v>
      </c>
      <c r="I427" s="132">
        <v>40.0</v>
      </c>
      <c r="J427" s="132">
        <v>0.0</v>
      </c>
      <c r="K427" s="132">
        <v>0.0</v>
      </c>
      <c r="L427" s="132">
        <v>4.0</v>
      </c>
      <c r="M427" s="132" t="s">
        <v>82</v>
      </c>
      <c r="N427" s="132" t="s">
        <v>46</v>
      </c>
      <c r="O427" s="159" t="s">
        <v>1257</v>
      </c>
      <c r="P427" s="132" t="s">
        <v>29</v>
      </c>
      <c r="Q427" s="132"/>
      <c r="R427" s="132"/>
      <c r="S427" s="52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</row>
    <row r="428" ht="15.75" customHeight="1">
      <c r="A428" s="132">
        <v>25.0</v>
      </c>
      <c r="B428" s="149" t="s">
        <v>1803</v>
      </c>
      <c r="C428" s="149" t="s">
        <v>1804</v>
      </c>
      <c r="D428" s="131" t="s">
        <v>25</v>
      </c>
      <c r="E428" s="131" t="s">
        <v>57</v>
      </c>
      <c r="F428" s="52"/>
      <c r="G428" s="132">
        <v>50.0</v>
      </c>
      <c r="H428" s="132">
        <v>2.0</v>
      </c>
      <c r="I428" s="132">
        <v>8.0</v>
      </c>
      <c r="J428" s="132">
        <v>0.0</v>
      </c>
      <c r="K428" s="132">
        <v>0.0</v>
      </c>
      <c r="L428" s="132">
        <v>1.0</v>
      </c>
      <c r="M428" s="132" t="s">
        <v>82</v>
      </c>
      <c r="N428" s="132" t="s">
        <v>46</v>
      </c>
      <c r="O428" s="159" t="s">
        <v>1257</v>
      </c>
      <c r="P428" s="132" t="s">
        <v>66</v>
      </c>
      <c r="Q428" s="132">
        <v>1.0</v>
      </c>
      <c r="R428" s="132"/>
      <c r="S428" s="52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</row>
    <row r="429" ht="15.75" customHeight="1">
      <c r="A429" s="132">
        <v>26.0</v>
      </c>
      <c r="B429" s="149" t="s">
        <v>1805</v>
      </c>
      <c r="C429" s="149" t="s">
        <v>1806</v>
      </c>
      <c r="D429" s="131" t="s">
        <v>25</v>
      </c>
      <c r="E429" s="131" t="s">
        <v>57</v>
      </c>
      <c r="F429" s="52"/>
      <c r="G429" s="132">
        <v>161.0</v>
      </c>
      <c r="H429" s="132">
        <v>350.0</v>
      </c>
      <c r="I429" s="132">
        <v>1000.0</v>
      </c>
      <c r="J429" s="132">
        <v>2.0</v>
      </c>
      <c r="K429" s="132">
        <v>2.0</v>
      </c>
      <c r="L429" s="132">
        <v>0.0</v>
      </c>
      <c r="M429" s="132" t="s">
        <v>27</v>
      </c>
      <c r="N429" s="132" t="s">
        <v>46</v>
      </c>
      <c r="O429" s="159" t="s">
        <v>1257</v>
      </c>
      <c r="P429" s="132" t="s">
        <v>29</v>
      </c>
      <c r="Q429" s="132"/>
      <c r="R429" s="132"/>
      <c r="S429" s="52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</row>
    <row r="430" ht="15.75" customHeight="1">
      <c r="A430" s="132">
        <v>27.0</v>
      </c>
      <c r="B430" s="149" t="s">
        <v>1807</v>
      </c>
      <c r="C430" s="149" t="s">
        <v>1808</v>
      </c>
      <c r="D430" s="131" t="s">
        <v>25</v>
      </c>
      <c r="E430" s="131" t="s">
        <v>57</v>
      </c>
      <c r="F430" s="52"/>
      <c r="G430" s="132">
        <v>80.0</v>
      </c>
      <c r="H430" s="132">
        <v>5.0</v>
      </c>
      <c r="I430" s="132">
        <v>20.0</v>
      </c>
      <c r="J430" s="132">
        <v>0.0</v>
      </c>
      <c r="K430" s="132">
        <v>0.0</v>
      </c>
      <c r="L430" s="132">
        <v>3.0</v>
      </c>
      <c r="M430" s="132" t="s">
        <v>27</v>
      </c>
      <c r="N430" s="132" t="s">
        <v>46</v>
      </c>
      <c r="O430" s="159" t="s">
        <v>1257</v>
      </c>
      <c r="P430" s="159" t="s">
        <v>29</v>
      </c>
      <c r="Q430" s="132"/>
      <c r="R430" s="132"/>
      <c r="S430" s="52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</row>
    <row r="431" ht="15.75" customHeight="1">
      <c r="A431" s="132">
        <v>28.0</v>
      </c>
      <c r="B431" s="149" t="s">
        <v>1809</v>
      </c>
      <c r="C431" s="149" t="s">
        <v>1810</v>
      </c>
      <c r="D431" s="131" t="s">
        <v>25</v>
      </c>
      <c r="E431" s="131" t="s">
        <v>57</v>
      </c>
      <c r="F431" s="52"/>
      <c r="G431" s="132">
        <v>60.0</v>
      </c>
      <c r="H431" s="132">
        <v>3.0</v>
      </c>
      <c r="I431" s="132">
        <v>12.0</v>
      </c>
      <c r="J431" s="132">
        <v>0.0</v>
      </c>
      <c r="K431" s="132">
        <v>0.0</v>
      </c>
      <c r="L431" s="132">
        <v>2.0</v>
      </c>
      <c r="M431" s="132" t="s">
        <v>27</v>
      </c>
      <c r="N431" s="132" t="s">
        <v>46</v>
      </c>
      <c r="O431" s="159" t="s">
        <v>1257</v>
      </c>
      <c r="P431" s="132" t="s">
        <v>29</v>
      </c>
      <c r="Q431" s="132"/>
      <c r="R431" s="132"/>
      <c r="S431" s="52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</row>
    <row r="432" ht="15.75" customHeight="1">
      <c r="A432" s="132">
        <v>29.0</v>
      </c>
      <c r="B432" s="149" t="s">
        <v>1811</v>
      </c>
      <c r="C432" s="149" t="s">
        <v>1812</v>
      </c>
      <c r="D432" s="131" t="s">
        <v>25</v>
      </c>
      <c r="E432" s="131" t="s">
        <v>57</v>
      </c>
      <c r="F432" s="52"/>
      <c r="G432" s="132">
        <v>60.0</v>
      </c>
      <c r="H432" s="132">
        <v>5.0</v>
      </c>
      <c r="I432" s="132">
        <v>15.0</v>
      </c>
      <c r="J432" s="132">
        <v>0.0</v>
      </c>
      <c r="K432" s="132">
        <v>0.0</v>
      </c>
      <c r="L432" s="132">
        <v>2.0</v>
      </c>
      <c r="M432" s="132" t="s">
        <v>27</v>
      </c>
      <c r="N432" s="132" t="s">
        <v>46</v>
      </c>
      <c r="O432" s="159" t="s">
        <v>1257</v>
      </c>
      <c r="P432" s="132" t="s">
        <v>29</v>
      </c>
      <c r="Q432" s="132">
        <v>0.0</v>
      </c>
      <c r="R432" s="132"/>
      <c r="S432" s="52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</row>
    <row r="433" ht="15.75" customHeight="1">
      <c r="A433" s="132">
        <v>30.0</v>
      </c>
      <c r="B433" s="149" t="s">
        <v>1813</v>
      </c>
      <c r="C433" s="149" t="s">
        <v>1757</v>
      </c>
      <c r="D433" s="131" t="s">
        <v>25</v>
      </c>
      <c r="E433" s="131" t="s">
        <v>57</v>
      </c>
      <c r="F433" s="52"/>
      <c r="G433" s="159">
        <v>50.0</v>
      </c>
      <c r="H433" s="159">
        <v>12.0</v>
      </c>
      <c r="I433" s="159">
        <v>35.0</v>
      </c>
      <c r="J433" s="159">
        <v>2.0</v>
      </c>
      <c r="K433" s="159">
        <v>2.0</v>
      </c>
      <c r="L433" s="159">
        <v>0.0</v>
      </c>
      <c r="M433" s="159" t="s">
        <v>27</v>
      </c>
      <c r="N433" s="132" t="s">
        <v>46</v>
      </c>
      <c r="O433" s="159" t="s">
        <v>1257</v>
      </c>
      <c r="P433" s="159" t="s">
        <v>29</v>
      </c>
      <c r="Q433" s="132"/>
      <c r="R433" s="132"/>
      <c r="S433" s="52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</row>
    <row r="434" ht="15.75" customHeight="1">
      <c r="A434" s="132">
        <v>31.0</v>
      </c>
      <c r="B434" s="149" t="s">
        <v>1814</v>
      </c>
      <c r="C434" s="149" t="s">
        <v>1815</v>
      </c>
      <c r="D434" s="131" t="s">
        <v>25</v>
      </c>
      <c r="E434" s="131" t="s">
        <v>57</v>
      </c>
      <c r="F434" s="52"/>
      <c r="G434" s="132">
        <v>870.0</v>
      </c>
      <c r="H434" s="132">
        <v>70.0</v>
      </c>
      <c r="I434" s="132">
        <v>15.0</v>
      </c>
      <c r="J434" s="132">
        <v>0.0</v>
      </c>
      <c r="K434" s="132">
        <v>0.0</v>
      </c>
      <c r="L434" s="132">
        <v>2.0</v>
      </c>
      <c r="M434" s="132" t="s">
        <v>27</v>
      </c>
      <c r="N434" s="132" t="s">
        <v>46</v>
      </c>
      <c r="O434" s="159" t="s">
        <v>1257</v>
      </c>
      <c r="P434" s="132" t="s">
        <v>29</v>
      </c>
      <c r="Q434" s="132"/>
      <c r="R434" s="132"/>
      <c r="S434" s="52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</row>
    <row r="435" ht="15.75" customHeight="1">
      <c r="A435" s="132">
        <v>32.0</v>
      </c>
      <c r="B435" s="149" t="s">
        <v>1816</v>
      </c>
      <c r="C435" s="149" t="s">
        <v>1817</v>
      </c>
      <c r="D435" s="131" t="s">
        <v>25</v>
      </c>
      <c r="E435" s="131" t="s">
        <v>57</v>
      </c>
      <c r="F435" s="52"/>
      <c r="G435" s="132">
        <v>60.0</v>
      </c>
      <c r="H435" s="132">
        <v>3.0</v>
      </c>
      <c r="I435" s="132">
        <v>15.0</v>
      </c>
      <c r="J435" s="132">
        <v>1.0</v>
      </c>
      <c r="K435" s="132">
        <v>1.0</v>
      </c>
      <c r="L435" s="132">
        <v>0.0</v>
      </c>
      <c r="M435" s="132" t="s">
        <v>27</v>
      </c>
      <c r="N435" s="132" t="s">
        <v>46</v>
      </c>
      <c r="O435" s="159" t="s">
        <v>1257</v>
      </c>
      <c r="P435" s="132" t="s">
        <v>29</v>
      </c>
      <c r="Q435" s="132">
        <v>0.0</v>
      </c>
      <c r="R435" s="132"/>
      <c r="S435" s="52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</row>
    <row r="436" ht="15.75" customHeight="1">
      <c r="A436" s="132">
        <v>33.0</v>
      </c>
      <c r="B436" s="149" t="s">
        <v>1818</v>
      </c>
      <c r="C436" s="149" t="s">
        <v>1819</v>
      </c>
      <c r="D436" s="131" t="s">
        <v>25</v>
      </c>
      <c r="E436" s="131" t="s">
        <v>57</v>
      </c>
      <c r="F436" s="52"/>
      <c r="G436" s="132">
        <v>600.0</v>
      </c>
      <c r="H436" s="132">
        <v>20.0</v>
      </c>
      <c r="I436" s="132">
        <v>100.0</v>
      </c>
      <c r="J436" s="132">
        <v>0.0</v>
      </c>
      <c r="K436" s="132">
        <v>0.0</v>
      </c>
      <c r="L436" s="132">
        <v>3.0</v>
      </c>
      <c r="M436" s="132" t="s">
        <v>27</v>
      </c>
      <c r="N436" s="132" t="s">
        <v>46</v>
      </c>
      <c r="O436" s="159" t="s">
        <v>1257</v>
      </c>
      <c r="P436" s="132" t="s">
        <v>66</v>
      </c>
      <c r="Q436" s="132">
        <v>100.0</v>
      </c>
      <c r="R436" s="132"/>
      <c r="S436" s="52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</row>
    <row r="437" ht="15.75" customHeight="1">
      <c r="A437" s="132">
        <v>34.0</v>
      </c>
      <c r="B437" s="149" t="s">
        <v>1820</v>
      </c>
      <c r="C437" s="149" t="s">
        <v>1821</v>
      </c>
      <c r="D437" s="131" t="s">
        <v>25</v>
      </c>
      <c r="E437" s="131" t="s">
        <v>57</v>
      </c>
      <c r="F437" s="52"/>
      <c r="G437" s="132">
        <v>240.0</v>
      </c>
      <c r="H437" s="132">
        <v>70.0</v>
      </c>
      <c r="I437" s="132">
        <v>200.0</v>
      </c>
      <c r="J437" s="132">
        <v>1.0</v>
      </c>
      <c r="K437" s="132">
        <v>1.0</v>
      </c>
      <c r="L437" s="132">
        <v>0.0</v>
      </c>
      <c r="M437" s="132" t="s">
        <v>27</v>
      </c>
      <c r="N437" s="132" t="s">
        <v>46</v>
      </c>
      <c r="O437" s="159" t="s">
        <v>1257</v>
      </c>
      <c r="P437" s="132" t="s">
        <v>29</v>
      </c>
      <c r="Q437" s="132">
        <v>1.0</v>
      </c>
      <c r="R437" s="132"/>
      <c r="S437" s="52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</row>
    <row r="438" ht="15.75" customHeight="1">
      <c r="A438" s="132">
        <v>35.0</v>
      </c>
      <c r="B438" s="149" t="s">
        <v>1822</v>
      </c>
      <c r="C438" s="149" t="s">
        <v>1823</v>
      </c>
      <c r="D438" s="131" t="s">
        <v>25</v>
      </c>
      <c r="E438" s="131" t="s">
        <v>57</v>
      </c>
      <c r="F438" s="52"/>
      <c r="G438" s="132">
        <v>150.0</v>
      </c>
      <c r="H438" s="132">
        <v>15.0</v>
      </c>
      <c r="I438" s="132">
        <v>7.0</v>
      </c>
      <c r="J438" s="132">
        <v>0.0</v>
      </c>
      <c r="K438" s="132">
        <v>0.0</v>
      </c>
      <c r="L438" s="132">
        <v>1.0</v>
      </c>
      <c r="M438" s="132" t="s">
        <v>27</v>
      </c>
      <c r="N438" s="132" t="s">
        <v>46</v>
      </c>
      <c r="O438" s="159" t="s">
        <v>1257</v>
      </c>
      <c r="P438" s="132" t="s">
        <v>66</v>
      </c>
      <c r="Q438" s="132"/>
      <c r="R438" s="132"/>
      <c r="S438" s="52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9"/>
    </row>
    <row r="439" ht="15.75" customHeight="1">
      <c r="A439" s="132">
        <v>36.0</v>
      </c>
      <c r="B439" s="149" t="s">
        <v>1824</v>
      </c>
      <c r="C439" s="149" t="s">
        <v>1825</v>
      </c>
      <c r="D439" s="131" t="s">
        <v>25</v>
      </c>
      <c r="E439" s="131" t="s">
        <v>57</v>
      </c>
      <c r="F439" s="52"/>
      <c r="G439" s="132">
        <v>100.0</v>
      </c>
      <c r="H439" s="132">
        <v>6.0</v>
      </c>
      <c r="I439" s="132">
        <v>30.0</v>
      </c>
      <c r="J439" s="132">
        <v>1.0</v>
      </c>
      <c r="K439" s="132">
        <v>1.0</v>
      </c>
      <c r="L439" s="132">
        <v>0.0</v>
      </c>
      <c r="M439" s="132" t="s">
        <v>27</v>
      </c>
      <c r="N439" s="132" t="s">
        <v>46</v>
      </c>
      <c r="O439" s="159" t="s">
        <v>1257</v>
      </c>
      <c r="P439" s="159" t="s">
        <v>29</v>
      </c>
      <c r="Q439" s="132"/>
      <c r="R439" s="132"/>
      <c r="S439" s="52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</row>
    <row r="440" ht="15.75" customHeight="1">
      <c r="A440" s="132">
        <v>37.0</v>
      </c>
      <c r="B440" s="149" t="s">
        <v>1826</v>
      </c>
      <c r="C440" s="149" t="s">
        <v>1792</v>
      </c>
      <c r="D440" s="131" t="s">
        <v>25</v>
      </c>
      <c r="E440" s="131" t="s">
        <v>57</v>
      </c>
      <c r="F440" s="52"/>
      <c r="G440" s="132">
        <v>250.0</v>
      </c>
      <c r="H440" s="132">
        <v>15.0</v>
      </c>
      <c r="I440" s="132">
        <v>70.0</v>
      </c>
      <c r="J440" s="132">
        <v>2.0</v>
      </c>
      <c r="K440" s="132">
        <v>2.0</v>
      </c>
      <c r="L440" s="132">
        <v>1.0</v>
      </c>
      <c r="M440" s="132" t="s">
        <v>27</v>
      </c>
      <c r="N440" s="132" t="s">
        <v>46</v>
      </c>
      <c r="O440" s="159" t="s">
        <v>1257</v>
      </c>
      <c r="P440" s="159" t="s">
        <v>29</v>
      </c>
      <c r="Q440" s="132"/>
      <c r="R440" s="132"/>
      <c r="S440" s="52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9"/>
    </row>
    <row r="441" ht="15.75" customHeight="1">
      <c r="A441" s="181"/>
      <c r="B441" s="182" t="s">
        <v>1827</v>
      </c>
      <c r="C441" s="182"/>
      <c r="D441" s="182"/>
      <c r="E441" s="182"/>
      <c r="F441" s="182"/>
      <c r="G441" s="183"/>
      <c r="H441" s="184"/>
      <c r="I441" s="184"/>
      <c r="J441" s="185"/>
      <c r="K441" s="185"/>
      <c r="L441" s="185"/>
      <c r="M441" s="185"/>
      <c r="N441" s="185"/>
      <c r="O441" s="185"/>
      <c r="P441" s="184"/>
      <c r="Q441" s="185"/>
      <c r="R441" s="141"/>
      <c r="S441" s="142"/>
      <c r="T441" s="142"/>
      <c r="U441" s="142"/>
      <c r="V441" s="142"/>
      <c r="W441" s="142"/>
      <c r="X441" s="142"/>
      <c r="Y441" s="142"/>
      <c r="Z441" s="142"/>
      <c r="AA441" s="142"/>
      <c r="AB441" s="142"/>
      <c r="AC441" s="142"/>
      <c r="AD441" s="142"/>
    </row>
    <row r="442" ht="14.25" customHeight="1">
      <c r="A442" s="133">
        <v>1.0</v>
      </c>
      <c r="B442" s="131" t="s">
        <v>1082</v>
      </c>
      <c r="C442" s="131" t="s">
        <v>1828</v>
      </c>
      <c r="D442" s="131" t="s">
        <v>25</v>
      </c>
      <c r="E442" s="131" t="s">
        <v>57</v>
      </c>
      <c r="F442" s="55"/>
      <c r="G442" s="130">
        <v>56.0</v>
      </c>
      <c r="H442" s="130">
        <v>6.0</v>
      </c>
      <c r="I442" s="130">
        <v>28.0</v>
      </c>
      <c r="J442" s="130">
        <v>1.0</v>
      </c>
      <c r="K442" s="130">
        <v>1.0</v>
      </c>
      <c r="L442" s="130">
        <v>0.0</v>
      </c>
      <c r="M442" s="130" t="s">
        <v>172</v>
      </c>
      <c r="N442" s="130" t="s">
        <v>39</v>
      </c>
      <c r="O442" s="130" t="s">
        <v>39</v>
      </c>
      <c r="P442" s="130" t="s">
        <v>39</v>
      </c>
      <c r="Q442" s="130" t="s">
        <v>39</v>
      </c>
      <c r="R442" s="132"/>
      <c r="S442" s="52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9"/>
    </row>
    <row r="443" ht="14.25" customHeight="1">
      <c r="A443" s="133">
        <v>2.0</v>
      </c>
      <c r="B443" s="131" t="s">
        <v>1829</v>
      </c>
      <c r="C443" s="131" t="s">
        <v>1828</v>
      </c>
      <c r="D443" s="131" t="s">
        <v>25</v>
      </c>
      <c r="E443" s="131" t="s">
        <v>57</v>
      </c>
      <c r="F443" s="55"/>
      <c r="G443" s="130">
        <v>420.0</v>
      </c>
      <c r="H443" s="130">
        <v>42.0</v>
      </c>
      <c r="I443" s="130">
        <v>210.0</v>
      </c>
      <c r="J443" s="130">
        <v>7.0</v>
      </c>
      <c r="K443" s="130">
        <v>7.0</v>
      </c>
      <c r="L443" s="130">
        <v>1.0</v>
      </c>
      <c r="M443" s="130" t="s">
        <v>172</v>
      </c>
      <c r="N443" s="130" t="s">
        <v>39</v>
      </c>
      <c r="O443" s="130" t="s">
        <v>39</v>
      </c>
      <c r="P443" s="130" t="s">
        <v>66</v>
      </c>
      <c r="Q443" s="130">
        <v>8.0</v>
      </c>
      <c r="R443" s="132"/>
      <c r="S443" s="52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  <c r="AD443" s="129"/>
    </row>
    <row r="444" ht="14.25" customHeight="1">
      <c r="A444" s="133">
        <v>3.0</v>
      </c>
      <c r="B444" s="131" t="s">
        <v>1830</v>
      </c>
      <c r="C444" s="131" t="s">
        <v>1828</v>
      </c>
      <c r="D444" s="131" t="s">
        <v>25</v>
      </c>
      <c r="E444" s="131" t="s">
        <v>57</v>
      </c>
      <c r="F444" s="55"/>
      <c r="G444" s="130">
        <v>777.6</v>
      </c>
      <c r="H444" s="130">
        <v>78.0</v>
      </c>
      <c r="I444" s="130">
        <v>388.0</v>
      </c>
      <c r="J444" s="130">
        <v>9.0</v>
      </c>
      <c r="K444" s="130">
        <v>9.0</v>
      </c>
      <c r="L444" s="130">
        <v>2.0</v>
      </c>
      <c r="M444" s="130" t="s">
        <v>172</v>
      </c>
      <c r="N444" s="130" t="s">
        <v>39</v>
      </c>
      <c r="O444" s="130" t="s">
        <v>39</v>
      </c>
      <c r="P444" s="130" t="s">
        <v>66</v>
      </c>
      <c r="Q444" s="130">
        <v>62.0</v>
      </c>
      <c r="R444" s="132"/>
      <c r="S444" s="52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9"/>
    </row>
    <row r="445" ht="14.25" customHeight="1">
      <c r="A445" s="133">
        <v>4.0</v>
      </c>
      <c r="B445" s="131" t="s">
        <v>1831</v>
      </c>
      <c r="C445" s="131" t="s">
        <v>1832</v>
      </c>
      <c r="D445" s="131" t="s">
        <v>25</v>
      </c>
      <c r="E445" s="131" t="s">
        <v>57</v>
      </c>
      <c r="F445" s="55"/>
      <c r="G445" s="130">
        <v>100.0</v>
      </c>
      <c r="H445" s="130">
        <v>10.0</v>
      </c>
      <c r="I445" s="130">
        <v>50.0</v>
      </c>
      <c r="J445" s="130">
        <v>1.0</v>
      </c>
      <c r="K445" s="130">
        <v>1.0</v>
      </c>
      <c r="L445" s="130">
        <v>0.0</v>
      </c>
      <c r="M445" s="130" t="s">
        <v>172</v>
      </c>
      <c r="N445" s="130" t="s">
        <v>39</v>
      </c>
      <c r="O445" s="130" t="s">
        <v>39</v>
      </c>
      <c r="P445" s="130" t="s">
        <v>39</v>
      </c>
      <c r="Q445" s="130" t="s">
        <v>39</v>
      </c>
      <c r="R445" s="132"/>
      <c r="S445" s="52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  <c r="AD445" s="129"/>
    </row>
    <row r="446" ht="14.25" customHeight="1">
      <c r="A446" s="133">
        <v>5.0</v>
      </c>
      <c r="B446" s="131" t="s">
        <v>1833</v>
      </c>
      <c r="C446" s="131" t="s">
        <v>1834</v>
      </c>
      <c r="D446" s="131" t="s">
        <v>25</v>
      </c>
      <c r="E446" s="131" t="s">
        <v>57</v>
      </c>
      <c r="F446" s="55"/>
      <c r="G446" s="130">
        <v>30.0</v>
      </c>
      <c r="H446" s="130">
        <v>3.0</v>
      </c>
      <c r="I446" s="130">
        <v>15.0</v>
      </c>
      <c r="J446" s="130">
        <v>1.0</v>
      </c>
      <c r="K446" s="130">
        <v>1.0</v>
      </c>
      <c r="L446" s="130">
        <v>0.0</v>
      </c>
      <c r="M446" s="130" t="s">
        <v>172</v>
      </c>
      <c r="N446" s="130" t="s">
        <v>39</v>
      </c>
      <c r="O446" s="130" t="s">
        <v>39</v>
      </c>
      <c r="P446" s="130" t="s">
        <v>39</v>
      </c>
      <c r="Q446" s="130" t="s">
        <v>39</v>
      </c>
      <c r="R446" s="132"/>
      <c r="S446" s="52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  <c r="AD446" s="129"/>
    </row>
    <row r="447" ht="14.25" customHeight="1">
      <c r="A447" s="133">
        <v>6.0</v>
      </c>
      <c r="B447" s="131" t="s">
        <v>1835</v>
      </c>
      <c r="C447" s="131" t="s">
        <v>1834</v>
      </c>
      <c r="D447" s="131" t="s">
        <v>25</v>
      </c>
      <c r="E447" s="131" t="s">
        <v>57</v>
      </c>
      <c r="F447" s="55"/>
      <c r="G447" s="130">
        <v>180.0</v>
      </c>
      <c r="H447" s="130">
        <v>18.0</v>
      </c>
      <c r="I447" s="130">
        <v>90.0</v>
      </c>
      <c r="J447" s="130">
        <v>1.0</v>
      </c>
      <c r="K447" s="130">
        <v>1.0</v>
      </c>
      <c r="L447" s="130">
        <v>0.0</v>
      </c>
      <c r="M447" s="130" t="s">
        <v>172</v>
      </c>
      <c r="N447" s="130" t="s">
        <v>39</v>
      </c>
      <c r="O447" s="130" t="s">
        <v>39</v>
      </c>
      <c r="P447" s="130" t="s">
        <v>39</v>
      </c>
      <c r="Q447" s="130" t="s">
        <v>39</v>
      </c>
      <c r="R447" s="132"/>
      <c r="S447" s="52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  <c r="AD447" s="129"/>
    </row>
    <row r="448" ht="14.25" customHeight="1">
      <c r="A448" s="133">
        <v>7.0</v>
      </c>
      <c r="B448" s="131" t="s">
        <v>1836</v>
      </c>
      <c r="C448" s="131" t="s">
        <v>1837</v>
      </c>
      <c r="D448" s="131" t="s">
        <v>25</v>
      </c>
      <c r="E448" s="131" t="s">
        <v>57</v>
      </c>
      <c r="F448" s="55"/>
      <c r="G448" s="130">
        <v>68.0</v>
      </c>
      <c r="H448" s="130">
        <v>7.0</v>
      </c>
      <c r="I448" s="130">
        <v>34.0</v>
      </c>
      <c r="J448" s="130">
        <v>0.0</v>
      </c>
      <c r="K448" s="130">
        <v>0.0</v>
      </c>
      <c r="L448" s="130" t="s">
        <v>39</v>
      </c>
      <c r="M448" s="130" t="s">
        <v>172</v>
      </c>
      <c r="N448" s="130" t="s">
        <v>39</v>
      </c>
      <c r="O448" s="130" t="s">
        <v>39</v>
      </c>
      <c r="P448" s="130" t="s">
        <v>39</v>
      </c>
      <c r="Q448" s="130" t="s">
        <v>39</v>
      </c>
      <c r="R448" s="132"/>
      <c r="S448" s="52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  <c r="AD448" s="129"/>
    </row>
    <row r="449" ht="14.25" customHeight="1">
      <c r="A449" s="133">
        <v>8.0</v>
      </c>
      <c r="B449" s="131" t="s">
        <v>1838</v>
      </c>
      <c r="C449" s="131" t="s">
        <v>1839</v>
      </c>
      <c r="D449" s="131" t="s">
        <v>25</v>
      </c>
      <c r="E449" s="131" t="s">
        <v>57</v>
      </c>
      <c r="F449" s="55"/>
      <c r="G449" s="130">
        <v>60.0</v>
      </c>
      <c r="H449" s="130">
        <v>6.0</v>
      </c>
      <c r="I449" s="130">
        <v>30.0</v>
      </c>
      <c r="J449" s="130">
        <v>1.0</v>
      </c>
      <c r="K449" s="130">
        <v>1.0</v>
      </c>
      <c r="L449" s="130" t="s">
        <v>39</v>
      </c>
      <c r="M449" s="130" t="s">
        <v>172</v>
      </c>
      <c r="N449" s="130" t="s">
        <v>39</v>
      </c>
      <c r="O449" s="130" t="s">
        <v>39</v>
      </c>
      <c r="P449" s="130" t="s">
        <v>39</v>
      </c>
      <c r="Q449" s="130" t="s">
        <v>39</v>
      </c>
      <c r="R449" s="132"/>
      <c r="S449" s="52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  <c r="AD449" s="129"/>
    </row>
    <row r="450" ht="14.25" customHeight="1">
      <c r="A450" s="133">
        <v>9.0</v>
      </c>
      <c r="B450" s="131" t="s">
        <v>1840</v>
      </c>
      <c r="C450" s="131" t="s">
        <v>1837</v>
      </c>
      <c r="D450" s="131" t="s">
        <v>25</v>
      </c>
      <c r="E450" s="131" t="s">
        <v>57</v>
      </c>
      <c r="F450" s="55"/>
      <c r="G450" s="130">
        <v>368.0</v>
      </c>
      <c r="H450" s="130">
        <v>37.0</v>
      </c>
      <c r="I450" s="130">
        <v>184.0</v>
      </c>
      <c r="J450" s="130">
        <v>4.0</v>
      </c>
      <c r="K450" s="130">
        <v>4.0</v>
      </c>
      <c r="L450" s="130" t="s">
        <v>39</v>
      </c>
      <c r="M450" s="130" t="s">
        <v>172</v>
      </c>
      <c r="N450" s="130" t="s">
        <v>39</v>
      </c>
      <c r="O450" s="130" t="s">
        <v>39</v>
      </c>
      <c r="P450" s="130" t="s">
        <v>39</v>
      </c>
      <c r="Q450" s="130" t="s">
        <v>39</v>
      </c>
      <c r="R450" s="132"/>
      <c r="S450" s="52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</row>
    <row r="451" ht="14.25" customHeight="1">
      <c r="A451" s="133">
        <v>10.0</v>
      </c>
      <c r="B451" s="131" t="s">
        <v>1841</v>
      </c>
      <c r="C451" s="131" t="s">
        <v>1837</v>
      </c>
      <c r="D451" s="131" t="s">
        <v>25</v>
      </c>
      <c r="E451" s="131" t="s">
        <v>57</v>
      </c>
      <c r="F451" s="55"/>
      <c r="G451" s="130">
        <v>43.21</v>
      </c>
      <c r="H451" s="130">
        <v>4.0</v>
      </c>
      <c r="I451" s="130">
        <v>21.0</v>
      </c>
      <c r="J451" s="130">
        <v>1.0</v>
      </c>
      <c r="K451" s="130">
        <v>1.0</v>
      </c>
      <c r="L451" s="130" t="s">
        <v>39</v>
      </c>
      <c r="M451" s="130" t="s">
        <v>172</v>
      </c>
      <c r="N451" s="130" t="s">
        <v>39</v>
      </c>
      <c r="O451" s="130" t="s">
        <v>39</v>
      </c>
      <c r="P451" s="130" t="s">
        <v>39</v>
      </c>
      <c r="Q451" s="130" t="s">
        <v>39</v>
      </c>
      <c r="R451" s="132"/>
      <c r="S451" s="52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</row>
    <row r="452" ht="14.25" customHeight="1">
      <c r="A452" s="133">
        <v>11.0</v>
      </c>
      <c r="B452" s="131" t="s">
        <v>1842</v>
      </c>
      <c r="C452" s="131" t="s">
        <v>1843</v>
      </c>
      <c r="D452" s="131" t="s">
        <v>25</v>
      </c>
      <c r="E452" s="131" t="s">
        <v>57</v>
      </c>
      <c r="F452" s="55"/>
      <c r="G452" s="130">
        <v>126.0</v>
      </c>
      <c r="H452" s="130">
        <v>13.0</v>
      </c>
      <c r="I452" s="130">
        <v>63.0</v>
      </c>
      <c r="J452" s="130">
        <v>2.0</v>
      </c>
      <c r="K452" s="130">
        <v>2.0</v>
      </c>
      <c r="L452" s="130" t="s">
        <v>39</v>
      </c>
      <c r="M452" s="130" t="s">
        <v>172</v>
      </c>
      <c r="N452" s="130" t="s">
        <v>39</v>
      </c>
      <c r="O452" s="130" t="s">
        <v>39</v>
      </c>
      <c r="P452" s="130" t="s">
        <v>39</v>
      </c>
      <c r="Q452" s="130" t="s">
        <v>39</v>
      </c>
      <c r="R452" s="132"/>
      <c r="S452" s="52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</row>
    <row r="453" ht="14.25" customHeight="1">
      <c r="A453" s="133">
        <v>12.0</v>
      </c>
      <c r="B453" s="131" t="s">
        <v>1844</v>
      </c>
      <c r="C453" s="131" t="s">
        <v>1843</v>
      </c>
      <c r="D453" s="131" t="s">
        <v>25</v>
      </c>
      <c r="E453" s="131" t="s">
        <v>57</v>
      </c>
      <c r="F453" s="55"/>
      <c r="G453" s="130">
        <v>60.0</v>
      </c>
      <c r="H453" s="130">
        <v>6.0</v>
      </c>
      <c r="I453" s="130">
        <v>30.0</v>
      </c>
      <c r="J453" s="130">
        <v>0.0</v>
      </c>
      <c r="K453" s="130">
        <v>0.0</v>
      </c>
      <c r="L453" s="130" t="s">
        <v>39</v>
      </c>
      <c r="M453" s="130" t="s">
        <v>172</v>
      </c>
      <c r="N453" s="130" t="s">
        <v>39</v>
      </c>
      <c r="O453" s="130" t="s">
        <v>39</v>
      </c>
      <c r="P453" s="130" t="s">
        <v>39</v>
      </c>
      <c r="Q453" s="130" t="s">
        <v>39</v>
      </c>
      <c r="R453" s="132"/>
      <c r="S453" s="52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</row>
    <row r="454" ht="14.25" customHeight="1">
      <c r="A454" s="133">
        <v>13.0</v>
      </c>
      <c r="B454" s="131" t="s">
        <v>1845</v>
      </c>
      <c r="C454" s="131" t="s">
        <v>1846</v>
      </c>
      <c r="D454" s="131" t="s">
        <v>25</v>
      </c>
      <c r="E454" s="131" t="s">
        <v>57</v>
      </c>
      <c r="F454" s="55"/>
      <c r="G454" s="130">
        <v>372.0</v>
      </c>
      <c r="H454" s="130">
        <v>37.0</v>
      </c>
      <c r="I454" s="130">
        <v>186.0</v>
      </c>
      <c r="J454" s="130">
        <v>5.0</v>
      </c>
      <c r="K454" s="130">
        <v>5.0</v>
      </c>
      <c r="L454" s="130" t="s">
        <v>39</v>
      </c>
      <c r="M454" s="130" t="s">
        <v>172</v>
      </c>
      <c r="N454" s="130" t="s">
        <v>39</v>
      </c>
      <c r="O454" s="130" t="s">
        <v>39</v>
      </c>
      <c r="P454" s="130" t="s">
        <v>39</v>
      </c>
      <c r="Q454" s="130" t="s">
        <v>39</v>
      </c>
      <c r="R454" s="132"/>
      <c r="S454" s="52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</row>
    <row r="455" ht="14.25" customHeight="1">
      <c r="A455" s="133">
        <v>14.0</v>
      </c>
      <c r="B455" s="131" t="s">
        <v>1847</v>
      </c>
      <c r="C455" s="131" t="s">
        <v>1846</v>
      </c>
      <c r="D455" s="131" t="s">
        <v>25</v>
      </c>
      <c r="E455" s="131" t="s">
        <v>57</v>
      </c>
      <c r="F455" s="55"/>
      <c r="G455" s="130">
        <v>30.0</v>
      </c>
      <c r="H455" s="130">
        <v>3.0</v>
      </c>
      <c r="I455" s="130">
        <v>15.0</v>
      </c>
      <c r="J455" s="130">
        <v>1.0</v>
      </c>
      <c r="K455" s="130">
        <v>1.0</v>
      </c>
      <c r="L455" s="130" t="s">
        <v>39</v>
      </c>
      <c r="M455" s="130" t="s">
        <v>172</v>
      </c>
      <c r="N455" s="130" t="s">
        <v>39</v>
      </c>
      <c r="O455" s="130" t="s">
        <v>39</v>
      </c>
      <c r="P455" s="130" t="s">
        <v>39</v>
      </c>
      <c r="Q455" s="130" t="s">
        <v>39</v>
      </c>
      <c r="R455" s="132"/>
      <c r="S455" s="52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  <c r="AD455" s="129"/>
    </row>
    <row r="456" ht="14.25" customHeight="1">
      <c r="A456" s="133">
        <v>15.0</v>
      </c>
      <c r="B456" s="131" t="s">
        <v>1848</v>
      </c>
      <c r="C456" s="131" t="s">
        <v>1846</v>
      </c>
      <c r="D456" s="131" t="s">
        <v>25</v>
      </c>
      <c r="E456" s="131" t="s">
        <v>57</v>
      </c>
      <c r="F456" s="55"/>
      <c r="G456" s="130">
        <v>43.21</v>
      </c>
      <c r="H456" s="130">
        <v>4.0</v>
      </c>
      <c r="I456" s="130">
        <v>21.0</v>
      </c>
      <c r="J456" s="130">
        <v>1.0</v>
      </c>
      <c r="K456" s="130">
        <v>1.0</v>
      </c>
      <c r="L456" s="130" t="s">
        <v>39</v>
      </c>
      <c r="M456" s="130" t="s">
        <v>172</v>
      </c>
      <c r="N456" s="130" t="s">
        <v>39</v>
      </c>
      <c r="O456" s="130" t="s">
        <v>39</v>
      </c>
      <c r="P456" s="130" t="s">
        <v>39</v>
      </c>
      <c r="Q456" s="130" t="s">
        <v>39</v>
      </c>
      <c r="R456" s="132"/>
      <c r="S456" s="52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  <c r="AD456" s="129"/>
    </row>
    <row r="457" ht="14.25" customHeight="1">
      <c r="A457" s="133">
        <v>16.0</v>
      </c>
      <c r="B457" s="131" t="s">
        <v>1849</v>
      </c>
      <c r="C457" s="131" t="s">
        <v>1850</v>
      </c>
      <c r="D457" s="131" t="s">
        <v>25</v>
      </c>
      <c r="E457" s="131" t="s">
        <v>57</v>
      </c>
      <c r="F457" s="55"/>
      <c r="G457" s="130">
        <v>180.0</v>
      </c>
      <c r="H457" s="130">
        <v>18.0</v>
      </c>
      <c r="I457" s="130">
        <v>90.0</v>
      </c>
      <c r="J457" s="130">
        <v>2.0</v>
      </c>
      <c r="K457" s="130">
        <v>2.0</v>
      </c>
      <c r="L457" s="130" t="s">
        <v>39</v>
      </c>
      <c r="M457" s="130" t="s">
        <v>172</v>
      </c>
      <c r="N457" s="130" t="s">
        <v>39</v>
      </c>
      <c r="O457" s="130" t="s">
        <v>39</v>
      </c>
      <c r="P457" s="130" t="s">
        <v>39</v>
      </c>
      <c r="Q457" s="130" t="s">
        <v>39</v>
      </c>
      <c r="R457" s="132"/>
      <c r="S457" s="52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  <c r="AD457" s="129"/>
    </row>
    <row r="458" ht="14.25" customHeight="1">
      <c r="A458" s="133">
        <v>17.0</v>
      </c>
      <c r="B458" s="131" t="s">
        <v>1851</v>
      </c>
      <c r="C458" s="131" t="s">
        <v>1850</v>
      </c>
      <c r="D458" s="131" t="s">
        <v>25</v>
      </c>
      <c r="E458" s="131" t="s">
        <v>57</v>
      </c>
      <c r="F458" s="55"/>
      <c r="G458" s="130">
        <v>38.0</v>
      </c>
      <c r="H458" s="130">
        <v>4.0</v>
      </c>
      <c r="I458" s="130">
        <v>19.0</v>
      </c>
      <c r="J458" s="130">
        <v>1.0</v>
      </c>
      <c r="K458" s="130">
        <v>1.0</v>
      </c>
      <c r="L458" s="130" t="s">
        <v>39</v>
      </c>
      <c r="M458" s="130" t="s">
        <v>172</v>
      </c>
      <c r="N458" s="130" t="s">
        <v>39</v>
      </c>
      <c r="O458" s="130" t="s">
        <v>39</v>
      </c>
      <c r="P458" s="130" t="s">
        <v>39</v>
      </c>
      <c r="Q458" s="130" t="s">
        <v>39</v>
      </c>
      <c r="R458" s="132"/>
      <c r="S458" s="52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  <c r="AD458" s="129"/>
    </row>
    <row r="459" ht="14.25" customHeight="1">
      <c r="A459" s="133">
        <v>18.0</v>
      </c>
      <c r="B459" s="131" t="s">
        <v>1852</v>
      </c>
      <c r="C459" s="131" t="s">
        <v>1853</v>
      </c>
      <c r="D459" s="131" t="s">
        <v>25</v>
      </c>
      <c r="E459" s="131" t="s">
        <v>57</v>
      </c>
      <c r="F459" s="55"/>
      <c r="G459" s="130">
        <v>360.0</v>
      </c>
      <c r="H459" s="130">
        <v>36.0</v>
      </c>
      <c r="I459" s="130">
        <v>180.0</v>
      </c>
      <c r="J459" s="130">
        <v>4.0</v>
      </c>
      <c r="K459" s="130">
        <v>4.0</v>
      </c>
      <c r="L459" s="130" t="s">
        <v>39</v>
      </c>
      <c r="M459" s="130" t="s">
        <v>172</v>
      </c>
      <c r="N459" s="130" t="s">
        <v>39</v>
      </c>
      <c r="O459" s="130" t="s">
        <v>39</v>
      </c>
      <c r="P459" s="130" t="s">
        <v>39</v>
      </c>
      <c r="Q459" s="130" t="s">
        <v>39</v>
      </c>
      <c r="R459" s="132"/>
      <c r="S459" s="52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  <c r="AD459" s="129"/>
    </row>
    <row r="460" ht="14.25" customHeight="1">
      <c r="A460" s="133">
        <v>19.0</v>
      </c>
      <c r="B460" s="131" t="s">
        <v>1854</v>
      </c>
      <c r="C460" s="131" t="s">
        <v>1853</v>
      </c>
      <c r="D460" s="131" t="s">
        <v>25</v>
      </c>
      <c r="E460" s="131" t="s">
        <v>57</v>
      </c>
      <c r="F460" s="55"/>
      <c r="G460" s="130">
        <v>65.0</v>
      </c>
      <c r="H460" s="130">
        <v>6.0</v>
      </c>
      <c r="I460" s="130">
        <v>32.0</v>
      </c>
      <c r="J460" s="130">
        <v>1.0</v>
      </c>
      <c r="K460" s="130">
        <v>1.0</v>
      </c>
      <c r="L460" s="130" t="s">
        <v>39</v>
      </c>
      <c r="M460" s="130" t="s">
        <v>172</v>
      </c>
      <c r="N460" s="130" t="s">
        <v>39</v>
      </c>
      <c r="O460" s="130" t="s">
        <v>39</v>
      </c>
      <c r="P460" s="130" t="s">
        <v>39</v>
      </c>
      <c r="Q460" s="130" t="s">
        <v>39</v>
      </c>
      <c r="R460" s="132"/>
      <c r="S460" s="52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  <c r="AD460" s="129"/>
    </row>
    <row r="461" ht="14.25" customHeight="1">
      <c r="A461" s="133">
        <v>20.0</v>
      </c>
      <c r="B461" s="131" t="s">
        <v>1855</v>
      </c>
      <c r="C461" s="131" t="s">
        <v>1856</v>
      </c>
      <c r="D461" s="131" t="s">
        <v>25</v>
      </c>
      <c r="E461" s="131" t="s">
        <v>57</v>
      </c>
      <c r="F461" s="55"/>
      <c r="G461" s="130">
        <v>30.0</v>
      </c>
      <c r="H461" s="130">
        <v>3.0</v>
      </c>
      <c r="I461" s="130">
        <v>15.0</v>
      </c>
      <c r="J461" s="130">
        <v>1.0</v>
      </c>
      <c r="K461" s="130">
        <v>1.0</v>
      </c>
      <c r="L461" s="130" t="s">
        <v>39</v>
      </c>
      <c r="M461" s="130" t="s">
        <v>172</v>
      </c>
      <c r="N461" s="130" t="s">
        <v>39</v>
      </c>
      <c r="O461" s="130" t="s">
        <v>39</v>
      </c>
      <c r="P461" s="130" t="s">
        <v>39</v>
      </c>
      <c r="Q461" s="130" t="s">
        <v>39</v>
      </c>
      <c r="R461" s="132"/>
      <c r="S461" s="52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  <c r="AD461" s="129"/>
    </row>
    <row r="462" ht="14.25" customHeight="1">
      <c r="A462" s="133">
        <v>21.0</v>
      </c>
      <c r="B462" s="131" t="s">
        <v>1857</v>
      </c>
      <c r="C462" s="131" t="s">
        <v>1858</v>
      </c>
      <c r="D462" s="131" t="s">
        <v>25</v>
      </c>
      <c r="E462" s="131" t="s">
        <v>57</v>
      </c>
      <c r="F462" s="55"/>
      <c r="G462" s="130">
        <v>40.0</v>
      </c>
      <c r="H462" s="130">
        <v>4.0</v>
      </c>
      <c r="I462" s="130">
        <v>20.0</v>
      </c>
      <c r="J462" s="130">
        <v>1.0</v>
      </c>
      <c r="K462" s="130">
        <v>1.0</v>
      </c>
      <c r="L462" s="130" t="s">
        <v>39</v>
      </c>
      <c r="M462" s="130" t="s">
        <v>172</v>
      </c>
      <c r="N462" s="130" t="s">
        <v>39</v>
      </c>
      <c r="O462" s="130" t="s">
        <v>39</v>
      </c>
      <c r="P462" s="130" t="s">
        <v>39</v>
      </c>
      <c r="Q462" s="130" t="s">
        <v>39</v>
      </c>
      <c r="R462" s="132"/>
      <c r="S462" s="52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</row>
    <row r="463" ht="14.25" customHeight="1">
      <c r="A463" s="133">
        <v>22.0</v>
      </c>
      <c r="B463" s="131" t="s">
        <v>1859</v>
      </c>
      <c r="C463" s="131" t="s">
        <v>1860</v>
      </c>
      <c r="D463" s="131" t="s">
        <v>25</v>
      </c>
      <c r="E463" s="131" t="s">
        <v>57</v>
      </c>
      <c r="F463" s="55"/>
      <c r="G463" s="130">
        <v>360.0</v>
      </c>
      <c r="H463" s="130">
        <v>36.0</v>
      </c>
      <c r="I463" s="130">
        <v>180.0</v>
      </c>
      <c r="J463" s="130">
        <v>4.0</v>
      </c>
      <c r="K463" s="130">
        <v>4.0</v>
      </c>
      <c r="L463" s="130" t="s">
        <v>39</v>
      </c>
      <c r="M463" s="130" t="s">
        <v>172</v>
      </c>
      <c r="N463" s="130" t="s">
        <v>39</v>
      </c>
      <c r="O463" s="130" t="s">
        <v>39</v>
      </c>
      <c r="P463" s="130" t="s">
        <v>39</v>
      </c>
      <c r="Q463" s="130" t="s">
        <v>39</v>
      </c>
      <c r="R463" s="132"/>
      <c r="S463" s="52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</row>
    <row r="464" ht="14.25" customHeight="1">
      <c r="A464" s="133">
        <v>23.0</v>
      </c>
      <c r="B464" s="131" t="s">
        <v>1861</v>
      </c>
      <c r="C464" s="131" t="s">
        <v>1860</v>
      </c>
      <c r="D464" s="131" t="s">
        <v>25</v>
      </c>
      <c r="E464" s="131" t="s">
        <v>57</v>
      </c>
      <c r="F464" s="55"/>
      <c r="G464" s="130">
        <v>27.0</v>
      </c>
      <c r="H464" s="130">
        <v>3.0</v>
      </c>
      <c r="I464" s="130">
        <v>13.0</v>
      </c>
      <c r="J464" s="130">
        <v>1.0</v>
      </c>
      <c r="K464" s="130">
        <v>1.0</v>
      </c>
      <c r="L464" s="130" t="s">
        <v>39</v>
      </c>
      <c r="M464" s="130" t="s">
        <v>172</v>
      </c>
      <c r="N464" s="130" t="s">
        <v>39</v>
      </c>
      <c r="O464" s="130" t="s">
        <v>39</v>
      </c>
      <c r="P464" s="130" t="s">
        <v>39</v>
      </c>
      <c r="Q464" s="130" t="s">
        <v>39</v>
      </c>
      <c r="R464" s="132"/>
      <c r="S464" s="52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  <c r="AD464" s="129"/>
    </row>
    <row r="465" ht="14.25" customHeight="1">
      <c r="A465" s="133">
        <v>24.0</v>
      </c>
      <c r="B465" s="131" t="s">
        <v>1862</v>
      </c>
      <c r="C465" s="131" t="s">
        <v>1863</v>
      </c>
      <c r="D465" s="131" t="s">
        <v>25</v>
      </c>
      <c r="E465" s="131" t="s">
        <v>57</v>
      </c>
      <c r="F465" s="55"/>
      <c r="G465" s="130">
        <v>25.0</v>
      </c>
      <c r="H465" s="130">
        <v>3.0</v>
      </c>
      <c r="I465" s="130">
        <v>13.0</v>
      </c>
      <c r="J465" s="130">
        <v>1.0</v>
      </c>
      <c r="K465" s="130">
        <v>1.0</v>
      </c>
      <c r="L465" s="130" t="s">
        <v>39</v>
      </c>
      <c r="M465" s="130" t="s">
        <v>172</v>
      </c>
      <c r="N465" s="130" t="s">
        <v>39</v>
      </c>
      <c r="O465" s="130" t="s">
        <v>39</v>
      </c>
      <c r="P465" s="130" t="s">
        <v>39</v>
      </c>
      <c r="Q465" s="130" t="s">
        <v>39</v>
      </c>
      <c r="R465" s="132"/>
      <c r="S465" s="52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</row>
    <row r="466" ht="14.25" customHeight="1">
      <c r="A466" s="133">
        <v>25.0</v>
      </c>
      <c r="B466" s="131" t="s">
        <v>1864</v>
      </c>
      <c r="C466" s="131" t="s">
        <v>1860</v>
      </c>
      <c r="D466" s="131" t="s">
        <v>25</v>
      </c>
      <c r="E466" s="131" t="s">
        <v>57</v>
      </c>
      <c r="F466" s="55"/>
      <c r="G466" s="130">
        <v>35.0</v>
      </c>
      <c r="H466" s="130">
        <v>4.0</v>
      </c>
      <c r="I466" s="130">
        <v>17.0</v>
      </c>
      <c r="J466" s="130">
        <v>1.0</v>
      </c>
      <c r="K466" s="130">
        <v>1.0</v>
      </c>
      <c r="L466" s="130" t="s">
        <v>39</v>
      </c>
      <c r="M466" s="130" t="s">
        <v>172</v>
      </c>
      <c r="N466" s="130" t="s">
        <v>39</v>
      </c>
      <c r="O466" s="130" t="s">
        <v>39</v>
      </c>
      <c r="P466" s="130" t="s">
        <v>39</v>
      </c>
      <c r="Q466" s="130" t="s">
        <v>39</v>
      </c>
      <c r="R466" s="132"/>
      <c r="S466" s="52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</row>
    <row r="467" ht="14.25" customHeight="1">
      <c r="A467" s="133">
        <v>26.0</v>
      </c>
      <c r="B467" s="131" t="s">
        <v>1865</v>
      </c>
      <c r="C467" s="131" t="s">
        <v>1866</v>
      </c>
      <c r="D467" s="131" t="s">
        <v>25</v>
      </c>
      <c r="E467" s="131" t="s">
        <v>57</v>
      </c>
      <c r="F467" s="55"/>
      <c r="G467" s="130">
        <v>128.0</v>
      </c>
      <c r="H467" s="130">
        <v>13.0</v>
      </c>
      <c r="I467" s="130">
        <v>64.0</v>
      </c>
      <c r="J467" s="130">
        <v>1.0</v>
      </c>
      <c r="K467" s="130">
        <v>1.0</v>
      </c>
      <c r="L467" s="130" t="s">
        <v>39</v>
      </c>
      <c r="M467" s="130" t="s">
        <v>172</v>
      </c>
      <c r="N467" s="130" t="s">
        <v>39</v>
      </c>
      <c r="O467" s="130" t="s">
        <v>39</v>
      </c>
      <c r="P467" s="130" t="s">
        <v>39</v>
      </c>
      <c r="Q467" s="130" t="s">
        <v>39</v>
      </c>
      <c r="R467" s="132"/>
      <c r="S467" s="52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</row>
    <row r="468" ht="14.25" customHeight="1">
      <c r="A468" s="133">
        <v>27.0</v>
      </c>
      <c r="B468" s="131" t="s">
        <v>1867</v>
      </c>
      <c r="C468" s="131" t="s">
        <v>1866</v>
      </c>
      <c r="D468" s="131" t="s">
        <v>25</v>
      </c>
      <c r="E468" s="131" t="s">
        <v>57</v>
      </c>
      <c r="F468" s="55"/>
      <c r="G468" s="130">
        <v>43.21</v>
      </c>
      <c r="H468" s="130">
        <v>4.0</v>
      </c>
      <c r="I468" s="130">
        <v>21.0</v>
      </c>
      <c r="J468" s="130">
        <v>1.0</v>
      </c>
      <c r="K468" s="130">
        <v>1.0</v>
      </c>
      <c r="L468" s="130" t="s">
        <v>39</v>
      </c>
      <c r="M468" s="130" t="s">
        <v>172</v>
      </c>
      <c r="N468" s="130" t="s">
        <v>39</v>
      </c>
      <c r="O468" s="130" t="s">
        <v>39</v>
      </c>
      <c r="P468" s="130" t="s">
        <v>39</v>
      </c>
      <c r="Q468" s="130" t="s">
        <v>39</v>
      </c>
      <c r="R468" s="132"/>
      <c r="S468" s="52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</row>
    <row r="469" ht="14.25" customHeight="1">
      <c r="A469" s="133">
        <v>28.0</v>
      </c>
      <c r="B469" s="131" t="s">
        <v>1868</v>
      </c>
      <c r="C469" s="131" t="s">
        <v>1869</v>
      </c>
      <c r="D469" s="131" t="s">
        <v>25</v>
      </c>
      <c r="E469" s="131" t="s">
        <v>57</v>
      </c>
      <c r="F469" s="55"/>
      <c r="G469" s="130">
        <v>420.0</v>
      </c>
      <c r="H469" s="130">
        <v>42.0</v>
      </c>
      <c r="I469" s="130">
        <v>210.0</v>
      </c>
      <c r="J469" s="130">
        <v>4.0</v>
      </c>
      <c r="K469" s="130">
        <v>4.0</v>
      </c>
      <c r="L469" s="130" t="s">
        <v>39</v>
      </c>
      <c r="M469" s="130" t="s">
        <v>172</v>
      </c>
      <c r="N469" s="130" t="s">
        <v>39</v>
      </c>
      <c r="O469" s="130" t="s">
        <v>39</v>
      </c>
      <c r="P469" s="130" t="s">
        <v>39</v>
      </c>
      <c r="Q469" s="130" t="s">
        <v>39</v>
      </c>
      <c r="R469" s="132"/>
      <c r="S469" s="52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</row>
    <row r="470" ht="14.25" customHeight="1">
      <c r="A470" s="133">
        <v>29.0</v>
      </c>
      <c r="B470" s="131" t="s">
        <v>1870</v>
      </c>
      <c r="C470" s="131" t="s">
        <v>1869</v>
      </c>
      <c r="D470" s="131" t="s">
        <v>25</v>
      </c>
      <c r="E470" s="131" t="s">
        <v>57</v>
      </c>
      <c r="F470" s="55"/>
      <c r="G470" s="130">
        <v>43.21</v>
      </c>
      <c r="H470" s="130">
        <v>4.0</v>
      </c>
      <c r="I470" s="130">
        <v>21.0</v>
      </c>
      <c r="J470" s="130">
        <v>1.0</v>
      </c>
      <c r="K470" s="130">
        <v>1.0</v>
      </c>
      <c r="L470" s="130" t="s">
        <v>39</v>
      </c>
      <c r="M470" s="130" t="s">
        <v>172</v>
      </c>
      <c r="N470" s="130" t="s">
        <v>39</v>
      </c>
      <c r="O470" s="130" t="s">
        <v>39</v>
      </c>
      <c r="P470" s="130" t="s">
        <v>39</v>
      </c>
      <c r="Q470" s="130" t="s">
        <v>39</v>
      </c>
      <c r="R470" s="132"/>
      <c r="S470" s="52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</row>
    <row r="471" ht="14.25" customHeight="1">
      <c r="A471" s="133">
        <v>30.0</v>
      </c>
      <c r="B471" s="131" t="s">
        <v>1871</v>
      </c>
      <c r="C471" s="131" t="s">
        <v>1869</v>
      </c>
      <c r="D471" s="131" t="s">
        <v>25</v>
      </c>
      <c r="E471" s="131" t="s">
        <v>57</v>
      </c>
      <c r="F471" s="55"/>
      <c r="G471" s="130">
        <v>20.0</v>
      </c>
      <c r="H471" s="130">
        <v>2.0</v>
      </c>
      <c r="I471" s="130">
        <v>10.0</v>
      </c>
      <c r="J471" s="130">
        <v>1.0</v>
      </c>
      <c r="K471" s="130">
        <v>1.0</v>
      </c>
      <c r="L471" s="130" t="s">
        <v>39</v>
      </c>
      <c r="M471" s="130" t="s">
        <v>172</v>
      </c>
      <c r="N471" s="130" t="s">
        <v>39</v>
      </c>
      <c r="O471" s="130" t="s">
        <v>39</v>
      </c>
      <c r="P471" s="130" t="s">
        <v>39</v>
      </c>
      <c r="Q471" s="130" t="s">
        <v>39</v>
      </c>
      <c r="R471" s="132"/>
      <c r="S471" s="52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</row>
    <row r="472" ht="14.25" customHeight="1">
      <c r="A472" s="133">
        <v>31.0</v>
      </c>
      <c r="B472" s="131" t="s">
        <v>1872</v>
      </c>
      <c r="C472" s="131" t="s">
        <v>1873</v>
      </c>
      <c r="D472" s="131" t="s">
        <v>25</v>
      </c>
      <c r="E472" s="131" t="s">
        <v>57</v>
      </c>
      <c r="F472" s="55"/>
      <c r="G472" s="130">
        <v>25.0</v>
      </c>
      <c r="H472" s="130">
        <v>3.0</v>
      </c>
      <c r="I472" s="130">
        <v>13.0</v>
      </c>
      <c r="J472" s="130">
        <v>1.0</v>
      </c>
      <c r="K472" s="130">
        <v>1.0</v>
      </c>
      <c r="L472" s="130" t="s">
        <v>39</v>
      </c>
      <c r="M472" s="130" t="s">
        <v>172</v>
      </c>
      <c r="N472" s="130" t="s">
        <v>39</v>
      </c>
      <c r="O472" s="130" t="s">
        <v>39</v>
      </c>
      <c r="P472" s="130" t="s">
        <v>39</v>
      </c>
      <c r="Q472" s="130" t="s">
        <v>39</v>
      </c>
      <c r="R472" s="132"/>
      <c r="S472" s="52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</row>
    <row r="473" ht="14.25" customHeight="1">
      <c r="A473" s="133">
        <v>32.0</v>
      </c>
      <c r="B473" s="131" t="s">
        <v>1874</v>
      </c>
      <c r="C473" s="131" t="s">
        <v>1873</v>
      </c>
      <c r="D473" s="131" t="s">
        <v>25</v>
      </c>
      <c r="E473" s="131" t="s">
        <v>57</v>
      </c>
      <c r="F473" s="55"/>
      <c r="G473" s="130">
        <v>160.0</v>
      </c>
      <c r="H473" s="130">
        <v>16.0</v>
      </c>
      <c r="I473" s="130">
        <v>80.0</v>
      </c>
      <c r="J473" s="130">
        <v>1.0</v>
      </c>
      <c r="K473" s="130">
        <v>1.0</v>
      </c>
      <c r="L473" s="130" t="s">
        <v>39</v>
      </c>
      <c r="M473" s="130" t="s">
        <v>172</v>
      </c>
      <c r="N473" s="130" t="s">
        <v>39</v>
      </c>
      <c r="O473" s="130" t="s">
        <v>39</v>
      </c>
      <c r="P473" s="130" t="s">
        <v>39</v>
      </c>
      <c r="Q473" s="130" t="s">
        <v>39</v>
      </c>
      <c r="R473" s="132"/>
      <c r="S473" s="52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</row>
    <row r="474" ht="14.25" customHeight="1">
      <c r="A474" s="133">
        <v>33.0</v>
      </c>
      <c r="B474" s="131" t="s">
        <v>1875</v>
      </c>
      <c r="C474" s="131" t="s">
        <v>1873</v>
      </c>
      <c r="D474" s="131" t="s">
        <v>25</v>
      </c>
      <c r="E474" s="131" t="s">
        <v>57</v>
      </c>
      <c r="F474" s="55"/>
      <c r="G474" s="130">
        <v>43.21</v>
      </c>
      <c r="H474" s="130">
        <v>4.0</v>
      </c>
      <c r="I474" s="130">
        <v>21.0</v>
      </c>
      <c r="J474" s="130">
        <v>1.0</v>
      </c>
      <c r="K474" s="130">
        <v>1.0</v>
      </c>
      <c r="L474" s="130" t="s">
        <v>39</v>
      </c>
      <c r="M474" s="130" t="s">
        <v>172</v>
      </c>
      <c r="N474" s="130" t="s">
        <v>39</v>
      </c>
      <c r="O474" s="130" t="s">
        <v>39</v>
      </c>
      <c r="P474" s="130" t="s">
        <v>39</v>
      </c>
      <c r="Q474" s="130" t="s">
        <v>39</v>
      </c>
      <c r="R474" s="132"/>
      <c r="S474" s="52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</row>
    <row r="475" ht="14.25" customHeight="1">
      <c r="A475" s="133">
        <v>34.0</v>
      </c>
      <c r="B475" s="131" t="s">
        <v>1876</v>
      </c>
      <c r="C475" s="131" t="s">
        <v>1877</v>
      </c>
      <c r="D475" s="131" t="s">
        <v>25</v>
      </c>
      <c r="E475" s="131" t="s">
        <v>57</v>
      </c>
      <c r="F475" s="55"/>
      <c r="G475" s="130">
        <v>429.6</v>
      </c>
      <c r="H475" s="130">
        <v>43.0</v>
      </c>
      <c r="I475" s="130">
        <v>214.0</v>
      </c>
      <c r="J475" s="130">
        <v>5.0</v>
      </c>
      <c r="K475" s="130">
        <v>5.0</v>
      </c>
      <c r="L475" s="130" t="s">
        <v>39</v>
      </c>
      <c r="M475" s="130" t="s">
        <v>172</v>
      </c>
      <c r="N475" s="130" t="s">
        <v>39</v>
      </c>
      <c r="O475" s="130" t="s">
        <v>39</v>
      </c>
      <c r="P475" s="130" t="s">
        <v>39</v>
      </c>
      <c r="Q475" s="130" t="s">
        <v>39</v>
      </c>
      <c r="R475" s="132"/>
      <c r="S475" s="52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</row>
    <row r="476" ht="14.25" customHeight="1">
      <c r="A476" s="133">
        <v>35.0</v>
      </c>
      <c r="B476" s="131" t="s">
        <v>1878</v>
      </c>
      <c r="C476" s="131" t="s">
        <v>1877</v>
      </c>
      <c r="D476" s="131" t="s">
        <v>25</v>
      </c>
      <c r="E476" s="131" t="s">
        <v>57</v>
      </c>
      <c r="F476" s="55"/>
      <c r="G476" s="130">
        <v>43.21</v>
      </c>
      <c r="H476" s="130">
        <v>4.0</v>
      </c>
      <c r="I476" s="130">
        <v>21.0</v>
      </c>
      <c r="J476" s="130">
        <v>1.0</v>
      </c>
      <c r="K476" s="130">
        <v>1.0</v>
      </c>
      <c r="L476" s="130" t="s">
        <v>39</v>
      </c>
      <c r="M476" s="130" t="s">
        <v>172</v>
      </c>
      <c r="N476" s="130" t="s">
        <v>39</v>
      </c>
      <c r="O476" s="130" t="s">
        <v>39</v>
      </c>
      <c r="P476" s="130" t="s">
        <v>39</v>
      </c>
      <c r="Q476" s="130" t="s">
        <v>39</v>
      </c>
      <c r="R476" s="132"/>
      <c r="S476" s="52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  <c r="AD476" s="129"/>
    </row>
    <row r="477" ht="14.25" customHeight="1">
      <c r="A477" s="133">
        <v>36.0</v>
      </c>
      <c r="B477" s="131" t="s">
        <v>1879</v>
      </c>
      <c r="C477" s="131" t="s">
        <v>1880</v>
      </c>
      <c r="D477" s="131" t="s">
        <v>25</v>
      </c>
      <c r="E477" s="131" t="s">
        <v>57</v>
      </c>
      <c r="F477" s="55"/>
      <c r="G477" s="130">
        <v>40.0</v>
      </c>
      <c r="H477" s="130">
        <v>4.0</v>
      </c>
      <c r="I477" s="130">
        <v>20.0</v>
      </c>
      <c r="J477" s="130">
        <v>1.0</v>
      </c>
      <c r="K477" s="130">
        <v>1.0</v>
      </c>
      <c r="L477" s="130" t="s">
        <v>39</v>
      </c>
      <c r="M477" s="130" t="s">
        <v>172</v>
      </c>
      <c r="N477" s="130" t="s">
        <v>39</v>
      </c>
      <c r="O477" s="130" t="s">
        <v>39</v>
      </c>
      <c r="P477" s="130" t="s">
        <v>39</v>
      </c>
      <c r="Q477" s="130" t="s">
        <v>39</v>
      </c>
      <c r="R477" s="132"/>
      <c r="S477" s="52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  <c r="AD477" s="129"/>
    </row>
    <row r="478" ht="14.25" customHeight="1">
      <c r="A478" s="133">
        <v>37.0</v>
      </c>
      <c r="B478" s="131" t="s">
        <v>1881</v>
      </c>
      <c r="C478" s="131" t="s">
        <v>1880</v>
      </c>
      <c r="D478" s="131" t="s">
        <v>25</v>
      </c>
      <c r="E478" s="131" t="s">
        <v>57</v>
      </c>
      <c r="F478" s="55"/>
      <c r="G478" s="130">
        <v>256.0</v>
      </c>
      <c r="H478" s="130">
        <v>25.0</v>
      </c>
      <c r="I478" s="130">
        <v>128.0</v>
      </c>
      <c r="J478" s="130">
        <v>4.0</v>
      </c>
      <c r="K478" s="130">
        <v>4.0</v>
      </c>
      <c r="L478" s="130" t="s">
        <v>39</v>
      </c>
      <c r="M478" s="130" t="s">
        <v>172</v>
      </c>
      <c r="N478" s="130" t="s">
        <v>39</v>
      </c>
      <c r="O478" s="130" t="s">
        <v>39</v>
      </c>
      <c r="P478" s="130" t="s">
        <v>39</v>
      </c>
      <c r="Q478" s="130" t="s">
        <v>39</v>
      </c>
      <c r="R478" s="132"/>
      <c r="S478" s="52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  <c r="AD478" s="129"/>
    </row>
    <row r="479" ht="14.25" customHeight="1">
      <c r="A479" s="133">
        <v>38.0</v>
      </c>
      <c r="B479" s="131" t="s">
        <v>1882</v>
      </c>
      <c r="C479" s="131" t="s">
        <v>1880</v>
      </c>
      <c r="D479" s="131" t="s">
        <v>25</v>
      </c>
      <c r="E479" s="131" t="s">
        <v>57</v>
      </c>
      <c r="F479" s="55"/>
      <c r="G479" s="130">
        <v>43.21</v>
      </c>
      <c r="H479" s="130">
        <v>4.0</v>
      </c>
      <c r="I479" s="130">
        <v>21.0</v>
      </c>
      <c r="J479" s="130">
        <v>1.0</v>
      </c>
      <c r="K479" s="130">
        <v>1.0</v>
      </c>
      <c r="L479" s="130" t="s">
        <v>39</v>
      </c>
      <c r="M479" s="130" t="s">
        <v>172</v>
      </c>
      <c r="N479" s="130" t="s">
        <v>39</v>
      </c>
      <c r="O479" s="130" t="s">
        <v>39</v>
      </c>
      <c r="P479" s="130" t="s">
        <v>39</v>
      </c>
      <c r="Q479" s="130" t="s">
        <v>39</v>
      </c>
      <c r="R479" s="132"/>
      <c r="S479" s="52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  <c r="AD479" s="129"/>
    </row>
    <row r="480" ht="14.25" customHeight="1">
      <c r="A480" s="133">
        <v>39.0</v>
      </c>
      <c r="B480" s="131" t="s">
        <v>1883</v>
      </c>
      <c r="C480" s="131" t="s">
        <v>1884</v>
      </c>
      <c r="D480" s="131" t="s">
        <v>25</v>
      </c>
      <c r="E480" s="131" t="s">
        <v>57</v>
      </c>
      <c r="F480" s="55"/>
      <c r="G480" s="130">
        <v>180.0</v>
      </c>
      <c r="H480" s="130">
        <v>18.0</v>
      </c>
      <c r="I480" s="130">
        <v>90.0</v>
      </c>
      <c r="J480" s="130">
        <v>1.0</v>
      </c>
      <c r="K480" s="130">
        <v>1.0</v>
      </c>
      <c r="L480" s="130" t="s">
        <v>39</v>
      </c>
      <c r="M480" s="130" t="s">
        <v>172</v>
      </c>
      <c r="N480" s="130" t="s">
        <v>39</v>
      </c>
      <c r="O480" s="130" t="s">
        <v>39</v>
      </c>
      <c r="P480" s="130" t="s">
        <v>39</v>
      </c>
      <c r="Q480" s="130" t="s">
        <v>39</v>
      </c>
      <c r="R480" s="132"/>
      <c r="S480" s="52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  <c r="AD480" s="129"/>
    </row>
    <row r="481" ht="14.25" customHeight="1">
      <c r="A481" s="133">
        <v>40.0</v>
      </c>
      <c r="B481" s="131" t="s">
        <v>1885</v>
      </c>
      <c r="C481" s="131" t="s">
        <v>1884</v>
      </c>
      <c r="D481" s="131" t="s">
        <v>25</v>
      </c>
      <c r="E481" s="131" t="s">
        <v>57</v>
      </c>
      <c r="F481" s="55"/>
      <c r="G481" s="130">
        <v>43.21</v>
      </c>
      <c r="H481" s="130">
        <v>4.0</v>
      </c>
      <c r="I481" s="130">
        <v>21.0</v>
      </c>
      <c r="J481" s="130">
        <v>1.0</v>
      </c>
      <c r="K481" s="130">
        <v>1.0</v>
      </c>
      <c r="L481" s="130" t="s">
        <v>39</v>
      </c>
      <c r="M481" s="130" t="s">
        <v>172</v>
      </c>
      <c r="N481" s="130" t="s">
        <v>39</v>
      </c>
      <c r="O481" s="130" t="s">
        <v>39</v>
      </c>
      <c r="P481" s="130" t="s">
        <v>39</v>
      </c>
      <c r="Q481" s="130" t="s">
        <v>39</v>
      </c>
      <c r="R481" s="132"/>
      <c r="S481" s="52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  <c r="AD481" s="129"/>
    </row>
    <row r="482" ht="14.25" customHeight="1">
      <c r="A482" s="133">
        <v>41.0</v>
      </c>
      <c r="B482" s="131" t="s">
        <v>288</v>
      </c>
      <c r="C482" s="131" t="s">
        <v>1828</v>
      </c>
      <c r="D482" s="131" t="s">
        <v>25</v>
      </c>
      <c r="E482" s="131" t="s">
        <v>57</v>
      </c>
      <c r="F482" s="55"/>
      <c r="G482" s="130">
        <v>65.0</v>
      </c>
      <c r="H482" s="130">
        <v>7.0</v>
      </c>
      <c r="I482" s="130">
        <v>32.0</v>
      </c>
      <c r="J482" s="130">
        <v>4.0</v>
      </c>
      <c r="K482" s="130">
        <v>4.0</v>
      </c>
      <c r="L482" s="130" t="s">
        <v>39</v>
      </c>
      <c r="M482" s="130" t="s">
        <v>172</v>
      </c>
      <c r="N482" s="130" t="s">
        <v>39</v>
      </c>
      <c r="O482" s="130" t="s">
        <v>39</v>
      </c>
      <c r="P482" s="130" t="s">
        <v>39</v>
      </c>
      <c r="Q482" s="130" t="s">
        <v>39</v>
      </c>
      <c r="R482" s="132"/>
      <c r="S482" s="52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  <c r="AD482" s="129"/>
    </row>
    <row r="483" ht="15.75" customHeight="1">
      <c r="A483" s="181"/>
      <c r="B483" s="182" t="s">
        <v>1886</v>
      </c>
      <c r="C483" s="182"/>
      <c r="D483" s="182"/>
      <c r="E483" s="182"/>
      <c r="F483" s="182"/>
      <c r="G483" s="183"/>
      <c r="H483" s="184"/>
      <c r="I483" s="184"/>
      <c r="J483" s="185"/>
      <c r="K483" s="185"/>
      <c r="L483" s="185"/>
      <c r="M483" s="185"/>
      <c r="N483" s="185"/>
      <c r="O483" s="185"/>
      <c r="P483" s="184"/>
      <c r="Q483" s="185"/>
      <c r="R483" s="141"/>
      <c r="S483" s="142"/>
      <c r="T483" s="142"/>
      <c r="U483" s="142"/>
      <c r="V483" s="142"/>
      <c r="W483" s="142"/>
      <c r="X483" s="142"/>
      <c r="Y483" s="142"/>
      <c r="Z483" s="142"/>
      <c r="AA483" s="142"/>
      <c r="AB483" s="142"/>
      <c r="AC483" s="142"/>
      <c r="AD483" s="142"/>
    </row>
    <row r="484" ht="14.25" customHeight="1">
      <c r="A484" s="133">
        <v>1.0</v>
      </c>
      <c r="B484" s="149" t="s">
        <v>394</v>
      </c>
      <c r="C484" s="149" t="s">
        <v>1887</v>
      </c>
      <c r="D484" s="131" t="s">
        <v>25</v>
      </c>
      <c r="E484" s="131" t="s">
        <v>57</v>
      </c>
      <c r="F484" s="149"/>
      <c r="G484" s="132" t="s">
        <v>1888</v>
      </c>
      <c r="H484" s="132">
        <v>15.0</v>
      </c>
      <c r="I484" s="132">
        <v>75.0</v>
      </c>
      <c r="J484" s="132">
        <v>2.0</v>
      </c>
      <c r="K484" s="132">
        <v>3.0</v>
      </c>
      <c r="L484" s="132">
        <v>1.0</v>
      </c>
      <c r="M484" s="132" t="s">
        <v>1889</v>
      </c>
      <c r="N484" s="132" t="s">
        <v>27</v>
      </c>
      <c r="O484" s="132">
        <v>675.0</v>
      </c>
      <c r="P484" s="132" t="s">
        <v>47</v>
      </c>
      <c r="Q484" s="132">
        <v>20.0</v>
      </c>
      <c r="R484" s="189">
        <v>44502.0</v>
      </c>
      <c r="S484" s="52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  <c r="AD484" s="129"/>
    </row>
    <row r="485" ht="14.25" customHeight="1">
      <c r="A485" s="133">
        <v>2.0</v>
      </c>
      <c r="B485" s="149" t="s">
        <v>1890</v>
      </c>
      <c r="C485" s="149" t="s">
        <v>1891</v>
      </c>
      <c r="D485" s="131" t="s">
        <v>25</v>
      </c>
      <c r="E485" s="131" t="s">
        <v>57</v>
      </c>
      <c r="F485" s="52"/>
      <c r="G485" s="132" t="s">
        <v>1892</v>
      </c>
      <c r="H485" s="132">
        <v>10.0</v>
      </c>
      <c r="I485" s="132">
        <v>20.0</v>
      </c>
      <c r="J485" s="132">
        <v>2.0</v>
      </c>
      <c r="K485" s="132">
        <v>2.0</v>
      </c>
      <c r="L485" s="132">
        <v>3.0</v>
      </c>
      <c r="M485" s="132" t="s">
        <v>138</v>
      </c>
      <c r="N485" s="132" t="s">
        <v>1893</v>
      </c>
      <c r="O485" s="132">
        <v>100.0</v>
      </c>
      <c r="P485" s="132" t="s">
        <v>29</v>
      </c>
      <c r="Q485" s="132" t="s">
        <v>1137</v>
      </c>
      <c r="R485" s="132"/>
      <c r="S485" s="52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  <c r="AD485" s="129"/>
    </row>
    <row r="486" ht="14.25" customHeight="1">
      <c r="A486" s="133">
        <v>3.0</v>
      </c>
      <c r="B486" s="149" t="s">
        <v>1894</v>
      </c>
      <c r="C486" s="149" t="s">
        <v>1895</v>
      </c>
      <c r="D486" s="131" t="s">
        <v>25</v>
      </c>
      <c r="E486" s="131" t="s">
        <v>57</v>
      </c>
      <c r="F486" s="52"/>
      <c r="G486" s="132" t="s">
        <v>1892</v>
      </c>
      <c r="H486" s="132">
        <v>21.0</v>
      </c>
      <c r="I486" s="132">
        <v>55.0</v>
      </c>
      <c r="J486" s="132">
        <v>2.0</v>
      </c>
      <c r="K486" s="132">
        <v>2.0</v>
      </c>
      <c r="L486" s="132">
        <v>3.0</v>
      </c>
      <c r="M486" s="132" t="s">
        <v>82</v>
      </c>
      <c r="N486" s="144" t="s">
        <v>28</v>
      </c>
      <c r="O486" s="132">
        <v>100.0</v>
      </c>
      <c r="P486" s="132" t="s">
        <v>29</v>
      </c>
      <c r="Q486" s="132" t="s">
        <v>1137</v>
      </c>
      <c r="R486" s="132"/>
      <c r="S486" s="52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  <c r="AD486" s="129"/>
    </row>
    <row r="487" ht="14.25" customHeight="1">
      <c r="A487" s="133">
        <v>4.0</v>
      </c>
      <c r="B487" s="149" t="s">
        <v>1896</v>
      </c>
      <c r="C487" s="149" t="s">
        <v>1897</v>
      </c>
      <c r="D487" s="131" t="s">
        <v>25</v>
      </c>
      <c r="E487" s="131" t="s">
        <v>57</v>
      </c>
      <c r="F487" s="52"/>
      <c r="G487" s="132" t="s">
        <v>1892</v>
      </c>
      <c r="H487" s="132">
        <v>8.0</v>
      </c>
      <c r="I487" s="132">
        <v>30.0</v>
      </c>
      <c r="J487" s="132">
        <v>0.0</v>
      </c>
      <c r="K487" s="132">
        <v>0.0</v>
      </c>
      <c r="L487" s="132">
        <v>1.0</v>
      </c>
      <c r="M487" s="132" t="s">
        <v>82</v>
      </c>
      <c r="N487" s="132" t="s">
        <v>1893</v>
      </c>
      <c r="O487" s="132">
        <v>50.0</v>
      </c>
      <c r="P487" s="132" t="s">
        <v>29</v>
      </c>
      <c r="Q487" s="132" t="s">
        <v>1137</v>
      </c>
      <c r="R487" s="132"/>
      <c r="S487" s="52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  <c r="AD487" s="129"/>
    </row>
    <row r="488" ht="15.75" customHeight="1">
      <c r="A488" s="181"/>
      <c r="B488" s="182" t="s">
        <v>1898</v>
      </c>
      <c r="C488" s="182"/>
      <c r="D488" s="182"/>
      <c r="E488" s="182"/>
      <c r="F488" s="182"/>
      <c r="G488" s="183"/>
      <c r="H488" s="184"/>
      <c r="I488" s="184"/>
      <c r="J488" s="185"/>
      <c r="K488" s="185"/>
      <c r="L488" s="185"/>
      <c r="M488" s="185"/>
      <c r="N488" s="185"/>
      <c r="O488" s="185"/>
      <c r="P488" s="184"/>
      <c r="Q488" s="185"/>
      <c r="R488" s="141"/>
      <c r="S488" s="142"/>
      <c r="T488" s="142"/>
      <c r="U488" s="142"/>
      <c r="V488" s="142"/>
      <c r="W488" s="142"/>
      <c r="X488" s="142"/>
      <c r="Y488" s="142"/>
      <c r="Z488" s="142"/>
      <c r="AA488" s="142"/>
      <c r="AB488" s="142"/>
      <c r="AC488" s="142"/>
      <c r="AD488" s="142"/>
    </row>
    <row r="489" ht="14.25" customHeight="1">
      <c r="A489" s="133">
        <v>1.0</v>
      </c>
      <c r="B489" s="149" t="s">
        <v>1899</v>
      </c>
      <c r="C489" s="149" t="s">
        <v>1900</v>
      </c>
      <c r="D489" s="149" t="s">
        <v>1901</v>
      </c>
      <c r="E489" s="149" t="s">
        <v>57</v>
      </c>
      <c r="F489" s="52"/>
      <c r="G489" s="132">
        <v>366.75</v>
      </c>
      <c r="H489" s="132">
        <v>24.0</v>
      </c>
      <c r="I489" s="132">
        <v>120.0</v>
      </c>
      <c r="J489" s="132">
        <v>1.0</v>
      </c>
      <c r="K489" s="132">
        <v>1.0</v>
      </c>
      <c r="L489" s="144">
        <v>0.0</v>
      </c>
      <c r="M489" s="132" t="s">
        <v>1902</v>
      </c>
      <c r="N489" s="132" t="s">
        <v>172</v>
      </c>
      <c r="O489" s="132" t="s">
        <v>1257</v>
      </c>
      <c r="P489" s="132" t="s">
        <v>29</v>
      </c>
      <c r="Q489" s="159">
        <v>0.0</v>
      </c>
      <c r="R489" s="190">
        <v>44627.0</v>
      </c>
      <c r="S489" s="191">
        <v>45705.0</v>
      </c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  <c r="AD489" s="129"/>
    </row>
    <row r="490" ht="14.25" customHeight="1">
      <c r="A490" s="133">
        <v>2.0</v>
      </c>
      <c r="B490" s="149" t="s">
        <v>1903</v>
      </c>
      <c r="C490" s="149" t="s">
        <v>1900</v>
      </c>
      <c r="D490" s="149" t="s">
        <v>1901</v>
      </c>
      <c r="E490" s="149" t="s">
        <v>57</v>
      </c>
      <c r="F490" s="52"/>
      <c r="G490" s="132">
        <v>391.2</v>
      </c>
      <c r="H490" s="132">
        <v>25.0</v>
      </c>
      <c r="I490" s="132">
        <v>125.0</v>
      </c>
      <c r="J490" s="132">
        <v>8.0</v>
      </c>
      <c r="K490" s="132">
        <v>8.0</v>
      </c>
      <c r="L490" s="144">
        <v>0.0</v>
      </c>
      <c r="M490" s="132" t="s">
        <v>1902</v>
      </c>
      <c r="N490" s="132" t="s">
        <v>172</v>
      </c>
      <c r="O490" s="132" t="s">
        <v>1257</v>
      </c>
      <c r="P490" s="132" t="s">
        <v>29</v>
      </c>
      <c r="Q490" s="159">
        <v>0.0</v>
      </c>
      <c r="R490" s="132"/>
      <c r="S490" s="52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  <c r="AD490" s="129"/>
    </row>
    <row r="491" ht="14.25" customHeight="1">
      <c r="A491" s="133">
        <v>3.0</v>
      </c>
      <c r="B491" s="149" t="s">
        <v>1904</v>
      </c>
      <c r="C491" s="149" t="s">
        <v>1900</v>
      </c>
      <c r="D491" s="149" t="s">
        <v>1901</v>
      </c>
      <c r="E491" s="149" t="s">
        <v>57</v>
      </c>
      <c r="F491" s="52"/>
      <c r="G491" s="132">
        <v>52.0</v>
      </c>
      <c r="H491" s="132">
        <v>4.0</v>
      </c>
      <c r="I491" s="132">
        <v>20.0</v>
      </c>
      <c r="J491" s="132">
        <v>1.0</v>
      </c>
      <c r="K491" s="132">
        <v>1.0</v>
      </c>
      <c r="L491" s="144">
        <v>0.0</v>
      </c>
      <c r="M491" s="132" t="s">
        <v>1902</v>
      </c>
      <c r="N491" s="132" t="s">
        <v>172</v>
      </c>
      <c r="O491" s="132" t="s">
        <v>1257</v>
      </c>
      <c r="P491" s="132" t="s">
        <v>29</v>
      </c>
      <c r="Q491" s="159">
        <v>0.0</v>
      </c>
      <c r="R491" s="132"/>
      <c r="S491" s="52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  <c r="AD491" s="129"/>
    </row>
    <row r="492" ht="14.25" customHeight="1">
      <c r="A492" s="133">
        <v>4.0</v>
      </c>
      <c r="B492" s="149" t="s">
        <v>1078</v>
      </c>
      <c r="C492" s="149" t="s">
        <v>1900</v>
      </c>
      <c r="D492" s="149" t="s">
        <v>1901</v>
      </c>
      <c r="E492" s="149" t="s">
        <v>57</v>
      </c>
      <c r="F492" s="52"/>
      <c r="G492" s="132">
        <v>608.0</v>
      </c>
      <c r="H492" s="132">
        <v>122.0</v>
      </c>
      <c r="I492" s="132">
        <v>608.0</v>
      </c>
      <c r="J492" s="132">
        <v>3.0</v>
      </c>
      <c r="K492" s="132">
        <v>3.0</v>
      </c>
      <c r="L492" s="144">
        <v>0.0</v>
      </c>
      <c r="M492" s="132" t="s">
        <v>1902</v>
      </c>
      <c r="N492" s="132" t="s">
        <v>172</v>
      </c>
      <c r="O492" s="132" t="s">
        <v>1257</v>
      </c>
      <c r="P492" s="132" t="s">
        <v>29</v>
      </c>
      <c r="Q492" s="159">
        <v>0.0</v>
      </c>
      <c r="R492" s="132"/>
      <c r="S492" s="52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  <c r="AD492" s="129"/>
    </row>
    <row r="493" ht="14.25" customHeight="1">
      <c r="A493" s="133">
        <v>5.0</v>
      </c>
      <c r="B493" s="149" t="s">
        <v>1905</v>
      </c>
      <c r="C493" s="149" t="s">
        <v>1906</v>
      </c>
      <c r="D493" s="149" t="s">
        <v>1901</v>
      </c>
      <c r="E493" s="149" t="s">
        <v>57</v>
      </c>
      <c r="F493" s="52"/>
      <c r="G493" s="132">
        <v>567.0</v>
      </c>
      <c r="H493" s="132">
        <v>114.0</v>
      </c>
      <c r="I493" s="132">
        <v>567.0</v>
      </c>
      <c r="J493" s="132">
        <v>1.0</v>
      </c>
      <c r="K493" s="132">
        <v>1.0</v>
      </c>
      <c r="L493" s="144">
        <v>0.0</v>
      </c>
      <c r="M493" s="132" t="s">
        <v>1902</v>
      </c>
      <c r="N493" s="132" t="s">
        <v>172</v>
      </c>
      <c r="O493" s="132" t="s">
        <v>1257</v>
      </c>
      <c r="P493" s="132" t="s">
        <v>29</v>
      </c>
      <c r="Q493" s="159">
        <v>0.0</v>
      </c>
      <c r="R493" s="132"/>
      <c r="S493" s="52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  <c r="AD493" s="129"/>
    </row>
    <row r="494" ht="14.25" customHeight="1">
      <c r="A494" s="133">
        <v>6.0</v>
      </c>
      <c r="B494" s="149" t="s">
        <v>1907</v>
      </c>
      <c r="C494" s="149" t="s">
        <v>1906</v>
      </c>
      <c r="D494" s="149" t="s">
        <v>1901</v>
      </c>
      <c r="E494" s="149" t="s">
        <v>57</v>
      </c>
      <c r="F494" s="52"/>
      <c r="G494" s="132">
        <v>396.0</v>
      </c>
      <c r="H494" s="132">
        <v>80.0</v>
      </c>
      <c r="I494" s="132">
        <v>396.0</v>
      </c>
      <c r="J494" s="132">
        <v>6.0</v>
      </c>
      <c r="K494" s="132">
        <v>6.0</v>
      </c>
      <c r="L494" s="144">
        <v>0.0</v>
      </c>
      <c r="M494" s="132" t="s">
        <v>1902</v>
      </c>
      <c r="N494" s="132" t="s">
        <v>172</v>
      </c>
      <c r="O494" s="132" t="s">
        <v>1257</v>
      </c>
      <c r="P494" s="132" t="s">
        <v>66</v>
      </c>
      <c r="Q494" s="132">
        <v>6.0</v>
      </c>
      <c r="R494" s="132"/>
      <c r="S494" s="52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  <c r="AD494" s="129"/>
    </row>
    <row r="495" ht="14.25" customHeight="1">
      <c r="A495" s="133">
        <v>7.0</v>
      </c>
      <c r="B495" s="149" t="s">
        <v>1908</v>
      </c>
      <c r="C495" s="149" t="s">
        <v>1909</v>
      </c>
      <c r="D495" s="149" t="s">
        <v>1901</v>
      </c>
      <c r="E495" s="149" t="s">
        <v>57</v>
      </c>
      <c r="F495" s="52"/>
      <c r="G495" s="132">
        <v>48.0</v>
      </c>
      <c r="H495" s="132">
        <v>10.0</v>
      </c>
      <c r="I495" s="132">
        <v>48.0</v>
      </c>
      <c r="J495" s="132">
        <v>1.0</v>
      </c>
      <c r="K495" s="132">
        <v>1.0</v>
      </c>
      <c r="L495" s="144">
        <v>0.0</v>
      </c>
      <c r="M495" s="132" t="s">
        <v>1902</v>
      </c>
      <c r="N495" s="132" t="s">
        <v>172</v>
      </c>
      <c r="O495" s="132" t="s">
        <v>1257</v>
      </c>
      <c r="P495" s="132" t="s">
        <v>66</v>
      </c>
      <c r="Q495" s="132">
        <v>6.0</v>
      </c>
      <c r="R495" s="132"/>
      <c r="S495" s="52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  <c r="AD495" s="129"/>
    </row>
    <row r="496" ht="14.25" customHeight="1">
      <c r="A496" s="133">
        <v>8.0</v>
      </c>
      <c r="B496" s="149" t="s">
        <v>1910</v>
      </c>
      <c r="C496" s="149" t="s">
        <v>1911</v>
      </c>
      <c r="D496" s="149" t="s">
        <v>1901</v>
      </c>
      <c r="E496" s="149" t="s">
        <v>57</v>
      </c>
      <c r="F496" s="52"/>
      <c r="G496" s="132">
        <v>396.0</v>
      </c>
      <c r="H496" s="132">
        <v>80.0</v>
      </c>
      <c r="I496" s="132">
        <v>396.0</v>
      </c>
      <c r="J496" s="132">
        <v>7.0</v>
      </c>
      <c r="K496" s="132">
        <v>7.0</v>
      </c>
      <c r="L496" s="144">
        <v>0.0</v>
      </c>
      <c r="M496" s="132" t="s">
        <v>1902</v>
      </c>
      <c r="N496" s="132" t="s">
        <v>172</v>
      </c>
      <c r="O496" s="132" t="s">
        <v>1257</v>
      </c>
      <c r="P496" s="132" t="s">
        <v>66</v>
      </c>
      <c r="Q496" s="132">
        <v>6.0</v>
      </c>
      <c r="R496" s="132"/>
      <c r="S496" s="52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  <c r="AD496" s="129"/>
    </row>
    <row r="497" ht="14.25" customHeight="1">
      <c r="A497" s="133">
        <v>9.0</v>
      </c>
      <c r="B497" s="149" t="s">
        <v>1912</v>
      </c>
      <c r="C497" s="149" t="s">
        <v>1909</v>
      </c>
      <c r="D497" s="149" t="s">
        <v>1901</v>
      </c>
      <c r="E497" s="149" t="s">
        <v>57</v>
      </c>
      <c r="F497" s="52"/>
      <c r="G497" s="132">
        <v>396.0</v>
      </c>
      <c r="H497" s="132">
        <v>80.0</v>
      </c>
      <c r="I497" s="132">
        <v>396.0</v>
      </c>
      <c r="J497" s="132">
        <v>3.0</v>
      </c>
      <c r="K497" s="132">
        <v>3.0</v>
      </c>
      <c r="L497" s="144">
        <v>0.0</v>
      </c>
      <c r="M497" s="132" t="s">
        <v>1902</v>
      </c>
      <c r="N497" s="132" t="s">
        <v>172</v>
      </c>
      <c r="O497" s="132" t="s">
        <v>1257</v>
      </c>
      <c r="P497" s="132" t="s">
        <v>29</v>
      </c>
      <c r="Q497" s="159">
        <v>0.0</v>
      </c>
      <c r="R497" s="132"/>
      <c r="S497" s="52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  <c r="AD497" s="129"/>
    </row>
    <row r="498" ht="14.25" customHeight="1">
      <c r="A498" s="133">
        <v>10.0</v>
      </c>
      <c r="B498" s="149" t="s">
        <v>1913</v>
      </c>
      <c r="C498" s="149" t="s">
        <v>1914</v>
      </c>
      <c r="D498" s="149" t="s">
        <v>1901</v>
      </c>
      <c r="E498" s="149" t="s">
        <v>57</v>
      </c>
      <c r="F498" s="52"/>
      <c r="G498" s="132">
        <v>36.0</v>
      </c>
      <c r="H498" s="132">
        <v>7.0</v>
      </c>
      <c r="I498" s="132">
        <v>36.0</v>
      </c>
      <c r="J498" s="144" t="s">
        <v>28</v>
      </c>
      <c r="K498" s="144" t="s">
        <v>28</v>
      </c>
      <c r="L498" s="144">
        <v>0.0</v>
      </c>
      <c r="M498" s="132" t="s">
        <v>1902</v>
      </c>
      <c r="N498" s="132" t="s">
        <v>172</v>
      </c>
      <c r="O498" s="132" t="s">
        <v>1257</v>
      </c>
      <c r="P498" s="132" t="s">
        <v>66</v>
      </c>
      <c r="Q498" s="132">
        <v>4.0</v>
      </c>
      <c r="R498" s="132"/>
      <c r="S498" s="52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  <c r="AD498" s="129"/>
    </row>
    <row r="499" ht="14.25" customHeight="1">
      <c r="A499" s="133">
        <v>11.0</v>
      </c>
      <c r="B499" s="149" t="s">
        <v>1915</v>
      </c>
      <c r="C499" s="149" t="s">
        <v>1914</v>
      </c>
      <c r="D499" s="149" t="s">
        <v>1901</v>
      </c>
      <c r="E499" s="149" t="s">
        <v>57</v>
      </c>
      <c r="F499" s="52"/>
      <c r="G499" s="144" t="s">
        <v>28</v>
      </c>
      <c r="H499" s="144" t="s">
        <v>28</v>
      </c>
      <c r="I499" s="144" t="s">
        <v>28</v>
      </c>
      <c r="J499" s="144" t="s">
        <v>28</v>
      </c>
      <c r="K499" s="144" t="s">
        <v>28</v>
      </c>
      <c r="L499" s="144">
        <v>0.0</v>
      </c>
      <c r="M499" s="132" t="s">
        <v>1902</v>
      </c>
      <c r="N499" s="132" t="s">
        <v>172</v>
      </c>
      <c r="O499" s="132" t="s">
        <v>1257</v>
      </c>
      <c r="P499" s="132" t="s">
        <v>29</v>
      </c>
      <c r="Q499" s="159">
        <v>0.0</v>
      </c>
      <c r="R499" s="132"/>
      <c r="S499" s="191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  <c r="AD499" s="129"/>
    </row>
    <row r="500" ht="14.25" customHeight="1">
      <c r="A500" s="133">
        <v>12.0</v>
      </c>
      <c r="B500" s="149" t="s">
        <v>1916</v>
      </c>
      <c r="C500" s="149" t="s">
        <v>1917</v>
      </c>
      <c r="D500" s="149" t="s">
        <v>1901</v>
      </c>
      <c r="E500" s="149" t="s">
        <v>57</v>
      </c>
      <c r="F500" s="52"/>
      <c r="G500" s="132">
        <v>128.0</v>
      </c>
      <c r="H500" s="132">
        <v>26.0</v>
      </c>
      <c r="I500" s="132">
        <v>128.0</v>
      </c>
      <c r="J500" s="132">
        <v>1.0</v>
      </c>
      <c r="K500" s="132">
        <v>1.0</v>
      </c>
      <c r="L500" s="144">
        <v>0.0</v>
      </c>
      <c r="M500" s="132" t="s">
        <v>1902</v>
      </c>
      <c r="N500" s="132" t="s">
        <v>172</v>
      </c>
      <c r="O500" s="132" t="s">
        <v>1257</v>
      </c>
      <c r="P500" s="132" t="s">
        <v>29</v>
      </c>
      <c r="Q500" s="159">
        <v>0.0</v>
      </c>
      <c r="R500" s="132"/>
      <c r="S500" s="52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</row>
    <row r="501" ht="14.25" customHeight="1">
      <c r="A501" s="133">
        <v>13.0</v>
      </c>
      <c r="B501" s="149" t="s">
        <v>1918</v>
      </c>
      <c r="C501" s="149" t="s">
        <v>1917</v>
      </c>
      <c r="D501" s="149" t="s">
        <v>1901</v>
      </c>
      <c r="E501" s="149" t="s">
        <v>57</v>
      </c>
      <c r="F501" s="52"/>
      <c r="G501" s="132">
        <v>558.0</v>
      </c>
      <c r="H501" s="132">
        <v>111.0</v>
      </c>
      <c r="I501" s="132">
        <v>558.0</v>
      </c>
      <c r="J501" s="132">
        <v>1.0</v>
      </c>
      <c r="K501" s="132">
        <v>1.0</v>
      </c>
      <c r="L501" s="144">
        <v>0.0</v>
      </c>
      <c r="M501" s="132" t="s">
        <v>1902</v>
      </c>
      <c r="N501" s="132" t="s">
        <v>172</v>
      </c>
      <c r="O501" s="132" t="s">
        <v>1257</v>
      </c>
      <c r="P501" s="132" t="s">
        <v>66</v>
      </c>
      <c r="Q501" s="132">
        <v>6.0</v>
      </c>
      <c r="R501" s="132"/>
      <c r="S501" s="52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</row>
    <row r="502" ht="14.25" customHeight="1">
      <c r="A502" s="133">
        <v>14.0</v>
      </c>
      <c r="B502" s="149" t="s">
        <v>1919</v>
      </c>
      <c r="C502" s="149" t="s">
        <v>1917</v>
      </c>
      <c r="D502" s="149" t="s">
        <v>1901</v>
      </c>
      <c r="E502" s="149" t="s">
        <v>57</v>
      </c>
      <c r="F502" s="52"/>
      <c r="G502" s="132">
        <v>396.0</v>
      </c>
      <c r="H502" s="132">
        <v>80.0</v>
      </c>
      <c r="I502" s="132">
        <v>396.0</v>
      </c>
      <c r="J502" s="132">
        <v>6.0</v>
      </c>
      <c r="K502" s="132">
        <v>6.0</v>
      </c>
      <c r="L502" s="144">
        <v>0.0</v>
      </c>
      <c r="M502" s="132" t="s">
        <v>1902</v>
      </c>
      <c r="N502" s="132" t="s">
        <v>172</v>
      </c>
      <c r="O502" s="132" t="s">
        <v>1257</v>
      </c>
      <c r="P502" s="132" t="s">
        <v>29</v>
      </c>
      <c r="Q502" s="159">
        <v>0.0</v>
      </c>
      <c r="R502" s="132"/>
      <c r="S502" s="52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  <c r="AD502" s="129"/>
    </row>
    <row r="503" ht="14.25" customHeight="1">
      <c r="A503" s="133">
        <v>15.0</v>
      </c>
      <c r="B503" s="149" t="s">
        <v>1920</v>
      </c>
      <c r="C503" s="149" t="s">
        <v>1921</v>
      </c>
      <c r="D503" s="149" t="s">
        <v>1901</v>
      </c>
      <c r="E503" s="149" t="s">
        <v>57</v>
      </c>
      <c r="F503" s="52"/>
      <c r="G503" s="132">
        <v>396.0</v>
      </c>
      <c r="H503" s="132">
        <v>80.0</v>
      </c>
      <c r="I503" s="132">
        <v>396.0</v>
      </c>
      <c r="J503" s="132">
        <v>6.0</v>
      </c>
      <c r="K503" s="132">
        <v>6.0</v>
      </c>
      <c r="L503" s="144">
        <v>0.0</v>
      </c>
      <c r="M503" s="132" t="s">
        <v>1902</v>
      </c>
      <c r="N503" s="132" t="s">
        <v>172</v>
      </c>
      <c r="O503" s="132" t="s">
        <v>1257</v>
      </c>
      <c r="P503" s="132" t="s">
        <v>29</v>
      </c>
      <c r="Q503" s="159">
        <v>0.0</v>
      </c>
      <c r="R503" s="132"/>
      <c r="S503" s="52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</row>
    <row r="504" ht="14.25" customHeight="1">
      <c r="A504" s="133">
        <v>16.0</v>
      </c>
      <c r="B504" s="149" t="s">
        <v>1922</v>
      </c>
      <c r="C504" s="149" t="s">
        <v>1921</v>
      </c>
      <c r="D504" s="149" t="s">
        <v>1901</v>
      </c>
      <c r="E504" s="149" t="s">
        <v>57</v>
      </c>
      <c r="F504" s="52"/>
      <c r="G504" s="132">
        <v>208.45</v>
      </c>
      <c r="H504" s="132">
        <v>41.0</v>
      </c>
      <c r="I504" s="132">
        <v>208.0</v>
      </c>
      <c r="J504" s="132">
        <v>1.0</v>
      </c>
      <c r="K504" s="132">
        <v>1.0</v>
      </c>
      <c r="L504" s="144">
        <v>0.0</v>
      </c>
      <c r="M504" s="132" t="s">
        <v>1902</v>
      </c>
      <c r="N504" s="132" t="s">
        <v>172</v>
      </c>
      <c r="O504" s="132" t="s">
        <v>1257</v>
      </c>
      <c r="P504" s="132" t="s">
        <v>29</v>
      </c>
      <c r="Q504" s="159">
        <v>0.0</v>
      </c>
      <c r="R504" s="132"/>
      <c r="S504" s="52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</row>
    <row r="505" ht="14.25" customHeight="1">
      <c r="A505" s="133">
        <v>17.0</v>
      </c>
      <c r="B505" s="149" t="s">
        <v>1923</v>
      </c>
      <c r="C505" s="149" t="s">
        <v>1921</v>
      </c>
      <c r="D505" s="149" t="s">
        <v>1901</v>
      </c>
      <c r="E505" s="149" t="s">
        <v>57</v>
      </c>
      <c r="F505" s="52"/>
      <c r="G505" s="132">
        <v>51.0</v>
      </c>
      <c r="H505" s="132">
        <v>10.0</v>
      </c>
      <c r="I505" s="132">
        <v>51.0</v>
      </c>
      <c r="J505" s="132">
        <v>1.0</v>
      </c>
      <c r="K505" s="132">
        <v>1.0</v>
      </c>
      <c r="L505" s="144">
        <v>0.0</v>
      </c>
      <c r="M505" s="132" t="s">
        <v>1902</v>
      </c>
      <c r="N505" s="132" t="s">
        <v>172</v>
      </c>
      <c r="O505" s="132" t="s">
        <v>1257</v>
      </c>
      <c r="P505" s="132" t="s">
        <v>29</v>
      </c>
      <c r="Q505" s="159">
        <v>0.0</v>
      </c>
      <c r="R505" s="132"/>
      <c r="S505" s="52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</row>
    <row r="506" ht="14.25" customHeight="1">
      <c r="A506" s="133">
        <v>18.0</v>
      </c>
      <c r="B506" s="149" t="s">
        <v>1924</v>
      </c>
      <c r="C506" s="149" t="s">
        <v>1925</v>
      </c>
      <c r="D506" s="149" t="s">
        <v>1901</v>
      </c>
      <c r="E506" s="149" t="s">
        <v>57</v>
      </c>
      <c r="F506" s="52"/>
      <c r="G506" s="132">
        <v>396.0</v>
      </c>
      <c r="H506" s="132">
        <v>80.0</v>
      </c>
      <c r="I506" s="132">
        <v>396.0</v>
      </c>
      <c r="J506" s="132">
        <v>6.0</v>
      </c>
      <c r="K506" s="132">
        <v>6.0</v>
      </c>
      <c r="L506" s="144">
        <v>0.0</v>
      </c>
      <c r="M506" s="132" t="s">
        <v>1902</v>
      </c>
      <c r="N506" s="132" t="s">
        <v>172</v>
      </c>
      <c r="O506" s="132" t="s">
        <v>1257</v>
      </c>
      <c r="P506" s="132" t="s">
        <v>66</v>
      </c>
      <c r="Q506" s="132">
        <v>6.0</v>
      </c>
      <c r="R506" s="132"/>
      <c r="S506" s="52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</row>
    <row r="507" ht="14.25" customHeight="1">
      <c r="A507" s="133">
        <v>19.0</v>
      </c>
      <c r="B507" s="149" t="s">
        <v>1926</v>
      </c>
      <c r="C507" s="149" t="s">
        <v>1925</v>
      </c>
      <c r="D507" s="149" t="s">
        <v>1901</v>
      </c>
      <c r="E507" s="149" t="s">
        <v>57</v>
      </c>
      <c r="F507" s="52"/>
      <c r="G507" s="132">
        <v>86.15</v>
      </c>
      <c r="H507" s="132">
        <v>17.0</v>
      </c>
      <c r="I507" s="132">
        <v>86.0</v>
      </c>
      <c r="J507" s="132">
        <v>1.0</v>
      </c>
      <c r="K507" s="132">
        <v>1.0</v>
      </c>
      <c r="L507" s="144">
        <v>0.0</v>
      </c>
      <c r="M507" s="132" t="s">
        <v>1902</v>
      </c>
      <c r="N507" s="132" t="s">
        <v>172</v>
      </c>
      <c r="O507" s="132" t="s">
        <v>1257</v>
      </c>
      <c r="P507" s="132" t="s">
        <v>29</v>
      </c>
      <c r="Q507" s="159">
        <v>0.0</v>
      </c>
      <c r="R507" s="132"/>
      <c r="S507" s="52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</row>
    <row r="508" ht="14.25" customHeight="1">
      <c r="A508" s="133">
        <v>20.0</v>
      </c>
      <c r="B508" s="149" t="s">
        <v>1927</v>
      </c>
      <c r="C508" s="149" t="s">
        <v>1928</v>
      </c>
      <c r="D508" s="149" t="s">
        <v>1901</v>
      </c>
      <c r="E508" s="149" t="s">
        <v>837</v>
      </c>
      <c r="F508" s="52"/>
      <c r="G508" s="132">
        <v>360.0</v>
      </c>
      <c r="H508" s="132">
        <v>72.0</v>
      </c>
      <c r="I508" s="132">
        <v>360.0</v>
      </c>
      <c r="J508" s="132">
        <v>4.0</v>
      </c>
      <c r="K508" s="132">
        <v>4.0</v>
      </c>
      <c r="L508" s="144">
        <v>0.0</v>
      </c>
      <c r="M508" s="132" t="s">
        <v>1902</v>
      </c>
      <c r="N508" s="132" t="s">
        <v>172</v>
      </c>
      <c r="O508" s="132" t="s">
        <v>1257</v>
      </c>
      <c r="P508" s="132" t="s">
        <v>29</v>
      </c>
      <c r="Q508" s="159">
        <v>0.0</v>
      </c>
      <c r="R508" s="132"/>
      <c r="S508" s="52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</row>
    <row r="509" ht="14.25" customHeight="1">
      <c r="A509" s="133">
        <v>21.0</v>
      </c>
      <c r="B509" s="149" t="s">
        <v>1929</v>
      </c>
      <c r="C509" s="149" t="s">
        <v>1930</v>
      </c>
      <c r="D509" s="149" t="s">
        <v>1901</v>
      </c>
      <c r="E509" s="149" t="s">
        <v>57</v>
      </c>
      <c r="F509" s="52"/>
      <c r="G509" s="132">
        <v>360.0</v>
      </c>
      <c r="H509" s="132">
        <v>72.0</v>
      </c>
      <c r="I509" s="132">
        <v>360.0</v>
      </c>
      <c r="J509" s="132">
        <v>4.0</v>
      </c>
      <c r="K509" s="132">
        <v>4.0</v>
      </c>
      <c r="L509" s="144">
        <v>0.0</v>
      </c>
      <c r="M509" s="132" t="s">
        <v>1902</v>
      </c>
      <c r="N509" s="132" t="s">
        <v>172</v>
      </c>
      <c r="O509" s="132" t="s">
        <v>1257</v>
      </c>
      <c r="P509" s="132" t="s">
        <v>29</v>
      </c>
      <c r="Q509" s="159">
        <v>0.0</v>
      </c>
      <c r="R509" s="132"/>
      <c r="S509" s="52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</row>
    <row r="510" ht="14.25" customHeight="1">
      <c r="A510" s="133">
        <v>22.0</v>
      </c>
      <c r="B510" s="149" t="s">
        <v>1931</v>
      </c>
      <c r="C510" s="149" t="s">
        <v>1932</v>
      </c>
      <c r="D510" s="149" t="s">
        <v>1901</v>
      </c>
      <c r="E510" s="149" t="s">
        <v>57</v>
      </c>
      <c r="F510" s="52"/>
      <c r="G510" s="132">
        <v>360.0</v>
      </c>
      <c r="H510" s="132">
        <v>72.0</v>
      </c>
      <c r="I510" s="132">
        <v>360.0</v>
      </c>
      <c r="J510" s="132">
        <v>4.0</v>
      </c>
      <c r="K510" s="132">
        <v>4.0</v>
      </c>
      <c r="L510" s="144">
        <v>0.0</v>
      </c>
      <c r="M510" s="132" t="s">
        <v>1902</v>
      </c>
      <c r="N510" s="132" t="s">
        <v>172</v>
      </c>
      <c r="O510" s="132" t="s">
        <v>1257</v>
      </c>
      <c r="P510" s="132" t="s">
        <v>29</v>
      </c>
      <c r="Q510" s="159">
        <v>0.0</v>
      </c>
      <c r="R510" s="132"/>
      <c r="S510" s="52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</row>
    <row r="511" ht="14.25" customHeight="1">
      <c r="A511" s="133">
        <v>23.0</v>
      </c>
      <c r="B511" s="149" t="s">
        <v>1933</v>
      </c>
      <c r="C511" s="149" t="s">
        <v>1932</v>
      </c>
      <c r="D511" s="149" t="s">
        <v>1901</v>
      </c>
      <c r="E511" s="149" t="s">
        <v>837</v>
      </c>
      <c r="F511" s="52"/>
      <c r="G511" s="132">
        <v>56.0</v>
      </c>
      <c r="H511" s="132">
        <v>11.0</v>
      </c>
      <c r="I511" s="132">
        <v>56.0</v>
      </c>
      <c r="J511" s="132">
        <v>1.0</v>
      </c>
      <c r="K511" s="132">
        <v>1.0</v>
      </c>
      <c r="L511" s="144">
        <v>0.0</v>
      </c>
      <c r="M511" s="132" t="s">
        <v>1902</v>
      </c>
      <c r="N511" s="132" t="s">
        <v>172</v>
      </c>
      <c r="O511" s="132" t="s">
        <v>1257</v>
      </c>
      <c r="P511" s="132" t="s">
        <v>29</v>
      </c>
      <c r="Q511" s="159">
        <v>0.0</v>
      </c>
      <c r="R511" s="132"/>
      <c r="S511" s="52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</row>
    <row r="512" ht="14.25" customHeight="1">
      <c r="A512" s="133">
        <v>24.0</v>
      </c>
      <c r="B512" s="149" t="s">
        <v>1934</v>
      </c>
      <c r="C512" s="149" t="s">
        <v>1928</v>
      </c>
      <c r="D512" s="149" t="s">
        <v>1901</v>
      </c>
      <c r="E512" s="149" t="s">
        <v>837</v>
      </c>
      <c r="F512" s="52"/>
      <c r="G512" s="132">
        <v>76.5</v>
      </c>
      <c r="H512" s="132">
        <v>11.0</v>
      </c>
      <c r="I512" s="132">
        <v>76.0</v>
      </c>
      <c r="J512" s="132">
        <v>1.0</v>
      </c>
      <c r="K512" s="132">
        <v>1.0</v>
      </c>
      <c r="L512" s="144">
        <v>0.0</v>
      </c>
      <c r="M512" s="132" t="s">
        <v>1902</v>
      </c>
      <c r="N512" s="132" t="s">
        <v>172</v>
      </c>
      <c r="O512" s="132" t="s">
        <v>1257</v>
      </c>
      <c r="P512" s="132" t="s">
        <v>29</v>
      </c>
      <c r="Q512" s="159">
        <v>0.0</v>
      </c>
      <c r="R512" s="132"/>
      <c r="S512" s="52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</row>
    <row r="513" ht="14.25" customHeight="1">
      <c r="A513" s="133">
        <v>25.0</v>
      </c>
      <c r="B513" s="149" t="s">
        <v>1935</v>
      </c>
      <c r="C513" s="149" t="s">
        <v>1930</v>
      </c>
      <c r="D513" s="149" t="s">
        <v>1901</v>
      </c>
      <c r="E513" s="149" t="s">
        <v>57</v>
      </c>
      <c r="F513" s="52"/>
      <c r="G513" s="132">
        <v>48.0</v>
      </c>
      <c r="H513" s="132">
        <v>10.0</v>
      </c>
      <c r="I513" s="132">
        <v>48.0</v>
      </c>
      <c r="J513" s="132">
        <v>1.0</v>
      </c>
      <c r="K513" s="132">
        <v>1.0</v>
      </c>
      <c r="L513" s="144">
        <v>0.0</v>
      </c>
      <c r="M513" s="132" t="s">
        <v>1902</v>
      </c>
      <c r="N513" s="132" t="s">
        <v>172</v>
      </c>
      <c r="O513" s="132" t="s">
        <v>1257</v>
      </c>
      <c r="P513" s="132" t="s">
        <v>29</v>
      </c>
      <c r="Q513" s="159">
        <v>0.0</v>
      </c>
      <c r="R513" s="132"/>
      <c r="S513" s="52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</row>
    <row r="514" ht="14.25" customHeight="1">
      <c r="A514" s="133">
        <v>26.0</v>
      </c>
      <c r="B514" s="149" t="s">
        <v>1936</v>
      </c>
      <c r="C514" s="149"/>
      <c r="D514" s="149" t="s">
        <v>1901</v>
      </c>
      <c r="E514" s="149" t="s">
        <v>57</v>
      </c>
      <c r="F514" s="52"/>
      <c r="G514" s="132">
        <v>1200.0</v>
      </c>
      <c r="H514" s="132">
        <v>150.0</v>
      </c>
      <c r="I514" s="132">
        <v>608.0</v>
      </c>
      <c r="J514" s="132">
        <v>2.0</v>
      </c>
      <c r="K514" s="132">
        <v>2.0</v>
      </c>
      <c r="L514" s="144">
        <v>0.0</v>
      </c>
      <c r="M514" s="132" t="s">
        <v>1902</v>
      </c>
      <c r="N514" s="132" t="s">
        <v>172</v>
      </c>
      <c r="O514" s="132" t="s">
        <v>1257</v>
      </c>
      <c r="P514" s="132" t="s">
        <v>66</v>
      </c>
      <c r="Q514" s="132">
        <v>30.0</v>
      </c>
      <c r="R514" s="132"/>
      <c r="S514" s="52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  <c r="AD514" s="129"/>
    </row>
    <row r="515" ht="15.75" customHeight="1">
      <c r="A515" s="181"/>
      <c r="B515" s="182" t="s">
        <v>1937</v>
      </c>
      <c r="C515" s="182"/>
      <c r="D515" s="182"/>
      <c r="E515" s="182"/>
      <c r="F515" s="182"/>
      <c r="G515" s="183"/>
      <c r="H515" s="184"/>
      <c r="I515" s="184"/>
      <c r="J515" s="185"/>
      <c r="K515" s="185"/>
      <c r="L515" s="185"/>
      <c r="M515" s="185"/>
      <c r="N515" s="185"/>
      <c r="O515" s="185"/>
      <c r="P515" s="184"/>
      <c r="Q515" s="185"/>
      <c r="R515" s="141"/>
      <c r="S515" s="142"/>
      <c r="T515" s="142"/>
      <c r="U515" s="142"/>
      <c r="V515" s="142"/>
      <c r="W515" s="142"/>
      <c r="X515" s="142"/>
      <c r="Y515" s="142"/>
      <c r="Z515" s="142"/>
      <c r="AA515" s="142"/>
      <c r="AB515" s="142"/>
      <c r="AC515" s="142"/>
      <c r="AD515" s="142"/>
    </row>
    <row r="516" ht="14.25" customHeight="1">
      <c r="A516" s="133">
        <v>1.0</v>
      </c>
      <c r="B516" s="131" t="s">
        <v>1938</v>
      </c>
      <c r="C516" s="131" t="s">
        <v>1939</v>
      </c>
      <c r="D516" s="131" t="s">
        <v>25</v>
      </c>
      <c r="E516" s="131" t="s">
        <v>57</v>
      </c>
      <c r="F516" s="55"/>
      <c r="G516" s="144" t="s">
        <v>28</v>
      </c>
      <c r="H516" s="130">
        <v>6.0</v>
      </c>
      <c r="I516" s="130">
        <v>30.0</v>
      </c>
      <c r="J516" s="130">
        <v>3.0</v>
      </c>
      <c r="K516" s="130">
        <v>3.0</v>
      </c>
      <c r="L516" s="130">
        <v>1.0</v>
      </c>
      <c r="M516" s="130" t="s">
        <v>1940</v>
      </c>
      <c r="N516" s="144" t="s">
        <v>28</v>
      </c>
      <c r="O516" s="130">
        <v>300.0</v>
      </c>
      <c r="P516" s="130" t="s">
        <v>66</v>
      </c>
      <c r="Q516" s="130">
        <v>15.0</v>
      </c>
      <c r="R516" s="132"/>
      <c r="S516" s="52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  <c r="AD516" s="129"/>
    </row>
    <row r="517" ht="14.25" customHeight="1">
      <c r="A517" s="133">
        <v>2.0</v>
      </c>
      <c r="B517" s="131" t="s">
        <v>1941</v>
      </c>
      <c r="C517" s="131" t="s">
        <v>1942</v>
      </c>
      <c r="D517" s="131" t="s">
        <v>25</v>
      </c>
      <c r="E517" s="131" t="s">
        <v>57</v>
      </c>
      <c r="F517" s="55"/>
      <c r="G517" s="144" t="s">
        <v>28</v>
      </c>
      <c r="H517" s="130">
        <v>5.0</v>
      </c>
      <c r="I517" s="130">
        <v>24.0</v>
      </c>
      <c r="J517" s="130">
        <v>8.0</v>
      </c>
      <c r="K517" s="130">
        <v>8.0</v>
      </c>
      <c r="L517" s="130">
        <v>1.0</v>
      </c>
      <c r="M517" s="130" t="s">
        <v>1940</v>
      </c>
      <c r="N517" s="144" t="s">
        <v>28</v>
      </c>
      <c r="O517" s="130">
        <v>200.0</v>
      </c>
      <c r="P517" s="130" t="s">
        <v>66</v>
      </c>
      <c r="Q517" s="130">
        <v>8.0</v>
      </c>
      <c r="R517" s="132"/>
      <c r="S517" s="52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  <c r="AD517" s="129"/>
    </row>
    <row r="518" ht="14.25" customHeight="1">
      <c r="A518" s="133">
        <v>3.0</v>
      </c>
      <c r="B518" s="131" t="s">
        <v>1943</v>
      </c>
      <c r="C518" s="131" t="s">
        <v>1944</v>
      </c>
      <c r="D518" s="131" t="s">
        <v>25</v>
      </c>
      <c r="E518" s="131" t="s">
        <v>57</v>
      </c>
      <c r="F518" s="55"/>
      <c r="G518" s="144" t="s">
        <v>28</v>
      </c>
      <c r="H518" s="130">
        <v>60.0</v>
      </c>
      <c r="I518" s="130">
        <v>250.0</v>
      </c>
      <c r="J518" s="130">
        <v>4.0</v>
      </c>
      <c r="K518" s="130">
        <v>4.0</v>
      </c>
      <c r="L518" s="144" t="s">
        <v>28</v>
      </c>
      <c r="M518" s="130" t="s">
        <v>1940</v>
      </c>
      <c r="N518" s="144" t="s">
        <v>28</v>
      </c>
      <c r="O518" s="130">
        <v>500.0</v>
      </c>
      <c r="P518" s="130" t="s">
        <v>29</v>
      </c>
      <c r="Q518" s="130"/>
      <c r="R518" s="132"/>
      <c r="S518" s="52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  <c r="AD518" s="129"/>
    </row>
    <row r="519" ht="15.75" customHeight="1">
      <c r="A519" s="181"/>
      <c r="B519" s="182" t="s">
        <v>1945</v>
      </c>
      <c r="C519" s="182"/>
      <c r="D519" s="182"/>
      <c r="E519" s="182"/>
      <c r="F519" s="182"/>
      <c r="G519" s="183"/>
      <c r="H519" s="184"/>
      <c r="I519" s="184"/>
      <c r="J519" s="185"/>
      <c r="K519" s="185"/>
      <c r="L519" s="185"/>
      <c r="M519" s="185"/>
      <c r="N519" s="185"/>
      <c r="O519" s="185"/>
      <c r="P519" s="184"/>
      <c r="Q519" s="185"/>
      <c r="R519" s="141"/>
      <c r="S519" s="142"/>
      <c r="T519" s="142"/>
      <c r="U519" s="142"/>
      <c r="V519" s="142"/>
      <c r="W519" s="142"/>
      <c r="X519" s="142"/>
      <c r="Y519" s="142"/>
      <c r="Z519" s="142"/>
      <c r="AA519" s="142"/>
      <c r="AB519" s="142"/>
      <c r="AC519" s="142"/>
      <c r="AD519" s="142"/>
    </row>
    <row r="520" ht="25.5" customHeight="1">
      <c r="A520" s="133">
        <v>1.0</v>
      </c>
      <c r="B520" s="145" t="s">
        <v>1946</v>
      </c>
      <c r="C520" s="145" t="s">
        <v>1947</v>
      </c>
      <c r="D520" s="145" t="s">
        <v>1948</v>
      </c>
      <c r="E520" s="145" t="s">
        <v>57</v>
      </c>
      <c r="F520" s="133"/>
      <c r="G520" s="133">
        <v>352.0</v>
      </c>
      <c r="H520" s="133">
        <v>20.0</v>
      </c>
      <c r="I520" s="133">
        <v>200.0</v>
      </c>
      <c r="J520" s="133">
        <v>7.0</v>
      </c>
      <c r="K520" s="133">
        <v>5.0</v>
      </c>
      <c r="L520" s="133">
        <v>1.0</v>
      </c>
      <c r="M520" s="133" t="s">
        <v>1949</v>
      </c>
      <c r="N520" s="133" t="s">
        <v>59</v>
      </c>
      <c r="O520" s="133">
        <v>50.0</v>
      </c>
      <c r="P520" s="133" t="s">
        <v>29</v>
      </c>
      <c r="Q520" s="133">
        <v>0.0</v>
      </c>
      <c r="R520" s="132"/>
      <c r="S520" s="52"/>
      <c r="T520" s="160"/>
      <c r="U520" s="160"/>
      <c r="V520" s="160"/>
      <c r="W520" s="160"/>
      <c r="X520" s="160"/>
      <c r="Y520" s="160"/>
      <c r="Z520" s="160"/>
      <c r="AA520" s="160"/>
      <c r="AB520" s="160"/>
      <c r="AC520" s="160"/>
      <c r="AD520" s="160"/>
    </row>
    <row r="521" ht="20.25" customHeight="1">
      <c r="A521" s="133">
        <v>3.0</v>
      </c>
      <c r="B521" s="145" t="s">
        <v>1950</v>
      </c>
      <c r="C521" s="145" t="s">
        <v>1951</v>
      </c>
      <c r="D521" s="145" t="s">
        <v>1948</v>
      </c>
      <c r="E521" s="145" t="s">
        <v>57</v>
      </c>
      <c r="F521" s="133"/>
      <c r="G521" s="133">
        <v>4399.0</v>
      </c>
      <c r="H521" s="133">
        <v>6.0</v>
      </c>
      <c r="I521" s="133">
        <v>24.0</v>
      </c>
      <c r="J521" s="133">
        <v>11.0</v>
      </c>
      <c r="K521" s="133">
        <v>11.0</v>
      </c>
      <c r="L521" s="133">
        <v>1.0</v>
      </c>
      <c r="M521" s="133" t="s">
        <v>1949</v>
      </c>
      <c r="N521" s="133" t="s">
        <v>59</v>
      </c>
      <c r="O521" s="133">
        <v>20.0</v>
      </c>
      <c r="P521" s="133" t="s">
        <v>66</v>
      </c>
      <c r="Q521" s="133">
        <v>3.0</v>
      </c>
      <c r="R521" s="132"/>
      <c r="S521" s="52"/>
      <c r="T521" s="160"/>
      <c r="U521" s="160"/>
      <c r="V521" s="160"/>
      <c r="W521" s="160"/>
      <c r="X521" s="160"/>
      <c r="Y521" s="160"/>
      <c r="Z521" s="160"/>
      <c r="AA521" s="160"/>
      <c r="AB521" s="160"/>
      <c r="AC521" s="160"/>
      <c r="AD521" s="160"/>
    </row>
    <row r="522" ht="16.5" customHeight="1">
      <c r="A522" s="133">
        <v>4.0</v>
      </c>
      <c r="B522" s="145" t="s">
        <v>1952</v>
      </c>
      <c r="C522" s="145" t="s">
        <v>1947</v>
      </c>
      <c r="D522" s="145" t="s">
        <v>1948</v>
      </c>
      <c r="E522" s="145" t="s">
        <v>57</v>
      </c>
      <c r="F522" s="133"/>
      <c r="G522" s="133">
        <v>21048.0</v>
      </c>
      <c r="H522" s="133">
        <v>6.0</v>
      </c>
      <c r="I522" s="133">
        <v>50.0</v>
      </c>
      <c r="J522" s="133">
        <v>17.0</v>
      </c>
      <c r="K522" s="133">
        <v>17.0</v>
      </c>
      <c r="L522" s="133">
        <v>1.0</v>
      </c>
      <c r="M522" s="133" t="s">
        <v>1949</v>
      </c>
      <c r="N522" s="133" t="s">
        <v>59</v>
      </c>
      <c r="O522" s="133">
        <v>20.0</v>
      </c>
      <c r="P522" s="133" t="s">
        <v>66</v>
      </c>
      <c r="Q522" s="133">
        <v>6.0</v>
      </c>
      <c r="R522" s="132"/>
      <c r="S522" s="52"/>
      <c r="T522" s="160"/>
      <c r="U522" s="160"/>
      <c r="V522" s="160"/>
      <c r="W522" s="160"/>
      <c r="X522" s="160"/>
      <c r="Y522" s="160"/>
      <c r="Z522" s="160"/>
      <c r="AA522" s="160"/>
      <c r="AB522" s="160"/>
      <c r="AC522" s="160"/>
      <c r="AD522" s="160"/>
    </row>
    <row r="523" ht="25.5" customHeight="1">
      <c r="A523" s="133">
        <v>5.0</v>
      </c>
      <c r="B523" s="145" t="s">
        <v>1714</v>
      </c>
      <c r="C523" s="145" t="s">
        <v>1953</v>
      </c>
      <c r="D523" s="145" t="s">
        <v>1948</v>
      </c>
      <c r="E523" s="145" t="s">
        <v>837</v>
      </c>
      <c r="F523" s="133"/>
      <c r="G523" s="133">
        <v>180.0</v>
      </c>
      <c r="H523" s="133">
        <v>6.0</v>
      </c>
      <c r="I523" s="133">
        <v>70.0</v>
      </c>
      <c r="J523" s="133">
        <v>0.0</v>
      </c>
      <c r="K523" s="133">
        <v>0.0</v>
      </c>
      <c r="L523" s="133">
        <v>3.0</v>
      </c>
      <c r="M523" s="133" t="s">
        <v>1949</v>
      </c>
      <c r="N523" s="133" t="s">
        <v>59</v>
      </c>
      <c r="O523" s="133">
        <v>20.0</v>
      </c>
      <c r="P523" s="133" t="s">
        <v>66</v>
      </c>
      <c r="Q523" s="133">
        <v>0.0</v>
      </c>
      <c r="R523" s="132"/>
      <c r="S523" s="52"/>
      <c r="T523" s="160"/>
      <c r="U523" s="160"/>
      <c r="V523" s="160"/>
      <c r="W523" s="160"/>
      <c r="X523" s="160"/>
      <c r="Y523" s="160"/>
      <c r="Z523" s="160"/>
      <c r="AA523" s="160"/>
      <c r="AB523" s="160"/>
      <c r="AC523" s="160"/>
      <c r="AD523" s="160"/>
    </row>
    <row r="524" ht="19.5" customHeight="1">
      <c r="A524" s="133">
        <v>6.0</v>
      </c>
      <c r="B524" s="145" t="s">
        <v>1954</v>
      </c>
      <c r="C524" s="145" t="s">
        <v>1955</v>
      </c>
      <c r="D524" s="145" t="s">
        <v>1948</v>
      </c>
      <c r="E524" s="145" t="s">
        <v>57</v>
      </c>
      <c r="F524" s="133"/>
      <c r="G524" s="133">
        <v>135.0</v>
      </c>
      <c r="H524" s="133">
        <v>6.0</v>
      </c>
      <c r="I524" s="133">
        <v>50.0</v>
      </c>
      <c r="J524" s="133">
        <v>3.0</v>
      </c>
      <c r="K524" s="133">
        <v>2.0</v>
      </c>
      <c r="L524" s="133">
        <v>1.0</v>
      </c>
      <c r="M524" s="133" t="s">
        <v>1949</v>
      </c>
      <c r="N524" s="133" t="s">
        <v>59</v>
      </c>
      <c r="O524" s="133">
        <v>20.0</v>
      </c>
      <c r="P524" s="133" t="s">
        <v>66</v>
      </c>
      <c r="Q524" s="133">
        <v>0.0</v>
      </c>
      <c r="R524" s="132"/>
      <c r="S524" s="52"/>
      <c r="T524" s="160"/>
      <c r="U524" s="160"/>
      <c r="V524" s="160"/>
      <c r="W524" s="160"/>
      <c r="X524" s="160"/>
      <c r="Y524" s="160"/>
      <c r="Z524" s="160"/>
      <c r="AA524" s="160"/>
      <c r="AB524" s="160"/>
      <c r="AC524" s="160"/>
      <c r="AD524" s="160"/>
    </row>
    <row r="525" ht="19.5" customHeight="1">
      <c r="A525" s="133">
        <v>7.0</v>
      </c>
      <c r="B525" s="145" t="s">
        <v>1956</v>
      </c>
      <c r="C525" s="145" t="s">
        <v>1957</v>
      </c>
      <c r="D525" s="145" t="s">
        <v>1948</v>
      </c>
      <c r="E525" s="145" t="s">
        <v>57</v>
      </c>
      <c r="F525" s="133"/>
      <c r="G525" s="133">
        <v>10000.0</v>
      </c>
      <c r="H525" s="133">
        <v>6.0</v>
      </c>
      <c r="I525" s="133">
        <v>55.0</v>
      </c>
      <c r="J525" s="133">
        <v>10.0</v>
      </c>
      <c r="K525" s="133">
        <v>10.0</v>
      </c>
      <c r="L525" s="133">
        <v>1.0</v>
      </c>
      <c r="M525" s="133" t="s">
        <v>1949</v>
      </c>
      <c r="N525" s="133" t="s">
        <v>59</v>
      </c>
      <c r="O525" s="133">
        <v>20.0</v>
      </c>
      <c r="P525" s="133" t="s">
        <v>66</v>
      </c>
      <c r="Q525" s="133">
        <v>1.0</v>
      </c>
      <c r="R525" s="132"/>
      <c r="S525" s="52"/>
      <c r="T525" s="160"/>
      <c r="U525" s="160"/>
      <c r="V525" s="160"/>
      <c r="W525" s="160"/>
      <c r="X525" s="160"/>
      <c r="Y525" s="160"/>
      <c r="Z525" s="160"/>
      <c r="AA525" s="160"/>
      <c r="AB525" s="160"/>
      <c r="AC525" s="160"/>
      <c r="AD525" s="160"/>
    </row>
    <row r="526" ht="27.0" customHeight="1">
      <c r="A526" s="133">
        <v>8.0</v>
      </c>
      <c r="B526" s="145" t="s">
        <v>1958</v>
      </c>
      <c r="C526" s="145" t="s">
        <v>1959</v>
      </c>
      <c r="D526" s="145" t="s">
        <v>1948</v>
      </c>
      <c r="E526" s="145" t="s">
        <v>57</v>
      </c>
      <c r="F526" s="133"/>
      <c r="G526" s="133">
        <v>80.0</v>
      </c>
      <c r="H526" s="133">
        <v>1.0</v>
      </c>
      <c r="I526" s="133">
        <v>5.0</v>
      </c>
      <c r="J526" s="133">
        <v>1.0</v>
      </c>
      <c r="K526" s="133">
        <v>1.0</v>
      </c>
      <c r="L526" s="133">
        <v>1.0</v>
      </c>
      <c r="M526" s="133" t="s">
        <v>1949</v>
      </c>
      <c r="N526" s="133" t="s">
        <v>59</v>
      </c>
      <c r="O526" s="133">
        <v>10.0</v>
      </c>
      <c r="P526" s="133" t="s">
        <v>66</v>
      </c>
      <c r="Q526" s="133">
        <v>2.0</v>
      </c>
      <c r="R526" s="132"/>
      <c r="S526" s="52"/>
      <c r="T526" s="160"/>
      <c r="U526" s="160"/>
      <c r="V526" s="160"/>
      <c r="W526" s="160"/>
      <c r="X526" s="160"/>
      <c r="Y526" s="160"/>
      <c r="Z526" s="160"/>
      <c r="AA526" s="160"/>
      <c r="AB526" s="160"/>
      <c r="AC526" s="160"/>
      <c r="AD526" s="160"/>
    </row>
    <row r="527" ht="25.5" customHeight="1">
      <c r="A527" s="133">
        <v>9.0</v>
      </c>
      <c r="B527" s="145" t="s">
        <v>1960</v>
      </c>
      <c r="C527" s="145" t="s">
        <v>1955</v>
      </c>
      <c r="D527" s="145" t="s">
        <v>1948</v>
      </c>
      <c r="E527" s="145" t="s">
        <v>57</v>
      </c>
      <c r="F527" s="133"/>
      <c r="G527" s="133">
        <v>48.0</v>
      </c>
      <c r="H527" s="133">
        <v>1.0</v>
      </c>
      <c r="I527" s="133">
        <v>3.0</v>
      </c>
      <c r="J527" s="133">
        <v>1.0</v>
      </c>
      <c r="K527" s="133">
        <v>1.0</v>
      </c>
      <c r="L527" s="133">
        <v>1.0</v>
      </c>
      <c r="M527" s="133" t="s">
        <v>1949</v>
      </c>
      <c r="N527" s="133" t="s">
        <v>59</v>
      </c>
      <c r="O527" s="133">
        <v>10.0</v>
      </c>
      <c r="P527" s="133" t="s">
        <v>66</v>
      </c>
      <c r="Q527" s="133">
        <v>2.0</v>
      </c>
      <c r="R527" s="132"/>
      <c r="S527" s="52"/>
      <c r="T527" s="160"/>
      <c r="U527" s="160"/>
      <c r="V527" s="160"/>
      <c r="W527" s="160"/>
      <c r="X527" s="160"/>
      <c r="Y527" s="160"/>
      <c r="Z527" s="160"/>
      <c r="AA527" s="160"/>
      <c r="AB527" s="160"/>
      <c r="AC527" s="160"/>
      <c r="AD527" s="160"/>
    </row>
    <row r="528" ht="24.0" customHeight="1">
      <c r="A528" s="133">
        <v>10.0</v>
      </c>
      <c r="B528" s="145" t="s">
        <v>1961</v>
      </c>
      <c r="C528" s="145" t="s">
        <v>1953</v>
      </c>
      <c r="D528" s="145" t="s">
        <v>1948</v>
      </c>
      <c r="E528" s="145" t="s">
        <v>57</v>
      </c>
      <c r="F528" s="133"/>
      <c r="G528" s="133">
        <v>87.4</v>
      </c>
      <c r="H528" s="133">
        <v>1.0</v>
      </c>
      <c r="I528" s="133">
        <v>5.0</v>
      </c>
      <c r="J528" s="133">
        <v>1.0</v>
      </c>
      <c r="K528" s="133">
        <v>1.0</v>
      </c>
      <c r="L528" s="133">
        <v>1.0</v>
      </c>
      <c r="M528" s="133" t="s">
        <v>1949</v>
      </c>
      <c r="N528" s="133" t="s">
        <v>59</v>
      </c>
      <c r="O528" s="133">
        <v>10.0</v>
      </c>
      <c r="P528" s="133" t="s">
        <v>66</v>
      </c>
      <c r="Q528" s="133">
        <v>2.0</v>
      </c>
      <c r="R528" s="132"/>
      <c r="S528" s="52"/>
      <c r="T528" s="160"/>
      <c r="U528" s="160"/>
      <c r="V528" s="160"/>
      <c r="W528" s="160"/>
      <c r="X528" s="160"/>
      <c r="Y528" s="160"/>
      <c r="Z528" s="160"/>
      <c r="AA528" s="160"/>
      <c r="AB528" s="160"/>
      <c r="AC528" s="160"/>
      <c r="AD528" s="160"/>
    </row>
    <row r="529" ht="22.5" customHeight="1">
      <c r="A529" s="133">
        <v>11.0</v>
      </c>
      <c r="B529" s="145" t="s">
        <v>1962</v>
      </c>
      <c r="C529" s="145" t="s">
        <v>1963</v>
      </c>
      <c r="D529" s="145" t="s">
        <v>1948</v>
      </c>
      <c r="E529" s="145" t="s">
        <v>57</v>
      </c>
      <c r="F529" s="133"/>
      <c r="G529" s="133">
        <v>37.26</v>
      </c>
      <c r="H529" s="133">
        <v>1.0</v>
      </c>
      <c r="I529" s="133">
        <v>4.0</v>
      </c>
      <c r="J529" s="133">
        <v>1.0</v>
      </c>
      <c r="K529" s="133">
        <v>1.0</v>
      </c>
      <c r="L529" s="133">
        <v>1.0</v>
      </c>
      <c r="M529" s="133" t="s">
        <v>1949</v>
      </c>
      <c r="N529" s="133" t="s">
        <v>59</v>
      </c>
      <c r="O529" s="133">
        <v>10.0</v>
      </c>
      <c r="P529" s="133" t="s">
        <v>66</v>
      </c>
      <c r="Q529" s="133">
        <v>2.0</v>
      </c>
      <c r="R529" s="132"/>
      <c r="S529" s="52"/>
      <c r="T529" s="160"/>
      <c r="U529" s="160"/>
      <c r="V529" s="160"/>
      <c r="W529" s="160"/>
      <c r="X529" s="160"/>
      <c r="Y529" s="160"/>
      <c r="Z529" s="160"/>
      <c r="AA529" s="160"/>
      <c r="AB529" s="160"/>
      <c r="AC529" s="160"/>
      <c r="AD529" s="160"/>
    </row>
    <row r="530" ht="31.5" customHeight="1">
      <c r="A530" s="133">
        <v>12.0</v>
      </c>
      <c r="B530" s="145" t="s">
        <v>1964</v>
      </c>
      <c r="C530" s="145" t="s">
        <v>1957</v>
      </c>
      <c r="D530" s="145" t="s">
        <v>1948</v>
      </c>
      <c r="E530" s="145" t="s">
        <v>57</v>
      </c>
      <c r="F530" s="133"/>
      <c r="G530" s="133">
        <v>62.9</v>
      </c>
      <c r="H530" s="133">
        <v>1.0</v>
      </c>
      <c r="I530" s="133">
        <v>4.0</v>
      </c>
      <c r="J530" s="133">
        <v>1.0</v>
      </c>
      <c r="K530" s="133">
        <v>1.0</v>
      </c>
      <c r="L530" s="133">
        <v>1.0</v>
      </c>
      <c r="M530" s="133" t="s">
        <v>1949</v>
      </c>
      <c r="N530" s="133" t="s">
        <v>59</v>
      </c>
      <c r="O530" s="133">
        <v>10.0</v>
      </c>
      <c r="P530" s="133" t="s">
        <v>66</v>
      </c>
      <c r="Q530" s="133">
        <v>2.0</v>
      </c>
      <c r="R530" s="132"/>
      <c r="S530" s="52"/>
      <c r="T530" s="160"/>
      <c r="U530" s="160"/>
      <c r="V530" s="160"/>
      <c r="W530" s="160"/>
      <c r="X530" s="160"/>
      <c r="Y530" s="160"/>
      <c r="Z530" s="160"/>
      <c r="AA530" s="160"/>
      <c r="AB530" s="160"/>
      <c r="AC530" s="160"/>
      <c r="AD530" s="160"/>
    </row>
    <row r="531" ht="30.0" customHeight="1">
      <c r="A531" s="133">
        <v>13.0</v>
      </c>
      <c r="B531" s="145" t="s">
        <v>1965</v>
      </c>
      <c r="C531" s="145" t="s">
        <v>1966</v>
      </c>
      <c r="D531" s="145" t="s">
        <v>1948</v>
      </c>
      <c r="E531" s="145" t="s">
        <v>57</v>
      </c>
      <c r="F531" s="133"/>
      <c r="G531" s="133">
        <v>80.0</v>
      </c>
      <c r="H531" s="133">
        <v>1.0</v>
      </c>
      <c r="I531" s="133">
        <v>5.0</v>
      </c>
      <c r="J531" s="133">
        <v>1.0</v>
      </c>
      <c r="K531" s="133">
        <v>1.0</v>
      </c>
      <c r="L531" s="133">
        <v>1.0</v>
      </c>
      <c r="M531" s="133" t="s">
        <v>1949</v>
      </c>
      <c r="N531" s="133" t="s">
        <v>59</v>
      </c>
      <c r="O531" s="133">
        <v>10.0</v>
      </c>
      <c r="P531" s="133" t="s">
        <v>66</v>
      </c>
      <c r="Q531" s="133">
        <v>2.0</v>
      </c>
      <c r="R531" s="132"/>
      <c r="S531" s="52"/>
      <c r="T531" s="160"/>
      <c r="U531" s="160"/>
      <c r="V531" s="160"/>
      <c r="W531" s="160"/>
      <c r="X531" s="160"/>
      <c r="Y531" s="160"/>
      <c r="Z531" s="160"/>
      <c r="AA531" s="160"/>
      <c r="AB531" s="160"/>
      <c r="AC531" s="160"/>
      <c r="AD531" s="160"/>
    </row>
    <row r="532" ht="27.0" customHeight="1">
      <c r="A532" s="133">
        <v>14.0</v>
      </c>
      <c r="B532" s="52" t="s">
        <v>1967</v>
      </c>
      <c r="C532" s="145" t="s">
        <v>1968</v>
      </c>
      <c r="D532" s="145" t="s">
        <v>1948</v>
      </c>
      <c r="E532" s="145" t="s">
        <v>57</v>
      </c>
      <c r="F532" s="133"/>
      <c r="G532" s="133">
        <v>56.0</v>
      </c>
      <c r="H532" s="133">
        <v>1.0</v>
      </c>
      <c r="I532" s="133">
        <v>3.0</v>
      </c>
      <c r="J532" s="133">
        <v>1.0</v>
      </c>
      <c r="K532" s="133">
        <v>1.0</v>
      </c>
      <c r="L532" s="133">
        <v>1.0</v>
      </c>
      <c r="M532" s="133" t="s">
        <v>1949</v>
      </c>
      <c r="N532" s="133" t="s">
        <v>59</v>
      </c>
      <c r="O532" s="133">
        <v>10.0</v>
      </c>
      <c r="P532" s="133" t="s">
        <v>66</v>
      </c>
      <c r="Q532" s="133">
        <v>2.0</v>
      </c>
      <c r="R532" s="132"/>
      <c r="S532" s="52"/>
      <c r="T532" s="160"/>
      <c r="U532" s="160"/>
      <c r="V532" s="160"/>
      <c r="W532" s="160"/>
      <c r="X532" s="160"/>
      <c r="Y532" s="160"/>
      <c r="Z532" s="160"/>
      <c r="AA532" s="160"/>
      <c r="AB532" s="160"/>
      <c r="AC532" s="160"/>
      <c r="AD532" s="160"/>
    </row>
    <row r="533" ht="28.5" customHeight="1">
      <c r="A533" s="133">
        <v>15.0</v>
      </c>
      <c r="B533" s="52" t="s">
        <v>1969</v>
      </c>
      <c r="C533" s="145" t="s">
        <v>1970</v>
      </c>
      <c r="D533" s="145" t="s">
        <v>1948</v>
      </c>
      <c r="E533" s="145" t="s">
        <v>57</v>
      </c>
      <c r="F533" s="133"/>
      <c r="G533" s="133">
        <v>48.0</v>
      </c>
      <c r="H533" s="133">
        <v>1.0</v>
      </c>
      <c r="I533" s="133">
        <v>3.0</v>
      </c>
      <c r="J533" s="133">
        <v>1.0</v>
      </c>
      <c r="K533" s="133">
        <v>1.0</v>
      </c>
      <c r="L533" s="133">
        <v>1.0</v>
      </c>
      <c r="M533" s="133" t="s">
        <v>1949</v>
      </c>
      <c r="N533" s="133" t="s">
        <v>59</v>
      </c>
      <c r="O533" s="133">
        <v>10.0</v>
      </c>
      <c r="P533" s="133" t="s">
        <v>66</v>
      </c>
      <c r="Q533" s="133">
        <v>1.0</v>
      </c>
      <c r="R533" s="132"/>
      <c r="S533" s="52"/>
      <c r="T533" s="160"/>
      <c r="U533" s="160"/>
      <c r="V533" s="160"/>
      <c r="W533" s="160"/>
      <c r="X533" s="160"/>
      <c r="Y533" s="160"/>
      <c r="Z533" s="160"/>
      <c r="AA533" s="160"/>
      <c r="AB533" s="160"/>
      <c r="AC533" s="160"/>
      <c r="AD533" s="160"/>
    </row>
    <row r="534" ht="23.25" customHeight="1">
      <c r="A534" s="133">
        <v>16.0</v>
      </c>
      <c r="B534" s="145" t="s">
        <v>1971</v>
      </c>
      <c r="C534" s="145" t="s">
        <v>1972</v>
      </c>
      <c r="D534" s="145" t="s">
        <v>1948</v>
      </c>
      <c r="E534" s="145" t="s">
        <v>57</v>
      </c>
      <c r="F534" s="133"/>
      <c r="G534" s="133">
        <v>56.0</v>
      </c>
      <c r="H534" s="133">
        <v>1.0</v>
      </c>
      <c r="I534" s="133">
        <v>3.0</v>
      </c>
      <c r="J534" s="133">
        <v>1.0</v>
      </c>
      <c r="K534" s="133">
        <v>1.0</v>
      </c>
      <c r="L534" s="133">
        <v>1.0</v>
      </c>
      <c r="M534" s="133" t="s">
        <v>1949</v>
      </c>
      <c r="N534" s="133" t="s">
        <v>59</v>
      </c>
      <c r="O534" s="133">
        <v>10.0</v>
      </c>
      <c r="P534" s="133" t="s">
        <v>66</v>
      </c>
      <c r="Q534" s="133">
        <v>1.0</v>
      </c>
      <c r="R534" s="132"/>
      <c r="S534" s="52"/>
      <c r="T534" s="160"/>
      <c r="U534" s="160"/>
      <c r="V534" s="160"/>
      <c r="W534" s="160"/>
      <c r="X534" s="160"/>
      <c r="Y534" s="160"/>
      <c r="Z534" s="160"/>
      <c r="AA534" s="160"/>
      <c r="AB534" s="160"/>
      <c r="AC534" s="160"/>
      <c r="AD534" s="160"/>
    </row>
    <row r="535" ht="27.75" customHeight="1">
      <c r="A535" s="133">
        <v>17.0</v>
      </c>
      <c r="B535" s="145" t="s">
        <v>1973</v>
      </c>
      <c r="C535" s="145" t="s">
        <v>1974</v>
      </c>
      <c r="D535" s="145" t="s">
        <v>1948</v>
      </c>
      <c r="E535" s="145" t="s">
        <v>57</v>
      </c>
      <c r="F535" s="133"/>
      <c r="G535" s="133">
        <v>56.0</v>
      </c>
      <c r="H535" s="133">
        <v>1.0</v>
      </c>
      <c r="I535" s="133">
        <v>3.0</v>
      </c>
      <c r="J535" s="133">
        <v>1.0</v>
      </c>
      <c r="K535" s="133">
        <v>1.0</v>
      </c>
      <c r="L535" s="133">
        <v>1.0</v>
      </c>
      <c r="M535" s="133" t="s">
        <v>1949</v>
      </c>
      <c r="N535" s="133" t="s">
        <v>59</v>
      </c>
      <c r="O535" s="133">
        <v>10.0</v>
      </c>
      <c r="P535" s="133" t="s">
        <v>66</v>
      </c>
      <c r="Q535" s="133">
        <v>1.0</v>
      </c>
      <c r="R535" s="132"/>
      <c r="S535" s="52"/>
      <c r="T535" s="160"/>
      <c r="U535" s="160"/>
      <c r="V535" s="160"/>
      <c r="W535" s="160"/>
      <c r="X535" s="160"/>
      <c r="Y535" s="160"/>
      <c r="Z535" s="160"/>
      <c r="AA535" s="160"/>
      <c r="AB535" s="160"/>
      <c r="AC535" s="160"/>
      <c r="AD535" s="160"/>
    </row>
    <row r="536" ht="29.25" customHeight="1">
      <c r="A536" s="133">
        <v>18.0</v>
      </c>
      <c r="B536" s="145" t="s">
        <v>1975</v>
      </c>
      <c r="C536" s="145" t="s">
        <v>1951</v>
      </c>
      <c r="D536" s="145" t="s">
        <v>1948</v>
      </c>
      <c r="E536" s="145" t="s">
        <v>57</v>
      </c>
      <c r="F536" s="133"/>
      <c r="G536" s="133">
        <v>180.0</v>
      </c>
      <c r="H536" s="133">
        <v>1.0</v>
      </c>
      <c r="I536" s="133">
        <v>10.0</v>
      </c>
      <c r="J536" s="133">
        <v>1.0</v>
      </c>
      <c r="K536" s="133">
        <v>1.0</v>
      </c>
      <c r="L536" s="133">
        <v>1.0</v>
      </c>
      <c r="M536" s="133" t="s">
        <v>1949</v>
      </c>
      <c r="N536" s="133" t="s">
        <v>59</v>
      </c>
      <c r="O536" s="133">
        <v>10.0</v>
      </c>
      <c r="P536" s="133" t="s">
        <v>66</v>
      </c>
      <c r="Q536" s="133">
        <v>4.0</v>
      </c>
      <c r="R536" s="132"/>
      <c r="S536" s="52"/>
      <c r="T536" s="160"/>
      <c r="U536" s="160"/>
      <c r="V536" s="160"/>
      <c r="W536" s="160"/>
      <c r="X536" s="160"/>
      <c r="Y536" s="160"/>
      <c r="Z536" s="160"/>
      <c r="AA536" s="160"/>
      <c r="AB536" s="160"/>
      <c r="AC536" s="160"/>
      <c r="AD536" s="160"/>
    </row>
    <row r="537" ht="27.0" customHeight="1">
      <c r="A537" s="133">
        <v>19.0</v>
      </c>
      <c r="B537" s="52" t="s">
        <v>1976</v>
      </c>
      <c r="C537" s="52" t="s">
        <v>1977</v>
      </c>
      <c r="D537" s="145" t="s">
        <v>1948</v>
      </c>
      <c r="E537" s="145" t="s">
        <v>57</v>
      </c>
      <c r="F537" s="133"/>
      <c r="G537" s="133">
        <v>113.1</v>
      </c>
      <c r="H537" s="133">
        <v>1.0</v>
      </c>
      <c r="I537" s="133">
        <v>10.0</v>
      </c>
      <c r="J537" s="133">
        <v>1.0</v>
      </c>
      <c r="K537" s="133">
        <v>1.0</v>
      </c>
      <c r="L537" s="133">
        <v>1.0</v>
      </c>
      <c r="M537" s="133" t="s">
        <v>1949</v>
      </c>
      <c r="N537" s="133" t="s">
        <v>59</v>
      </c>
      <c r="O537" s="133">
        <v>10.0</v>
      </c>
      <c r="P537" s="133" t="s">
        <v>66</v>
      </c>
      <c r="Q537" s="133">
        <v>4.0</v>
      </c>
      <c r="R537" s="132"/>
      <c r="S537" s="52"/>
      <c r="T537" s="160"/>
      <c r="U537" s="160"/>
      <c r="V537" s="160"/>
      <c r="W537" s="160"/>
      <c r="X537" s="160"/>
      <c r="Y537" s="160"/>
      <c r="Z537" s="160"/>
      <c r="AA537" s="160"/>
      <c r="AB537" s="160"/>
      <c r="AC537" s="160"/>
      <c r="AD537" s="160"/>
    </row>
    <row r="538" ht="23.25" customHeight="1">
      <c r="A538" s="133">
        <v>20.0</v>
      </c>
      <c r="B538" s="52" t="s">
        <v>1978</v>
      </c>
      <c r="C538" s="145" t="s">
        <v>1979</v>
      </c>
      <c r="D538" s="145" t="s">
        <v>1948</v>
      </c>
      <c r="E538" s="145" t="s">
        <v>57</v>
      </c>
      <c r="F538" s="133"/>
      <c r="G538" s="133">
        <v>60.0</v>
      </c>
      <c r="H538" s="133">
        <v>1.0</v>
      </c>
      <c r="I538" s="133">
        <v>4.0</v>
      </c>
      <c r="J538" s="133">
        <v>1.0</v>
      </c>
      <c r="K538" s="133">
        <v>1.0</v>
      </c>
      <c r="L538" s="133">
        <v>1.0</v>
      </c>
      <c r="M538" s="133" t="s">
        <v>1949</v>
      </c>
      <c r="N538" s="133" t="s">
        <v>59</v>
      </c>
      <c r="O538" s="133">
        <v>10.0</v>
      </c>
      <c r="P538" s="133" t="s">
        <v>66</v>
      </c>
      <c r="Q538" s="133">
        <v>2.0</v>
      </c>
      <c r="R538" s="132"/>
      <c r="S538" s="52"/>
      <c r="T538" s="160"/>
      <c r="U538" s="160"/>
      <c r="V538" s="160"/>
      <c r="W538" s="160"/>
      <c r="X538" s="160"/>
      <c r="Y538" s="160"/>
      <c r="Z538" s="160"/>
      <c r="AA538" s="160"/>
      <c r="AB538" s="160"/>
      <c r="AC538" s="160"/>
      <c r="AD538" s="160"/>
    </row>
    <row r="539" ht="24.75" customHeight="1">
      <c r="A539" s="133">
        <v>21.0</v>
      </c>
      <c r="B539" s="52" t="s">
        <v>1980</v>
      </c>
      <c r="C539" s="145" t="s">
        <v>1981</v>
      </c>
      <c r="D539" s="145" t="s">
        <v>1948</v>
      </c>
      <c r="E539" s="145" t="s">
        <v>57</v>
      </c>
      <c r="F539" s="133"/>
      <c r="G539" s="133">
        <v>81.25</v>
      </c>
      <c r="H539" s="133">
        <v>1.0</v>
      </c>
      <c r="I539" s="133">
        <v>5.0</v>
      </c>
      <c r="J539" s="133">
        <v>1.0</v>
      </c>
      <c r="K539" s="133">
        <v>1.0</v>
      </c>
      <c r="L539" s="133">
        <v>1.0</v>
      </c>
      <c r="M539" s="133" t="s">
        <v>1949</v>
      </c>
      <c r="N539" s="133" t="s">
        <v>59</v>
      </c>
      <c r="O539" s="133">
        <v>10.0</v>
      </c>
      <c r="P539" s="133" t="s">
        <v>66</v>
      </c>
      <c r="Q539" s="133">
        <v>2.0</v>
      </c>
      <c r="R539" s="132"/>
      <c r="S539" s="52"/>
      <c r="T539" s="160"/>
      <c r="U539" s="160"/>
      <c r="V539" s="160"/>
      <c r="W539" s="160"/>
      <c r="X539" s="160"/>
      <c r="Y539" s="160"/>
      <c r="Z539" s="160"/>
      <c r="AA539" s="160"/>
      <c r="AB539" s="160"/>
      <c r="AC539" s="160"/>
      <c r="AD539" s="160"/>
    </row>
    <row r="540" ht="27.0" customHeight="1">
      <c r="A540" s="133">
        <v>22.0</v>
      </c>
      <c r="B540" s="145" t="s">
        <v>1982</v>
      </c>
      <c r="C540" s="145" t="s">
        <v>1983</v>
      </c>
      <c r="D540" s="145" t="s">
        <v>1948</v>
      </c>
      <c r="E540" s="145" t="s">
        <v>57</v>
      </c>
      <c r="F540" s="133"/>
      <c r="G540" s="133">
        <v>35.0</v>
      </c>
      <c r="H540" s="133">
        <v>1.0</v>
      </c>
      <c r="I540" s="133">
        <v>4.0</v>
      </c>
      <c r="J540" s="133">
        <v>1.0</v>
      </c>
      <c r="K540" s="133">
        <v>1.0</v>
      </c>
      <c r="L540" s="133">
        <v>1.0</v>
      </c>
      <c r="M540" s="133" t="s">
        <v>1949</v>
      </c>
      <c r="N540" s="133" t="s">
        <v>59</v>
      </c>
      <c r="O540" s="133">
        <v>10.0</v>
      </c>
      <c r="P540" s="133" t="s">
        <v>66</v>
      </c>
      <c r="Q540" s="133">
        <v>2.0</v>
      </c>
      <c r="R540" s="132"/>
      <c r="S540" s="52"/>
      <c r="T540" s="160"/>
      <c r="U540" s="160"/>
      <c r="V540" s="160"/>
      <c r="W540" s="160"/>
      <c r="X540" s="160"/>
      <c r="Y540" s="160"/>
      <c r="Z540" s="160"/>
      <c r="AA540" s="160"/>
      <c r="AB540" s="160"/>
      <c r="AC540" s="160"/>
      <c r="AD540" s="160"/>
    </row>
    <row r="541" ht="21.75" customHeight="1">
      <c r="A541" s="133">
        <v>23.0</v>
      </c>
      <c r="B541" s="145" t="s">
        <v>1984</v>
      </c>
      <c r="C541" s="145" t="s">
        <v>1953</v>
      </c>
      <c r="D541" s="145" t="s">
        <v>1948</v>
      </c>
      <c r="E541" s="145" t="s">
        <v>57</v>
      </c>
      <c r="F541" s="133"/>
      <c r="G541" s="133">
        <v>51.0</v>
      </c>
      <c r="H541" s="133">
        <v>2.0</v>
      </c>
      <c r="I541" s="133">
        <v>5.0</v>
      </c>
      <c r="J541" s="133">
        <v>1.0</v>
      </c>
      <c r="K541" s="133">
        <v>1.0</v>
      </c>
      <c r="L541" s="133">
        <v>1.0</v>
      </c>
      <c r="M541" s="133" t="s">
        <v>1949</v>
      </c>
      <c r="N541" s="133" t="s">
        <v>59</v>
      </c>
      <c r="O541" s="133">
        <v>10.0</v>
      </c>
      <c r="P541" s="133" t="s">
        <v>66</v>
      </c>
      <c r="Q541" s="133">
        <v>2.0</v>
      </c>
      <c r="R541" s="132"/>
      <c r="S541" s="52"/>
      <c r="T541" s="160"/>
      <c r="U541" s="160"/>
      <c r="V541" s="160"/>
      <c r="W541" s="160"/>
      <c r="X541" s="160"/>
      <c r="Y541" s="160"/>
      <c r="Z541" s="160"/>
      <c r="AA541" s="160"/>
      <c r="AB541" s="160"/>
      <c r="AC541" s="160"/>
      <c r="AD541" s="160"/>
    </row>
    <row r="542" ht="13.5" customHeight="1">
      <c r="A542" s="133">
        <v>24.0</v>
      </c>
      <c r="B542" s="145" t="s">
        <v>1985</v>
      </c>
      <c r="C542" s="145" t="s">
        <v>1951</v>
      </c>
      <c r="D542" s="145" t="s">
        <v>1948</v>
      </c>
      <c r="E542" s="145" t="s">
        <v>57</v>
      </c>
      <c r="F542" s="133"/>
      <c r="G542" s="133">
        <v>137.46</v>
      </c>
      <c r="H542" s="133">
        <v>3.0</v>
      </c>
      <c r="I542" s="133">
        <v>6.0</v>
      </c>
      <c r="J542" s="133">
        <v>1.0</v>
      </c>
      <c r="K542" s="133">
        <v>1.0</v>
      </c>
      <c r="L542" s="133">
        <v>1.0</v>
      </c>
      <c r="M542" s="133" t="s">
        <v>1949</v>
      </c>
      <c r="N542" s="133" t="s">
        <v>59</v>
      </c>
      <c r="O542" s="133">
        <v>10.0</v>
      </c>
      <c r="P542" s="133" t="s">
        <v>66</v>
      </c>
      <c r="Q542" s="133">
        <v>3.0</v>
      </c>
      <c r="R542" s="132"/>
      <c r="S542" s="52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</row>
    <row r="543" ht="19.5" customHeight="1">
      <c r="A543" s="133">
        <v>25.0</v>
      </c>
      <c r="B543" s="52" t="s">
        <v>1986</v>
      </c>
      <c r="C543" s="52" t="s">
        <v>1972</v>
      </c>
      <c r="D543" s="145" t="s">
        <v>1948</v>
      </c>
      <c r="E543" s="145" t="s">
        <v>57</v>
      </c>
      <c r="F543" s="133"/>
      <c r="G543" s="133">
        <v>147.32</v>
      </c>
      <c r="H543" s="133">
        <v>2.0</v>
      </c>
      <c r="I543" s="133">
        <v>4.0</v>
      </c>
      <c r="J543" s="133">
        <v>1.0</v>
      </c>
      <c r="K543" s="133">
        <v>1.0</v>
      </c>
      <c r="L543" s="133">
        <v>1.0</v>
      </c>
      <c r="M543" s="133" t="s">
        <v>1949</v>
      </c>
      <c r="N543" s="133" t="s">
        <v>59</v>
      </c>
      <c r="O543" s="133">
        <v>10.0</v>
      </c>
      <c r="P543" s="133" t="s">
        <v>66</v>
      </c>
      <c r="Q543" s="133">
        <v>3.0</v>
      </c>
      <c r="R543" s="132"/>
      <c r="S543" s="52"/>
      <c r="T543" s="160"/>
      <c r="U543" s="160"/>
      <c r="V543" s="160"/>
      <c r="W543" s="160"/>
      <c r="X543" s="160"/>
      <c r="Y543" s="160"/>
      <c r="Z543" s="160"/>
      <c r="AA543" s="160"/>
      <c r="AB543" s="160"/>
      <c r="AC543" s="160"/>
      <c r="AD543" s="160"/>
    </row>
    <row r="544" ht="15.75" customHeight="1">
      <c r="A544" s="132">
        <v>26.0</v>
      </c>
      <c r="B544" s="149" t="s">
        <v>1987</v>
      </c>
      <c r="C544" s="149" t="s">
        <v>1957</v>
      </c>
      <c r="D544" s="145" t="s">
        <v>1948</v>
      </c>
      <c r="E544" s="145" t="s">
        <v>57</v>
      </c>
      <c r="F544" s="52"/>
      <c r="G544" s="132">
        <v>900.0</v>
      </c>
      <c r="H544" s="132">
        <v>2.0</v>
      </c>
      <c r="I544" s="132">
        <v>5.0</v>
      </c>
      <c r="J544" s="132">
        <v>1.0</v>
      </c>
      <c r="K544" s="132">
        <v>1.0</v>
      </c>
      <c r="L544" s="132">
        <v>1.0</v>
      </c>
      <c r="M544" s="133" t="s">
        <v>1949</v>
      </c>
      <c r="N544" s="133" t="s">
        <v>59</v>
      </c>
      <c r="O544" s="133">
        <v>10.0</v>
      </c>
      <c r="P544" s="133" t="s">
        <v>66</v>
      </c>
      <c r="Q544" s="132">
        <v>2.0</v>
      </c>
      <c r="R544" s="132"/>
      <c r="S544" s="52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</row>
    <row r="545" ht="15.75" customHeight="1">
      <c r="A545" s="132">
        <v>27.0</v>
      </c>
      <c r="B545" s="149" t="s">
        <v>1988</v>
      </c>
      <c r="C545" s="149" t="s">
        <v>1970</v>
      </c>
      <c r="D545" s="145" t="s">
        <v>1948</v>
      </c>
      <c r="E545" s="145" t="s">
        <v>57</v>
      </c>
      <c r="F545" s="52"/>
      <c r="G545" s="132">
        <v>35.0</v>
      </c>
      <c r="H545" s="132">
        <v>1.0</v>
      </c>
      <c r="I545" s="132">
        <v>3.0</v>
      </c>
      <c r="J545" s="132">
        <v>1.0</v>
      </c>
      <c r="K545" s="132">
        <v>1.0</v>
      </c>
      <c r="L545" s="132">
        <v>1.0</v>
      </c>
      <c r="M545" s="133" t="s">
        <v>1949</v>
      </c>
      <c r="N545" s="133" t="s">
        <v>59</v>
      </c>
      <c r="O545" s="133">
        <v>10.0</v>
      </c>
      <c r="P545" s="133" t="s">
        <v>66</v>
      </c>
      <c r="Q545" s="132">
        <v>2.0</v>
      </c>
      <c r="R545" s="132"/>
      <c r="S545" s="52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</row>
    <row r="546" ht="15.75" customHeight="1">
      <c r="A546" s="132">
        <v>28.0</v>
      </c>
      <c r="B546" s="149" t="s">
        <v>1989</v>
      </c>
      <c r="C546" s="149" t="s">
        <v>1981</v>
      </c>
      <c r="D546" s="145" t="s">
        <v>1948</v>
      </c>
      <c r="E546" s="145" t="s">
        <v>57</v>
      </c>
      <c r="F546" s="52"/>
      <c r="G546" s="132">
        <v>95.55</v>
      </c>
      <c r="H546" s="132">
        <v>1.0</v>
      </c>
      <c r="I546" s="132">
        <v>3.0</v>
      </c>
      <c r="J546" s="132">
        <v>1.0</v>
      </c>
      <c r="K546" s="132">
        <v>1.0</v>
      </c>
      <c r="L546" s="132">
        <v>1.0</v>
      </c>
      <c r="M546" s="133" t="s">
        <v>1949</v>
      </c>
      <c r="N546" s="133" t="s">
        <v>59</v>
      </c>
      <c r="O546" s="133">
        <v>10.0</v>
      </c>
      <c r="P546" s="133" t="s">
        <v>66</v>
      </c>
      <c r="Q546" s="132">
        <v>2.0</v>
      </c>
      <c r="R546" s="132"/>
      <c r="S546" s="52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</row>
    <row r="547" ht="15.75" customHeight="1">
      <c r="A547" s="132">
        <v>29.0</v>
      </c>
      <c r="B547" s="149" t="s">
        <v>1990</v>
      </c>
      <c r="C547" s="149" t="s">
        <v>1955</v>
      </c>
      <c r="D547" s="145" t="s">
        <v>1948</v>
      </c>
      <c r="E547" s="145" t="s">
        <v>57</v>
      </c>
      <c r="F547" s="52"/>
      <c r="G547" s="132">
        <v>102.0</v>
      </c>
      <c r="H547" s="132">
        <v>1.0</v>
      </c>
      <c r="I547" s="132">
        <v>3.0</v>
      </c>
      <c r="J547" s="132">
        <v>1.0</v>
      </c>
      <c r="K547" s="132">
        <v>1.0</v>
      </c>
      <c r="L547" s="132">
        <v>1.0</v>
      </c>
      <c r="M547" s="133" t="s">
        <v>1949</v>
      </c>
      <c r="N547" s="133" t="s">
        <v>59</v>
      </c>
      <c r="O547" s="133">
        <v>10.0</v>
      </c>
      <c r="P547" s="133" t="s">
        <v>66</v>
      </c>
      <c r="Q547" s="132">
        <v>2.0</v>
      </c>
      <c r="R547" s="132"/>
      <c r="S547" s="52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</row>
    <row r="548" ht="15.75" customHeight="1">
      <c r="A548" s="181"/>
      <c r="B548" s="182" t="s">
        <v>1991</v>
      </c>
      <c r="C548" s="182"/>
      <c r="D548" s="182"/>
      <c r="E548" s="182"/>
      <c r="F548" s="182"/>
      <c r="G548" s="183"/>
      <c r="H548" s="184"/>
      <c r="I548" s="184"/>
      <c r="J548" s="185"/>
      <c r="K548" s="185"/>
      <c r="L548" s="185"/>
      <c r="M548" s="185"/>
      <c r="N548" s="185"/>
      <c r="O548" s="185"/>
      <c r="P548" s="184"/>
      <c r="Q548" s="185"/>
      <c r="R548" s="141"/>
      <c r="S548" s="142"/>
      <c r="T548" s="142"/>
      <c r="U548" s="142"/>
      <c r="V548" s="142"/>
      <c r="W548" s="142"/>
      <c r="X548" s="142"/>
      <c r="Y548" s="142"/>
      <c r="Z548" s="142"/>
      <c r="AA548" s="142"/>
      <c r="AB548" s="142"/>
      <c r="AC548" s="142"/>
      <c r="AD548" s="142"/>
    </row>
    <row r="549" ht="14.25" customHeight="1">
      <c r="A549" s="133">
        <v>1.0</v>
      </c>
      <c r="B549" s="149" t="s">
        <v>1992</v>
      </c>
      <c r="C549" s="149" t="s">
        <v>1993</v>
      </c>
      <c r="D549" s="131" t="s">
        <v>25</v>
      </c>
      <c r="E549" s="131" t="s">
        <v>57</v>
      </c>
      <c r="F549" s="52"/>
      <c r="G549" s="132" t="s">
        <v>1994</v>
      </c>
      <c r="H549" s="132">
        <v>18.0</v>
      </c>
      <c r="I549" s="132">
        <v>70.0</v>
      </c>
      <c r="J549" s="132">
        <v>2.0</v>
      </c>
      <c r="K549" s="132">
        <v>2.0</v>
      </c>
      <c r="L549" s="132">
        <v>3.0</v>
      </c>
      <c r="M549" s="132" t="s">
        <v>82</v>
      </c>
      <c r="N549" s="144" t="s">
        <v>28</v>
      </c>
      <c r="O549" s="132">
        <v>100.0</v>
      </c>
      <c r="P549" s="132" t="s">
        <v>29</v>
      </c>
      <c r="Q549" s="132"/>
      <c r="R549" s="132"/>
      <c r="S549" s="52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</row>
    <row r="550" ht="14.25" customHeight="1">
      <c r="A550" s="133">
        <v>2.0</v>
      </c>
      <c r="B550" s="149" t="s">
        <v>1995</v>
      </c>
      <c r="C550" s="149" t="s">
        <v>1996</v>
      </c>
      <c r="D550" s="131" t="s">
        <v>25</v>
      </c>
      <c r="E550" s="131" t="s">
        <v>57</v>
      </c>
      <c r="F550" s="52"/>
      <c r="G550" s="132" t="s">
        <v>1997</v>
      </c>
      <c r="H550" s="132">
        <v>8.0</v>
      </c>
      <c r="I550" s="132">
        <v>30.0</v>
      </c>
      <c r="J550" s="132">
        <v>1.0</v>
      </c>
      <c r="K550" s="132">
        <v>1.0</v>
      </c>
      <c r="L550" s="132">
        <v>1.0</v>
      </c>
      <c r="M550" s="132" t="s">
        <v>82</v>
      </c>
      <c r="N550" s="144" t="s">
        <v>28</v>
      </c>
      <c r="O550" s="132">
        <v>50.0</v>
      </c>
      <c r="P550" s="132" t="s">
        <v>29</v>
      </c>
      <c r="Q550" s="132"/>
      <c r="R550" s="132"/>
      <c r="S550" s="52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</row>
    <row r="551" ht="15.75" customHeight="1">
      <c r="A551" s="181"/>
      <c r="B551" s="182" t="s">
        <v>1564</v>
      </c>
      <c r="C551" s="182"/>
      <c r="D551" s="182"/>
      <c r="E551" s="182"/>
      <c r="F551" s="182"/>
      <c r="G551" s="183"/>
      <c r="H551" s="184"/>
      <c r="I551" s="184"/>
      <c r="J551" s="185"/>
      <c r="K551" s="185"/>
      <c r="L551" s="185"/>
      <c r="M551" s="185"/>
      <c r="N551" s="185"/>
      <c r="O551" s="185"/>
      <c r="P551" s="184"/>
      <c r="Q551" s="185"/>
      <c r="R551" s="141"/>
      <c r="S551" s="142"/>
      <c r="T551" s="142"/>
      <c r="U551" s="142"/>
      <c r="V551" s="142"/>
      <c r="W551" s="142"/>
      <c r="X551" s="142"/>
      <c r="Y551" s="142"/>
      <c r="Z551" s="142"/>
      <c r="AA551" s="142"/>
      <c r="AB551" s="142"/>
      <c r="AC551" s="142"/>
      <c r="AD551" s="142"/>
    </row>
    <row r="552" ht="27.0" customHeight="1">
      <c r="A552" s="133">
        <v>1.0</v>
      </c>
      <c r="B552" s="149" t="s">
        <v>1998</v>
      </c>
      <c r="C552" s="149" t="s">
        <v>1999</v>
      </c>
      <c r="D552" s="131" t="s">
        <v>2000</v>
      </c>
      <c r="E552" s="131" t="s">
        <v>2001</v>
      </c>
      <c r="F552" s="52"/>
      <c r="G552" s="133">
        <v>478.0</v>
      </c>
      <c r="H552" s="133" t="s">
        <v>2002</v>
      </c>
      <c r="I552" s="133">
        <v>500.0</v>
      </c>
      <c r="J552" s="133">
        <v>14.0</v>
      </c>
      <c r="K552" s="133">
        <v>12.0</v>
      </c>
      <c r="L552" s="133">
        <v>2.0</v>
      </c>
      <c r="M552" s="130" t="s">
        <v>2003</v>
      </c>
      <c r="N552" s="133" t="s">
        <v>39</v>
      </c>
      <c r="O552" s="133" t="s">
        <v>39</v>
      </c>
      <c r="P552" s="133" t="s">
        <v>66</v>
      </c>
      <c r="Q552" s="133">
        <v>25.0</v>
      </c>
      <c r="R552" s="132"/>
      <c r="S552" s="52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  <c r="AD552" s="129"/>
    </row>
    <row r="553" ht="30.0" customHeight="1">
      <c r="A553" s="133">
        <v>2.0</v>
      </c>
      <c r="B553" s="131" t="s">
        <v>2004</v>
      </c>
      <c r="C553" s="131" t="s">
        <v>2005</v>
      </c>
      <c r="D553" s="131" t="s">
        <v>2000</v>
      </c>
      <c r="E553" s="131" t="s">
        <v>2001</v>
      </c>
      <c r="F553" s="55"/>
      <c r="G553" s="130" t="s">
        <v>2006</v>
      </c>
      <c r="H553" s="130">
        <v>6.0</v>
      </c>
      <c r="I553" s="130">
        <v>20.0</v>
      </c>
      <c r="J553" s="130">
        <v>0.0</v>
      </c>
      <c r="K553" s="130">
        <v>0.0</v>
      </c>
      <c r="L553" s="130">
        <v>1.0</v>
      </c>
      <c r="M553" s="130" t="s">
        <v>2003</v>
      </c>
      <c r="N553" s="130" t="s">
        <v>39</v>
      </c>
      <c r="O553" s="130" t="s">
        <v>39</v>
      </c>
      <c r="P553" s="130" t="s">
        <v>29</v>
      </c>
      <c r="Q553" s="130">
        <v>0.0</v>
      </c>
      <c r="R553" s="132"/>
      <c r="S553" s="52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  <c r="AD553" s="129"/>
    </row>
    <row r="554" ht="26.25" customHeight="1">
      <c r="A554" s="133">
        <v>3.0</v>
      </c>
      <c r="B554" s="131" t="s">
        <v>2007</v>
      </c>
      <c r="C554" s="131" t="s">
        <v>2005</v>
      </c>
      <c r="D554" s="131" t="s">
        <v>2000</v>
      </c>
      <c r="E554" s="131" t="s">
        <v>2001</v>
      </c>
      <c r="F554" s="55"/>
      <c r="G554" s="130" t="s">
        <v>2008</v>
      </c>
      <c r="H554" s="130">
        <v>6.0</v>
      </c>
      <c r="I554" s="130">
        <v>20.0</v>
      </c>
      <c r="J554" s="130">
        <v>1.0</v>
      </c>
      <c r="K554" s="130">
        <v>1.0</v>
      </c>
      <c r="L554" s="130">
        <v>0.0</v>
      </c>
      <c r="M554" s="130" t="s">
        <v>2003</v>
      </c>
      <c r="N554" s="130" t="s">
        <v>39</v>
      </c>
      <c r="O554" s="130" t="s">
        <v>39</v>
      </c>
      <c r="P554" s="130" t="s">
        <v>29</v>
      </c>
      <c r="Q554" s="130">
        <v>0.0</v>
      </c>
      <c r="R554" s="132"/>
      <c r="S554" s="52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  <c r="AD554" s="129"/>
    </row>
    <row r="555" ht="28.5" customHeight="1">
      <c r="A555" s="133">
        <v>4.0</v>
      </c>
      <c r="B555" s="131" t="s">
        <v>2009</v>
      </c>
      <c r="C555" s="131" t="s">
        <v>2005</v>
      </c>
      <c r="D555" s="131" t="s">
        <v>2000</v>
      </c>
      <c r="E555" s="131" t="s">
        <v>2001</v>
      </c>
      <c r="F555" s="55"/>
      <c r="G555" s="130" t="s">
        <v>2010</v>
      </c>
      <c r="H555" s="130">
        <v>3.0</v>
      </c>
      <c r="I555" s="130">
        <v>10.0</v>
      </c>
      <c r="J555" s="130">
        <v>1.0</v>
      </c>
      <c r="K555" s="130">
        <v>1.0</v>
      </c>
      <c r="L555" s="130">
        <v>0.0</v>
      </c>
      <c r="M555" s="130" t="s">
        <v>2003</v>
      </c>
      <c r="N555" s="130" t="s">
        <v>39</v>
      </c>
      <c r="O555" s="130" t="s">
        <v>39</v>
      </c>
      <c r="P555" s="130" t="s">
        <v>66</v>
      </c>
      <c r="Q555" s="130">
        <v>3.0</v>
      </c>
      <c r="R555" s="132"/>
      <c r="S555" s="52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  <c r="AD555" s="129"/>
    </row>
    <row r="556" ht="26.25" customHeight="1">
      <c r="A556" s="133">
        <v>5.0</v>
      </c>
      <c r="B556" s="131" t="s">
        <v>2011</v>
      </c>
      <c r="C556" s="131" t="s">
        <v>2012</v>
      </c>
      <c r="D556" s="131" t="s">
        <v>2000</v>
      </c>
      <c r="E556" s="131" t="s">
        <v>2001</v>
      </c>
      <c r="F556" s="55"/>
      <c r="G556" s="130" t="s">
        <v>2013</v>
      </c>
      <c r="H556" s="130">
        <v>7.0</v>
      </c>
      <c r="I556" s="130">
        <v>30.0</v>
      </c>
      <c r="J556" s="130">
        <v>0.0</v>
      </c>
      <c r="K556" s="130">
        <v>0.0</v>
      </c>
      <c r="L556" s="130">
        <v>1.0</v>
      </c>
      <c r="M556" s="130" t="s">
        <v>2003</v>
      </c>
      <c r="N556" s="130" t="s">
        <v>39</v>
      </c>
      <c r="O556" s="130" t="s">
        <v>39</v>
      </c>
      <c r="P556" s="130" t="s">
        <v>66</v>
      </c>
      <c r="Q556" s="130">
        <v>3.0</v>
      </c>
      <c r="R556" s="132"/>
      <c r="S556" s="52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  <c r="AD556" s="129"/>
    </row>
    <row r="557" ht="25.5" customHeight="1">
      <c r="A557" s="133">
        <v>6.0</v>
      </c>
      <c r="B557" s="131" t="s">
        <v>2014</v>
      </c>
      <c r="C557" s="131" t="s">
        <v>2015</v>
      </c>
      <c r="D557" s="131" t="s">
        <v>2000</v>
      </c>
      <c r="E557" s="131" t="s">
        <v>2001</v>
      </c>
      <c r="F557" s="55"/>
      <c r="G557" s="130" t="s">
        <v>2016</v>
      </c>
      <c r="H557" s="130">
        <v>2.0</v>
      </c>
      <c r="I557" s="130">
        <v>7.0</v>
      </c>
      <c r="J557" s="130">
        <v>0.0</v>
      </c>
      <c r="K557" s="130">
        <v>0.0</v>
      </c>
      <c r="L557" s="130">
        <v>1.0</v>
      </c>
      <c r="M557" s="130" t="s">
        <v>2003</v>
      </c>
      <c r="N557" s="130" t="s">
        <v>39</v>
      </c>
      <c r="O557" s="130" t="s">
        <v>39</v>
      </c>
      <c r="P557" s="130" t="s">
        <v>66</v>
      </c>
      <c r="Q557" s="130">
        <v>3.0</v>
      </c>
      <c r="R557" s="132"/>
      <c r="S557" s="52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  <c r="AD557" s="129"/>
    </row>
    <row r="558" ht="27.75" customHeight="1">
      <c r="A558" s="133">
        <v>7.0</v>
      </c>
      <c r="B558" s="131" t="s">
        <v>2017</v>
      </c>
      <c r="C558" s="131" t="s">
        <v>2012</v>
      </c>
      <c r="D558" s="131" t="s">
        <v>2000</v>
      </c>
      <c r="E558" s="131" t="s">
        <v>2001</v>
      </c>
      <c r="F558" s="55"/>
      <c r="G558" s="130" t="s">
        <v>2018</v>
      </c>
      <c r="H558" s="130">
        <v>6.0</v>
      </c>
      <c r="I558" s="130">
        <v>20.0</v>
      </c>
      <c r="J558" s="130">
        <v>0.0</v>
      </c>
      <c r="K558" s="130">
        <v>0.0</v>
      </c>
      <c r="L558" s="130">
        <v>2.0</v>
      </c>
      <c r="M558" s="130" t="s">
        <v>2003</v>
      </c>
      <c r="N558" s="130" t="s">
        <v>2019</v>
      </c>
      <c r="O558" s="130" t="s">
        <v>39</v>
      </c>
      <c r="P558" s="130" t="s">
        <v>66</v>
      </c>
      <c r="Q558" s="130">
        <v>3.0</v>
      </c>
      <c r="R558" s="132"/>
      <c r="S558" s="52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  <c r="AD558" s="129"/>
    </row>
    <row r="559" ht="26.25" customHeight="1">
      <c r="A559" s="133">
        <v>8.0</v>
      </c>
      <c r="B559" s="131" t="s">
        <v>2020</v>
      </c>
      <c r="C559" s="131" t="s">
        <v>2021</v>
      </c>
      <c r="D559" s="131" t="s">
        <v>2000</v>
      </c>
      <c r="E559" s="131" t="s">
        <v>2001</v>
      </c>
      <c r="F559" s="55"/>
      <c r="G559" s="130" t="s">
        <v>2022</v>
      </c>
      <c r="H559" s="130">
        <v>6.0</v>
      </c>
      <c r="I559" s="130">
        <v>20.0</v>
      </c>
      <c r="J559" s="130">
        <v>0.0</v>
      </c>
      <c r="K559" s="130">
        <v>0.0</v>
      </c>
      <c r="L559" s="130">
        <v>1.0</v>
      </c>
      <c r="M559" s="130" t="s">
        <v>2003</v>
      </c>
      <c r="N559" s="130" t="s">
        <v>39</v>
      </c>
      <c r="O559" s="130" t="s">
        <v>39</v>
      </c>
      <c r="P559" s="130" t="s">
        <v>29</v>
      </c>
      <c r="Q559" s="130">
        <v>0.0</v>
      </c>
      <c r="R559" s="132"/>
      <c r="S559" s="52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  <c r="AD559" s="129"/>
    </row>
    <row r="560" ht="26.25" customHeight="1">
      <c r="A560" s="133">
        <v>9.0</v>
      </c>
      <c r="B560" s="131" t="s">
        <v>2023</v>
      </c>
      <c r="C560" s="131" t="s">
        <v>2021</v>
      </c>
      <c r="D560" s="131" t="s">
        <v>2000</v>
      </c>
      <c r="E560" s="131" t="s">
        <v>2001</v>
      </c>
      <c r="F560" s="55"/>
      <c r="G560" s="130" t="s">
        <v>2024</v>
      </c>
      <c r="H560" s="130">
        <v>6.0</v>
      </c>
      <c r="I560" s="130">
        <v>20.0</v>
      </c>
      <c r="J560" s="130">
        <v>1.0</v>
      </c>
      <c r="K560" s="130">
        <v>1.0</v>
      </c>
      <c r="L560" s="130">
        <v>0.0</v>
      </c>
      <c r="M560" s="130" t="s">
        <v>2003</v>
      </c>
      <c r="N560" s="130" t="s">
        <v>39</v>
      </c>
      <c r="O560" s="130" t="s">
        <v>39</v>
      </c>
      <c r="P560" s="130" t="s">
        <v>66</v>
      </c>
      <c r="Q560" s="130">
        <v>3.0</v>
      </c>
      <c r="R560" s="132"/>
      <c r="S560" s="52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  <c r="AD560" s="129"/>
    </row>
    <row r="561" ht="30.0" customHeight="1">
      <c r="A561" s="133">
        <v>10.0</v>
      </c>
      <c r="B561" s="131" t="s">
        <v>2025</v>
      </c>
      <c r="C561" s="131" t="s">
        <v>2021</v>
      </c>
      <c r="D561" s="131" t="s">
        <v>2000</v>
      </c>
      <c r="E561" s="131" t="s">
        <v>2001</v>
      </c>
      <c r="F561" s="55"/>
      <c r="G561" s="130" t="s">
        <v>2026</v>
      </c>
      <c r="H561" s="130">
        <v>12.0</v>
      </c>
      <c r="I561" s="130">
        <v>48.0</v>
      </c>
      <c r="J561" s="130">
        <v>0.0</v>
      </c>
      <c r="K561" s="130">
        <v>0.0</v>
      </c>
      <c r="L561" s="130">
        <v>1.0</v>
      </c>
      <c r="M561" s="130" t="s">
        <v>2003</v>
      </c>
      <c r="N561" s="130" t="s">
        <v>39</v>
      </c>
      <c r="O561" s="130" t="s">
        <v>39</v>
      </c>
      <c r="P561" s="130" t="s">
        <v>29</v>
      </c>
      <c r="Q561" s="130">
        <v>0.0</v>
      </c>
      <c r="R561" s="132"/>
      <c r="S561" s="52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  <c r="AD561" s="129"/>
    </row>
    <row r="562" ht="26.25" customHeight="1">
      <c r="A562" s="133">
        <v>11.0</v>
      </c>
      <c r="B562" s="131" t="s">
        <v>2027</v>
      </c>
      <c r="C562" s="131" t="s">
        <v>2021</v>
      </c>
      <c r="D562" s="131" t="s">
        <v>2000</v>
      </c>
      <c r="E562" s="131" t="s">
        <v>2001</v>
      </c>
      <c r="F562" s="55"/>
      <c r="G562" s="130">
        <v>67.5</v>
      </c>
      <c r="H562" s="130">
        <v>6.0</v>
      </c>
      <c r="I562" s="130">
        <v>20.0</v>
      </c>
      <c r="J562" s="130">
        <v>0.0</v>
      </c>
      <c r="K562" s="130">
        <v>0.0</v>
      </c>
      <c r="L562" s="130">
        <v>1.0</v>
      </c>
      <c r="M562" s="130" t="s">
        <v>2003</v>
      </c>
      <c r="N562" s="130" t="s">
        <v>39</v>
      </c>
      <c r="O562" s="130" t="s">
        <v>39</v>
      </c>
      <c r="P562" s="130" t="s">
        <v>66</v>
      </c>
      <c r="Q562" s="130">
        <v>3.0</v>
      </c>
      <c r="R562" s="132"/>
      <c r="S562" s="52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  <c r="AD562" s="129"/>
    </row>
    <row r="563" ht="28.5" customHeight="1">
      <c r="A563" s="133">
        <v>12.0</v>
      </c>
      <c r="B563" s="131" t="s">
        <v>2028</v>
      </c>
      <c r="C563" s="131" t="s">
        <v>1999</v>
      </c>
      <c r="D563" s="131" t="s">
        <v>2000</v>
      </c>
      <c r="E563" s="131" t="s">
        <v>2001</v>
      </c>
      <c r="F563" s="55"/>
      <c r="G563" s="130" t="s">
        <v>2029</v>
      </c>
      <c r="H563" s="130">
        <v>7.0</v>
      </c>
      <c r="I563" s="130">
        <v>30.0</v>
      </c>
      <c r="J563" s="130">
        <v>0.0</v>
      </c>
      <c r="K563" s="130">
        <v>0.0</v>
      </c>
      <c r="L563" s="130">
        <v>1.0</v>
      </c>
      <c r="M563" s="130" t="s">
        <v>2003</v>
      </c>
      <c r="N563" s="130" t="s">
        <v>39</v>
      </c>
      <c r="O563" s="130" t="s">
        <v>39</v>
      </c>
      <c r="P563" s="130" t="s">
        <v>66</v>
      </c>
      <c r="Q563" s="130">
        <v>3.0</v>
      </c>
      <c r="R563" s="132"/>
      <c r="S563" s="52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  <c r="AD563" s="129"/>
    </row>
    <row r="564" ht="26.25" customHeight="1">
      <c r="A564" s="133">
        <v>13.0</v>
      </c>
      <c r="B564" s="131" t="s">
        <v>2030</v>
      </c>
      <c r="C564" s="131" t="s">
        <v>1999</v>
      </c>
      <c r="D564" s="131" t="s">
        <v>2000</v>
      </c>
      <c r="E564" s="131" t="s">
        <v>2001</v>
      </c>
      <c r="F564" s="55"/>
      <c r="G564" s="130" t="s">
        <v>2031</v>
      </c>
      <c r="H564" s="130">
        <v>7.0</v>
      </c>
      <c r="I564" s="130">
        <v>23.0</v>
      </c>
      <c r="J564" s="130">
        <v>1.0</v>
      </c>
      <c r="K564" s="130">
        <v>1.0</v>
      </c>
      <c r="L564" s="130">
        <v>0.0</v>
      </c>
      <c r="M564" s="130" t="s">
        <v>2003</v>
      </c>
      <c r="N564" s="144" t="s">
        <v>28</v>
      </c>
      <c r="O564" s="144" t="s">
        <v>28</v>
      </c>
      <c r="P564" s="130" t="s">
        <v>29</v>
      </c>
      <c r="Q564" s="130"/>
      <c r="R564" s="132"/>
      <c r="S564" s="52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  <c r="AD564" s="129"/>
    </row>
    <row r="565" ht="26.25" customHeight="1">
      <c r="A565" s="133">
        <v>14.0</v>
      </c>
      <c r="B565" s="131" t="s">
        <v>2032</v>
      </c>
      <c r="C565" s="131" t="s">
        <v>1999</v>
      </c>
      <c r="D565" s="131" t="s">
        <v>2000</v>
      </c>
      <c r="E565" s="131" t="s">
        <v>2001</v>
      </c>
      <c r="F565" s="55"/>
      <c r="G565" s="130" t="s">
        <v>2033</v>
      </c>
      <c r="H565" s="130">
        <v>6.0</v>
      </c>
      <c r="I565" s="130">
        <v>20.0</v>
      </c>
      <c r="J565" s="130">
        <v>0.0</v>
      </c>
      <c r="K565" s="130">
        <v>0.0</v>
      </c>
      <c r="L565" s="130">
        <v>1.0</v>
      </c>
      <c r="M565" s="130" t="s">
        <v>2003</v>
      </c>
      <c r="N565" s="144" t="s">
        <v>28</v>
      </c>
      <c r="O565" s="144" t="s">
        <v>28</v>
      </c>
      <c r="P565" s="130" t="s">
        <v>66</v>
      </c>
      <c r="Q565" s="130">
        <v>3.0</v>
      </c>
      <c r="R565" s="132"/>
      <c r="S565" s="52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  <c r="AD565" s="129"/>
    </row>
    <row r="566" ht="26.25" customHeight="1">
      <c r="A566" s="133">
        <v>15.0</v>
      </c>
      <c r="B566" s="131" t="s">
        <v>2034</v>
      </c>
      <c r="C566" s="131" t="s">
        <v>2035</v>
      </c>
      <c r="D566" s="131" t="s">
        <v>2000</v>
      </c>
      <c r="E566" s="131" t="s">
        <v>2036</v>
      </c>
      <c r="F566" s="55"/>
      <c r="G566" s="130" t="s">
        <v>2037</v>
      </c>
      <c r="H566" s="130">
        <v>7.0</v>
      </c>
      <c r="I566" s="130">
        <v>23.0</v>
      </c>
      <c r="J566" s="130">
        <v>0.0</v>
      </c>
      <c r="K566" s="130">
        <v>0.0</v>
      </c>
      <c r="L566" s="130">
        <v>1.0</v>
      </c>
      <c r="M566" s="130" t="s">
        <v>2003</v>
      </c>
      <c r="N566" s="130" t="s">
        <v>39</v>
      </c>
      <c r="O566" s="130" t="s">
        <v>39</v>
      </c>
      <c r="P566" s="130" t="s">
        <v>66</v>
      </c>
      <c r="Q566" s="130">
        <v>3.0</v>
      </c>
      <c r="R566" s="132"/>
      <c r="S566" s="52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  <c r="AD566" s="129"/>
    </row>
    <row r="567" ht="26.25" customHeight="1">
      <c r="A567" s="133">
        <v>16.0</v>
      </c>
      <c r="B567" s="131" t="s">
        <v>2038</v>
      </c>
      <c r="C567" s="131" t="s">
        <v>2039</v>
      </c>
      <c r="D567" s="131" t="s">
        <v>2000</v>
      </c>
      <c r="E567" s="131" t="s">
        <v>2036</v>
      </c>
      <c r="F567" s="55"/>
      <c r="G567" s="130" t="s">
        <v>2040</v>
      </c>
      <c r="H567" s="130">
        <v>6.0</v>
      </c>
      <c r="I567" s="130">
        <v>20.0</v>
      </c>
      <c r="J567" s="130">
        <v>0.0</v>
      </c>
      <c r="K567" s="130">
        <v>0.0</v>
      </c>
      <c r="L567" s="130">
        <v>1.0</v>
      </c>
      <c r="M567" s="130" t="s">
        <v>2003</v>
      </c>
      <c r="N567" s="130" t="s">
        <v>39</v>
      </c>
      <c r="O567" s="130" t="s">
        <v>39</v>
      </c>
      <c r="P567" s="130" t="s">
        <v>29</v>
      </c>
      <c r="Q567" s="130">
        <v>0.0</v>
      </c>
      <c r="R567" s="132"/>
      <c r="S567" s="52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  <c r="AD567" s="129"/>
    </row>
    <row r="568" ht="27.0" customHeight="1">
      <c r="A568" s="133">
        <v>17.0</v>
      </c>
      <c r="B568" s="131" t="s">
        <v>2041</v>
      </c>
      <c r="C568" s="131" t="s">
        <v>2039</v>
      </c>
      <c r="D568" s="131" t="s">
        <v>2000</v>
      </c>
      <c r="E568" s="131" t="s">
        <v>2036</v>
      </c>
      <c r="F568" s="55"/>
      <c r="G568" s="130" t="s">
        <v>2042</v>
      </c>
      <c r="H568" s="130">
        <v>6.0</v>
      </c>
      <c r="I568" s="130">
        <v>20.0</v>
      </c>
      <c r="J568" s="130">
        <v>0.0</v>
      </c>
      <c r="K568" s="130">
        <v>0.0</v>
      </c>
      <c r="L568" s="130">
        <v>1.0</v>
      </c>
      <c r="M568" s="130" t="s">
        <v>2003</v>
      </c>
      <c r="N568" s="144" t="s">
        <v>28</v>
      </c>
      <c r="O568" s="144" t="s">
        <v>28</v>
      </c>
      <c r="P568" s="130" t="s">
        <v>29</v>
      </c>
      <c r="Q568" s="130"/>
      <c r="R568" s="132"/>
      <c r="S568" s="52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  <c r="AD568" s="129"/>
    </row>
    <row r="569" ht="30.75" customHeight="1">
      <c r="A569" s="133">
        <v>18.0</v>
      </c>
      <c r="B569" s="131" t="s">
        <v>2043</v>
      </c>
      <c r="C569" s="131" t="s">
        <v>2044</v>
      </c>
      <c r="D569" s="131" t="s">
        <v>2000</v>
      </c>
      <c r="E569" s="131" t="s">
        <v>2036</v>
      </c>
      <c r="F569" s="55"/>
      <c r="G569" s="130" t="s">
        <v>2045</v>
      </c>
      <c r="H569" s="130">
        <v>15.0</v>
      </c>
      <c r="I569" s="130">
        <v>60.0</v>
      </c>
      <c r="J569" s="130">
        <v>0.0</v>
      </c>
      <c r="K569" s="130">
        <v>0.0</v>
      </c>
      <c r="L569" s="130">
        <v>1.0</v>
      </c>
      <c r="M569" s="130" t="s">
        <v>2003</v>
      </c>
      <c r="N569" s="130" t="s">
        <v>39</v>
      </c>
      <c r="O569" s="130" t="s">
        <v>39</v>
      </c>
      <c r="P569" s="130" t="s">
        <v>29</v>
      </c>
      <c r="Q569" s="130"/>
      <c r="R569" s="132"/>
      <c r="S569" s="52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  <c r="AD569" s="129"/>
    </row>
    <row r="570" ht="28.5" customHeight="1">
      <c r="A570" s="133">
        <v>19.0</v>
      </c>
      <c r="B570" s="131" t="s">
        <v>2046</v>
      </c>
      <c r="C570" s="131" t="s">
        <v>2047</v>
      </c>
      <c r="D570" s="131" t="s">
        <v>2000</v>
      </c>
      <c r="E570" s="131" t="s">
        <v>2036</v>
      </c>
      <c r="F570" s="55"/>
      <c r="G570" s="130" t="s">
        <v>2048</v>
      </c>
      <c r="H570" s="130">
        <v>3.0</v>
      </c>
      <c r="I570" s="130">
        <v>20.0</v>
      </c>
      <c r="J570" s="130">
        <v>0.0</v>
      </c>
      <c r="K570" s="130">
        <v>0.0</v>
      </c>
      <c r="L570" s="130">
        <v>1.0</v>
      </c>
      <c r="M570" s="130" t="s">
        <v>2003</v>
      </c>
      <c r="N570" s="130" t="s">
        <v>39</v>
      </c>
      <c r="O570" s="130" t="s">
        <v>39</v>
      </c>
      <c r="P570" s="130" t="s">
        <v>66</v>
      </c>
      <c r="Q570" s="130">
        <v>3.0</v>
      </c>
      <c r="R570" s="132"/>
      <c r="S570" s="52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  <c r="AD570" s="129"/>
    </row>
    <row r="571" ht="27.75" customHeight="1">
      <c r="A571" s="133">
        <v>20.0</v>
      </c>
      <c r="B571" s="131" t="s">
        <v>2049</v>
      </c>
      <c r="C571" s="131" t="s">
        <v>2047</v>
      </c>
      <c r="D571" s="131" t="s">
        <v>2000</v>
      </c>
      <c r="E571" s="131" t="s">
        <v>2036</v>
      </c>
      <c r="F571" s="55"/>
      <c r="G571" s="130" t="s">
        <v>1250</v>
      </c>
      <c r="H571" s="130">
        <v>12.0</v>
      </c>
      <c r="I571" s="130">
        <v>48.0</v>
      </c>
      <c r="J571" s="130">
        <v>0.0</v>
      </c>
      <c r="K571" s="130">
        <v>0.0</v>
      </c>
      <c r="L571" s="130">
        <v>1.0</v>
      </c>
      <c r="M571" s="130" t="s">
        <v>2003</v>
      </c>
      <c r="N571" s="144" t="s">
        <v>28</v>
      </c>
      <c r="O571" s="144" t="s">
        <v>28</v>
      </c>
      <c r="P571" s="130" t="s">
        <v>29</v>
      </c>
      <c r="Q571" s="130"/>
      <c r="R571" s="132"/>
      <c r="S571" s="52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  <c r="AD571" s="129"/>
    </row>
    <row r="572" ht="27.75" customHeight="1">
      <c r="A572" s="133">
        <v>21.0</v>
      </c>
      <c r="B572" s="131" t="s">
        <v>2050</v>
      </c>
      <c r="C572" s="131" t="s">
        <v>2051</v>
      </c>
      <c r="D572" s="131" t="s">
        <v>2000</v>
      </c>
      <c r="E572" s="131" t="s">
        <v>2036</v>
      </c>
      <c r="F572" s="55"/>
      <c r="G572" s="130" t="s">
        <v>2052</v>
      </c>
      <c r="H572" s="130">
        <v>12.0</v>
      </c>
      <c r="I572" s="130">
        <v>48.0</v>
      </c>
      <c r="J572" s="130">
        <v>0.0</v>
      </c>
      <c r="K572" s="130">
        <v>0.0</v>
      </c>
      <c r="L572" s="130">
        <v>1.0</v>
      </c>
      <c r="M572" s="130" t="s">
        <v>2003</v>
      </c>
      <c r="N572" s="130" t="s">
        <v>39</v>
      </c>
      <c r="O572" s="130" t="s">
        <v>39</v>
      </c>
      <c r="P572" s="130" t="s">
        <v>29</v>
      </c>
      <c r="Q572" s="130">
        <v>0.0</v>
      </c>
      <c r="R572" s="132"/>
      <c r="S572" s="52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  <c r="AD572" s="129"/>
    </row>
    <row r="573" ht="28.5" customHeight="1">
      <c r="A573" s="133">
        <v>22.0</v>
      </c>
      <c r="B573" s="131" t="s">
        <v>2053</v>
      </c>
      <c r="C573" s="131" t="s">
        <v>2054</v>
      </c>
      <c r="D573" s="131" t="s">
        <v>2000</v>
      </c>
      <c r="E573" s="131" t="s">
        <v>2036</v>
      </c>
      <c r="F573" s="55"/>
      <c r="G573" s="130" t="s">
        <v>2055</v>
      </c>
      <c r="H573" s="130">
        <v>6.0</v>
      </c>
      <c r="I573" s="130">
        <v>20.0</v>
      </c>
      <c r="J573" s="130">
        <v>1.0</v>
      </c>
      <c r="K573" s="130">
        <v>1.0</v>
      </c>
      <c r="L573" s="130">
        <v>0.0</v>
      </c>
      <c r="M573" s="130" t="s">
        <v>2003</v>
      </c>
      <c r="N573" s="144" t="s">
        <v>28</v>
      </c>
      <c r="O573" s="144" t="s">
        <v>28</v>
      </c>
      <c r="P573" s="130" t="s">
        <v>29</v>
      </c>
      <c r="Q573" s="130"/>
      <c r="R573" s="132"/>
      <c r="S573" s="52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  <c r="AD573" s="129"/>
    </row>
    <row r="574" ht="28.5" customHeight="1">
      <c r="A574" s="133">
        <v>23.0</v>
      </c>
      <c r="B574" s="131" t="s">
        <v>2056</v>
      </c>
      <c r="C574" s="131" t="s">
        <v>2054</v>
      </c>
      <c r="D574" s="131" t="s">
        <v>2000</v>
      </c>
      <c r="E574" s="131" t="s">
        <v>2036</v>
      </c>
      <c r="F574" s="55"/>
      <c r="G574" s="130" t="s">
        <v>2057</v>
      </c>
      <c r="H574" s="130">
        <v>6.0</v>
      </c>
      <c r="I574" s="130">
        <v>20.0</v>
      </c>
      <c r="J574" s="130">
        <v>1.0</v>
      </c>
      <c r="K574" s="130">
        <v>1.0</v>
      </c>
      <c r="L574" s="130">
        <v>0.0</v>
      </c>
      <c r="M574" s="130" t="s">
        <v>2003</v>
      </c>
      <c r="N574" s="144" t="s">
        <v>28</v>
      </c>
      <c r="O574" s="144" t="s">
        <v>28</v>
      </c>
      <c r="P574" s="130" t="s">
        <v>29</v>
      </c>
      <c r="Q574" s="130"/>
      <c r="R574" s="132"/>
      <c r="S574" s="52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  <c r="AD574" s="129"/>
    </row>
    <row r="575" ht="28.5" customHeight="1">
      <c r="A575" s="133">
        <v>24.0</v>
      </c>
      <c r="B575" s="131" t="s">
        <v>2058</v>
      </c>
      <c r="C575" s="131" t="s">
        <v>2054</v>
      </c>
      <c r="D575" s="131" t="s">
        <v>2000</v>
      </c>
      <c r="E575" s="131" t="s">
        <v>2036</v>
      </c>
      <c r="F575" s="55"/>
      <c r="G575" s="130" t="s">
        <v>2057</v>
      </c>
      <c r="H575" s="130">
        <v>6.0</v>
      </c>
      <c r="I575" s="130">
        <v>20.0</v>
      </c>
      <c r="J575" s="130">
        <v>1.0</v>
      </c>
      <c r="K575" s="130">
        <v>1.0</v>
      </c>
      <c r="L575" s="130">
        <v>0.0</v>
      </c>
      <c r="M575" s="130" t="s">
        <v>2003</v>
      </c>
      <c r="N575" s="144" t="s">
        <v>28</v>
      </c>
      <c r="O575" s="144" t="s">
        <v>28</v>
      </c>
      <c r="P575" s="130" t="s">
        <v>29</v>
      </c>
      <c r="Q575" s="130"/>
      <c r="R575" s="132"/>
      <c r="S575" s="52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  <c r="AD575" s="129"/>
    </row>
    <row r="576" ht="28.5" customHeight="1">
      <c r="A576" s="133">
        <v>25.0</v>
      </c>
      <c r="B576" s="131" t="s">
        <v>2059</v>
      </c>
      <c r="C576" s="131" t="s">
        <v>2054</v>
      </c>
      <c r="D576" s="131" t="s">
        <v>2000</v>
      </c>
      <c r="E576" s="131" t="s">
        <v>2036</v>
      </c>
      <c r="F576" s="55"/>
      <c r="G576" s="130" t="s">
        <v>2060</v>
      </c>
      <c r="H576" s="130">
        <v>7.0</v>
      </c>
      <c r="I576" s="130">
        <v>23.0</v>
      </c>
      <c r="J576" s="130">
        <v>0.0</v>
      </c>
      <c r="K576" s="130">
        <v>0.0</v>
      </c>
      <c r="L576" s="130">
        <v>1.0</v>
      </c>
      <c r="M576" s="130" t="s">
        <v>2003</v>
      </c>
      <c r="N576" s="144" t="s">
        <v>28</v>
      </c>
      <c r="O576" s="144" t="s">
        <v>28</v>
      </c>
      <c r="P576" s="130" t="s">
        <v>29</v>
      </c>
      <c r="Q576" s="130"/>
      <c r="R576" s="132"/>
      <c r="S576" s="52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</row>
    <row r="577" ht="28.5" customHeight="1">
      <c r="A577" s="133">
        <v>26.0</v>
      </c>
      <c r="B577" s="131" t="s">
        <v>2061</v>
      </c>
      <c r="C577" s="131" t="s">
        <v>2054</v>
      </c>
      <c r="D577" s="131" t="s">
        <v>2000</v>
      </c>
      <c r="E577" s="131" t="s">
        <v>2036</v>
      </c>
      <c r="F577" s="55"/>
      <c r="G577" s="130" t="s">
        <v>2029</v>
      </c>
      <c r="H577" s="130">
        <v>15.0</v>
      </c>
      <c r="I577" s="130">
        <v>48.0</v>
      </c>
      <c r="J577" s="130">
        <v>0.0</v>
      </c>
      <c r="K577" s="130">
        <v>0.0</v>
      </c>
      <c r="L577" s="130">
        <v>1.0</v>
      </c>
      <c r="M577" s="130" t="s">
        <v>2003</v>
      </c>
      <c r="N577" s="130" t="s">
        <v>39</v>
      </c>
      <c r="O577" s="130" t="s">
        <v>39</v>
      </c>
      <c r="P577" s="130" t="s">
        <v>66</v>
      </c>
      <c r="Q577" s="130">
        <v>6.0</v>
      </c>
      <c r="R577" s="132"/>
      <c r="S577" s="52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</row>
    <row r="578" ht="15.75" customHeight="1">
      <c r="A578" s="181"/>
      <c r="B578" s="182" t="s">
        <v>2062</v>
      </c>
      <c r="C578" s="182"/>
      <c r="D578" s="182"/>
      <c r="E578" s="182"/>
      <c r="F578" s="182"/>
      <c r="G578" s="183"/>
      <c r="H578" s="184"/>
      <c r="I578" s="184"/>
      <c r="J578" s="185"/>
      <c r="K578" s="185"/>
      <c r="L578" s="185"/>
      <c r="M578" s="185"/>
      <c r="N578" s="185"/>
      <c r="O578" s="185"/>
      <c r="P578" s="184"/>
      <c r="Q578" s="185"/>
      <c r="R578" s="141"/>
      <c r="S578" s="142"/>
      <c r="T578" s="142"/>
      <c r="U578" s="142"/>
      <c r="V578" s="142"/>
      <c r="W578" s="142"/>
      <c r="X578" s="142"/>
      <c r="Y578" s="142"/>
      <c r="Z578" s="142"/>
      <c r="AA578" s="142"/>
      <c r="AB578" s="142"/>
      <c r="AC578" s="142"/>
      <c r="AD578" s="142"/>
    </row>
    <row r="579" ht="14.25" customHeight="1">
      <c r="A579" s="130">
        <v>1.0</v>
      </c>
      <c r="B579" s="131" t="s">
        <v>2063</v>
      </c>
      <c r="C579" s="131" t="s">
        <v>2064</v>
      </c>
      <c r="D579" s="131" t="s">
        <v>25</v>
      </c>
      <c r="E579" s="131" t="s">
        <v>57</v>
      </c>
      <c r="F579" s="55"/>
      <c r="G579" s="130">
        <v>499.27</v>
      </c>
      <c r="H579" s="130">
        <v>10.0</v>
      </c>
      <c r="I579" s="130">
        <v>30.0</v>
      </c>
      <c r="J579" s="130">
        <v>2.0</v>
      </c>
      <c r="K579" s="130">
        <v>2.0</v>
      </c>
      <c r="L579" s="130">
        <v>1.0</v>
      </c>
      <c r="M579" s="130" t="s">
        <v>66</v>
      </c>
      <c r="N579" s="130" t="s">
        <v>39</v>
      </c>
      <c r="O579" s="130">
        <v>10.0</v>
      </c>
      <c r="P579" s="130" t="s">
        <v>29</v>
      </c>
      <c r="Q579" s="130">
        <v>30.0</v>
      </c>
      <c r="R579" s="132"/>
      <c r="S579" s="52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</row>
    <row r="580" ht="14.25" customHeight="1">
      <c r="A580" s="130">
        <v>2.0</v>
      </c>
      <c r="B580" s="131" t="s">
        <v>2065</v>
      </c>
      <c r="C580" s="131" t="s">
        <v>2066</v>
      </c>
      <c r="D580" s="131" t="s">
        <v>25</v>
      </c>
      <c r="E580" s="131" t="s">
        <v>57</v>
      </c>
      <c r="F580" s="55"/>
      <c r="G580" s="130">
        <v>400.21</v>
      </c>
      <c r="H580" s="130">
        <v>10.0</v>
      </c>
      <c r="I580" s="130">
        <v>30.0</v>
      </c>
      <c r="J580" s="130">
        <v>1.0</v>
      </c>
      <c r="K580" s="130">
        <v>1.0</v>
      </c>
      <c r="L580" s="130">
        <v>1.0</v>
      </c>
      <c r="M580" s="130" t="s">
        <v>66</v>
      </c>
      <c r="N580" s="130" t="s">
        <v>39</v>
      </c>
      <c r="O580" s="130">
        <v>10.0</v>
      </c>
      <c r="P580" s="130" t="s">
        <v>29</v>
      </c>
      <c r="Q580" s="130">
        <v>30.0</v>
      </c>
      <c r="R580" s="132"/>
      <c r="S580" s="52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</row>
    <row r="581" ht="14.25" customHeight="1">
      <c r="A581" s="130">
        <v>3.0</v>
      </c>
      <c r="B581" s="131" t="s">
        <v>2067</v>
      </c>
      <c r="C581" s="131" t="s">
        <v>2066</v>
      </c>
      <c r="D581" s="131" t="s">
        <v>25</v>
      </c>
      <c r="E581" s="131" t="s">
        <v>57</v>
      </c>
      <c r="F581" s="55"/>
      <c r="G581" s="130">
        <v>400.21</v>
      </c>
      <c r="H581" s="130">
        <v>10.0</v>
      </c>
      <c r="I581" s="130">
        <v>30.0</v>
      </c>
      <c r="J581" s="130">
        <v>1.0</v>
      </c>
      <c r="K581" s="130">
        <v>1.0</v>
      </c>
      <c r="L581" s="130" t="s">
        <v>39</v>
      </c>
      <c r="M581" s="130" t="s">
        <v>66</v>
      </c>
      <c r="N581" s="130" t="s">
        <v>39</v>
      </c>
      <c r="O581" s="130">
        <v>10.0</v>
      </c>
      <c r="P581" s="130" t="s">
        <v>29</v>
      </c>
      <c r="Q581" s="130">
        <v>30.0</v>
      </c>
      <c r="R581" s="132"/>
      <c r="S581" s="52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</row>
    <row r="582" ht="14.25" customHeight="1">
      <c r="A582" s="130">
        <v>4.0</v>
      </c>
      <c r="B582" s="131" t="s">
        <v>1260</v>
      </c>
      <c r="C582" s="131" t="s">
        <v>2068</v>
      </c>
      <c r="D582" s="131" t="s">
        <v>25</v>
      </c>
      <c r="E582" s="131" t="s">
        <v>57</v>
      </c>
      <c r="F582" s="55"/>
      <c r="G582" s="130">
        <v>400.21</v>
      </c>
      <c r="H582" s="130">
        <v>10.0</v>
      </c>
      <c r="I582" s="130">
        <v>30.0</v>
      </c>
      <c r="J582" s="130">
        <v>1.0</v>
      </c>
      <c r="K582" s="130">
        <v>1.0</v>
      </c>
      <c r="L582" s="130">
        <v>2.0</v>
      </c>
      <c r="M582" s="130" t="s">
        <v>66</v>
      </c>
      <c r="N582" s="130" t="s">
        <v>39</v>
      </c>
      <c r="O582" s="130">
        <v>10.0</v>
      </c>
      <c r="P582" s="130" t="s">
        <v>66</v>
      </c>
      <c r="Q582" s="130">
        <v>30.0</v>
      </c>
      <c r="R582" s="132"/>
      <c r="S582" s="52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</row>
    <row r="583" ht="14.25" customHeight="1">
      <c r="A583" s="130">
        <v>5.0</v>
      </c>
      <c r="B583" s="131" t="s">
        <v>2069</v>
      </c>
      <c r="C583" s="131" t="s">
        <v>2070</v>
      </c>
      <c r="D583" s="131" t="s">
        <v>25</v>
      </c>
      <c r="E583" s="131" t="s">
        <v>57</v>
      </c>
      <c r="F583" s="55"/>
      <c r="G583" s="192">
        <v>1209.35</v>
      </c>
      <c r="H583" s="130">
        <v>5.0</v>
      </c>
      <c r="I583" s="130">
        <v>15.0</v>
      </c>
      <c r="J583" s="130">
        <v>2.0</v>
      </c>
      <c r="K583" s="130">
        <v>2.0</v>
      </c>
      <c r="L583" s="130">
        <v>1.0</v>
      </c>
      <c r="M583" s="130" t="s">
        <v>66</v>
      </c>
      <c r="N583" s="130" t="s">
        <v>39</v>
      </c>
      <c r="O583" s="130">
        <v>5.0</v>
      </c>
      <c r="P583" s="130" t="s">
        <v>29</v>
      </c>
      <c r="Q583" s="130">
        <v>15.0</v>
      </c>
      <c r="R583" s="132"/>
      <c r="S583" s="52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</row>
    <row r="584" ht="14.25" customHeight="1">
      <c r="A584" s="130">
        <v>6.0</v>
      </c>
      <c r="B584" s="131" t="s">
        <v>2071</v>
      </c>
      <c r="C584" s="131" t="s">
        <v>2066</v>
      </c>
      <c r="D584" s="131" t="s">
        <v>25</v>
      </c>
      <c r="E584" s="131" t="s">
        <v>57</v>
      </c>
      <c r="F584" s="55"/>
      <c r="G584" s="130" t="s">
        <v>39</v>
      </c>
      <c r="H584" s="130">
        <v>50.0</v>
      </c>
      <c r="I584" s="130">
        <v>200.0</v>
      </c>
      <c r="J584" s="130">
        <v>2.0</v>
      </c>
      <c r="K584" s="130">
        <v>2.0</v>
      </c>
      <c r="L584" s="130" t="s">
        <v>39</v>
      </c>
      <c r="M584" s="130" t="s">
        <v>66</v>
      </c>
      <c r="N584" s="130" t="s">
        <v>39</v>
      </c>
      <c r="O584" s="130">
        <v>50.0</v>
      </c>
      <c r="P584" s="130" t="s">
        <v>29</v>
      </c>
      <c r="Q584" s="130">
        <v>200.0</v>
      </c>
      <c r="R584" s="132"/>
      <c r="S584" s="52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</row>
    <row r="585" ht="14.25" customHeight="1">
      <c r="A585" s="130">
        <v>7.0</v>
      </c>
      <c r="B585" s="131" t="s">
        <v>2072</v>
      </c>
      <c r="C585" s="131" t="s">
        <v>2070</v>
      </c>
      <c r="D585" s="131" t="s">
        <v>25</v>
      </c>
      <c r="E585" s="131" t="s">
        <v>57</v>
      </c>
      <c r="F585" s="55"/>
      <c r="G585" s="130" t="s">
        <v>39</v>
      </c>
      <c r="H585" s="130">
        <v>10.0</v>
      </c>
      <c r="I585" s="130">
        <v>30.0</v>
      </c>
      <c r="J585" s="130" t="s">
        <v>39</v>
      </c>
      <c r="K585" s="130" t="s">
        <v>39</v>
      </c>
      <c r="L585" s="130">
        <v>1.0</v>
      </c>
      <c r="M585" s="130" t="s">
        <v>66</v>
      </c>
      <c r="N585" s="130" t="s">
        <v>39</v>
      </c>
      <c r="O585" s="130">
        <v>10.0</v>
      </c>
      <c r="P585" s="130" t="s">
        <v>66</v>
      </c>
      <c r="Q585" s="130">
        <v>30.0</v>
      </c>
      <c r="R585" s="132"/>
      <c r="S585" s="52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</row>
    <row r="586" ht="14.25" customHeight="1">
      <c r="A586" s="130">
        <v>8.0</v>
      </c>
      <c r="B586" s="131" t="s">
        <v>2073</v>
      </c>
      <c r="C586" s="131" t="s">
        <v>2074</v>
      </c>
      <c r="D586" s="131" t="s">
        <v>25</v>
      </c>
      <c r="E586" s="131" t="s">
        <v>57</v>
      </c>
      <c r="F586" s="55"/>
      <c r="G586" s="130" t="s">
        <v>39</v>
      </c>
      <c r="H586" s="130">
        <v>50.0</v>
      </c>
      <c r="I586" s="130">
        <v>200.0</v>
      </c>
      <c r="J586" s="130">
        <v>2.0</v>
      </c>
      <c r="K586" s="130">
        <v>2.0</v>
      </c>
      <c r="L586" s="130">
        <v>2.0</v>
      </c>
      <c r="M586" s="130" t="s">
        <v>66</v>
      </c>
      <c r="N586" s="130" t="s">
        <v>39</v>
      </c>
      <c r="O586" s="130">
        <v>50.0</v>
      </c>
      <c r="P586" s="130" t="s">
        <v>29</v>
      </c>
      <c r="Q586" s="130">
        <v>200.0</v>
      </c>
      <c r="R586" s="132"/>
      <c r="S586" s="52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</row>
    <row r="587" ht="14.25" customHeight="1">
      <c r="A587" s="130">
        <v>9.0</v>
      </c>
      <c r="B587" s="131" t="s">
        <v>2075</v>
      </c>
      <c r="C587" s="131" t="s">
        <v>2070</v>
      </c>
      <c r="D587" s="131" t="s">
        <v>25</v>
      </c>
      <c r="E587" s="131" t="s">
        <v>57</v>
      </c>
      <c r="F587" s="55"/>
      <c r="G587" s="130">
        <v>328.98</v>
      </c>
      <c r="H587" s="130">
        <v>5.0</v>
      </c>
      <c r="I587" s="130">
        <v>15.0</v>
      </c>
      <c r="J587" s="130" t="s">
        <v>39</v>
      </c>
      <c r="K587" s="130" t="s">
        <v>39</v>
      </c>
      <c r="L587" s="130">
        <v>2.0</v>
      </c>
      <c r="M587" s="130" t="s">
        <v>66</v>
      </c>
      <c r="N587" s="130" t="s">
        <v>39</v>
      </c>
      <c r="O587" s="130">
        <v>5.0</v>
      </c>
      <c r="P587" s="130" t="s">
        <v>29</v>
      </c>
      <c r="Q587" s="130">
        <v>15.0</v>
      </c>
      <c r="R587" s="132"/>
      <c r="S587" s="52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</row>
    <row r="588" ht="14.25" customHeight="1">
      <c r="A588" s="133">
        <v>10.0</v>
      </c>
      <c r="B588" s="149" t="s">
        <v>2076</v>
      </c>
      <c r="C588" s="149" t="s">
        <v>2066</v>
      </c>
      <c r="D588" s="131" t="s">
        <v>25</v>
      </c>
      <c r="E588" s="131" t="s">
        <v>57</v>
      </c>
      <c r="F588" s="52"/>
      <c r="G588" s="132" t="s">
        <v>2077</v>
      </c>
      <c r="H588" s="132">
        <v>4.0</v>
      </c>
      <c r="I588" s="132">
        <v>15.0</v>
      </c>
      <c r="J588" s="132">
        <v>3.0</v>
      </c>
      <c r="K588" s="132">
        <v>3.0</v>
      </c>
      <c r="L588" s="144" t="s">
        <v>28</v>
      </c>
      <c r="M588" s="132" t="s">
        <v>66</v>
      </c>
      <c r="N588" s="151" t="s">
        <v>28</v>
      </c>
      <c r="O588" s="130">
        <v>5.0</v>
      </c>
      <c r="P588" s="132" t="s">
        <v>66</v>
      </c>
      <c r="Q588" s="132">
        <v>15.0</v>
      </c>
      <c r="R588" s="132"/>
      <c r="S588" s="52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</row>
    <row r="589" ht="14.25" customHeight="1">
      <c r="A589" s="133">
        <v>11.0</v>
      </c>
      <c r="B589" s="149" t="s">
        <v>2078</v>
      </c>
      <c r="C589" s="149" t="s">
        <v>2079</v>
      </c>
      <c r="D589" s="131" t="s">
        <v>25</v>
      </c>
      <c r="E589" s="131" t="s">
        <v>57</v>
      </c>
      <c r="F589" s="52"/>
      <c r="G589" s="132">
        <v>874.0</v>
      </c>
      <c r="H589" s="132">
        <v>10.0</v>
      </c>
      <c r="I589" s="132">
        <v>50.0</v>
      </c>
      <c r="J589" s="132">
        <v>2.0</v>
      </c>
      <c r="K589" s="132">
        <v>2.0</v>
      </c>
      <c r="L589" s="144" t="s">
        <v>28</v>
      </c>
      <c r="M589" s="132" t="s">
        <v>66</v>
      </c>
      <c r="N589" s="151" t="s">
        <v>28</v>
      </c>
      <c r="O589" s="132">
        <v>4.0</v>
      </c>
      <c r="P589" s="132" t="s">
        <v>66</v>
      </c>
      <c r="Q589" s="132">
        <v>50.0</v>
      </c>
      <c r="R589" s="132"/>
      <c r="S589" s="52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</row>
    <row r="590" ht="14.25" customHeight="1">
      <c r="A590" s="133">
        <v>12.0</v>
      </c>
      <c r="B590" s="149" t="s">
        <v>2080</v>
      </c>
      <c r="C590" s="149" t="s">
        <v>2081</v>
      </c>
      <c r="D590" s="131" t="s">
        <v>25</v>
      </c>
      <c r="E590" s="131" t="s">
        <v>57</v>
      </c>
      <c r="F590" s="52"/>
      <c r="G590" s="132" t="s">
        <v>2082</v>
      </c>
      <c r="H590" s="132">
        <v>5.0</v>
      </c>
      <c r="I590" s="132">
        <v>25.0</v>
      </c>
      <c r="J590" s="151" t="s">
        <v>28</v>
      </c>
      <c r="K590" s="151" t="s">
        <v>28</v>
      </c>
      <c r="L590" s="132">
        <v>4.0</v>
      </c>
      <c r="M590" s="132" t="s">
        <v>66</v>
      </c>
      <c r="N590" s="151" t="s">
        <v>28</v>
      </c>
      <c r="O590" s="132">
        <v>10.0</v>
      </c>
      <c r="P590" s="132" t="s">
        <v>66</v>
      </c>
      <c r="Q590" s="132">
        <v>25.0</v>
      </c>
      <c r="R590" s="132"/>
      <c r="S590" s="52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  <c r="AD590" s="129"/>
    </row>
    <row r="591" ht="15.75" customHeight="1">
      <c r="A591" s="181"/>
      <c r="B591" s="182" t="s">
        <v>2083</v>
      </c>
      <c r="C591" s="182"/>
      <c r="D591" s="182"/>
      <c r="E591" s="182"/>
      <c r="F591" s="182"/>
      <c r="G591" s="183"/>
      <c r="H591" s="184"/>
      <c r="I591" s="184"/>
      <c r="J591" s="185"/>
      <c r="K591" s="185"/>
      <c r="L591" s="185"/>
      <c r="M591" s="185"/>
      <c r="N591" s="185"/>
      <c r="O591" s="185"/>
      <c r="P591" s="184"/>
      <c r="Q591" s="185"/>
      <c r="R591" s="141"/>
      <c r="S591" s="142"/>
      <c r="T591" s="142"/>
      <c r="U591" s="142"/>
      <c r="V591" s="142"/>
      <c r="W591" s="142"/>
      <c r="X591" s="142"/>
      <c r="Y591" s="142"/>
      <c r="Z591" s="142"/>
      <c r="AA591" s="142"/>
      <c r="AB591" s="142"/>
      <c r="AC591" s="142"/>
      <c r="AD591" s="142"/>
    </row>
    <row r="592" ht="14.25" customHeight="1">
      <c r="A592" s="133">
        <v>1.0</v>
      </c>
      <c r="B592" s="149" t="s">
        <v>43</v>
      </c>
      <c r="C592" s="149" t="s">
        <v>2084</v>
      </c>
      <c r="D592" s="131" t="s">
        <v>25</v>
      </c>
      <c r="E592" s="131" t="s">
        <v>57</v>
      </c>
      <c r="F592" s="52"/>
      <c r="G592" s="132">
        <v>630.0</v>
      </c>
      <c r="H592" s="132">
        <v>75.0</v>
      </c>
      <c r="I592" s="132">
        <v>300.0</v>
      </c>
      <c r="J592" s="132">
        <v>2.0</v>
      </c>
      <c r="K592" s="132">
        <v>2.0</v>
      </c>
      <c r="L592" s="132">
        <v>1.0</v>
      </c>
      <c r="M592" s="132" t="s">
        <v>2085</v>
      </c>
      <c r="N592" s="144" t="s">
        <v>28</v>
      </c>
      <c r="O592" s="132">
        <v>500.0</v>
      </c>
      <c r="P592" s="132" t="s">
        <v>66</v>
      </c>
      <c r="Q592" s="132">
        <v>21.0</v>
      </c>
      <c r="R592" s="189">
        <v>44616.0</v>
      </c>
      <c r="S592" s="52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  <c r="AD592" s="129"/>
    </row>
    <row r="593" ht="14.25" customHeight="1">
      <c r="A593" s="133">
        <v>2.0</v>
      </c>
      <c r="B593" s="149" t="s">
        <v>288</v>
      </c>
      <c r="C593" s="149" t="s">
        <v>2084</v>
      </c>
      <c r="D593" s="131" t="s">
        <v>25</v>
      </c>
      <c r="E593" s="131" t="s">
        <v>57</v>
      </c>
      <c r="F593" s="52"/>
      <c r="G593" s="132">
        <v>462.0</v>
      </c>
      <c r="H593" s="132">
        <v>16.0</v>
      </c>
      <c r="I593" s="132">
        <v>80.0</v>
      </c>
      <c r="J593" s="132">
        <v>3.0</v>
      </c>
      <c r="K593" s="132">
        <v>3.0</v>
      </c>
      <c r="L593" s="132">
        <v>2.0</v>
      </c>
      <c r="M593" s="132" t="s">
        <v>2085</v>
      </c>
      <c r="N593" s="144" t="s">
        <v>28</v>
      </c>
      <c r="O593" s="132">
        <v>200.0</v>
      </c>
      <c r="P593" s="132" t="s">
        <v>29</v>
      </c>
      <c r="Q593" s="132" t="s">
        <v>39</v>
      </c>
      <c r="R593" s="132"/>
      <c r="S593" s="52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  <c r="AD593" s="129"/>
    </row>
    <row r="594" ht="14.25" customHeight="1">
      <c r="A594" s="133">
        <v>3.0</v>
      </c>
      <c r="B594" s="149" t="s">
        <v>1078</v>
      </c>
      <c r="C594" s="149" t="s">
        <v>2084</v>
      </c>
      <c r="D594" s="131" t="s">
        <v>25</v>
      </c>
      <c r="E594" s="131" t="s">
        <v>57</v>
      </c>
      <c r="F594" s="52"/>
      <c r="G594" s="132">
        <v>672.0</v>
      </c>
      <c r="H594" s="132">
        <v>80.0</v>
      </c>
      <c r="I594" s="132">
        <v>400.0</v>
      </c>
      <c r="J594" s="132">
        <v>1.0</v>
      </c>
      <c r="K594" s="132">
        <v>1.0</v>
      </c>
      <c r="L594" s="144" t="s">
        <v>28</v>
      </c>
      <c r="M594" s="132" t="s">
        <v>2085</v>
      </c>
      <c r="N594" s="144" t="s">
        <v>28</v>
      </c>
      <c r="O594" s="132">
        <v>200.0</v>
      </c>
      <c r="P594" s="132" t="s">
        <v>29</v>
      </c>
      <c r="Q594" s="132" t="s">
        <v>39</v>
      </c>
      <c r="R594" s="132"/>
      <c r="S594" s="52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  <c r="AD594" s="129"/>
    </row>
    <row r="595" ht="14.25" customHeight="1">
      <c r="A595" s="133">
        <v>4.0</v>
      </c>
      <c r="B595" s="149" t="s">
        <v>2086</v>
      </c>
      <c r="C595" s="149" t="s">
        <v>2084</v>
      </c>
      <c r="D595" s="131" t="s">
        <v>25</v>
      </c>
      <c r="E595" s="131" t="s">
        <v>57</v>
      </c>
      <c r="F595" s="52"/>
      <c r="G595" s="132">
        <v>398.0</v>
      </c>
      <c r="H595" s="132">
        <v>30.0</v>
      </c>
      <c r="I595" s="132">
        <v>150.0</v>
      </c>
      <c r="J595" s="144" t="s">
        <v>28</v>
      </c>
      <c r="K595" s="144" t="s">
        <v>28</v>
      </c>
      <c r="L595" s="132">
        <v>1.0</v>
      </c>
      <c r="M595" s="132" t="s">
        <v>2085</v>
      </c>
      <c r="N595" s="144" t="s">
        <v>28</v>
      </c>
      <c r="O595" s="132">
        <v>100.0</v>
      </c>
      <c r="P595" s="132" t="s">
        <v>66</v>
      </c>
      <c r="Q595" s="132">
        <v>10.0</v>
      </c>
      <c r="R595" s="132"/>
      <c r="S595" s="52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  <c r="AD595" s="129"/>
    </row>
    <row r="596" ht="14.25" customHeight="1">
      <c r="A596" s="133">
        <v>5.0</v>
      </c>
      <c r="B596" s="149" t="s">
        <v>2087</v>
      </c>
      <c r="C596" s="149" t="s">
        <v>2088</v>
      </c>
      <c r="D596" s="131" t="s">
        <v>25</v>
      </c>
      <c r="E596" s="131" t="s">
        <v>57</v>
      </c>
      <c r="F596" s="52"/>
      <c r="G596" s="144" t="s">
        <v>28</v>
      </c>
      <c r="H596" s="132">
        <v>30.0</v>
      </c>
      <c r="I596" s="132">
        <v>150.0</v>
      </c>
      <c r="J596" s="132">
        <v>1.0</v>
      </c>
      <c r="K596" s="132">
        <v>1.0</v>
      </c>
      <c r="L596" s="132">
        <v>1.0</v>
      </c>
      <c r="M596" s="132" t="s">
        <v>2085</v>
      </c>
      <c r="N596" s="144" t="s">
        <v>28</v>
      </c>
      <c r="O596" s="132" t="s">
        <v>39</v>
      </c>
      <c r="P596" s="132" t="s">
        <v>29</v>
      </c>
      <c r="Q596" s="132" t="s">
        <v>39</v>
      </c>
      <c r="R596" s="132"/>
      <c r="S596" s="52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  <c r="AD596" s="129"/>
    </row>
    <row r="597" ht="14.25" customHeight="1">
      <c r="A597" s="133">
        <v>6.0</v>
      </c>
      <c r="B597" s="149" t="s">
        <v>2089</v>
      </c>
      <c r="C597" s="149" t="s">
        <v>2084</v>
      </c>
      <c r="D597" s="131" t="s">
        <v>25</v>
      </c>
      <c r="E597" s="131" t="s">
        <v>57</v>
      </c>
      <c r="F597" s="52"/>
      <c r="G597" s="144" t="s">
        <v>28</v>
      </c>
      <c r="H597" s="132">
        <v>50.0</v>
      </c>
      <c r="I597" s="132">
        <v>250.0</v>
      </c>
      <c r="J597" s="132">
        <v>1.0</v>
      </c>
      <c r="K597" s="132">
        <v>1.0</v>
      </c>
      <c r="L597" s="132">
        <v>1.0</v>
      </c>
      <c r="M597" s="132" t="s">
        <v>2085</v>
      </c>
      <c r="N597" s="144" t="s">
        <v>28</v>
      </c>
      <c r="O597" s="132" t="s">
        <v>39</v>
      </c>
      <c r="P597" s="132" t="s">
        <v>66</v>
      </c>
      <c r="Q597" s="132">
        <v>15.0</v>
      </c>
      <c r="R597" s="132"/>
      <c r="S597" s="52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  <c r="AD597" s="129"/>
    </row>
    <row r="598" ht="14.25" customHeight="1">
      <c r="A598" s="133">
        <v>7.0</v>
      </c>
      <c r="B598" s="149" t="s">
        <v>2090</v>
      </c>
      <c r="C598" s="149" t="s">
        <v>2091</v>
      </c>
      <c r="D598" s="131" t="s">
        <v>25</v>
      </c>
      <c r="E598" s="131" t="s">
        <v>57</v>
      </c>
      <c r="F598" s="52"/>
      <c r="G598" s="144" t="s">
        <v>28</v>
      </c>
      <c r="H598" s="132">
        <v>50.0</v>
      </c>
      <c r="I598" s="132">
        <v>250.0</v>
      </c>
      <c r="J598" s="132">
        <v>1.0</v>
      </c>
      <c r="K598" s="132">
        <v>1.0</v>
      </c>
      <c r="L598" s="132">
        <v>1.0</v>
      </c>
      <c r="M598" s="132" t="s">
        <v>2085</v>
      </c>
      <c r="N598" s="144" t="s">
        <v>28</v>
      </c>
      <c r="O598" s="132" t="s">
        <v>39</v>
      </c>
      <c r="P598" s="132" t="s">
        <v>29</v>
      </c>
      <c r="Q598" s="132" t="s">
        <v>39</v>
      </c>
      <c r="R598" s="132"/>
      <c r="S598" s="52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  <c r="AD598" s="129"/>
    </row>
    <row r="599" ht="14.25" customHeight="1">
      <c r="A599" s="133">
        <v>8.0</v>
      </c>
      <c r="B599" s="149" t="s">
        <v>2092</v>
      </c>
      <c r="C599" s="149" t="s">
        <v>2091</v>
      </c>
      <c r="D599" s="131" t="s">
        <v>25</v>
      </c>
      <c r="E599" s="131" t="s">
        <v>57</v>
      </c>
      <c r="F599" s="52"/>
      <c r="G599" s="144" t="s">
        <v>28</v>
      </c>
      <c r="H599" s="132">
        <v>50.0</v>
      </c>
      <c r="I599" s="132">
        <v>250.0</v>
      </c>
      <c r="J599" s="132">
        <v>1.0</v>
      </c>
      <c r="K599" s="132">
        <v>1.0</v>
      </c>
      <c r="L599" s="132">
        <v>1.0</v>
      </c>
      <c r="M599" s="132" t="s">
        <v>2085</v>
      </c>
      <c r="N599" s="144" t="s">
        <v>28</v>
      </c>
      <c r="O599" s="132" t="s">
        <v>39</v>
      </c>
      <c r="P599" s="132" t="s">
        <v>29</v>
      </c>
      <c r="Q599" s="132" t="s">
        <v>39</v>
      </c>
      <c r="R599" s="132"/>
      <c r="S599" s="52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  <c r="AD599" s="129"/>
    </row>
    <row r="600" ht="14.25" customHeight="1">
      <c r="A600" s="133">
        <v>9.0</v>
      </c>
      <c r="B600" s="149" t="s">
        <v>2093</v>
      </c>
      <c r="C600" s="149" t="s">
        <v>2094</v>
      </c>
      <c r="D600" s="131" t="s">
        <v>25</v>
      </c>
      <c r="E600" s="131" t="s">
        <v>57</v>
      </c>
      <c r="F600" s="52"/>
      <c r="G600" s="144" t="s">
        <v>28</v>
      </c>
      <c r="H600" s="132">
        <v>30.0</v>
      </c>
      <c r="I600" s="132">
        <v>150.0</v>
      </c>
      <c r="J600" s="132">
        <v>1.0</v>
      </c>
      <c r="K600" s="132">
        <v>1.0</v>
      </c>
      <c r="L600" s="132">
        <v>1.0</v>
      </c>
      <c r="M600" s="132" t="s">
        <v>2085</v>
      </c>
      <c r="N600" s="144" t="s">
        <v>28</v>
      </c>
      <c r="O600" s="132" t="s">
        <v>39</v>
      </c>
      <c r="P600" s="132" t="s">
        <v>29</v>
      </c>
      <c r="Q600" s="132" t="s">
        <v>39</v>
      </c>
      <c r="R600" s="132"/>
      <c r="S600" s="52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  <c r="AD600" s="129"/>
    </row>
    <row r="601" ht="14.25" customHeight="1">
      <c r="A601" s="133">
        <v>10.0</v>
      </c>
      <c r="B601" s="149" t="s">
        <v>2095</v>
      </c>
      <c r="C601" s="149" t="s">
        <v>2084</v>
      </c>
      <c r="D601" s="131" t="s">
        <v>25</v>
      </c>
      <c r="E601" s="131" t="s">
        <v>57</v>
      </c>
      <c r="F601" s="52"/>
      <c r="G601" s="144" t="s">
        <v>28</v>
      </c>
      <c r="H601" s="132">
        <v>20.0</v>
      </c>
      <c r="I601" s="132">
        <v>100.0</v>
      </c>
      <c r="J601" s="132">
        <v>1.0</v>
      </c>
      <c r="K601" s="132">
        <v>1.0</v>
      </c>
      <c r="L601" s="132">
        <v>1.0</v>
      </c>
      <c r="M601" s="132" t="s">
        <v>2085</v>
      </c>
      <c r="N601" s="144" t="s">
        <v>28</v>
      </c>
      <c r="O601" s="132" t="s">
        <v>39</v>
      </c>
      <c r="P601" s="132" t="s">
        <v>29</v>
      </c>
      <c r="Q601" s="132" t="s">
        <v>39</v>
      </c>
      <c r="R601" s="132"/>
      <c r="S601" s="52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  <c r="AD601" s="129"/>
    </row>
    <row r="602" ht="14.25" customHeight="1">
      <c r="A602" s="133">
        <v>11.0</v>
      </c>
      <c r="B602" s="149" t="s">
        <v>855</v>
      </c>
      <c r="C602" s="149" t="s">
        <v>2096</v>
      </c>
      <c r="D602" s="131" t="s">
        <v>25</v>
      </c>
      <c r="E602" s="131" t="s">
        <v>57</v>
      </c>
      <c r="F602" s="52"/>
      <c r="G602" s="144" t="s">
        <v>28</v>
      </c>
      <c r="H602" s="132">
        <v>20.0</v>
      </c>
      <c r="I602" s="132">
        <v>100.0</v>
      </c>
      <c r="J602" s="132">
        <v>1.0</v>
      </c>
      <c r="K602" s="132">
        <v>1.0</v>
      </c>
      <c r="L602" s="132">
        <v>1.0</v>
      </c>
      <c r="M602" s="132" t="s">
        <v>2085</v>
      </c>
      <c r="N602" s="144" t="s">
        <v>28</v>
      </c>
      <c r="O602" s="132" t="s">
        <v>39</v>
      </c>
      <c r="P602" s="132" t="s">
        <v>29</v>
      </c>
      <c r="Q602" s="132" t="s">
        <v>39</v>
      </c>
      <c r="R602" s="132"/>
      <c r="S602" s="52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  <c r="AD602" s="129"/>
    </row>
    <row r="603" ht="14.25" customHeight="1">
      <c r="A603" s="133">
        <v>12.0</v>
      </c>
      <c r="B603" s="149" t="s">
        <v>2097</v>
      </c>
      <c r="C603" s="149" t="s">
        <v>2084</v>
      </c>
      <c r="D603" s="131" t="s">
        <v>25</v>
      </c>
      <c r="E603" s="131" t="s">
        <v>57</v>
      </c>
      <c r="F603" s="52"/>
      <c r="G603" s="144" t="s">
        <v>28</v>
      </c>
      <c r="H603" s="132">
        <v>10.0</v>
      </c>
      <c r="I603" s="132">
        <v>50.0</v>
      </c>
      <c r="J603" s="132">
        <v>1.0</v>
      </c>
      <c r="K603" s="132">
        <v>1.0</v>
      </c>
      <c r="L603" s="132">
        <v>1.0</v>
      </c>
      <c r="M603" s="132" t="s">
        <v>2085</v>
      </c>
      <c r="N603" s="144" t="s">
        <v>28</v>
      </c>
      <c r="O603" s="132" t="s">
        <v>39</v>
      </c>
      <c r="P603" s="132" t="s">
        <v>29</v>
      </c>
      <c r="Q603" s="132" t="s">
        <v>39</v>
      </c>
      <c r="R603" s="132"/>
      <c r="S603" s="52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  <c r="AD603" s="129"/>
    </row>
    <row r="604" ht="14.25" customHeight="1">
      <c r="A604" s="133">
        <v>13.0</v>
      </c>
      <c r="B604" s="149" t="s">
        <v>2098</v>
      </c>
      <c r="C604" s="149" t="s">
        <v>2084</v>
      </c>
      <c r="D604" s="131" t="s">
        <v>25</v>
      </c>
      <c r="E604" s="131" t="s">
        <v>57</v>
      </c>
      <c r="F604" s="52"/>
      <c r="G604" s="144" t="s">
        <v>28</v>
      </c>
      <c r="H604" s="132">
        <v>8.0</v>
      </c>
      <c r="I604" s="132">
        <v>40.0</v>
      </c>
      <c r="J604" s="144" t="s">
        <v>28</v>
      </c>
      <c r="K604" s="144" t="s">
        <v>28</v>
      </c>
      <c r="L604" s="132">
        <v>1.0</v>
      </c>
      <c r="M604" s="132" t="s">
        <v>2085</v>
      </c>
      <c r="N604" s="144" t="s">
        <v>28</v>
      </c>
      <c r="O604" s="132" t="s">
        <v>39</v>
      </c>
      <c r="P604" s="132" t="s">
        <v>66</v>
      </c>
      <c r="Q604" s="132">
        <v>8.0</v>
      </c>
      <c r="R604" s="132"/>
      <c r="S604" s="52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  <c r="AD604" s="129"/>
    </row>
    <row r="605" ht="14.25" customHeight="1">
      <c r="A605" s="133">
        <v>14.0</v>
      </c>
      <c r="B605" s="149" t="s">
        <v>1258</v>
      </c>
      <c r="C605" s="149" t="s">
        <v>2084</v>
      </c>
      <c r="D605" s="131" t="s">
        <v>25</v>
      </c>
      <c r="E605" s="131" t="s">
        <v>57</v>
      </c>
      <c r="F605" s="52"/>
      <c r="G605" s="144" t="s">
        <v>28</v>
      </c>
      <c r="H605" s="132">
        <v>8.0</v>
      </c>
      <c r="I605" s="132">
        <v>40.0</v>
      </c>
      <c r="J605" s="144" t="s">
        <v>28</v>
      </c>
      <c r="K605" s="144" t="s">
        <v>28</v>
      </c>
      <c r="L605" s="132">
        <v>1.0</v>
      </c>
      <c r="M605" s="132" t="s">
        <v>2085</v>
      </c>
      <c r="N605" s="144" t="s">
        <v>28</v>
      </c>
      <c r="O605" s="132" t="s">
        <v>39</v>
      </c>
      <c r="P605" s="132" t="s">
        <v>29</v>
      </c>
      <c r="Q605" s="132" t="s">
        <v>39</v>
      </c>
      <c r="R605" s="132"/>
      <c r="S605" s="52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  <c r="AD605" s="129"/>
    </row>
    <row r="606" ht="15.75" customHeight="1">
      <c r="A606" s="181"/>
      <c r="B606" s="182" t="s">
        <v>2099</v>
      </c>
      <c r="C606" s="182"/>
      <c r="D606" s="182"/>
      <c r="E606" s="182"/>
      <c r="F606" s="182"/>
      <c r="G606" s="183"/>
      <c r="H606" s="184"/>
      <c r="I606" s="184"/>
      <c r="J606" s="185"/>
      <c r="K606" s="185"/>
      <c r="L606" s="185"/>
      <c r="M606" s="185"/>
      <c r="N606" s="185"/>
      <c r="O606" s="185"/>
      <c r="P606" s="184"/>
      <c r="Q606" s="185"/>
      <c r="R606" s="141"/>
      <c r="S606" s="142"/>
      <c r="T606" s="142"/>
      <c r="U606" s="142"/>
      <c r="V606" s="142"/>
      <c r="W606" s="142"/>
      <c r="X606" s="142"/>
      <c r="Y606" s="142"/>
      <c r="Z606" s="142"/>
      <c r="AA606" s="142"/>
      <c r="AB606" s="142"/>
      <c r="AC606" s="142"/>
      <c r="AD606" s="142"/>
    </row>
    <row r="607" ht="14.25" customHeight="1">
      <c r="A607" s="133">
        <v>1.0</v>
      </c>
      <c r="B607" s="131" t="s">
        <v>2100</v>
      </c>
      <c r="C607" s="131" t="s">
        <v>2101</v>
      </c>
      <c r="D607" s="131" t="s">
        <v>25</v>
      </c>
      <c r="E607" s="131" t="s">
        <v>189</v>
      </c>
      <c r="F607" s="55"/>
      <c r="G607" s="130">
        <v>1948.2</v>
      </c>
      <c r="H607" s="130">
        <v>300.0</v>
      </c>
      <c r="I607" s="130">
        <v>1000.0</v>
      </c>
      <c r="J607" s="130">
        <v>4.0</v>
      </c>
      <c r="K607" s="130">
        <v>4.0</v>
      </c>
      <c r="L607" s="130" t="s">
        <v>39</v>
      </c>
      <c r="M607" s="130" t="s">
        <v>39</v>
      </c>
      <c r="N607" s="130" t="s">
        <v>27</v>
      </c>
      <c r="O607" s="130">
        <v>300.0</v>
      </c>
      <c r="P607" s="130" t="s">
        <v>66</v>
      </c>
      <c r="Q607" s="130">
        <v>24.0</v>
      </c>
      <c r="R607" s="132"/>
      <c r="S607" s="52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  <c r="AD607" s="129"/>
    </row>
    <row r="608" ht="14.25" customHeight="1">
      <c r="A608" s="133">
        <v>2.0</v>
      </c>
      <c r="B608" s="131" t="s">
        <v>2102</v>
      </c>
      <c r="C608" s="131" t="s">
        <v>2103</v>
      </c>
      <c r="D608" s="131" t="s">
        <v>25</v>
      </c>
      <c r="E608" s="131" t="s">
        <v>189</v>
      </c>
      <c r="F608" s="55"/>
      <c r="G608" s="130" t="s">
        <v>39</v>
      </c>
      <c r="H608" s="130">
        <v>60.0</v>
      </c>
      <c r="I608" s="130">
        <v>200.0</v>
      </c>
      <c r="J608" s="130">
        <v>18.0</v>
      </c>
      <c r="K608" s="130">
        <v>18.0</v>
      </c>
      <c r="L608" s="130" t="s">
        <v>39</v>
      </c>
      <c r="M608" s="130" t="s">
        <v>39</v>
      </c>
      <c r="N608" s="130" t="s">
        <v>27</v>
      </c>
      <c r="O608" s="130">
        <v>60.0</v>
      </c>
      <c r="P608" s="130" t="s">
        <v>29</v>
      </c>
      <c r="Q608" s="130" t="s">
        <v>39</v>
      </c>
      <c r="R608" s="132"/>
      <c r="S608" s="52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  <c r="AD608" s="129"/>
    </row>
    <row r="609" ht="14.25" customHeight="1">
      <c r="A609" s="133">
        <v>3.0</v>
      </c>
      <c r="B609" s="131" t="s">
        <v>2104</v>
      </c>
      <c r="C609" s="131" t="s">
        <v>2105</v>
      </c>
      <c r="D609" s="131" t="s">
        <v>25</v>
      </c>
      <c r="E609" s="131" t="s">
        <v>189</v>
      </c>
      <c r="F609" s="55"/>
      <c r="G609" s="130" t="s">
        <v>39</v>
      </c>
      <c r="H609" s="130">
        <v>12.0</v>
      </c>
      <c r="I609" s="130">
        <v>50.0</v>
      </c>
      <c r="J609" s="130">
        <v>1.0</v>
      </c>
      <c r="K609" s="130">
        <v>1.0</v>
      </c>
      <c r="L609" s="130" t="s">
        <v>39</v>
      </c>
      <c r="M609" s="130" t="s">
        <v>39</v>
      </c>
      <c r="N609" s="130" t="s">
        <v>27</v>
      </c>
      <c r="O609" s="130">
        <v>12.0</v>
      </c>
      <c r="P609" s="130" t="s">
        <v>29</v>
      </c>
      <c r="Q609" s="130" t="s">
        <v>39</v>
      </c>
      <c r="R609" s="132"/>
      <c r="S609" s="52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  <c r="AD609" s="129"/>
    </row>
    <row r="610" ht="14.25" customHeight="1">
      <c r="A610" s="133">
        <v>4.0</v>
      </c>
      <c r="B610" s="131" t="s">
        <v>2106</v>
      </c>
      <c r="C610" s="131" t="s">
        <v>2107</v>
      </c>
      <c r="D610" s="131" t="s">
        <v>25</v>
      </c>
      <c r="E610" s="131" t="s">
        <v>189</v>
      </c>
      <c r="F610" s="55"/>
      <c r="G610" s="130">
        <v>582.0</v>
      </c>
      <c r="H610" s="130">
        <v>12.0</v>
      </c>
      <c r="I610" s="130">
        <v>50.0</v>
      </c>
      <c r="J610" s="130">
        <v>10.0</v>
      </c>
      <c r="K610" s="130">
        <v>10.0</v>
      </c>
      <c r="L610" s="130" t="s">
        <v>39</v>
      </c>
      <c r="M610" s="130" t="s">
        <v>39</v>
      </c>
      <c r="N610" s="130" t="s">
        <v>27</v>
      </c>
      <c r="O610" s="130">
        <v>12.0</v>
      </c>
      <c r="P610" s="130" t="s">
        <v>29</v>
      </c>
      <c r="Q610" s="130" t="s">
        <v>39</v>
      </c>
      <c r="R610" s="132"/>
      <c r="S610" s="52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  <c r="AD610" s="129"/>
    </row>
    <row r="611" ht="14.25" customHeight="1">
      <c r="A611" s="133">
        <v>5.0</v>
      </c>
      <c r="B611" s="131" t="s">
        <v>2108</v>
      </c>
      <c r="C611" s="131" t="s">
        <v>2109</v>
      </c>
      <c r="D611" s="131" t="s">
        <v>25</v>
      </c>
      <c r="E611" s="131" t="s">
        <v>189</v>
      </c>
      <c r="F611" s="55"/>
      <c r="G611" s="130">
        <v>681.0</v>
      </c>
      <c r="H611" s="130">
        <v>12.0</v>
      </c>
      <c r="I611" s="130">
        <v>50.0</v>
      </c>
      <c r="J611" s="130">
        <v>9.0</v>
      </c>
      <c r="K611" s="130">
        <v>9.0</v>
      </c>
      <c r="L611" s="130" t="s">
        <v>39</v>
      </c>
      <c r="M611" s="130" t="s">
        <v>39</v>
      </c>
      <c r="N611" s="130" t="s">
        <v>27</v>
      </c>
      <c r="O611" s="130">
        <v>12.0</v>
      </c>
      <c r="P611" s="130" t="s">
        <v>29</v>
      </c>
      <c r="Q611" s="130" t="s">
        <v>39</v>
      </c>
      <c r="R611" s="132"/>
      <c r="S611" s="52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  <c r="AD611" s="129"/>
    </row>
    <row r="612" ht="14.25" customHeight="1">
      <c r="A612" s="133">
        <v>6.0</v>
      </c>
      <c r="B612" s="131" t="s">
        <v>2110</v>
      </c>
      <c r="C612" s="131" t="s">
        <v>2111</v>
      </c>
      <c r="D612" s="131" t="s">
        <v>25</v>
      </c>
      <c r="E612" s="131" t="s">
        <v>189</v>
      </c>
      <c r="F612" s="55"/>
      <c r="G612" s="130">
        <v>504.0</v>
      </c>
      <c r="H612" s="130">
        <v>12.0</v>
      </c>
      <c r="I612" s="130">
        <v>50.0</v>
      </c>
      <c r="J612" s="130">
        <v>9.0</v>
      </c>
      <c r="K612" s="130">
        <v>9.0</v>
      </c>
      <c r="L612" s="130" t="s">
        <v>39</v>
      </c>
      <c r="M612" s="130" t="s">
        <v>39</v>
      </c>
      <c r="N612" s="130" t="s">
        <v>27</v>
      </c>
      <c r="O612" s="130">
        <v>12.0</v>
      </c>
      <c r="P612" s="130" t="s">
        <v>29</v>
      </c>
      <c r="Q612" s="130" t="s">
        <v>39</v>
      </c>
      <c r="R612" s="132"/>
      <c r="S612" s="52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  <c r="AD612" s="129"/>
    </row>
    <row r="613" ht="14.25" customHeight="1">
      <c r="A613" s="133">
        <v>7.0</v>
      </c>
      <c r="B613" s="131" t="s">
        <v>2112</v>
      </c>
      <c r="C613" s="131" t="s">
        <v>2113</v>
      </c>
      <c r="D613" s="131" t="s">
        <v>25</v>
      </c>
      <c r="E613" s="131" t="s">
        <v>189</v>
      </c>
      <c r="F613" s="55"/>
      <c r="G613" s="130" t="s">
        <v>39</v>
      </c>
      <c r="H613" s="130">
        <v>12.0</v>
      </c>
      <c r="I613" s="130">
        <v>50.0</v>
      </c>
      <c r="J613" s="130">
        <v>2.0</v>
      </c>
      <c r="K613" s="130">
        <v>2.0</v>
      </c>
      <c r="L613" s="130" t="s">
        <v>39</v>
      </c>
      <c r="M613" s="130" t="s">
        <v>39</v>
      </c>
      <c r="N613" s="130" t="s">
        <v>27</v>
      </c>
      <c r="O613" s="130">
        <v>12.0</v>
      </c>
      <c r="P613" s="130" t="s">
        <v>29</v>
      </c>
      <c r="Q613" s="130" t="s">
        <v>39</v>
      </c>
      <c r="R613" s="132"/>
      <c r="S613" s="52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  <c r="AD613" s="129"/>
    </row>
    <row r="614" ht="14.25" customHeight="1">
      <c r="A614" s="133">
        <v>8.0</v>
      </c>
      <c r="B614" s="131" t="s">
        <v>2114</v>
      </c>
      <c r="C614" s="131" t="s">
        <v>2115</v>
      </c>
      <c r="D614" s="131" t="s">
        <v>25</v>
      </c>
      <c r="E614" s="131" t="s">
        <v>189</v>
      </c>
      <c r="F614" s="55"/>
      <c r="G614" s="130">
        <v>314.0</v>
      </c>
      <c r="H614" s="130">
        <v>12.0</v>
      </c>
      <c r="I614" s="130">
        <v>50.0</v>
      </c>
      <c r="J614" s="130">
        <v>7.0</v>
      </c>
      <c r="K614" s="130">
        <v>7.0</v>
      </c>
      <c r="L614" s="130" t="s">
        <v>39</v>
      </c>
      <c r="M614" s="130" t="s">
        <v>39</v>
      </c>
      <c r="N614" s="130" t="s">
        <v>27</v>
      </c>
      <c r="O614" s="130">
        <v>12.0</v>
      </c>
      <c r="P614" s="130" t="s">
        <v>29</v>
      </c>
      <c r="Q614" s="130" t="s">
        <v>39</v>
      </c>
      <c r="R614" s="132"/>
      <c r="S614" s="52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</row>
    <row r="615" ht="14.25" customHeight="1">
      <c r="A615" s="133">
        <v>9.0</v>
      </c>
      <c r="B615" s="131" t="s">
        <v>2116</v>
      </c>
      <c r="C615" s="131" t="s">
        <v>2117</v>
      </c>
      <c r="D615" s="131" t="s">
        <v>25</v>
      </c>
      <c r="E615" s="131" t="s">
        <v>189</v>
      </c>
      <c r="F615" s="55"/>
      <c r="G615" s="130">
        <v>809.6</v>
      </c>
      <c r="H615" s="130">
        <v>12.0</v>
      </c>
      <c r="I615" s="130">
        <v>50.0</v>
      </c>
      <c r="J615" s="130">
        <v>7.0</v>
      </c>
      <c r="K615" s="130">
        <v>6.0</v>
      </c>
      <c r="L615" s="130" t="s">
        <v>39</v>
      </c>
      <c r="M615" s="130" t="s">
        <v>39</v>
      </c>
      <c r="N615" s="130" t="s">
        <v>27</v>
      </c>
      <c r="O615" s="130">
        <v>12.0</v>
      </c>
      <c r="P615" s="130" t="s">
        <v>29</v>
      </c>
      <c r="Q615" s="130" t="s">
        <v>39</v>
      </c>
      <c r="R615" s="132"/>
      <c r="S615" s="52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</row>
    <row r="616" ht="14.25" customHeight="1">
      <c r="A616" s="133">
        <v>10.0</v>
      </c>
      <c r="B616" s="131" t="s">
        <v>2118</v>
      </c>
      <c r="C616" s="131" t="s">
        <v>2119</v>
      </c>
      <c r="D616" s="131" t="s">
        <v>25</v>
      </c>
      <c r="E616" s="131" t="s">
        <v>189</v>
      </c>
      <c r="F616" s="55"/>
      <c r="G616" s="130">
        <v>138.0</v>
      </c>
      <c r="H616" s="130">
        <v>12.0</v>
      </c>
      <c r="I616" s="130">
        <v>50.0</v>
      </c>
      <c r="J616" s="130">
        <v>5.0</v>
      </c>
      <c r="K616" s="130">
        <v>5.0</v>
      </c>
      <c r="L616" s="130" t="s">
        <v>39</v>
      </c>
      <c r="M616" s="130" t="s">
        <v>39</v>
      </c>
      <c r="N616" s="130" t="s">
        <v>27</v>
      </c>
      <c r="O616" s="130">
        <v>12.0</v>
      </c>
      <c r="P616" s="130" t="s">
        <v>29</v>
      </c>
      <c r="Q616" s="130" t="s">
        <v>39</v>
      </c>
      <c r="R616" s="132"/>
      <c r="S616" s="52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  <c r="AD616" s="129"/>
    </row>
    <row r="617" ht="14.25" customHeight="1">
      <c r="A617" s="133">
        <v>11.0</v>
      </c>
      <c r="B617" s="131" t="s">
        <v>2120</v>
      </c>
      <c r="C617" s="131" t="s">
        <v>2121</v>
      </c>
      <c r="D617" s="131" t="s">
        <v>25</v>
      </c>
      <c r="E617" s="131" t="s">
        <v>189</v>
      </c>
      <c r="F617" s="55"/>
      <c r="G617" s="130">
        <v>179.2</v>
      </c>
      <c r="H617" s="130">
        <v>12.0</v>
      </c>
      <c r="I617" s="130">
        <v>50.0</v>
      </c>
      <c r="J617" s="130">
        <v>7.0</v>
      </c>
      <c r="K617" s="130">
        <v>7.0</v>
      </c>
      <c r="L617" s="130" t="s">
        <v>39</v>
      </c>
      <c r="M617" s="130" t="s">
        <v>39</v>
      </c>
      <c r="N617" s="130" t="s">
        <v>27</v>
      </c>
      <c r="O617" s="130">
        <v>12.0</v>
      </c>
      <c r="P617" s="130" t="s">
        <v>29</v>
      </c>
      <c r="Q617" s="130" t="s">
        <v>39</v>
      </c>
      <c r="R617" s="132"/>
      <c r="S617" s="52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</row>
    <row r="618" ht="14.25" customHeight="1">
      <c r="A618" s="133">
        <v>12.0</v>
      </c>
      <c r="B618" s="131" t="s">
        <v>2122</v>
      </c>
      <c r="C618" s="131" t="s">
        <v>2123</v>
      </c>
      <c r="D618" s="131" t="s">
        <v>25</v>
      </c>
      <c r="E618" s="131" t="s">
        <v>189</v>
      </c>
      <c r="F618" s="55"/>
      <c r="G618" s="130">
        <v>392.0</v>
      </c>
      <c r="H618" s="130">
        <v>12.0</v>
      </c>
      <c r="I618" s="130">
        <v>50.0</v>
      </c>
      <c r="J618" s="130">
        <v>10.0</v>
      </c>
      <c r="K618" s="130">
        <v>10.0</v>
      </c>
      <c r="L618" s="130" t="s">
        <v>39</v>
      </c>
      <c r="M618" s="130" t="s">
        <v>39</v>
      </c>
      <c r="N618" s="130" t="s">
        <v>27</v>
      </c>
      <c r="O618" s="130">
        <v>12.0</v>
      </c>
      <c r="P618" s="130" t="s">
        <v>29</v>
      </c>
      <c r="Q618" s="130" t="s">
        <v>39</v>
      </c>
      <c r="R618" s="132"/>
      <c r="S618" s="52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</row>
    <row r="619" ht="14.25" customHeight="1">
      <c r="A619" s="133">
        <v>13.0</v>
      </c>
      <c r="B619" s="131" t="s">
        <v>2124</v>
      </c>
      <c r="C619" s="131" t="s">
        <v>2125</v>
      </c>
      <c r="D619" s="131" t="s">
        <v>25</v>
      </c>
      <c r="E619" s="131" t="s">
        <v>189</v>
      </c>
      <c r="F619" s="55"/>
      <c r="G619" s="130">
        <v>920.0</v>
      </c>
      <c r="H619" s="130">
        <v>12.0</v>
      </c>
      <c r="I619" s="130">
        <v>50.0</v>
      </c>
      <c r="J619" s="130">
        <v>5.0</v>
      </c>
      <c r="K619" s="130">
        <v>5.0</v>
      </c>
      <c r="L619" s="130" t="s">
        <v>39</v>
      </c>
      <c r="M619" s="130" t="s">
        <v>39</v>
      </c>
      <c r="N619" s="130" t="s">
        <v>27</v>
      </c>
      <c r="O619" s="130">
        <v>12.0</v>
      </c>
      <c r="P619" s="130" t="s">
        <v>29</v>
      </c>
      <c r="Q619" s="130" t="s">
        <v>39</v>
      </c>
      <c r="R619" s="132"/>
      <c r="S619" s="52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</row>
    <row r="620" ht="14.25" customHeight="1">
      <c r="A620" s="133">
        <v>14.0</v>
      </c>
      <c r="B620" s="131" t="s">
        <v>2126</v>
      </c>
      <c r="C620" s="131" t="s">
        <v>2127</v>
      </c>
      <c r="D620" s="131" t="s">
        <v>25</v>
      </c>
      <c r="E620" s="131" t="s">
        <v>189</v>
      </c>
      <c r="F620" s="55"/>
      <c r="G620" s="130">
        <v>336.0</v>
      </c>
      <c r="H620" s="130">
        <v>12.0</v>
      </c>
      <c r="I620" s="130">
        <v>50.0</v>
      </c>
      <c r="J620" s="130">
        <v>9.0</v>
      </c>
      <c r="K620" s="130">
        <v>9.0</v>
      </c>
      <c r="L620" s="130" t="s">
        <v>39</v>
      </c>
      <c r="M620" s="130" t="s">
        <v>39</v>
      </c>
      <c r="N620" s="130" t="s">
        <v>27</v>
      </c>
      <c r="O620" s="130">
        <v>12.0</v>
      </c>
      <c r="P620" s="130" t="s">
        <v>29</v>
      </c>
      <c r="Q620" s="130" t="s">
        <v>39</v>
      </c>
      <c r="R620" s="132"/>
      <c r="S620" s="52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</row>
    <row r="621" ht="14.25" customHeight="1">
      <c r="A621" s="133">
        <v>15.0</v>
      </c>
      <c r="B621" s="131" t="s">
        <v>2128</v>
      </c>
      <c r="C621" s="131" t="s">
        <v>2129</v>
      </c>
      <c r="D621" s="131" t="s">
        <v>25</v>
      </c>
      <c r="E621" s="131" t="s">
        <v>189</v>
      </c>
      <c r="F621" s="55"/>
      <c r="G621" s="130">
        <v>392.0</v>
      </c>
      <c r="H621" s="130">
        <v>12.0</v>
      </c>
      <c r="I621" s="130">
        <v>50.0</v>
      </c>
      <c r="J621" s="130">
        <v>6.0</v>
      </c>
      <c r="K621" s="130">
        <v>6.0</v>
      </c>
      <c r="L621" s="130" t="s">
        <v>39</v>
      </c>
      <c r="M621" s="130" t="s">
        <v>39</v>
      </c>
      <c r="N621" s="130" t="s">
        <v>27</v>
      </c>
      <c r="O621" s="130">
        <v>12.0</v>
      </c>
      <c r="P621" s="130" t="s">
        <v>29</v>
      </c>
      <c r="Q621" s="130" t="s">
        <v>39</v>
      </c>
      <c r="R621" s="132"/>
      <c r="S621" s="52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</row>
    <row r="622" ht="14.25" customHeight="1">
      <c r="A622" s="133">
        <v>16.0</v>
      </c>
      <c r="B622" s="131" t="s">
        <v>2130</v>
      </c>
      <c r="C622" s="131" t="s">
        <v>2131</v>
      </c>
      <c r="D622" s="131" t="s">
        <v>25</v>
      </c>
      <c r="E622" s="131" t="s">
        <v>189</v>
      </c>
      <c r="F622" s="55"/>
      <c r="G622" s="130">
        <v>541.2</v>
      </c>
      <c r="H622" s="130">
        <v>12.0</v>
      </c>
      <c r="I622" s="130">
        <v>50.0</v>
      </c>
      <c r="J622" s="130">
        <v>9.0</v>
      </c>
      <c r="K622" s="130">
        <v>9.0</v>
      </c>
      <c r="L622" s="130" t="s">
        <v>39</v>
      </c>
      <c r="M622" s="130" t="s">
        <v>39</v>
      </c>
      <c r="N622" s="130" t="s">
        <v>27</v>
      </c>
      <c r="O622" s="130">
        <v>12.0</v>
      </c>
      <c r="P622" s="130" t="s">
        <v>29</v>
      </c>
      <c r="Q622" s="130" t="s">
        <v>39</v>
      </c>
      <c r="R622" s="132"/>
      <c r="S622" s="52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</row>
    <row r="623" ht="14.25" customHeight="1">
      <c r="A623" s="133">
        <v>17.0</v>
      </c>
      <c r="B623" s="131" t="s">
        <v>2132</v>
      </c>
      <c r="C623" s="131" t="s">
        <v>2133</v>
      </c>
      <c r="D623" s="131" t="s">
        <v>25</v>
      </c>
      <c r="E623" s="131" t="s">
        <v>189</v>
      </c>
      <c r="F623" s="55"/>
      <c r="G623" s="130">
        <v>903.0</v>
      </c>
      <c r="H623" s="130">
        <v>12.0</v>
      </c>
      <c r="I623" s="130">
        <v>50.0</v>
      </c>
      <c r="J623" s="130">
        <v>15.0</v>
      </c>
      <c r="K623" s="130">
        <v>15.0</v>
      </c>
      <c r="L623" s="130" t="s">
        <v>39</v>
      </c>
      <c r="M623" s="130" t="s">
        <v>39</v>
      </c>
      <c r="N623" s="130" t="s">
        <v>27</v>
      </c>
      <c r="O623" s="130">
        <v>12.0</v>
      </c>
      <c r="P623" s="130" t="s">
        <v>29</v>
      </c>
      <c r="Q623" s="130" t="s">
        <v>39</v>
      </c>
      <c r="R623" s="132"/>
      <c r="S623" s="52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</row>
    <row r="624" ht="14.25" customHeight="1">
      <c r="A624" s="133">
        <v>18.0</v>
      </c>
      <c r="B624" s="131" t="s">
        <v>2134</v>
      </c>
      <c r="C624" s="131" t="s">
        <v>2135</v>
      </c>
      <c r="D624" s="131" t="s">
        <v>25</v>
      </c>
      <c r="E624" s="131" t="s">
        <v>189</v>
      </c>
      <c r="F624" s="55"/>
      <c r="G624" s="130">
        <v>126.0</v>
      </c>
      <c r="H624" s="130">
        <v>12.0</v>
      </c>
      <c r="I624" s="130">
        <v>50.0</v>
      </c>
      <c r="J624" s="130">
        <v>3.0</v>
      </c>
      <c r="K624" s="130">
        <v>3.0</v>
      </c>
      <c r="L624" s="130" t="s">
        <v>39</v>
      </c>
      <c r="M624" s="130" t="s">
        <v>39</v>
      </c>
      <c r="N624" s="130" t="s">
        <v>27</v>
      </c>
      <c r="O624" s="130">
        <v>12.0</v>
      </c>
      <c r="P624" s="130" t="s">
        <v>29</v>
      </c>
      <c r="Q624" s="130" t="s">
        <v>39</v>
      </c>
      <c r="R624" s="132"/>
      <c r="S624" s="52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</row>
    <row r="625" ht="14.25" customHeight="1">
      <c r="A625" s="133">
        <v>19.0</v>
      </c>
      <c r="B625" s="131" t="s">
        <v>2136</v>
      </c>
      <c r="C625" s="131" t="s">
        <v>2137</v>
      </c>
      <c r="D625" s="131" t="s">
        <v>25</v>
      </c>
      <c r="E625" s="131" t="s">
        <v>189</v>
      </c>
      <c r="F625" s="55"/>
      <c r="G625" s="130">
        <v>375.6</v>
      </c>
      <c r="H625" s="130">
        <v>12.0</v>
      </c>
      <c r="I625" s="130">
        <v>50.0</v>
      </c>
      <c r="J625" s="130">
        <v>12.0</v>
      </c>
      <c r="K625" s="130">
        <v>12.0</v>
      </c>
      <c r="L625" s="130" t="s">
        <v>39</v>
      </c>
      <c r="M625" s="130" t="s">
        <v>39</v>
      </c>
      <c r="N625" s="130" t="s">
        <v>27</v>
      </c>
      <c r="O625" s="130">
        <v>12.0</v>
      </c>
      <c r="P625" s="130" t="s">
        <v>29</v>
      </c>
      <c r="Q625" s="130" t="s">
        <v>39</v>
      </c>
      <c r="R625" s="132"/>
      <c r="S625" s="52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</row>
    <row r="626" ht="14.25" customHeight="1">
      <c r="A626" s="133">
        <v>20.0</v>
      </c>
      <c r="B626" s="131" t="s">
        <v>2138</v>
      </c>
      <c r="C626" s="131" t="s">
        <v>2137</v>
      </c>
      <c r="D626" s="131" t="s">
        <v>25</v>
      </c>
      <c r="E626" s="131" t="s">
        <v>189</v>
      </c>
      <c r="F626" s="55"/>
      <c r="G626" s="130">
        <v>75.0</v>
      </c>
      <c r="H626" s="130">
        <v>12.0</v>
      </c>
      <c r="I626" s="130">
        <v>50.0</v>
      </c>
      <c r="J626" s="130">
        <v>1.0</v>
      </c>
      <c r="K626" s="130">
        <v>1.0</v>
      </c>
      <c r="L626" s="130" t="s">
        <v>39</v>
      </c>
      <c r="M626" s="130" t="s">
        <v>39</v>
      </c>
      <c r="N626" s="130" t="s">
        <v>27</v>
      </c>
      <c r="O626" s="130">
        <v>12.0</v>
      </c>
      <c r="P626" s="130" t="s">
        <v>29</v>
      </c>
      <c r="Q626" s="130" t="s">
        <v>39</v>
      </c>
      <c r="R626" s="132"/>
      <c r="S626" s="52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</row>
    <row r="627" ht="15.75" customHeight="1">
      <c r="A627" s="181"/>
      <c r="B627" s="182" t="s">
        <v>2139</v>
      </c>
      <c r="C627" s="182"/>
      <c r="D627" s="182"/>
      <c r="E627" s="182"/>
      <c r="F627" s="182"/>
      <c r="G627" s="183"/>
      <c r="H627" s="184"/>
      <c r="I627" s="184"/>
      <c r="J627" s="185"/>
      <c r="K627" s="185"/>
      <c r="L627" s="185"/>
      <c r="M627" s="185"/>
      <c r="N627" s="185"/>
      <c r="O627" s="185"/>
      <c r="P627" s="184"/>
      <c r="Q627" s="185"/>
      <c r="R627" s="141"/>
      <c r="S627" s="142"/>
      <c r="T627" s="142"/>
      <c r="U627" s="142"/>
      <c r="V627" s="142"/>
      <c r="W627" s="142"/>
      <c r="X627" s="142"/>
      <c r="Y627" s="142"/>
      <c r="Z627" s="142"/>
      <c r="AA627" s="142"/>
      <c r="AB627" s="142"/>
      <c r="AC627" s="142"/>
      <c r="AD627" s="142"/>
    </row>
    <row r="628" ht="14.25" customHeight="1">
      <c r="A628" s="133">
        <v>1.0</v>
      </c>
      <c r="B628" s="131" t="s">
        <v>2140</v>
      </c>
      <c r="C628" s="131" t="s">
        <v>2141</v>
      </c>
      <c r="D628" s="145" t="s">
        <v>1948</v>
      </c>
      <c r="E628" s="131" t="s">
        <v>189</v>
      </c>
      <c r="F628" s="55"/>
      <c r="G628" s="130">
        <v>1120.0</v>
      </c>
      <c r="H628" s="130" t="s">
        <v>39</v>
      </c>
      <c r="I628" s="130">
        <v>550.0</v>
      </c>
      <c r="J628" s="130">
        <v>2.0</v>
      </c>
      <c r="K628" s="130">
        <v>2.0</v>
      </c>
      <c r="L628" s="130">
        <v>0.0</v>
      </c>
      <c r="M628" s="130" t="s">
        <v>2142</v>
      </c>
      <c r="N628" s="144" t="s">
        <v>28</v>
      </c>
      <c r="O628" s="130">
        <v>600.0</v>
      </c>
      <c r="P628" s="130" t="s">
        <v>2143</v>
      </c>
      <c r="Q628" s="130">
        <v>36.0</v>
      </c>
      <c r="R628" s="132"/>
      <c r="S628" s="52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  <c r="AD628" s="129"/>
    </row>
    <row r="629" ht="14.25" customHeight="1">
      <c r="A629" s="133">
        <v>2.0</v>
      </c>
      <c r="B629" s="131" t="s">
        <v>2144</v>
      </c>
      <c r="C629" s="131" t="s">
        <v>2145</v>
      </c>
      <c r="D629" s="145" t="s">
        <v>1948</v>
      </c>
      <c r="E629" s="131" t="s">
        <v>189</v>
      </c>
      <c r="F629" s="55"/>
      <c r="G629" s="130">
        <v>400.0</v>
      </c>
      <c r="H629" s="130">
        <v>30.0</v>
      </c>
      <c r="I629" s="130">
        <v>150.0</v>
      </c>
      <c r="J629" s="130">
        <v>2.0</v>
      </c>
      <c r="K629" s="130">
        <v>2.0</v>
      </c>
      <c r="L629" s="130">
        <v>1.0</v>
      </c>
      <c r="M629" s="130" t="s">
        <v>2142</v>
      </c>
      <c r="N629" s="144" t="s">
        <v>28</v>
      </c>
      <c r="O629" s="130">
        <v>160.0</v>
      </c>
      <c r="P629" s="130" t="s">
        <v>29</v>
      </c>
      <c r="Q629" s="130">
        <v>0.0</v>
      </c>
      <c r="R629" s="132"/>
      <c r="S629" s="52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  <c r="AD629" s="129"/>
    </row>
    <row r="630" ht="14.25" customHeight="1">
      <c r="A630" s="133">
        <v>3.0</v>
      </c>
      <c r="B630" s="131" t="s">
        <v>2146</v>
      </c>
      <c r="C630" s="131" t="s">
        <v>2145</v>
      </c>
      <c r="D630" s="145" t="s">
        <v>1948</v>
      </c>
      <c r="E630" s="131" t="s">
        <v>189</v>
      </c>
      <c r="F630" s="55"/>
      <c r="G630" s="130">
        <v>112.0</v>
      </c>
      <c r="H630" s="130">
        <v>8.0</v>
      </c>
      <c r="I630" s="130">
        <v>45.0</v>
      </c>
      <c r="J630" s="130">
        <v>1.0</v>
      </c>
      <c r="K630" s="130">
        <v>1.0</v>
      </c>
      <c r="L630" s="130">
        <v>0.0</v>
      </c>
      <c r="M630" s="130" t="s">
        <v>2142</v>
      </c>
      <c r="N630" s="144" t="s">
        <v>28</v>
      </c>
      <c r="O630" s="130">
        <v>50.0</v>
      </c>
      <c r="P630" s="130" t="s">
        <v>66</v>
      </c>
      <c r="Q630" s="130">
        <v>6.0</v>
      </c>
      <c r="R630" s="132"/>
      <c r="S630" s="52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  <c r="AD630" s="129"/>
    </row>
    <row r="631" ht="14.25" customHeight="1">
      <c r="A631" s="133">
        <v>4.0</v>
      </c>
      <c r="B631" s="131" t="s">
        <v>2147</v>
      </c>
      <c r="C631" s="131" t="s">
        <v>2148</v>
      </c>
      <c r="D631" s="145" t="s">
        <v>1948</v>
      </c>
      <c r="E631" s="131" t="s">
        <v>189</v>
      </c>
      <c r="F631" s="55"/>
      <c r="G631" s="144" t="s">
        <v>28</v>
      </c>
      <c r="H631" s="144" t="s">
        <v>28</v>
      </c>
      <c r="I631" s="144" t="s">
        <v>28</v>
      </c>
      <c r="J631" s="144" t="s">
        <v>28</v>
      </c>
      <c r="K631" s="144" t="s">
        <v>28</v>
      </c>
      <c r="L631" s="144" t="s">
        <v>28</v>
      </c>
      <c r="M631" s="130" t="s">
        <v>2142</v>
      </c>
      <c r="N631" s="144" t="s">
        <v>28</v>
      </c>
      <c r="O631" s="144" t="s">
        <v>28</v>
      </c>
      <c r="P631" s="144" t="s">
        <v>29</v>
      </c>
      <c r="Q631" s="130"/>
      <c r="R631" s="132"/>
      <c r="S631" s="52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  <c r="AD631" s="129"/>
    </row>
    <row r="632" ht="14.25" customHeight="1">
      <c r="A632" s="133">
        <v>5.0</v>
      </c>
      <c r="B632" s="131" t="s">
        <v>2149</v>
      </c>
      <c r="C632" s="131" t="s">
        <v>2141</v>
      </c>
      <c r="D632" s="145" t="s">
        <v>1948</v>
      </c>
      <c r="E632" s="131" t="s">
        <v>189</v>
      </c>
      <c r="F632" s="55"/>
      <c r="G632" s="130">
        <v>546.0</v>
      </c>
      <c r="H632" s="130">
        <v>56.0</v>
      </c>
      <c r="I632" s="130">
        <v>209.0</v>
      </c>
      <c r="J632" s="130">
        <v>1.0</v>
      </c>
      <c r="K632" s="130">
        <v>1.0</v>
      </c>
      <c r="L632" s="130">
        <v>0.0</v>
      </c>
      <c r="M632" s="130" t="s">
        <v>2150</v>
      </c>
      <c r="N632" s="144" t="s">
        <v>28</v>
      </c>
      <c r="O632" s="130">
        <v>210.0</v>
      </c>
      <c r="P632" s="130" t="s">
        <v>29</v>
      </c>
      <c r="Q632" s="130">
        <v>0.0</v>
      </c>
      <c r="R632" s="132"/>
      <c r="S632" s="52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  <c r="AD632" s="129"/>
    </row>
    <row r="633" ht="14.25" customHeight="1">
      <c r="A633" s="133">
        <v>6.0</v>
      </c>
      <c r="B633" s="131" t="s">
        <v>2151</v>
      </c>
      <c r="C633" s="131" t="s">
        <v>2152</v>
      </c>
      <c r="D633" s="145" t="s">
        <v>1948</v>
      </c>
      <c r="E633" s="131" t="s">
        <v>189</v>
      </c>
      <c r="F633" s="55"/>
      <c r="G633" s="130">
        <v>325.0</v>
      </c>
      <c r="H633" s="130">
        <v>30.0</v>
      </c>
      <c r="I633" s="130">
        <v>150.0</v>
      </c>
      <c r="J633" s="130">
        <v>1.0</v>
      </c>
      <c r="K633" s="130">
        <v>1.0</v>
      </c>
      <c r="L633" s="130">
        <v>0.0</v>
      </c>
      <c r="M633" s="130" t="s">
        <v>2150</v>
      </c>
      <c r="N633" s="144" t="s">
        <v>28</v>
      </c>
      <c r="O633" s="130">
        <v>150.0</v>
      </c>
      <c r="P633" s="130" t="s">
        <v>29</v>
      </c>
      <c r="Q633" s="130">
        <v>0.0</v>
      </c>
      <c r="R633" s="132"/>
      <c r="S633" s="52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  <c r="AD633" s="129"/>
    </row>
    <row r="634" ht="14.25" customHeight="1">
      <c r="A634" s="133">
        <v>7.0</v>
      </c>
      <c r="B634" s="131" t="s">
        <v>2153</v>
      </c>
      <c r="C634" s="131" t="s">
        <v>2154</v>
      </c>
      <c r="D634" s="145" t="s">
        <v>1948</v>
      </c>
      <c r="E634" s="131" t="s">
        <v>189</v>
      </c>
      <c r="F634" s="55"/>
      <c r="G634" s="130">
        <v>2560.0</v>
      </c>
      <c r="H634" s="130">
        <v>100.0</v>
      </c>
      <c r="I634" s="130">
        <v>500.0</v>
      </c>
      <c r="J634" s="130">
        <v>2.0</v>
      </c>
      <c r="K634" s="130">
        <v>2.0</v>
      </c>
      <c r="L634" s="130" t="s">
        <v>39</v>
      </c>
      <c r="M634" s="130" t="s">
        <v>2142</v>
      </c>
      <c r="N634" s="144" t="s">
        <v>28</v>
      </c>
      <c r="O634" s="130">
        <v>500.0</v>
      </c>
      <c r="P634" s="130" t="s">
        <v>2155</v>
      </c>
      <c r="Q634" s="130" t="s">
        <v>39</v>
      </c>
      <c r="R634" s="132"/>
      <c r="S634" s="52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  <c r="AD634" s="129"/>
    </row>
    <row r="635" ht="14.25" customHeight="1">
      <c r="A635" s="133">
        <v>8.0</v>
      </c>
      <c r="B635" s="131" t="s">
        <v>2156</v>
      </c>
      <c r="C635" s="131" t="s">
        <v>2154</v>
      </c>
      <c r="D635" s="145" t="s">
        <v>1948</v>
      </c>
      <c r="E635" s="131" t="s">
        <v>189</v>
      </c>
      <c r="F635" s="55"/>
      <c r="G635" s="130">
        <v>460.0</v>
      </c>
      <c r="H635" s="130">
        <v>40.0</v>
      </c>
      <c r="I635" s="130">
        <v>200.0</v>
      </c>
      <c r="J635" s="130">
        <v>2.0</v>
      </c>
      <c r="K635" s="130">
        <v>2.0</v>
      </c>
      <c r="L635" s="130">
        <v>0.0</v>
      </c>
      <c r="M635" s="130" t="s">
        <v>2142</v>
      </c>
      <c r="N635" s="144" t="s">
        <v>28</v>
      </c>
      <c r="O635" s="130">
        <v>200.0</v>
      </c>
      <c r="P635" s="130" t="s">
        <v>2155</v>
      </c>
      <c r="Q635" s="130">
        <v>0.0</v>
      </c>
      <c r="R635" s="132"/>
      <c r="S635" s="52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  <c r="AD635" s="129"/>
    </row>
    <row r="636" ht="14.25" customHeight="1">
      <c r="A636" s="133">
        <v>9.0</v>
      </c>
      <c r="B636" s="131" t="s">
        <v>2157</v>
      </c>
      <c r="C636" s="131" t="s">
        <v>2154</v>
      </c>
      <c r="D636" s="145" t="s">
        <v>1948</v>
      </c>
      <c r="E636" s="131" t="s">
        <v>189</v>
      </c>
      <c r="F636" s="55"/>
      <c r="G636" s="130">
        <v>375.0</v>
      </c>
      <c r="H636" s="130">
        <v>30.0</v>
      </c>
      <c r="I636" s="130">
        <v>150.0</v>
      </c>
      <c r="J636" s="130">
        <v>1.0</v>
      </c>
      <c r="K636" s="130">
        <v>1.0</v>
      </c>
      <c r="L636" s="130">
        <v>0.0</v>
      </c>
      <c r="M636" s="130" t="s">
        <v>2150</v>
      </c>
      <c r="N636" s="144" t="s">
        <v>28</v>
      </c>
      <c r="O636" s="130">
        <v>150.0</v>
      </c>
      <c r="P636" s="130" t="s">
        <v>29</v>
      </c>
      <c r="Q636" s="130">
        <v>0.0</v>
      </c>
      <c r="R636" s="132"/>
      <c r="S636" s="52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  <c r="AD636" s="129"/>
    </row>
    <row r="637" ht="14.25" customHeight="1">
      <c r="A637" s="133">
        <v>10.0</v>
      </c>
      <c r="B637" s="131" t="s">
        <v>2157</v>
      </c>
      <c r="C637" s="131" t="s">
        <v>2141</v>
      </c>
      <c r="D637" s="145" t="s">
        <v>1948</v>
      </c>
      <c r="E637" s="131" t="s">
        <v>189</v>
      </c>
      <c r="F637" s="55"/>
      <c r="G637" s="130">
        <v>558.0</v>
      </c>
      <c r="H637" s="130">
        <v>20.0</v>
      </c>
      <c r="I637" s="130">
        <v>100.0</v>
      </c>
      <c r="J637" s="130">
        <v>1.0</v>
      </c>
      <c r="K637" s="130">
        <v>1.0</v>
      </c>
      <c r="L637" s="130">
        <v>0.0</v>
      </c>
      <c r="M637" s="130" t="s">
        <v>2150</v>
      </c>
      <c r="N637" s="144" t="s">
        <v>28</v>
      </c>
      <c r="O637" s="130">
        <v>100.0</v>
      </c>
      <c r="P637" s="130" t="s">
        <v>66</v>
      </c>
      <c r="Q637" s="130">
        <v>1.0</v>
      </c>
      <c r="R637" s="132"/>
      <c r="S637" s="52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  <c r="AD637" s="129"/>
    </row>
    <row r="638" ht="14.25" customHeight="1">
      <c r="A638" s="133">
        <v>11.0</v>
      </c>
      <c r="B638" s="131" t="s">
        <v>2158</v>
      </c>
      <c r="C638" s="131" t="s">
        <v>2159</v>
      </c>
      <c r="D638" s="145" t="s">
        <v>1948</v>
      </c>
      <c r="E638" s="131" t="s">
        <v>189</v>
      </c>
      <c r="F638" s="55"/>
      <c r="G638" s="130">
        <v>442.0</v>
      </c>
      <c r="H638" s="130">
        <v>44.0</v>
      </c>
      <c r="I638" s="130">
        <v>220.0</v>
      </c>
      <c r="J638" s="130">
        <v>1.0</v>
      </c>
      <c r="K638" s="130">
        <v>1.0</v>
      </c>
      <c r="L638" s="130">
        <v>0.0</v>
      </c>
      <c r="M638" s="130" t="s">
        <v>2150</v>
      </c>
      <c r="N638" s="144" t="s">
        <v>28</v>
      </c>
      <c r="O638" s="130">
        <v>220.0</v>
      </c>
      <c r="P638" s="130" t="s">
        <v>66</v>
      </c>
      <c r="Q638" s="130">
        <v>1.0</v>
      </c>
      <c r="R638" s="132"/>
      <c r="S638" s="52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  <c r="AD638" s="129"/>
    </row>
    <row r="639" ht="14.25" customHeight="1">
      <c r="A639" s="133">
        <v>12.0</v>
      </c>
      <c r="B639" s="131" t="s">
        <v>2157</v>
      </c>
      <c r="C639" s="131" t="s">
        <v>2145</v>
      </c>
      <c r="D639" s="145" t="s">
        <v>1948</v>
      </c>
      <c r="E639" s="131" t="s">
        <v>189</v>
      </c>
      <c r="F639" s="55"/>
      <c r="G639" s="130">
        <v>48.0</v>
      </c>
      <c r="H639" s="130">
        <v>3.0</v>
      </c>
      <c r="I639" s="130">
        <v>15.0</v>
      </c>
      <c r="J639" s="130">
        <v>1.0</v>
      </c>
      <c r="K639" s="130">
        <v>1.0</v>
      </c>
      <c r="L639" s="130">
        <v>0.0</v>
      </c>
      <c r="M639" s="130" t="s">
        <v>2150</v>
      </c>
      <c r="N639" s="144" t="s">
        <v>28</v>
      </c>
      <c r="O639" s="130">
        <v>15.0</v>
      </c>
      <c r="P639" s="130" t="s">
        <v>66</v>
      </c>
      <c r="Q639" s="130">
        <v>1.0</v>
      </c>
      <c r="R639" s="132"/>
      <c r="S639" s="52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  <c r="AD639" s="129"/>
    </row>
    <row r="640" ht="14.25" customHeight="1">
      <c r="A640" s="133">
        <v>13.0</v>
      </c>
      <c r="B640" s="131" t="s">
        <v>2160</v>
      </c>
      <c r="C640" s="131" t="s">
        <v>2159</v>
      </c>
      <c r="D640" s="145" t="s">
        <v>1948</v>
      </c>
      <c r="E640" s="131" t="s">
        <v>189</v>
      </c>
      <c r="F640" s="55"/>
      <c r="G640" s="130">
        <v>1559.0</v>
      </c>
      <c r="H640" s="130">
        <v>80.0</v>
      </c>
      <c r="I640" s="130">
        <v>400.0</v>
      </c>
      <c r="J640" s="130">
        <v>1.0</v>
      </c>
      <c r="K640" s="130">
        <v>1.0</v>
      </c>
      <c r="L640" s="130">
        <v>0.0</v>
      </c>
      <c r="M640" s="130" t="s">
        <v>2161</v>
      </c>
      <c r="N640" s="144" t="s">
        <v>28</v>
      </c>
      <c r="O640" s="130">
        <v>400.0</v>
      </c>
      <c r="P640" s="130" t="s">
        <v>29</v>
      </c>
      <c r="Q640" s="130">
        <v>0.0</v>
      </c>
      <c r="R640" s="132"/>
      <c r="S640" s="52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  <c r="AD640" s="129"/>
    </row>
    <row r="641" ht="14.25" customHeight="1">
      <c r="A641" s="133">
        <v>14.0</v>
      </c>
      <c r="B641" s="131" t="s">
        <v>2162</v>
      </c>
      <c r="C641" s="131" t="s">
        <v>2148</v>
      </c>
      <c r="D641" s="145" t="s">
        <v>1948</v>
      </c>
      <c r="E641" s="131" t="s">
        <v>189</v>
      </c>
      <c r="F641" s="55"/>
      <c r="G641" s="130">
        <v>774.0</v>
      </c>
      <c r="H641" s="130">
        <v>58.0</v>
      </c>
      <c r="I641" s="130">
        <v>774.0</v>
      </c>
      <c r="J641" s="130">
        <v>1.0</v>
      </c>
      <c r="K641" s="130">
        <v>1.0</v>
      </c>
      <c r="L641" s="130">
        <v>0.0</v>
      </c>
      <c r="M641" s="130" t="s">
        <v>2150</v>
      </c>
      <c r="N641" s="144" t="s">
        <v>28</v>
      </c>
      <c r="O641" s="130">
        <v>775.0</v>
      </c>
      <c r="P641" s="130" t="s">
        <v>29</v>
      </c>
      <c r="Q641" s="130">
        <v>0.0</v>
      </c>
      <c r="R641" s="132"/>
      <c r="S641" s="52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  <c r="AD641" s="129"/>
    </row>
    <row r="642" ht="14.25" customHeight="1">
      <c r="A642" s="133">
        <v>15.0</v>
      </c>
      <c r="B642" s="131" t="s">
        <v>2157</v>
      </c>
      <c r="C642" s="131" t="s">
        <v>2163</v>
      </c>
      <c r="D642" s="145" t="s">
        <v>1948</v>
      </c>
      <c r="E642" s="131" t="s">
        <v>189</v>
      </c>
      <c r="F642" s="55"/>
      <c r="G642" s="130">
        <v>495.0</v>
      </c>
      <c r="H642" s="130">
        <v>49.0</v>
      </c>
      <c r="I642" s="130">
        <v>245.0</v>
      </c>
      <c r="J642" s="130">
        <v>1.0</v>
      </c>
      <c r="K642" s="130">
        <v>1.0</v>
      </c>
      <c r="L642" s="130">
        <v>0.0</v>
      </c>
      <c r="M642" s="130" t="s">
        <v>2150</v>
      </c>
      <c r="N642" s="144" t="s">
        <v>28</v>
      </c>
      <c r="O642" s="130">
        <v>245.0</v>
      </c>
      <c r="P642" s="130" t="s">
        <v>29</v>
      </c>
      <c r="Q642" s="130">
        <v>0.0</v>
      </c>
      <c r="R642" s="132"/>
      <c r="S642" s="52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  <c r="AD642" s="129"/>
    </row>
    <row r="643" ht="14.25" customHeight="1">
      <c r="A643" s="133">
        <v>16.0</v>
      </c>
      <c r="B643" s="131" t="s">
        <v>2158</v>
      </c>
      <c r="C643" s="131" t="s">
        <v>2164</v>
      </c>
      <c r="D643" s="145" t="s">
        <v>1948</v>
      </c>
      <c r="E643" s="131" t="s">
        <v>189</v>
      </c>
      <c r="F643" s="55"/>
      <c r="G643" s="130">
        <v>480.0</v>
      </c>
      <c r="H643" s="130">
        <v>44.0</v>
      </c>
      <c r="I643" s="130">
        <v>220.0</v>
      </c>
      <c r="J643" s="130">
        <v>1.0</v>
      </c>
      <c r="K643" s="130">
        <v>1.0</v>
      </c>
      <c r="L643" s="130">
        <v>0.0</v>
      </c>
      <c r="M643" s="130" t="s">
        <v>2150</v>
      </c>
      <c r="N643" s="144" t="s">
        <v>28</v>
      </c>
      <c r="O643" s="130">
        <v>220.0</v>
      </c>
      <c r="P643" s="130" t="s">
        <v>66</v>
      </c>
      <c r="Q643" s="130">
        <v>1.0</v>
      </c>
      <c r="R643" s="132"/>
      <c r="S643" s="52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  <c r="AD643" s="129"/>
    </row>
    <row r="644" ht="14.25" customHeight="1">
      <c r="A644" s="133">
        <v>17.0</v>
      </c>
      <c r="B644" s="131" t="s">
        <v>2165</v>
      </c>
      <c r="C644" s="131" t="s">
        <v>2166</v>
      </c>
      <c r="D644" s="145" t="s">
        <v>1948</v>
      </c>
      <c r="E644" s="131" t="s">
        <v>189</v>
      </c>
      <c r="F644" s="55"/>
      <c r="G644" s="130">
        <v>132.0</v>
      </c>
      <c r="H644" s="130">
        <v>8.0</v>
      </c>
      <c r="I644" s="130">
        <v>40.0</v>
      </c>
      <c r="J644" s="130">
        <v>2.0</v>
      </c>
      <c r="K644" s="130">
        <v>2.0</v>
      </c>
      <c r="L644" s="130">
        <v>0.0</v>
      </c>
      <c r="M644" s="130" t="s">
        <v>2150</v>
      </c>
      <c r="N644" s="144" t="s">
        <v>28</v>
      </c>
      <c r="O644" s="130">
        <v>40.0</v>
      </c>
      <c r="P644" s="130" t="s">
        <v>29</v>
      </c>
      <c r="Q644" s="130">
        <v>0.0</v>
      </c>
      <c r="R644" s="132"/>
      <c r="S644" s="52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  <c r="AD644" s="129"/>
    </row>
    <row r="645" ht="14.25" customHeight="1">
      <c r="A645" s="133">
        <v>18.0</v>
      </c>
      <c r="B645" s="131" t="s">
        <v>2157</v>
      </c>
      <c r="C645" s="131" t="s">
        <v>2167</v>
      </c>
      <c r="D645" s="145" t="s">
        <v>1948</v>
      </c>
      <c r="E645" s="131" t="s">
        <v>189</v>
      </c>
      <c r="F645" s="55"/>
      <c r="G645" s="130">
        <v>627.0</v>
      </c>
      <c r="H645" s="130">
        <v>90.0</v>
      </c>
      <c r="I645" s="130">
        <v>450.0</v>
      </c>
      <c r="J645" s="130">
        <v>1.0</v>
      </c>
      <c r="K645" s="130">
        <v>1.0</v>
      </c>
      <c r="L645" s="130">
        <v>0.0</v>
      </c>
      <c r="M645" s="130" t="s">
        <v>2142</v>
      </c>
      <c r="N645" s="144" t="s">
        <v>28</v>
      </c>
      <c r="O645" s="130">
        <v>450.0</v>
      </c>
      <c r="P645" s="130" t="s">
        <v>66</v>
      </c>
      <c r="Q645" s="130">
        <v>1.0</v>
      </c>
      <c r="R645" s="132"/>
      <c r="S645" s="52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  <c r="AD645" s="129"/>
    </row>
    <row r="646" ht="14.25" customHeight="1">
      <c r="A646" s="133">
        <v>19.0</v>
      </c>
      <c r="B646" s="131" t="s">
        <v>2168</v>
      </c>
      <c r="C646" s="131" t="s">
        <v>2167</v>
      </c>
      <c r="D646" s="145" t="s">
        <v>1948</v>
      </c>
      <c r="E646" s="131" t="s">
        <v>189</v>
      </c>
      <c r="F646" s="55"/>
      <c r="G646" s="130">
        <v>126.0</v>
      </c>
      <c r="H646" s="130">
        <v>7.0</v>
      </c>
      <c r="I646" s="130">
        <v>35.0</v>
      </c>
      <c r="J646" s="130">
        <v>1.0</v>
      </c>
      <c r="K646" s="130">
        <v>1.0</v>
      </c>
      <c r="L646" s="130">
        <v>0.0</v>
      </c>
      <c r="M646" s="130" t="s">
        <v>2142</v>
      </c>
      <c r="N646" s="144" t="s">
        <v>28</v>
      </c>
      <c r="O646" s="130">
        <v>35.0</v>
      </c>
      <c r="P646" s="130" t="s">
        <v>29</v>
      </c>
      <c r="Q646" s="130">
        <v>0.0</v>
      </c>
      <c r="R646" s="132"/>
      <c r="S646" s="52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  <c r="AD646" s="129"/>
    </row>
    <row r="647" ht="14.25" customHeight="1">
      <c r="A647" s="133">
        <v>20.0</v>
      </c>
      <c r="B647" s="131" t="s">
        <v>2169</v>
      </c>
      <c r="C647" s="131" t="s">
        <v>2164</v>
      </c>
      <c r="D647" s="145" t="s">
        <v>1948</v>
      </c>
      <c r="E647" s="131" t="s">
        <v>189</v>
      </c>
      <c r="F647" s="55"/>
      <c r="G647" s="130">
        <v>351.0</v>
      </c>
      <c r="H647" s="130">
        <v>32.0</v>
      </c>
      <c r="I647" s="130">
        <v>160.0</v>
      </c>
      <c r="J647" s="130">
        <v>1.0</v>
      </c>
      <c r="K647" s="130">
        <v>1.0</v>
      </c>
      <c r="L647" s="130">
        <v>0.0</v>
      </c>
      <c r="M647" s="130" t="s">
        <v>2150</v>
      </c>
      <c r="N647" s="144" t="s">
        <v>28</v>
      </c>
      <c r="O647" s="130">
        <v>160.0</v>
      </c>
      <c r="P647" s="130" t="s">
        <v>29</v>
      </c>
      <c r="Q647" s="130" t="s">
        <v>39</v>
      </c>
      <c r="R647" s="132"/>
      <c r="S647" s="52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  <c r="AD647" s="129"/>
    </row>
    <row r="648" ht="14.25" customHeight="1">
      <c r="A648" s="133">
        <v>21.0</v>
      </c>
      <c r="B648" s="131" t="s">
        <v>2170</v>
      </c>
      <c r="C648" s="131" t="s">
        <v>2167</v>
      </c>
      <c r="D648" s="145" t="s">
        <v>1948</v>
      </c>
      <c r="E648" s="131" t="s">
        <v>189</v>
      </c>
      <c r="F648" s="55"/>
      <c r="G648" s="130">
        <v>420.0</v>
      </c>
      <c r="H648" s="130">
        <v>30.0</v>
      </c>
      <c r="I648" s="130">
        <v>150.0</v>
      </c>
      <c r="J648" s="130">
        <v>4.0</v>
      </c>
      <c r="K648" s="130">
        <v>4.0</v>
      </c>
      <c r="L648" s="130">
        <v>0.0</v>
      </c>
      <c r="M648" s="130" t="s">
        <v>2142</v>
      </c>
      <c r="N648" s="144" t="s">
        <v>28</v>
      </c>
      <c r="O648" s="130">
        <v>150.0</v>
      </c>
      <c r="P648" s="130" t="s">
        <v>29</v>
      </c>
      <c r="Q648" s="130">
        <v>0.0</v>
      </c>
      <c r="R648" s="132"/>
      <c r="S648" s="52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  <c r="AD648" s="129"/>
    </row>
    <row r="649" ht="14.25" customHeight="1">
      <c r="A649" s="133">
        <v>22.0</v>
      </c>
      <c r="B649" s="131" t="s">
        <v>2158</v>
      </c>
      <c r="C649" s="131" t="s">
        <v>2171</v>
      </c>
      <c r="D649" s="145" t="s">
        <v>1948</v>
      </c>
      <c r="E649" s="131" t="s">
        <v>189</v>
      </c>
      <c r="F649" s="55"/>
      <c r="G649" s="130">
        <v>496.0</v>
      </c>
      <c r="H649" s="130">
        <v>46.0</v>
      </c>
      <c r="I649" s="130">
        <v>230.0</v>
      </c>
      <c r="J649" s="130">
        <v>1.0</v>
      </c>
      <c r="K649" s="130">
        <v>1.0</v>
      </c>
      <c r="L649" s="130">
        <v>0.0</v>
      </c>
      <c r="M649" s="130" t="s">
        <v>2150</v>
      </c>
      <c r="N649" s="144" t="s">
        <v>28</v>
      </c>
      <c r="O649" s="130">
        <v>230.0</v>
      </c>
      <c r="P649" s="130" t="s">
        <v>29</v>
      </c>
      <c r="Q649" s="130" t="s">
        <v>39</v>
      </c>
      <c r="R649" s="132"/>
      <c r="S649" s="52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  <c r="AD649" s="129"/>
    </row>
    <row r="650" ht="14.25" customHeight="1">
      <c r="A650" s="133">
        <v>23.0</v>
      </c>
      <c r="B650" s="131" t="s">
        <v>2157</v>
      </c>
      <c r="C650" s="131" t="s">
        <v>2172</v>
      </c>
      <c r="D650" s="145" t="s">
        <v>1948</v>
      </c>
      <c r="E650" s="131" t="s">
        <v>189</v>
      </c>
      <c r="F650" s="55"/>
      <c r="G650" s="130">
        <v>123.0</v>
      </c>
      <c r="H650" s="130">
        <v>7.0</v>
      </c>
      <c r="I650" s="130">
        <v>35.0</v>
      </c>
      <c r="J650" s="130">
        <v>1.0</v>
      </c>
      <c r="K650" s="130">
        <v>1.0</v>
      </c>
      <c r="L650" s="130">
        <v>0.0</v>
      </c>
      <c r="M650" s="130" t="s">
        <v>2142</v>
      </c>
      <c r="N650" s="144" t="s">
        <v>28</v>
      </c>
      <c r="O650" s="130">
        <v>35.0</v>
      </c>
      <c r="P650" s="130" t="s">
        <v>29</v>
      </c>
      <c r="Q650" s="130">
        <v>0.0</v>
      </c>
      <c r="R650" s="132"/>
      <c r="S650" s="52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  <c r="AD650" s="129"/>
    </row>
    <row r="651" ht="14.25" customHeight="1">
      <c r="A651" s="133">
        <v>24.0</v>
      </c>
      <c r="B651" s="131" t="s">
        <v>2173</v>
      </c>
      <c r="C651" s="131" t="s">
        <v>2174</v>
      </c>
      <c r="D651" s="145" t="s">
        <v>1948</v>
      </c>
      <c r="E651" s="131" t="s">
        <v>189</v>
      </c>
      <c r="F651" s="55"/>
      <c r="G651" s="144" t="s">
        <v>28</v>
      </c>
      <c r="H651" s="144" t="s">
        <v>28</v>
      </c>
      <c r="I651" s="144" t="s">
        <v>28</v>
      </c>
      <c r="J651" s="144" t="s">
        <v>28</v>
      </c>
      <c r="K651" s="144" t="s">
        <v>28</v>
      </c>
      <c r="L651" s="144" t="s">
        <v>28</v>
      </c>
      <c r="M651" s="130" t="s">
        <v>2142</v>
      </c>
      <c r="N651" s="144" t="s">
        <v>28</v>
      </c>
      <c r="O651" s="144" t="s">
        <v>28</v>
      </c>
      <c r="P651" s="130" t="s">
        <v>29</v>
      </c>
      <c r="Q651" s="130">
        <v>0.0</v>
      </c>
      <c r="R651" s="132"/>
      <c r="S651" s="52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  <c r="AD651" s="129"/>
    </row>
    <row r="652" ht="14.25" customHeight="1">
      <c r="A652" s="133">
        <v>25.0</v>
      </c>
      <c r="B652" s="131" t="s">
        <v>2175</v>
      </c>
      <c r="C652" s="131" t="s">
        <v>2172</v>
      </c>
      <c r="D652" s="145" t="s">
        <v>1948</v>
      </c>
      <c r="E652" s="131" t="s">
        <v>189</v>
      </c>
      <c r="F652" s="55"/>
      <c r="G652" s="130">
        <v>386.0</v>
      </c>
      <c r="H652" s="130">
        <v>32.0</v>
      </c>
      <c r="I652" s="130">
        <v>160.0</v>
      </c>
      <c r="J652" s="130">
        <v>1.0</v>
      </c>
      <c r="K652" s="130">
        <v>1.0</v>
      </c>
      <c r="L652" s="130">
        <v>0.0</v>
      </c>
      <c r="M652" s="130" t="s">
        <v>2150</v>
      </c>
      <c r="N652" s="144" t="s">
        <v>28</v>
      </c>
      <c r="O652" s="130">
        <v>160.0</v>
      </c>
      <c r="P652" s="130" t="s">
        <v>29</v>
      </c>
      <c r="Q652" s="130">
        <v>0.0</v>
      </c>
      <c r="R652" s="132"/>
      <c r="S652" s="52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</row>
    <row r="653" ht="14.25" customHeight="1">
      <c r="A653" s="133">
        <v>26.0</v>
      </c>
      <c r="B653" s="131" t="s">
        <v>2176</v>
      </c>
      <c r="C653" s="131" t="s">
        <v>2177</v>
      </c>
      <c r="D653" s="145" t="s">
        <v>1948</v>
      </c>
      <c r="E653" s="131" t="s">
        <v>189</v>
      </c>
      <c r="F653" s="55"/>
      <c r="G653" s="130">
        <v>513.0</v>
      </c>
      <c r="H653" s="130">
        <v>48.0</v>
      </c>
      <c r="I653" s="130">
        <v>240.0</v>
      </c>
      <c r="J653" s="130">
        <v>2.0</v>
      </c>
      <c r="K653" s="130">
        <v>2.0</v>
      </c>
      <c r="L653" s="130">
        <v>0.0</v>
      </c>
      <c r="M653" s="130" t="s">
        <v>2150</v>
      </c>
      <c r="N653" s="144" t="s">
        <v>28</v>
      </c>
      <c r="O653" s="130">
        <v>240.0</v>
      </c>
      <c r="P653" s="130" t="s">
        <v>29</v>
      </c>
      <c r="Q653" s="130" t="s">
        <v>39</v>
      </c>
      <c r="R653" s="132"/>
      <c r="S653" s="52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</row>
    <row r="654" ht="14.25" customHeight="1">
      <c r="A654" s="133">
        <v>27.0</v>
      </c>
      <c r="B654" s="131" t="s">
        <v>2157</v>
      </c>
      <c r="C654" s="131" t="s">
        <v>2172</v>
      </c>
      <c r="D654" s="145" t="s">
        <v>1948</v>
      </c>
      <c r="E654" s="131" t="s">
        <v>189</v>
      </c>
      <c r="F654" s="55"/>
      <c r="G654" s="130">
        <v>561.0</v>
      </c>
      <c r="H654" s="130">
        <v>50.0</v>
      </c>
      <c r="I654" s="130">
        <v>250.0</v>
      </c>
      <c r="J654" s="130">
        <v>2.0</v>
      </c>
      <c r="K654" s="130">
        <v>2.0</v>
      </c>
      <c r="L654" s="130">
        <v>0.0</v>
      </c>
      <c r="M654" s="130" t="s">
        <v>2142</v>
      </c>
      <c r="N654" s="144" t="s">
        <v>28</v>
      </c>
      <c r="O654" s="130">
        <v>250.0</v>
      </c>
      <c r="P654" s="130" t="s">
        <v>66</v>
      </c>
      <c r="Q654" s="130">
        <v>1.0</v>
      </c>
      <c r="R654" s="132"/>
      <c r="S654" s="52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  <c r="AD654" s="129"/>
    </row>
    <row r="655" ht="14.25" customHeight="1">
      <c r="A655" s="133">
        <v>28.0</v>
      </c>
      <c r="B655" s="131" t="s">
        <v>2178</v>
      </c>
      <c r="C655" s="131" t="s">
        <v>2179</v>
      </c>
      <c r="D655" s="145" t="s">
        <v>1948</v>
      </c>
      <c r="E655" s="131" t="s">
        <v>189</v>
      </c>
      <c r="F655" s="55"/>
      <c r="G655" s="130">
        <v>496.0</v>
      </c>
      <c r="H655" s="130">
        <v>46.0</v>
      </c>
      <c r="I655" s="130">
        <v>230.0</v>
      </c>
      <c r="J655" s="130">
        <v>1.0</v>
      </c>
      <c r="K655" s="130">
        <v>1.0</v>
      </c>
      <c r="L655" s="130">
        <v>0.0</v>
      </c>
      <c r="M655" s="130" t="s">
        <v>2150</v>
      </c>
      <c r="N655" s="144" t="s">
        <v>28</v>
      </c>
      <c r="O655" s="130">
        <v>230.0</v>
      </c>
      <c r="P655" s="130" t="s">
        <v>66</v>
      </c>
      <c r="Q655" s="130">
        <v>1.0</v>
      </c>
      <c r="R655" s="132"/>
      <c r="S655" s="52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</row>
    <row r="656" ht="14.25" customHeight="1">
      <c r="A656" s="133">
        <v>29.0</v>
      </c>
      <c r="B656" s="131" t="s">
        <v>2180</v>
      </c>
      <c r="C656" s="131" t="s">
        <v>2181</v>
      </c>
      <c r="D656" s="145" t="s">
        <v>1948</v>
      </c>
      <c r="E656" s="131" t="s">
        <v>189</v>
      </c>
      <c r="F656" s="55"/>
      <c r="G656" s="130">
        <v>143.0</v>
      </c>
      <c r="H656" s="130">
        <v>18.0</v>
      </c>
      <c r="I656" s="130">
        <v>90.0</v>
      </c>
      <c r="J656" s="130">
        <v>1.0</v>
      </c>
      <c r="K656" s="130">
        <v>1.0</v>
      </c>
      <c r="L656" s="130">
        <v>0.0</v>
      </c>
      <c r="M656" s="130" t="s">
        <v>2182</v>
      </c>
      <c r="N656" s="144" t="s">
        <v>28</v>
      </c>
      <c r="O656" s="130">
        <v>90.0</v>
      </c>
      <c r="P656" s="130" t="s">
        <v>29</v>
      </c>
      <c r="Q656" s="130" t="s">
        <v>39</v>
      </c>
      <c r="R656" s="132"/>
      <c r="S656" s="52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</row>
    <row r="657" ht="14.25" customHeight="1">
      <c r="A657" s="133">
        <v>30.0</v>
      </c>
      <c r="B657" s="131" t="s">
        <v>2183</v>
      </c>
      <c r="C657" s="131" t="s">
        <v>2181</v>
      </c>
      <c r="D657" s="145" t="s">
        <v>1948</v>
      </c>
      <c r="E657" s="131" t="s">
        <v>189</v>
      </c>
      <c r="F657" s="55"/>
      <c r="G657" s="130">
        <v>56.0</v>
      </c>
      <c r="H657" s="130">
        <v>4.0</v>
      </c>
      <c r="I657" s="130">
        <v>20.0</v>
      </c>
      <c r="J657" s="130">
        <v>1.0</v>
      </c>
      <c r="K657" s="130">
        <v>1.0</v>
      </c>
      <c r="L657" s="130">
        <v>0.0</v>
      </c>
      <c r="M657" s="130" t="s">
        <v>2184</v>
      </c>
      <c r="N657" s="144" t="s">
        <v>28</v>
      </c>
      <c r="O657" s="130">
        <v>20.0</v>
      </c>
      <c r="P657" s="130" t="s">
        <v>66</v>
      </c>
      <c r="Q657" s="130">
        <v>1.0</v>
      </c>
      <c r="R657" s="132"/>
      <c r="S657" s="52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</row>
    <row r="658" ht="14.25" customHeight="1">
      <c r="A658" s="133">
        <v>31.0</v>
      </c>
      <c r="B658" s="131" t="s">
        <v>2183</v>
      </c>
      <c r="C658" s="131" t="s">
        <v>2185</v>
      </c>
      <c r="D658" s="145" t="s">
        <v>1948</v>
      </c>
      <c r="E658" s="131" t="s">
        <v>189</v>
      </c>
      <c r="F658" s="55"/>
      <c r="G658" s="130">
        <v>100.0</v>
      </c>
      <c r="H658" s="130">
        <v>6.0</v>
      </c>
      <c r="I658" s="130">
        <v>30.0</v>
      </c>
      <c r="J658" s="130">
        <v>1.0</v>
      </c>
      <c r="K658" s="130">
        <v>1.0</v>
      </c>
      <c r="L658" s="130">
        <v>0.0</v>
      </c>
      <c r="M658" s="130" t="s">
        <v>2184</v>
      </c>
      <c r="N658" s="144" t="s">
        <v>28</v>
      </c>
      <c r="O658" s="130">
        <v>30.0</v>
      </c>
      <c r="P658" s="130" t="s">
        <v>66</v>
      </c>
      <c r="Q658" s="130">
        <v>1.0</v>
      </c>
      <c r="R658" s="132"/>
      <c r="S658" s="52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</row>
    <row r="659" ht="14.25" customHeight="1">
      <c r="A659" s="133">
        <v>32.0</v>
      </c>
      <c r="B659" s="131" t="s">
        <v>2183</v>
      </c>
      <c r="C659" s="131" t="s">
        <v>2186</v>
      </c>
      <c r="D659" s="145" t="s">
        <v>1948</v>
      </c>
      <c r="E659" s="131" t="s">
        <v>189</v>
      </c>
      <c r="F659" s="55"/>
      <c r="G659" s="130">
        <v>90.0</v>
      </c>
      <c r="H659" s="130">
        <v>5.0</v>
      </c>
      <c r="I659" s="130">
        <v>25.0</v>
      </c>
      <c r="J659" s="130">
        <v>1.0</v>
      </c>
      <c r="K659" s="130">
        <v>1.0</v>
      </c>
      <c r="L659" s="130">
        <v>0.0</v>
      </c>
      <c r="M659" s="130" t="s">
        <v>2150</v>
      </c>
      <c r="N659" s="144" t="s">
        <v>28</v>
      </c>
      <c r="O659" s="130">
        <v>25.0</v>
      </c>
      <c r="P659" s="130" t="s">
        <v>66</v>
      </c>
      <c r="Q659" s="130">
        <v>1.0</v>
      </c>
      <c r="R659" s="132"/>
      <c r="S659" s="52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</row>
    <row r="660" ht="14.25" customHeight="1">
      <c r="A660" s="133">
        <v>33.0</v>
      </c>
      <c r="B660" s="131" t="s">
        <v>2158</v>
      </c>
      <c r="C660" s="131" t="s">
        <v>2187</v>
      </c>
      <c r="D660" s="145" t="s">
        <v>1948</v>
      </c>
      <c r="E660" s="131" t="s">
        <v>189</v>
      </c>
      <c r="F660" s="55"/>
      <c r="G660" s="130">
        <v>496.0</v>
      </c>
      <c r="H660" s="130">
        <v>44.0</v>
      </c>
      <c r="I660" s="130">
        <v>220.0</v>
      </c>
      <c r="J660" s="130">
        <v>1.0</v>
      </c>
      <c r="K660" s="130">
        <v>1.0</v>
      </c>
      <c r="L660" s="130">
        <v>0.0</v>
      </c>
      <c r="M660" s="130" t="s">
        <v>2150</v>
      </c>
      <c r="N660" s="144" t="s">
        <v>28</v>
      </c>
      <c r="O660" s="130">
        <v>220.0</v>
      </c>
      <c r="P660" s="130" t="s">
        <v>66</v>
      </c>
      <c r="Q660" s="130">
        <v>1.0</v>
      </c>
      <c r="R660" s="132"/>
      <c r="S660" s="52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</row>
    <row r="661" ht="14.25" customHeight="1">
      <c r="A661" s="133">
        <v>34.0</v>
      </c>
      <c r="B661" s="131" t="s">
        <v>2158</v>
      </c>
      <c r="C661" s="131" t="s">
        <v>2188</v>
      </c>
      <c r="D661" s="145" t="s">
        <v>1948</v>
      </c>
      <c r="E661" s="131" t="s">
        <v>189</v>
      </c>
      <c r="F661" s="55"/>
      <c r="G661" s="130">
        <v>595.0</v>
      </c>
      <c r="H661" s="130">
        <v>46.0</v>
      </c>
      <c r="I661" s="130">
        <v>260.0</v>
      </c>
      <c r="J661" s="130">
        <v>1.0</v>
      </c>
      <c r="K661" s="130">
        <v>1.0</v>
      </c>
      <c r="L661" s="130">
        <v>0.0</v>
      </c>
      <c r="M661" s="130" t="s">
        <v>2182</v>
      </c>
      <c r="N661" s="144" t="s">
        <v>28</v>
      </c>
      <c r="O661" s="130">
        <v>260.0</v>
      </c>
      <c r="P661" s="130" t="s">
        <v>66</v>
      </c>
      <c r="Q661" s="130">
        <v>1.0</v>
      </c>
      <c r="R661" s="132"/>
      <c r="S661" s="52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</row>
    <row r="662" ht="14.25" customHeight="1">
      <c r="A662" s="133">
        <v>35.0</v>
      </c>
      <c r="B662" s="131" t="s">
        <v>2158</v>
      </c>
      <c r="C662" s="131" t="s">
        <v>2189</v>
      </c>
      <c r="D662" s="145" t="s">
        <v>1948</v>
      </c>
      <c r="E662" s="131" t="s">
        <v>189</v>
      </c>
      <c r="F662" s="55"/>
      <c r="G662" s="130">
        <v>410.0</v>
      </c>
      <c r="H662" s="130">
        <v>40.0</v>
      </c>
      <c r="I662" s="130">
        <v>200.0</v>
      </c>
      <c r="J662" s="130">
        <v>1.0</v>
      </c>
      <c r="K662" s="130">
        <v>1.0</v>
      </c>
      <c r="L662" s="130">
        <v>0.0</v>
      </c>
      <c r="M662" s="130" t="s">
        <v>2182</v>
      </c>
      <c r="N662" s="144" t="s">
        <v>28</v>
      </c>
      <c r="O662" s="130">
        <v>200.0</v>
      </c>
      <c r="P662" s="130" t="s">
        <v>66</v>
      </c>
      <c r="Q662" s="130">
        <v>1.0</v>
      </c>
      <c r="R662" s="132"/>
      <c r="S662" s="52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</row>
    <row r="663" ht="14.25" customHeight="1">
      <c r="A663" s="133">
        <v>36.0</v>
      </c>
      <c r="B663" s="131" t="s">
        <v>2183</v>
      </c>
      <c r="C663" s="131" t="s">
        <v>2190</v>
      </c>
      <c r="D663" s="145" t="s">
        <v>1948</v>
      </c>
      <c r="E663" s="131" t="s">
        <v>189</v>
      </c>
      <c r="F663" s="55"/>
      <c r="G663" s="130">
        <v>133.0</v>
      </c>
      <c r="H663" s="130">
        <v>9.0</v>
      </c>
      <c r="I663" s="130">
        <v>45.0</v>
      </c>
      <c r="J663" s="130">
        <v>1.0</v>
      </c>
      <c r="K663" s="130">
        <v>1.0</v>
      </c>
      <c r="L663" s="130">
        <v>0.0</v>
      </c>
      <c r="M663" s="130" t="s">
        <v>2182</v>
      </c>
      <c r="N663" s="144" t="s">
        <v>28</v>
      </c>
      <c r="O663" s="130">
        <v>45.0</v>
      </c>
      <c r="P663" s="130" t="s">
        <v>29</v>
      </c>
      <c r="Q663" s="130" t="s">
        <v>39</v>
      </c>
      <c r="R663" s="132"/>
      <c r="S663" s="52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</row>
    <row r="664" ht="31.5" customHeight="1">
      <c r="A664" s="133">
        <v>37.0</v>
      </c>
      <c r="B664" s="131" t="s">
        <v>394</v>
      </c>
      <c r="C664" s="131" t="s">
        <v>2154</v>
      </c>
      <c r="D664" s="145" t="s">
        <v>1948</v>
      </c>
      <c r="E664" s="131" t="s">
        <v>189</v>
      </c>
      <c r="F664" s="55"/>
      <c r="G664" s="132">
        <v>520.0</v>
      </c>
      <c r="H664" s="132">
        <v>45.0</v>
      </c>
      <c r="I664" s="132">
        <v>250.0</v>
      </c>
      <c r="J664" s="132">
        <v>4.0</v>
      </c>
      <c r="K664" s="132">
        <v>4.0</v>
      </c>
      <c r="L664" s="132">
        <v>0.0</v>
      </c>
      <c r="M664" s="130" t="s">
        <v>2182</v>
      </c>
      <c r="N664" s="144" t="s">
        <v>28</v>
      </c>
      <c r="O664" s="132">
        <v>300.0</v>
      </c>
      <c r="P664" s="159" t="s">
        <v>29</v>
      </c>
      <c r="Q664" s="132">
        <v>20.0</v>
      </c>
      <c r="R664" s="132"/>
      <c r="S664" s="52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</row>
    <row r="665" ht="15.75" customHeight="1">
      <c r="A665" s="181"/>
      <c r="B665" s="182" t="s">
        <v>2191</v>
      </c>
      <c r="C665" s="182"/>
      <c r="D665" s="182"/>
      <c r="E665" s="182"/>
      <c r="F665" s="182"/>
      <c r="G665" s="183"/>
      <c r="H665" s="184"/>
      <c r="I665" s="184"/>
      <c r="J665" s="185"/>
      <c r="K665" s="185"/>
      <c r="L665" s="185"/>
      <c r="M665" s="185"/>
      <c r="N665" s="185"/>
      <c r="O665" s="185"/>
      <c r="P665" s="184"/>
      <c r="Q665" s="185"/>
      <c r="R665" s="141"/>
      <c r="S665" s="142"/>
      <c r="T665" s="142"/>
      <c r="U665" s="142"/>
      <c r="V665" s="142"/>
      <c r="W665" s="142"/>
      <c r="X665" s="142"/>
      <c r="Y665" s="142"/>
      <c r="Z665" s="142"/>
      <c r="AA665" s="142"/>
      <c r="AB665" s="142"/>
      <c r="AC665" s="142"/>
      <c r="AD665" s="142"/>
    </row>
    <row r="666" ht="14.25" customHeight="1">
      <c r="A666" s="133">
        <v>1.0</v>
      </c>
      <c r="B666" s="149" t="s">
        <v>2192</v>
      </c>
      <c r="C666" s="149" t="s">
        <v>2193</v>
      </c>
      <c r="D666" s="145" t="s">
        <v>1948</v>
      </c>
      <c r="E666" s="131" t="s">
        <v>189</v>
      </c>
      <c r="F666" s="52"/>
      <c r="G666" s="132">
        <v>120.0</v>
      </c>
      <c r="H666" s="132">
        <v>8.0</v>
      </c>
      <c r="I666" s="132">
        <v>40.0</v>
      </c>
      <c r="J666" s="132">
        <v>1.0</v>
      </c>
      <c r="K666" s="132">
        <v>1.0</v>
      </c>
      <c r="L666" s="132">
        <v>0.0</v>
      </c>
      <c r="M666" s="132">
        <v>1.0</v>
      </c>
      <c r="N666" s="132">
        <v>0.0</v>
      </c>
      <c r="O666" s="132">
        <v>360.0</v>
      </c>
      <c r="P666" s="132" t="s">
        <v>66</v>
      </c>
      <c r="Q666" s="132">
        <v>20.0</v>
      </c>
      <c r="R666" s="132"/>
      <c r="S666" s="52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  <c r="AD666" s="129"/>
    </row>
    <row r="667" ht="14.25" customHeight="1">
      <c r="A667" s="133">
        <v>2.0</v>
      </c>
      <c r="B667" s="149" t="s">
        <v>2194</v>
      </c>
      <c r="C667" s="149" t="s">
        <v>2193</v>
      </c>
      <c r="D667" s="145" t="s">
        <v>1948</v>
      </c>
      <c r="E667" s="131" t="s">
        <v>189</v>
      </c>
      <c r="F667" s="52"/>
      <c r="G667" s="132">
        <v>200.0</v>
      </c>
      <c r="H667" s="132">
        <v>20.0</v>
      </c>
      <c r="I667" s="132">
        <v>80.0</v>
      </c>
      <c r="J667" s="132">
        <v>1.0</v>
      </c>
      <c r="K667" s="132">
        <v>1.0</v>
      </c>
      <c r="L667" s="132">
        <v>1.0</v>
      </c>
      <c r="M667" s="132">
        <v>1.0</v>
      </c>
      <c r="N667" s="132">
        <v>0.0</v>
      </c>
      <c r="O667" s="132">
        <v>800.0</v>
      </c>
      <c r="P667" s="132" t="s">
        <v>29</v>
      </c>
      <c r="Q667" s="132"/>
      <c r="R667" s="132"/>
      <c r="S667" s="52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  <c r="AD667" s="129"/>
    </row>
    <row r="668" ht="14.25" customHeight="1">
      <c r="A668" s="133">
        <v>3.0</v>
      </c>
      <c r="B668" s="149" t="s">
        <v>2195</v>
      </c>
      <c r="C668" s="149" t="s">
        <v>2196</v>
      </c>
      <c r="D668" s="145" t="s">
        <v>1948</v>
      </c>
      <c r="E668" s="131" t="s">
        <v>189</v>
      </c>
      <c r="F668" s="52"/>
      <c r="G668" s="132">
        <v>400.0</v>
      </c>
      <c r="H668" s="132">
        <v>40.0</v>
      </c>
      <c r="I668" s="132">
        <v>160.0</v>
      </c>
      <c r="J668" s="132">
        <v>1.0</v>
      </c>
      <c r="K668" s="132">
        <v>1.0</v>
      </c>
      <c r="L668" s="132">
        <v>1.0</v>
      </c>
      <c r="M668" s="132">
        <v>1.0</v>
      </c>
      <c r="N668" s="132">
        <v>1.0</v>
      </c>
      <c r="O668" s="132">
        <v>1600.0</v>
      </c>
      <c r="P668" s="132" t="s">
        <v>29</v>
      </c>
      <c r="Q668" s="132"/>
      <c r="R668" s="132"/>
      <c r="S668" s="52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  <c r="AD668" s="129"/>
    </row>
    <row r="669" ht="14.25" customHeight="1">
      <c r="A669" s="133">
        <v>4.0</v>
      </c>
      <c r="B669" s="149" t="s">
        <v>1319</v>
      </c>
      <c r="C669" s="149" t="s">
        <v>2197</v>
      </c>
      <c r="D669" s="145" t="s">
        <v>1948</v>
      </c>
      <c r="E669" s="131" t="s">
        <v>189</v>
      </c>
      <c r="F669" s="52"/>
      <c r="G669" s="144" t="s">
        <v>28</v>
      </c>
      <c r="H669" s="144" t="s">
        <v>28</v>
      </c>
      <c r="I669" s="144" t="s">
        <v>28</v>
      </c>
      <c r="J669" s="144" t="s">
        <v>28</v>
      </c>
      <c r="K669" s="144" t="s">
        <v>28</v>
      </c>
      <c r="L669" s="144" t="s">
        <v>28</v>
      </c>
      <c r="M669" s="144" t="s">
        <v>28</v>
      </c>
      <c r="N669" s="144" t="s">
        <v>28</v>
      </c>
      <c r="O669" s="144" t="s">
        <v>28</v>
      </c>
      <c r="P669" s="144" t="s">
        <v>28</v>
      </c>
      <c r="Q669" s="132"/>
      <c r="R669" s="132"/>
      <c r="S669" s="52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  <c r="AD669" s="129"/>
    </row>
    <row r="670" ht="14.25" customHeight="1">
      <c r="A670" s="133">
        <v>5.0</v>
      </c>
      <c r="B670" s="149" t="s">
        <v>1319</v>
      </c>
      <c r="C670" s="149" t="s">
        <v>2198</v>
      </c>
      <c r="D670" s="145" t="s">
        <v>1948</v>
      </c>
      <c r="E670" s="131" t="s">
        <v>189</v>
      </c>
      <c r="F670" s="52"/>
      <c r="G670" s="144" t="s">
        <v>28</v>
      </c>
      <c r="H670" s="144" t="s">
        <v>28</v>
      </c>
      <c r="I670" s="144" t="s">
        <v>28</v>
      </c>
      <c r="J670" s="144" t="s">
        <v>28</v>
      </c>
      <c r="K670" s="144" t="s">
        <v>28</v>
      </c>
      <c r="L670" s="144" t="s">
        <v>28</v>
      </c>
      <c r="M670" s="144" t="s">
        <v>28</v>
      </c>
      <c r="N670" s="144" t="s">
        <v>28</v>
      </c>
      <c r="O670" s="144" t="s">
        <v>28</v>
      </c>
      <c r="P670" s="144" t="s">
        <v>28</v>
      </c>
      <c r="Q670" s="132"/>
      <c r="R670" s="132"/>
      <c r="S670" s="52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  <c r="AD670" s="129"/>
    </row>
    <row r="671" ht="14.25" customHeight="1">
      <c r="A671" s="133">
        <v>6.0</v>
      </c>
      <c r="B671" s="149" t="s">
        <v>1319</v>
      </c>
      <c r="C671" s="149" t="s">
        <v>2199</v>
      </c>
      <c r="D671" s="145" t="s">
        <v>1948</v>
      </c>
      <c r="E671" s="131" t="s">
        <v>189</v>
      </c>
      <c r="F671" s="52"/>
      <c r="G671" s="144" t="s">
        <v>28</v>
      </c>
      <c r="H671" s="144" t="s">
        <v>28</v>
      </c>
      <c r="I671" s="144" t="s">
        <v>28</v>
      </c>
      <c r="J671" s="144" t="s">
        <v>28</v>
      </c>
      <c r="K671" s="144" t="s">
        <v>28</v>
      </c>
      <c r="L671" s="144" t="s">
        <v>28</v>
      </c>
      <c r="M671" s="144" t="s">
        <v>28</v>
      </c>
      <c r="N671" s="144" t="s">
        <v>28</v>
      </c>
      <c r="O671" s="144" t="s">
        <v>28</v>
      </c>
      <c r="P671" s="144" t="s">
        <v>28</v>
      </c>
      <c r="Q671" s="132"/>
      <c r="R671" s="132"/>
      <c r="S671" s="52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  <c r="AD671" s="129"/>
    </row>
    <row r="672" ht="14.25" customHeight="1">
      <c r="A672" s="133">
        <v>7.0</v>
      </c>
      <c r="B672" s="149" t="s">
        <v>1319</v>
      </c>
      <c r="C672" s="149" t="s">
        <v>2200</v>
      </c>
      <c r="D672" s="145" t="s">
        <v>1948</v>
      </c>
      <c r="E672" s="131" t="s">
        <v>189</v>
      </c>
      <c r="F672" s="52"/>
      <c r="G672" s="144" t="s">
        <v>28</v>
      </c>
      <c r="H672" s="144" t="s">
        <v>28</v>
      </c>
      <c r="I672" s="144" t="s">
        <v>28</v>
      </c>
      <c r="J672" s="144" t="s">
        <v>28</v>
      </c>
      <c r="K672" s="144" t="s">
        <v>28</v>
      </c>
      <c r="L672" s="144" t="s">
        <v>28</v>
      </c>
      <c r="M672" s="144" t="s">
        <v>28</v>
      </c>
      <c r="N672" s="144" t="s">
        <v>28</v>
      </c>
      <c r="O672" s="144" t="s">
        <v>28</v>
      </c>
      <c r="P672" s="144" t="s">
        <v>28</v>
      </c>
      <c r="Q672" s="132"/>
      <c r="R672" s="132"/>
      <c r="S672" s="52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  <c r="AD672" s="129"/>
    </row>
    <row r="673" ht="14.25" customHeight="1">
      <c r="A673" s="133">
        <v>8.0</v>
      </c>
      <c r="B673" s="149" t="s">
        <v>1319</v>
      </c>
      <c r="C673" s="149" t="s">
        <v>2201</v>
      </c>
      <c r="D673" s="145" t="s">
        <v>1948</v>
      </c>
      <c r="E673" s="131" t="s">
        <v>189</v>
      </c>
      <c r="F673" s="52"/>
      <c r="G673" s="144" t="s">
        <v>28</v>
      </c>
      <c r="H673" s="144" t="s">
        <v>28</v>
      </c>
      <c r="I673" s="144" t="s">
        <v>28</v>
      </c>
      <c r="J673" s="144" t="s">
        <v>28</v>
      </c>
      <c r="K673" s="144" t="s">
        <v>28</v>
      </c>
      <c r="L673" s="144" t="s">
        <v>28</v>
      </c>
      <c r="M673" s="144" t="s">
        <v>28</v>
      </c>
      <c r="N673" s="144" t="s">
        <v>28</v>
      </c>
      <c r="O673" s="144" t="s">
        <v>28</v>
      </c>
      <c r="P673" s="144" t="s">
        <v>28</v>
      </c>
      <c r="Q673" s="132"/>
      <c r="R673" s="132"/>
      <c r="S673" s="52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  <c r="AD673" s="129"/>
    </row>
    <row r="674" ht="14.25" customHeight="1">
      <c r="A674" s="133">
        <v>9.0</v>
      </c>
      <c r="B674" s="149" t="s">
        <v>1319</v>
      </c>
      <c r="C674" s="149" t="s">
        <v>2202</v>
      </c>
      <c r="D674" s="145" t="s">
        <v>1948</v>
      </c>
      <c r="E674" s="131" t="s">
        <v>189</v>
      </c>
      <c r="F674" s="52"/>
      <c r="G674" s="144" t="s">
        <v>28</v>
      </c>
      <c r="H674" s="144" t="s">
        <v>28</v>
      </c>
      <c r="I674" s="144" t="s">
        <v>28</v>
      </c>
      <c r="J674" s="144" t="s">
        <v>28</v>
      </c>
      <c r="K674" s="144" t="s">
        <v>28</v>
      </c>
      <c r="L674" s="144" t="s">
        <v>28</v>
      </c>
      <c r="M674" s="144" t="s">
        <v>28</v>
      </c>
      <c r="N674" s="144" t="s">
        <v>28</v>
      </c>
      <c r="O674" s="144" t="s">
        <v>28</v>
      </c>
      <c r="P674" s="144" t="s">
        <v>28</v>
      </c>
      <c r="Q674" s="132"/>
      <c r="R674" s="132"/>
      <c r="S674" s="52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  <c r="AD674" s="129"/>
    </row>
    <row r="675" ht="14.25" customHeight="1">
      <c r="A675" s="133">
        <v>10.0</v>
      </c>
      <c r="B675" s="149" t="s">
        <v>1319</v>
      </c>
      <c r="C675" s="149" t="s">
        <v>2203</v>
      </c>
      <c r="D675" s="145" t="s">
        <v>1948</v>
      </c>
      <c r="E675" s="131" t="s">
        <v>189</v>
      </c>
      <c r="F675" s="52"/>
      <c r="G675" s="144" t="s">
        <v>28</v>
      </c>
      <c r="H675" s="144" t="s">
        <v>28</v>
      </c>
      <c r="I675" s="144" t="s">
        <v>28</v>
      </c>
      <c r="J675" s="144" t="s">
        <v>28</v>
      </c>
      <c r="K675" s="144" t="s">
        <v>28</v>
      </c>
      <c r="L675" s="144" t="s">
        <v>28</v>
      </c>
      <c r="M675" s="144" t="s">
        <v>28</v>
      </c>
      <c r="N675" s="144" t="s">
        <v>28</v>
      </c>
      <c r="O675" s="144" t="s">
        <v>28</v>
      </c>
      <c r="P675" s="144" t="s">
        <v>28</v>
      </c>
      <c r="Q675" s="132"/>
      <c r="R675" s="132"/>
      <c r="S675" s="52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  <c r="AD675" s="129"/>
    </row>
    <row r="676" ht="14.25" customHeight="1">
      <c r="A676" s="133">
        <v>11.0</v>
      </c>
      <c r="B676" s="149" t="s">
        <v>1319</v>
      </c>
      <c r="C676" s="149" t="s">
        <v>2204</v>
      </c>
      <c r="D676" s="145" t="s">
        <v>1948</v>
      </c>
      <c r="E676" s="131" t="s">
        <v>189</v>
      </c>
      <c r="F676" s="52"/>
      <c r="G676" s="144" t="s">
        <v>28</v>
      </c>
      <c r="H676" s="144" t="s">
        <v>28</v>
      </c>
      <c r="I676" s="144" t="s">
        <v>28</v>
      </c>
      <c r="J676" s="144" t="s">
        <v>28</v>
      </c>
      <c r="K676" s="144" t="s">
        <v>28</v>
      </c>
      <c r="L676" s="144" t="s">
        <v>28</v>
      </c>
      <c r="M676" s="144" t="s">
        <v>28</v>
      </c>
      <c r="N676" s="144" t="s">
        <v>28</v>
      </c>
      <c r="O676" s="144" t="s">
        <v>28</v>
      </c>
      <c r="P676" s="144" t="s">
        <v>28</v>
      </c>
      <c r="Q676" s="132"/>
      <c r="R676" s="132"/>
      <c r="S676" s="52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  <c r="AD676" s="129"/>
    </row>
    <row r="677" ht="14.25" customHeight="1">
      <c r="A677" s="133">
        <v>12.0</v>
      </c>
      <c r="B677" s="149" t="s">
        <v>1319</v>
      </c>
      <c r="C677" s="149" t="s">
        <v>2205</v>
      </c>
      <c r="D677" s="145" t="s">
        <v>1948</v>
      </c>
      <c r="E677" s="131" t="s">
        <v>189</v>
      </c>
      <c r="F677" s="52"/>
      <c r="G677" s="144" t="s">
        <v>28</v>
      </c>
      <c r="H677" s="144" t="s">
        <v>28</v>
      </c>
      <c r="I677" s="144" t="s">
        <v>28</v>
      </c>
      <c r="J677" s="144" t="s">
        <v>28</v>
      </c>
      <c r="K677" s="144" t="s">
        <v>28</v>
      </c>
      <c r="L677" s="144" t="s">
        <v>28</v>
      </c>
      <c r="M677" s="144" t="s">
        <v>28</v>
      </c>
      <c r="N677" s="144" t="s">
        <v>28</v>
      </c>
      <c r="O677" s="144" t="s">
        <v>28</v>
      </c>
      <c r="P677" s="144" t="s">
        <v>28</v>
      </c>
      <c r="Q677" s="132"/>
      <c r="R677" s="132"/>
      <c r="S677" s="52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  <c r="AD677" s="129"/>
    </row>
    <row r="678" ht="14.25" customHeight="1">
      <c r="A678" s="133">
        <v>13.0</v>
      </c>
      <c r="B678" s="149" t="s">
        <v>1319</v>
      </c>
      <c r="C678" s="149" t="s">
        <v>2206</v>
      </c>
      <c r="D678" s="145" t="s">
        <v>1948</v>
      </c>
      <c r="E678" s="131" t="s">
        <v>189</v>
      </c>
      <c r="F678" s="52"/>
      <c r="G678" s="144" t="s">
        <v>28</v>
      </c>
      <c r="H678" s="144" t="s">
        <v>28</v>
      </c>
      <c r="I678" s="144" t="s">
        <v>28</v>
      </c>
      <c r="J678" s="144" t="s">
        <v>28</v>
      </c>
      <c r="K678" s="144" t="s">
        <v>28</v>
      </c>
      <c r="L678" s="144" t="s">
        <v>28</v>
      </c>
      <c r="M678" s="144" t="s">
        <v>28</v>
      </c>
      <c r="N678" s="144" t="s">
        <v>28</v>
      </c>
      <c r="O678" s="144" t="s">
        <v>28</v>
      </c>
      <c r="P678" s="144" t="s">
        <v>28</v>
      </c>
      <c r="Q678" s="132"/>
      <c r="R678" s="132"/>
      <c r="S678" s="52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  <c r="AD678" s="129"/>
    </row>
    <row r="679" ht="14.25" customHeight="1">
      <c r="A679" s="133">
        <v>14.0</v>
      </c>
      <c r="B679" s="149" t="s">
        <v>1319</v>
      </c>
      <c r="C679" s="149" t="s">
        <v>2207</v>
      </c>
      <c r="D679" s="145" t="s">
        <v>1948</v>
      </c>
      <c r="E679" s="131" t="s">
        <v>189</v>
      </c>
      <c r="F679" s="52"/>
      <c r="G679" s="144" t="s">
        <v>28</v>
      </c>
      <c r="H679" s="144" t="s">
        <v>28</v>
      </c>
      <c r="I679" s="144" t="s">
        <v>28</v>
      </c>
      <c r="J679" s="144" t="s">
        <v>28</v>
      </c>
      <c r="K679" s="144" t="s">
        <v>28</v>
      </c>
      <c r="L679" s="144" t="s">
        <v>28</v>
      </c>
      <c r="M679" s="144" t="s">
        <v>28</v>
      </c>
      <c r="N679" s="144" t="s">
        <v>28</v>
      </c>
      <c r="O679" s="144" t="s">
        <v>28</v>
      </c>
      <c r="P679" s="144" t="s">
        <v>28</v>
      </c>
      <c r="Q679" s="132"/>
      <c r="R679" s="132"/>
      <c r="S679" s="52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  <c r="AD679" s="129"/>
    </row>
    <row r="680" ht="14.25" customHeight="1">
      <c r="A680" s="133">
        <v>15.0</v>
      </c>
      <c r="B680" s="149" t="s">
        <v>1319</v>
      </c>
      <c r="C680" s="149" t="s">
        <v>2208</v>
      </c>
      <c r="D680" s="145" t="s">
        <v>1948</v>
      </c>
      <c r="E680" s="131" t="s">
        <v>189</v>
      </c>
      <c r="F680" s="52"/>
      <c r="G680" s="144" t="s">
        <v>28</v>
      </c>
      <c r="H680" s="144" t="s">
        <v>28</v>
      </c>
      <c r="I680" s="144" t="s">
        <v>28</v>
      </c>
      <c r="J680" s="144" t="s">
        <v>28</v>
      </c>
      <c r="K680" s="144" t="s">
        <v>28</v>
      </c>
      <c r="L680" s="144" t="s">
        <v>28</v>
      </c>
      <c r="M680" s="144" t="s">
        <v>28</v>
      </c>
      <c r="N680" s="144" t="s">
        <v>28</v>
      </c>
      <c r="O680" s="144" t="s">
        <v>28</v>
      </c>
      <c r="P680" s="144" t="s">
        <v>28</v>
      </c>
      <c r="Q680" s="132"/>
      <c r="R680" s="132"/>
      <c r="S680" s="52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  <c r="AD680" s="129"/>
    </row>
    <row r="681" ht="14.25" customHeight="1">
      <c r="A681" s="133">
        <v>16.0</v>
      </c>
      <c r="B681" s="149" t="s">
        <v>1319</v>
      </c>
      <c r="C681" s="149" t="s">
        <v>2209</v>
      </c>
      <c r="D681" s="145" t="s">
        <v>1948</v>
      </c>
      <c r="E681" s="131" t="s">
        <v>189</v>
      </c>
      <c r="F681" s="52"/>
      <c r="G681" s="144" t="s">
        <v>28</v>
      </c>
      <c r="H681" s="144" t="s">
        <v>28</v>
      </c>
      <c r="I681" s="144" t="s">
        <v>28</v>
      </c>
      <c r="J681" s="144" t="s">
        <v>28</v>
      </c>
      <c r="K681" s="144" t="s">
        <v>28</v>
      </c>
      <c r="L681" s="144" t="s">
        <v>28</v>
      </c>
      <c r="M681" s="144" t="s">
        <v>28</v>
      </c>
      <c r="N681" s="144" t="s">
        <v>28</v>
      </c>
      <c r="O681" s="144" t="s">
        <v>28</v>
      </c>
      <c r="P681" s="144" t="s">
        <v>28</v>
      </c>
      <c r="Q681" s="132"/>
      <c r="R681" s="132"/>
      <c r="S681" s="52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  <c r="AD681" s="129"/>
    </row>
    <row r="682" ht="14.25" customHeight="1">
      <c r="A682" s="133">
        <v>17.0</v>
      </c>
      <c r="B682" s="149" t="s">
        <v>1319</v>
      </c>
      <c r="C682" s="149" t="s">
        <v>2210</v>
      </c>
      <c r="D682" s="145" t="s">
        <v>1948</v>
      </c>
      <c r="E682" s="131" t="s">
        <v>189</v>
      </c>
      <c r="F682" s="52"/>
      <c r="G682" s="144" t="s">
        <v>28</v>
      </c>
      <c r="H682" s="144" t="s">
        <v>28</v>
      </c>
      <c r="I682" s="144" t="s">
        <v>28</v>
      </c>
      <c r="J682" s="144" t="s">
        <v>28</v>
      </c>
      <c r="K682" s="144" t="s">
        <v>28</v>
      </c>
      <c r="L682" s="144" t="s">
        <v>28</v>
      </c>
      <c r="M682" s="144" t="s">
        <v>28</v>
      </c>
      <c r="N682" s="144" t="s">
        <v>28</v>
      </c>
      <c r="O682" s="144" t="s">
        <v>28</v>
      </c>
      <c r="P682" s="144" t="s">
        <v>28</v>
      </c>
      <c r="Q682" s="132"/>
      <c r="R682" s="132"/>
      <c r="S682" s="52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  <c r="AD682" s="129"/>
    </row>
    <row r="683" ht="14.25" customHeight="1">
      <c r="A683" s="133">
        <v>18.0</v>
      </c>
      <c r="B683" s="149" t="s">
        <v>1319</v>
      </c>
      <c r="C683" s="149" t="s">
        <v>2211</v>
      </c>
      <c r="D683" s="145" t="s">
        <v>1948</v>
      </c>
      <c r="E683" s="131" t="s">
        <v>189</v>
      </c>
      <c r="F683" s="52"/>
      <c r="G683" s="144" t="s">
        <v>28</v>
      </c>
      <c r="H683" s="144" t="s">
        <v>28</v>
      </c>
      <c r="I683" s="144" t="s">
        <v>28</v>
      </c>
      <c r="J683" s="144" t="s">
        <v>28</v>
      </c>
      <c r="K683" s="144" t="s">
        <v>28</v>
      </c>
      <c r="L683" s="144" t="s">
        <v>28</v>
      </c>
      <c r="M683" s="144" t="s">
        <v>28</v>
      </c>
      <c r="N683" s="144" t="s">
        <v>28</v>
      </c>
      <c r="O683" s="144" t="s">
        <v>28</v>
      </c>
      <c r="P683" s="144" t="s">
        <v>28</v>
      </c>
      <c r="Q683" s="132"/>
      <c r="R683" s="132"/>
      <c r="S683" s="52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  <c r="AD683" s="129"/>
    </row>
    <row r="684" ht="14.25" customHeight="1">
      <c r="A684" s="133">
        <v>19.0</v>
      </c>
      <c r="B684" s="149" t="s">
        <v>1319</v>
      </c>
      <c r="C684" s="149" t="s">
        <v>2212</v>
      </c>
      <c r="D684" s="145" t="s">
        <v>1948</v>
      </c>
      <c r="E684" s="131" t="s">
        <v>189</v>
      </c>
      <c r="F684" s="52"/>
      <c r="G684" s="144" t="s">
        <v>28</v>
      </c>
      <c r="H684" s="144" t="s">
        <v>28</v>
      </c>
      <c r="I684" s="144" t="s">
        <v>28</v>
      </c>
      <c r="J684" s="144" t="s">
        <v>28</v>
      </c>
      <c r="K684" s="144" t="s">
        <v>28</v>
      </c>
      <c r="L684" s="144" t="s">
        <v>28</v>
      </c>
      <c r="M684" s="144" t="s">
        <v>28</v>
      </c>
      <c r="N684" s="144" t="s">
        <v>28</v>
      </c>
      <c r="O684" s="144" t="s">
        <v>28</v>
      </c>
      <c r="P684" s="144" t="s">
        <v>28</v>
      </c>
      <c r="Q684" s="132"/>
      <c r="R684" s="132"/>
      <c r="S684" s="52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  <c r="AD684" s="129"/>
    </row>
    <row r="685" ht="14.25" customHeight="1">
      <c r="A685" s="133">
        <v>20.0</v>
      </c>
      <c r="B685" s="149" t="s">
        <v>1319</v>
      </c>
      <c r="C685" s="149" t="s">
        <v>2213</v>
      </c>
      <c r="D685" s="145" t="s">
        <v>1948</v>
      </c>
      <c r="E685" s="131" t="s">
        <v>189</v>
      </c>
      <c r="F685" s="52"/>
      <c r="G685" s="144" t="s">
        <v>28</v>
      </c>
      <c r="H685" s="144" t="s">
        <v>28</v>
      </c>
      <c r="I685" s="144" t="s">
        <v>28</v>
      </c>
      <c r="J685" s="144" t="s">
        <v>28</v>
      </c>
      <c r="K685" s="144" t="s">
        <v>28</v>
      </c>
      <c r="L685" s="144" t="s">
        <v>28</v>
      </c>
      <c r="M685" s="144" t="s">
        <v>28</v>
      </c>
      <c r="N685" s="144" t="s">
        <v>28</v>
      </c>
      <c r="O685" s="144" t="s">
        <v>28</v>
      </c>
      <c r="P685" s="144" t="s">
        <v>28</v>
      </c>
      <c r="Q685" s="132"/>
      <c r="R685" s="132"/>
      <c r="S685" s="52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  <c r="AD685" s="129"/>
    </row>
    <row r="686" ht="14.25" customHeight="1">
      <c r="A686" s="133">
        <v>21.0</v>
      </c>
      <c r="B686" s="149" t="s">
        <v>1319</v>
      </c>
      <c r="C686" s="149" t="s">
        <v>2214</v>
      </c>
      <c r="D686" s="145" t="s">
        <v>1948</v>
      </c>
      <c r="E686" s="131" t="s">
        <v>189</v>
      </c>
      <c r="F686" s="52"/>
      <c r="G686" s="144" t="s">
        <v>28</v>
      </c>
      <c r="H686" s="144" t="s">
        <v>28</v>
      </c>
      <c r="I686" s="144" t="s">
        <v>28</v>
      </c>
      <c r="J686" s="144" t="s">
        <v>28</v>
      </c>
      <c r="K686" s="144" t="s">
        <v>28</v>
      </c>
      <c r="L686" s="144" t="s">
        <v>28</v>
      </c>
      <c r="M686" s="144" t="s">
        <v>28</v>
      </c>
      <c r="N686" s="144" t="s">
        <v>28</v>
      </c>
      <c r="O686" s="144" t="s">
        <v>28</v>
      </c>
      <c r="P686" s="144" t="s">
        <v>28</v>
      </c>
      <c r="Q686" s="132"/>
      <c r="R686" s="132"/>
      <c r="S686" s="52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  <c r="AD686" s="129"/>
    </row>
    <row r="687" ht="14.25" customHeight="1">
      <c r="A687" s="133">
        <v>22.0</v>
      </c>
      <c r="B687" s="149" t="s">
        <v>1319</v>
      </c>
      <c r="C687" s="149" t="s">
        <v>2215</v>
      </c>
      <c r="D687" s="145" t="s">
        <v>1948</v>
      </c>
      <c r="E687" s="131" t="s">
        <v>189</v>
      </c>
      <c r="F687" s="52"/>
      <c r="G687" s="144" t="s">
        <v>28</v>
      </c>
      <c r="H687" s="144" t="s">
        <v>28</v>
      </c>
      <c r="I687" s="144" t="s">
        <v>28</v>
      </c>
      <c r="J687" s="144" t="s">
        <v>28</v>
      </c>
      <c r="K687" s="144" t="s">
        <v>28</v>
      </c>
      <c r="L687" s="144" t="s">
        <v>28</v>
      </c>
      <c r="M687" s="144" t="s">
        <v>28</v>
      </c>
      <c r="N687" s="144" t="s">
        <v>28</v>
      </c>
      <c r="O687" s="144" t="s">
        <v>28</v>
      </c>
      <c r="P687" s="144" t="s">
        <v>28</v>
      </c>
      <c r="Q687" s="132"/>
      <c r="R687" s="132"/>
      <c r="S687" s="52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  <c r="AD687" s="129"/>
    </row>
    <row r="688" ht="14.25" customHeight="1">
      <c r="A688" s="133">
        <v>23.0</v>
      </c>
      <c r="B688" s="149" t="s">
        <v>1319</v>
      </c>
      <c r="C688" s="149" t="s">
        <v>2216</v>
      </c>
      <c r="D688" s="145" t="s">
        <v>1948</v>
      </c>
      <c r="E688" s="131" t="s">
        <v>189</v>
      </c>
      <c r="F688" s="52"/>
      <c r="G688" s="144" t="s">
        <v>28</v>
      </c>
      <c r="H688" s="144" t="s">
        <v>28</v>
      </c>
      <c r="I688" s="144" t="s">
        <v>28</v>
      </c>
      <c r="J688" s="144" t="s">
        <v>28</v>
      </c>
      <c r="K688" s="144" t="s">
        <v>28</v>
      </c>
      <c r="L688" s="144" t="s">
        <v>28</v>
      </c>
      <c r="M688" s="144" t="s">
        <v>28</v>
      </c>
      <c r="N688" s="144" t="s">
        <v>28</v>
      </c>
      <c r="O688" s="144" t="s">
        <v>28</v>
      </c>
      <c r="P688" s="144" t="s">
        <v>28</v>
      </c>
      <c r="Q688" s="132"/>
      <c r="R688" s="132"/>
      <c r="S688" s="52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  <c r="AD688" s="129"/>
    </row>
    <row r="689" ht="14.25" customHeight="1">
      <c r="A689" s="133">
        <v>24.0</v>
      </c>
      <c r="B689" s="149" t="s">
        <v>1319</v>
      </c>
      <c r="C689" s="149" t="s">
        <v>2217</v>
      </c>
      <c r="D689" s="145" t="s">
        <v>1948</v>
      </c>
      <c r="E689" s="131" t="s">
        <v>189</v>
      </c>
      <c r="F689" s="52"/>
      <c r="G689" s="144" t="s">
        <v>28</v>
      </c>
      <c r="H689" s="144" t="s">
        <v>28</v>
      </c>
      <c r="I689" s="144" t="s">
        <v>28</v>
      </c>
      <c r="J689" s="144" t="s">
        <v>28</v>
      </c>
      <c r="K689" s="144" t="s">
        <v>28</v>
      </c>
      <c r="L689" s="144" t="s">
        <v>28</v>
      </c>
      <c r="M689" s="144" t="s">
        <v>28</v>
      </c>
      <c r="N689" s="144" t="s">
        <v>28</v>
      </c>
      <c r="O689" s="144" t="s">
        <v>28</v>
      </c>
      <c r="P689" s="144" t="s">
        <v>28</v>
      </c>
      <c r="Q689" s="132"/>
      <c r="R689" s="132"/>
      <c r="S689" s="52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  <c r="AD689" s="129"/>
    </row>
    <row r="690" ht="14.25" customHeight="1">
      <c r="A690" s="133">
        <v>25.0</v>
      </c>
      <c r="B690" s="149" t="s">
        <v>1319</v>
      </c>
      <c r="C690" s="149" t="s">
        <v>2218</v>
      </c>
      <c r="D690" s="145" t="s">
        <v>1948</v>
      </c>
      <c r="E690" s="131" t="s">
        <v>189</v>
      </c>
      <c r="F690" s="52"/>
      <c r="G690" s="144" t="s">
        <v>28</v>
      </c>
      <c r="H690" s="144" t="s">
        <v>28</v>
      </c>
      <c r="I690" s="144" t="s">
        <v>28</v>
      </c>
      <c r="J690" s="144" t="s">
        <v>28</v>
      </c>
      <c r="K690" s="144" t="s">
        <v>28</v>
      </c>
      <c r="L690" s="144" t="s">
        <v>28</v>
      </c>
      <c r="M690" s="144" t="s">
        <v>28</v>
      </c>
      <c r="N690" s="144" t="s">
        <v>28</v>
      </c>
      <c r="O690" s="144" t="s">
        <v>28</v>
      </c>
      <c r="P690" s="144" t="s">
        <v>28</v>
      </c>
      <c r="Q690" s="132"/>
      <c r="R690" s="132"/>
      <c r="S690" s="52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</row>
    <row r="691" ht="14.25" customHeight="1">
      <c r="A691" s="133">
        <v>26.0</v>
      </c>
      <c r="B691" s="149" t="s">
        <v>1319</v>
      </c>
      <c r="C691" s="149" t="s">
        <v>2219</v>
      </c>
      <c r="D691" s="145" t="s">
        <v>1948</v>
      </c>
      <c r="E691" s="131" t="s">
        <v>189</v>
      </c>
      <c r="F691" s="52"/>
      <c r="G691" s="144" t="s">
        <v>28</v>
      </c>
      <c r="H691" s="144" t="s">
        <v>28</v>
      </c>
      <c r="I691" s="144" t="s">
        <v>28</v>
      </c>
      <c r="J691" s="144" t="s">
        <v>28</v>
      </c>
      <c r="K691" s="144" t="s">
        <v>28</v>
      </c>
      <c r="L691" s="144" t="s">
        <v>28</v>
      </c>
      <c r="M691" s="144" t="s">
        <v>28</v>
      </c>
      <c r="N691" s="144" t="s">
        <v>28</v>
      </c>
      <c r="O691" s="144" t="s">
        <v>28</v>
      </c>
      <c r="P691" s="144" t="s">
        <v>28</v>
      </c>
      <c r="Q691" s="132"/>
      <c r="R691" s="132"/>
      <c r="S691" s="52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</row>
    <row r="692" ht="14.25" customHeight="1">
      <c r="A692" s="133">
        <v>27.0</v>
      </c>
      <c r="B692" s="149" t="s">
        <v>1319</v>
      </c>
      <c r="C692" s="149" t="s">
        <v>2220</v>
      </c>
      <c r="D692" s="145" t="s">
        <v>1948</v>
      </c>
      <c r="E692" s="131" t="s">
        <v>189</v>
      </c>
      <c r="F692" s="52"/>
      <c r="G692" s="144" t="s">
        <v>28</v>
      </c>
      <c r="H692" s="144" t="s">
        <v>28</v>
      </c>
      <c r="I692" s="144" t="s">
        <v>28</v>
      </c>
      <c r="J692" s="144" t="s">
        <v>28</v>
      </c>
      <c r="K692" s="144" t="s">
        <v>28</v>
      </c>
      <c r="L692" s="144" t="s">
        <v>28</v>
      </c>
      <c r="M692" s="144" t="s">
        <v>28</v>
      </c>
      <c r="N692" s="144" t="s">
        <v>28</v>
      </c>
      <c r="O692" s="144" t="s">
        <v>28</v>
      </c>
      <c r="P692" s="144" t="s">
        <v>28</v>
      </c>
      <c r="Q692" s="132"/>
      <c r="R692" s="132"/>
      <c r="S692" s="52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  <c r="AD692" s="129"/>
    </row>
    <row r="693" ht="14.25" customHeight="1">
      <c r="A693" s="133">
        <v>28.0</v>
      </c>
      <c r="B693" s="149" t="s">
        <v>1319</v>
      </c>
      <c r="C693" s="149" t="s">
        <v>2221</v>
      </c>
      <c r="D693" s="145" t="s">
        <v>1948</v>
      </c>
      <c r="E693" s="131" t="s">
        <v>189</v>
      </c>
      <c r="F693" s="52"/>
      <c r="G693" s="144" t="s">
        <v>28</v>
      </c>
      <c r="H693" s="144" t="s">
        <v>28</v>
      </c>
      <c r="I693" s="144" t="s">
        <v>28</v>
      </c>
      <c r="J693" s="144" t="s">
        <v>28</v>
      </c>
      <c r="K693" s="144" t="s">
        <v>28</v>
      </c>
      <c r="L693" s="144" t="s">
        <v>28</v>
      </c>
      <c r="M693" s="144" t="s">
        <v>28</v>
      </c>
      <c r="N693" s="144" t="s">
        <v>28</v>
      </c>
      <c r="O693" s="144" t="s">
        <v>28</v>
      </c>
      <c r="P693" s="144" t="s">
        <v>28</v>
      </c>
      <c r="Q693" s="132"/>
      <c r="R693" s="132"/>
      <c r="S693" s="52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</row>
    <row r="694" ht="14.25" customHeight="1">
      <c r="A694" s="133">
        <v>29.0</v>
      </c>
      <c r="B694" s="149" t="s">
        <v>1319</v>
      </c>
      <c r="C694" s="149" t="s">
        <v>2222</v>
      </c>
      <c r="D694" s="145" t="s">
        <v>1948</v>
      </c>
      <c r="E694" s="131" t="s">
        <v>189</v>
      </c>
      <c r="F694" s="52"/>
      <c r="G694" s="144" t="s">
        <v>28</v>
      </c>
      <c r="H694" s="144" t="s">
        <v>28</v>
      </c>
      <c r="I694" s="144" t="s">
        <v>28</v>
      </c>
      <c r="J694" s="144" t="s">
        <v>28</v>
      </c>
      <c r="K694" s="144" t="s">
        <v>28</v>
      </c>
      <c r="L694" s="144" t="s">
        <v>28</v>
      </c>
      <c r="M694" s="144" t="s">
        <v>28</v>
      </c>
      <c r="N694" s="144" t="s">
        <v>28</v>
      </c>
      <c r="O694" s="144" t="s">
        <v>28</v>
      </c>
      <c r="P694" s="144" t="s">
        <v>28</v>
      </c>
      <c r="Q694" s="132"/>
      <c r="R694" s="132"/>
      <c r="S694" s="52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</row>
    <row r="695" ht="14.25" customHeight="1">
      <c r="A695" s="133">
        <v>30.0</v>
      </c>
      <c r="B695" s="149" t="s">
        <v>1319</v>
      </c>
      <c r="C695" s="149" t="s">
        <v>2223</v>
      </c>
      <c r="D695" s="145" t="s">
        <v>1948</v>
      </c>
      <c r="E695" s="131" t="s">
        <v>189</v>
      </c>
      <c r="F695" s="52"/>
      <c r="G695" s="144" t="s">
        <v>28</v>
      </c>
      <c r="H695" s="144" t="s">
        <v>28</v>
      </c>
      <c r="I695" s="144" t="s">
        <v>28</v>
      </c>
      <c r="J695" s="144" t="s">
        <v>28</v>
      </c>
      <c r="K695" s="144" t="s">
        <v>28</v>
      </c>
      <c r="L695" s="144" t="s">
        <v>28</v>
      </c>
      <c r="M695" s="144" t="s">
        <v>28</v>
      </c>
      <c r="N695" s="144" t="s">
        <v>28</v>
      </c>
      <c r="O695" s="144" t="s">
        <v>28</v>
      </c>
      <c r="P695" s="144" t="s">
        <v>28</v>
      </c>
      <c r="Q695" s="132"/>
      <c r="R695" s="132"/>
      <c r="S695" s="52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</row>
    <row r="696" ht="14.25" customHeight="1">
      <c r="A696" s="133">
        <v>31.0</v>
      </c>
      <c r="B696" s="149" t="s">
        <v>1319</v>
      </c>
      <c r="C696" s="149" t="s">
        <v>2224</v>
      </c>
      <c r="D696" s="145" t="s">
        <v>1948</v>
      </c>
      <c r="E696" s="131" t="s">
        <v>189</v>
      </c>
      <c r="F696" s="52"/>
      <c r="G696" s="144" t="s">
        <v>28</v>
      </c>
      <c r="H696" s="144" t="s">
        <v>28</v>
      </c>
      <c r="I696" s="144" t="s">
        <v>28</v>
      </c>
      <c r="J696" s="144" t="s">
        <v>28</v>
      </c>
      <c r="K696" s="144" t="s">
        <v>28</v>
      </c>
      <c r="L696" s="144" t="s">
        <v>28</v>
      </c>
      <c r="M696" s="144" t="s">
        <v>28</v>
      </c>
      <c r="N696" s="144" t="s">
        <v>28</v>
      </c>
      <c r="O696" s="144" t="s">
        <v>28</v>
      </c>
      <c r="P696" s="144" t="s">
        <v>28</v>
      </c>
      <c r="Q696" s="132"/>
      <c r="R696" s="132"/>
      <c r="S696" s="52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</row>
    <row r="697" ht="14.25" customHeight="1">
      <c r="A697" s="133">
        <v>32.0</v>
      </c>
      <c r="B697" s="149" t="s">
        <v>1319</v>
      </c>
      <c r="C697" s="149" t="s">
        <v>2225</v>
      </c>
      <c r="D697" s="145" t="s">
        <v>1948</v>
      </c>
      <c r="E697" s="131" t="s">
        <v>189</v>
      </c>
      <c r="F697" s="52"/>
      <c r="G697" s="144" t="s">
        <v>28</v>
      </c>
      <c r="H697" s="144" t="s">
        <v>28</v>
      </c>
      <c r="I697" s="144" t="s">
        <v>28</v>
      </c>
      <c r="J697" s="144" t="s">
        <v>28</v>
      </c>
      <c r="K697" s="144" t="s">
        <v>28</v>
      </c>
      <c r="L697" s="144" t="s">
        <v>28</v>
      </c>
      <c r="M697" s="144" t="s">
        <v>28</v>
      </c>
      <c r="N697" s="144" t="s">
        <v>28</v>
      </c>
      <c r="O697" s="144" t="s">
        <v>28</v>
      </c>
      <c r="P697" s="144" t="s">
        <v>28</v>
      </c>
      <c r="Q697" s="132"/>
      <c r="R697" s="132"/>
      <c r="S697" s="52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</row>
    <row r="698" ht="14.25" customHeight="1">
      <c r="A698" s="133">
        <v>33.0</v>
      </c>
      <c r="B698" s="149" t="s">
        <v>1319</v>
      </c>
      <c r="C698" s="149" t="s">
        <v>2226</v>
      </c>
      <c r="D698" s="145" t="s">
        <v>1948</v>
      </c>
      <c r="E698" s="131" t="s">
        <v>189</v>
      </c>
      <c r="F698" s="52"/>
      <c r="G698" s="144" t="s">
        <v>28</v>
      </c>
      <c r="H698" s="144" t="s">
        <v>28</v>
      </c>
      <c r="I698" s="144" t="s">
        <v>28</v>
      </c>
      <c r="J698" s="144" t="s">
        <v>28</v>
      </c>
      <c r="K698" s="144" t="s">
        <v>28</v>
      </c>
      <c r="L698" s="144" t="s">
        <v>28</v>
      </c>
      <c r="M698" s="144" t="s">
        <v>28</v>
      </c>
      <c r="N698" s="144" t="s">
        <v>28</v>
      </c>
      <c r="O698" s="144" t="s">
        <v>28</v>
      </c>
      <c r="P698" s="144" t="s">
        <v>28</v>
      </c>
      <c r="Q698" s="132"/>
      <c r="R698" s="132"/>
      <c r="S698" s="52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</row>
    <row r="699" ht="14.25" customHeight="1">
      <c r="A699" s="133">
        <v>34.0</v>
      </c>
      <c r="B699" s="149" t="s">
        <v>1319</v>
      </c>
      <c r="C699" s="149" t="s">
        <v>2227</v>
      </c>
      <c r="D699" s="145" t="s">
        <v>1948</v>
      </c>
      <c r="E699" s="131" t="s">
        <v>189</v>
      </c>
      <c r="F699" s="52"/>
      <c r="G699" s="144" t="s">
        <v>28</v>
      </c>
      <c r="H699" s="144" t="s">
        <v>28</v>
      </c>
      <c r="I699" s="144" t="s">
        <v>28</v>
      </c>
      <c r="J699" s="144" t="s">
        <v>28</v>
      </c>
      <c r="K699" s="144" t="s">
        <v>28</v>
      </c>
      <c r="L699" s="144" t="s">
        <v>28</v>
      </c>
      <c r="M699" s="144" t="s">
        <v>28</v>
      </c>
      <c r="N699" s="144" t="s">
        <v>28</v>
      </c>
      <c r="O699" s="144" t="s">
        <v>28</v>
      </c>
      <c r="P699" s="144" t="s">
        <v>28</v>
      </c>
      <c r="Q699" s="132"/>
      <c r="R699" s="132"/>
      <c r="S699" s="52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</row>
    <row r="700" ht="14.25" customHeight="1">
      <c r="A700" s="133">
        <v>35.0</v>
      </c>
      <c r="B700" s="149" t="s">
        <v>1319</v>
      </c>
      <c r="C700" s="149" t="s">
        <v>2228</v>
      </c>
      <c r="D700" s="145" t="s">
        <v>1948</v>
      </c>
      <c r="E700" s="131" t="s">
        <v>189</v>
      </c>
      <c r="F700" s="52"/>
      <c r="G700" s="144" t="s">
        <v>28</v>
      </c>
      <c r="H700" s="144" t="s">
        <v>28</v>
      </c>
      <c r="I700" s="144" t="s">
        <v>28</v>
      </c>
      <c r="J700" s="144" t="s">
        <v>28</v>
      </c>
      <c r="K700" s="144" t="s">
        <v>28</v>
      </c>
      <c r="L700" s="144" t="s">
        <v>28</v>
      </c>
      <c r="M700" s="144" t="s">
        <v>28</v>
      </c>
      <c r="N700" s="144" t="s">
        <v>28</v>
      </c>
      <c r="O700" s="144" t="s">
        <v>28</v>
      </c>
      <c r="P700" s="144" t="s">
        <v>28</v>
      </c>
      <c r="Q700" s="132"/>
      <c r="R700" s="132"/>
      <c r="S700" s="52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</row>
    <row r="701" ht="14.25" customHeight="1">
      <c r="A701" s="133">
        <v>36.0</v>
      </c>
      <c r="B701" s="149" t="s">
        <v>1319</v>
      </c>
      <c r="C701" s="149" t="s">
        <v>2229</v>
      </c>
      <c r="D701" s="145" t="s">
        <v>1948</v>
      </c>
      <c r="E701" s="131" t="s">
        <v>189</v>
      </c>
      <c r="F701" s="52"/>
      <c r="G701" s="144" t="s">
        <v>28</v>
      </c>
      <c r="H701" s="144" t="s">
        <v>28</v>
      </c>
      <c r="I701" s="144" t="s">
        <v>28</v>
      </c>
      <c r="J701" s="144" t="s">
        <v>28</v>
      </c>
      <c r="K701" s="144" t="s">
        <v>28</v>
      </c>
      <c r="L701" s="144" t="s">
        <v>28</v>
      </c>
      <c r="M701" s="144" t="s">
        <v>28</v>
      </c>
      <c r="N701" s="144" t="s">
        <v>28</v>
      </c>
      <c r="O701" s="144" t="s">
        <v>28</v>
      </c>
      <c r="P701" s="144" t="s">
        <v>28</v>
      </c>
      <c r="Q701" s="132"/>
      <c r="R701" s="132"/>
      <c r="S701" s="52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</row>
    <row r="702" ht="15.75" customHeight="1">
      <c r="A702" s="181"/>
      <c r="B702" s="182" t="s">
        <v>2230</v>
      </c>
      <c r="C702" s="182"/>
      <c r="D702" s="182"/>
      <c r="E702" s="182"/>
      <c r="F702" s="182"/>
      <c r="G702" s="183"/>
      <c r="H702" s="184"/>
      <c r="I702" s="184"/>
      <c r="J702" s="185"/>
      <c r="K702" s="185"/>
      <c r="L702" s="185"/>
      <c r="M702" s="185"/>
      <c r="N702" s="185"/>
      <c r="O702" s="185"/>
      <c r="P702" s="184"/>
      <c r="Q702" s="185"/>
      <c r="R702" s="141"/>
      <c r="S702" s="142"/>
      <c r="T702" s="142"/>
      <c r="U702" s="142"/>
      <c r="V702" s="142"/>
      <c r="W702" s="142"/>
      <c r="X702" s="142"/>
      <c r="Y702" s="142"/>
      <c r="Z702" s="142"/>
      <c r="AA702" s="142"/>
      <c r="AB702" s="142"/>
      <c r="AC702" s="142"/>
      <c r="AD702" s="142"/>
    </row>
    <row r="703" ht="14.25" customHeight="1">
      <c r="A703" s="133">
        <v>1.0</v>
      </c>
      <c r="B703" s="149" t="s">
        <v>2231</v>
      </c>
      <c r="C703" s="149" t="s">
        <v>2232</v>
      </c>
      <c r="D703" s="145" t="s">
        <v>1948</v>
      </c>
      <c r="E703" s="131" t="s">
        <v>189</v>
      </c>
      <c r="F703" s="52"/>
      <c r="G703" s="132">
        <v>468.0</v>
      </c>
      <c r="H703" s="132">
        <v>78.0</v>
      </c>
      <c r="I703" s="132">
        <v>312.0</v>
      </c>
      <c r="J703" s="132">
        <v>2.0</v>
      </c>
      <c r="K703" s="132">
        <v>2.0</v>
      </c>
      <c r="L703" s="132">
        <v>2.0</v>
      </c>
      <c r="M703" s="193" t="s">
        <v>2233</v>
      </c>
      <c r="N703" s="144" t="s">
        <v>28</v>
      </c>
      <c r="O703" s="159">
        <v>300.0</v>
      </c>
      <c r="P703" s="132" t="s">
        <v>66</v>
      </c>
      <c r="Q703" s="159">
        <v>58.0</v>
      </c>
      <c r="R703" s="132"/>
      <c r="S703" s="52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</row>
    <row r="704" ht="14.25" customHeight="1">
      <c r="A704" s="133">
        <v>2.0</v>
      </c>
      <c r="B704" s="149" t="s">
        <v>2234</v>
      </c>
      <c r="C704" s="149" t="s">
        <v>2235</v>
      </c>
      <c r="D704" s="145" t="s">
        <v>1948</v>
      </c>
      <c r="E704" s="131" t="s">
        <v>189</v>
      </c>
      <c r="F704" s="52"/>
      <c r="G704" s="132">
        <v>120.0</v>
      </c>
      <c r="H704" s="132">
        <v>20.0</v>
      </c>
      <c r="I704" s="132">
        <v>80.0</v>
      </c>
      <c r="J704" s="132">
        <v>1.0</v>
      </c>
      <c r="K704" s="132">
        <v>1.0</v>
      </c>
      <c r="L704" s="132">
        <v>1.0</v>
      </c>
      <c r="M704" s="193" t="s">
        <v>2233</v>
      </c>
      <c r="N704" s="144" t="s">
        <v>28</v>
      </c>
      <c r="O704" s="132">
        <v>100.0</v>
      </c>
      <c r="P704" s="132" t="s">
        <v>29</v>
      </c>
      <c r="Q704" s="159">
        <v>15.0</v>
      </c>
      <c r="R704" s="132"/>
      <c r="S704" s="52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  <c r="AD704" s="129"/>
    </row>
    <row r="705" ht="14.25" customHeight="1">
      <c r="A705" s="133">
        <v>3.0</v>
      </c>
      <c r="B705" s="149" t="s">
        <v>2236</v>
      </c>
      <c r="C705" s="149" t="s">
        <v>2223</v>
      </c>
      <c r="D705" s="145" t="s">
        <v>1948</v>
      </c>
      <c r="E705" s="131" t="s">
        <v>189</v>
      </c>
      <c r="F705" s="52"/>
      <c r="G705" s="132">
        <v>700.0</v>
      </c>
      <c r="H705" s="132">
        <v>100.0</v>
      </c>
      <c r="I705" s="132">
        <v>400.0</v>
      </c>
      <c r="J705" s="132">
        <v>6.0</v>
      </c>
      <c r="K705" s="132">
        <v>6.0</v>
      </c>
      <c r="L705" s="132">
        <v>0.0</v>
      </c>
      <c r="M705" s="193" t="s">
        <v>2233</v>
      </c>
      <c r="N705" s="144" t="s">
        <v>28</v>
      </c>
      <c r="O705" s="159">
        <v>200.0</v>
      </c>
      <c r="P705" s="132" t="s">
        <v>66</v>
      </c>
      <c r="Q705" s="159">
        <v>87.0</v>
      </c>
      <c r="R705" s="132"/>
      <c r="S705" s="52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  <c r="AD705" s="129"/>
    </row>
    <row r="706" ht="14.25" customHeight="1">
      <c r="A706" s="133">
        <v>4.0</v>
      </c>
      <c r="B706" s="149" t="s">
        <v>2237</v>
      </c>
      <c r="C706" s="149" t="s">
        <v>2223</v>
      </c>
      <c r="D706" s="145" t="s">
        <v>1948</v>
      </c>
      <c r="E706" s="131" t="s">
        <v>189</v>
      </c>
      <c r="F706" s="52"/>
      <c r="G706" s="194">
        <v>1027.5</v>
      </c>
      <c r="H706" s="132">
        <v>115.0</v>
      </c>
      <c r="I706" s="132">
        <v>450.0</v>
      </c>
      <c r="J706" s="132">
        <v>6.0</v>
      </c>
      <c r="K706" s="132">
        <v>6.0</v>
      </c>
      <c r="L706" s="132">
        <v>0.0</v>
      </c>
      <c r="M706" s="193" t="s">
        <v>2233</v>
      </c>
      <c r="N706" s="144" t="s">
        <v>28</v>
      </c>
      <c r="O706" s="159">
        <v>200.0</v>
      </c>
      <c r="P706" s="132" t="s">
        <v>29</v>
      </c>
      <c r="Q706" s="159">
        <v>128.0</v>
      </c>
      <c r="R706" s="132"/>
      <c r="S706" s="52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  <c r="AD706" s="129"/>
    </row>
    <row r="707" ht="14.25" customHeight="1">
      <c r="A707" s="133">
        <v>5.0</v>
      </c>
      <c r="B707" s="149" t="s">
        <v>2238</v>
      </c>
      <c r="C707" s="149" t="s">
        <v>2223</v>
      </c>
      <c r="D707" s="145" t="s">
        <v>1948</v>
      </c>
      <c r="E707" s="131" t="s">
        <v>2239</v>
      </c>
      <c r="F707" s="52"/>
      <c r="G707" s="132">
        <v>792.0</v>
      </c>
      <c r="H707" s="132">
        <v>70.0</v>
      </c>
      <c r="I707" s="132">
        <v>250.0</v>
      </c>
      <c r="J707" s="132">
        <v>2.0</v>
      </c>
      <c r="K707" s="132">
        <v>2.0</v>
      </c>
      <c r="L707" s="132">
        <v>0.0</v>
      </c>
      <c r="M707" s="193" t="s">
        <v>2233</v>
      </c>
      <c r="N707" s="144" t="s">
        <v>28</v>
      </c>
      <c r="O707" s="132">
        <v>10000.0</v>
      </c>
      <c r="P707" s="132" t="s">
        <v>66</v>
      </c>
      <c r="Q707" s="159">
        <v>99.0</v>
      </c>
      <c r="R707" s="132"/>
      <c r="S707" s="52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  <c r="AD707" s="129"/>
    </row>
    <row r="708" ht="14.25" customHeight="1">
      <c r="A708" s="133">
        <v>6.0</v>
      </c>
      <c r="B708" s="149" t="s">
        <v>2240</v>
      </c>
      <c r="C708" s="149" t="s">
        <v>2241</v>
      </c>
      <c r="D708" s="145" t="s">
        <v>1948</v>
      </c>
      <c r="E708" s="131" t="s">
        <v>2239</v>
      </c>
      <c r="F708" s="52"/>
      <c r="G708" s="132">
        <v>449.0</v>
      </c>
      <c r="H708" s="132">
        <v>30.0</v>
      </c>
      <c r="I708" s="132">
        <v>110.0</v>
      </c>
      <c r="J708" s="132">
        <v>6.0</v>
      </c>
      <c r="K708" s="132">
        <v>6.0</v>
      </c>
      <c r="L708" s="144" t="s">
        <v>28</v>
      </c>
      <c r="M708" s="193" t="s">
        <v>2233</v>
      </c>
      <c r="N708" s="144" t="s">
        <v>28</v>
      </c>
      <c r="O708" s="159">
        <v>100.0</v>
      </c>
      <c r="P708" s="132" t="s">
        <v>29</v>
      </c>
      <c r="Q708" s="159">
        <v>56.0</v>
      </c>
      <c r="R708" s="132"/>
      <c r="S708" s="52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  <c r="AD708" s="129"/>
    </row>
    <row r="709" ht="14.25" customHeight="1">
      <c r="A709" s="133">
        <v>7.0</v>
      </c>
      <c r="B709" s="149" t="s">
        <v>2242</v>
      </c>
      <c r="C709" s="149" t="s">
        <v>2243</v>
      </c>
      <c r="D709" s="145" t="s">
        <v>1948</v>
      </c>
      <c r="E709" s="131" t="s">
        <v>2239</v>
      </c>
      <c r="F709" s="52"/>
      <c r="G709" s="194">
        <v>1227.21</v>
      </c>
      <c r="H709" s="195">
        <v>115.0</v>
      </c>
      <c r="I709" s="132">
        <v>450.0</v>
      </c>
      <c r="J709" s="132">
        <v>6.0</v>
      </c>
      <c r="K709" s="132">
        <v>6.0</v>
      </c>
      <c r="L709" s="144" t="s">
        <v>28</v>
      </c>
      <c r="M709" s="193" t="s">
        <v>2233</v>
      </c>
      <c r="N709" s="144" t="s">
        <v>28</v>
      </c>
      <c r="O709" s="159">
        <v>100.0</v>
      </c>
      <c r="P709" s="132" t="s">
        <v>29</v>
      </c>
      <c r="Q709" s="159">
        <v>153.0</v>
      </c>
      <c r="R709" s="132"/>
      <c r="S709" s="52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  <c r="AD709" s="129"/>
    </row>
    <row r="710" ht="14.25" customHeight="1">
      <c r="A710" s="132">
        <v>8.0</v>
      </c>
      <c r="B710" s="145" t="s">
        <v>2244</v>
      </c>
      <c r="C710" s="55" t="s">
        <v>2245</v>
      </c>
      <c r="D710" s="149" t="s">
        <v>1948</v>
      </c>
      <c r="E710" s="149" t="s">
        <v>2239</v>
      </c>
      <c r="F710" s="196"/>
      <c r="G710" s="132">
        <v>680.68</v>
      </c>
      <c r="H710" s="132">
        <v>42.0</v>
      </c>
      <c r="I710" s="132">
        <v>165.0</v>
      </c>
      <c r="J710" s="132">
        <v>6.0</v>
      </c>
      <c r="K710" s="197">
        <v>6.0</v>
      </c>
      <c r="L710" s="144" t="s">
        <v>28</v>
      </c>
      <c r="M710" s="193" t="s">
        <v>2233</v>
      </c>
      <c r="N710" s="144" t="s">
        <v>28</v>
      </c>
      <c r="O710" s="159">
        <v>100.0</v>
      </c>
      <c r="P710" s="132" t="s">
        <v>29</v>
      </c>
      <c r="Q710" s="159">
        <v>85.0</v>
      </c>
      <c r="R710" s="197"/>
      <c r="S710" s="196"/>
      <c r="T710" s="129"/>
      <c r="U710" s="129"/>
      <c r="V710" s="129"/>
      <c r="W710" s="129"/>
      <c r="X710" s="129"/>
      <c r="Y710" s="129"/>
      <c r="Z710" s="129"/>
      <c r="AA710" s="129"/>
      <c r="AB710" s="129"/>
    </row>
    <row r="711" ht="14.25" customHeight="1">
      <c r="A711" s="133">
        <v>9.0</v>
      </c>
      <c r="B711" s="196" t="s">
        <v>2246</v>
      </c>
      <c r="C711" s="149" t="s">
        <v>2247</v>
      </c>
      <c r="D711" s="145" t="s">
        <v>1948</v>
      </c>
      <c r="E711" s="131" t="s">
        <v>2239</v>
      </c>
      <c r="F711" s="52"/>
      <c r="G711" s="159">
        <v>486.14</v>
      </c>
      <c r="H711" s="195">
        <v>30.0</v>
      </c>
      <c r="I711" s="132">
        <v>120.0</v>
      </c>
      <c r="J711" s="132">
        <v>6.0</v>
      </c>
      <c r="K711" s="132">
        <v>6.0</v>
      </c>
      <c r="L711" s="144" t="s">
        <v>28</v>
      </c>
      <c r="M711" s="193" t="s">
        <v>2233</v>
      </c>
      <c r="N711" s="144" t="s">
        <v>28</v>
      </c>
      <c r="O711" s="159">
        <v>100.0</v>
      </c>
      <c r="P711" s="132" t="s">
        <v>29</v>
      </c>
      <c r="Q711" s="159">
        <v>61.0</v>
      </c>
      <c r="R711" s="132"/>
      <c r="S711" s="52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  <c r="AD711" s="129"/>
    </row>
    <row r="712" ht="14.25" customHeight="1">
      <c r="A712" s="133">
        <v>10.0</v>
      </c>
      <c r="B712" s="196" t="s">
        <v>2248</v>
      </c>
      <c r="C712" s="149" t="s">
        <v>2249</v>
      </c>
      <c r="D712" s="145" t="s">
        <v>1948</v>
      </c>
      <c r="E712" s="131" t="s">
        <v>2239</v>
      </c>
      <c r="F712" s="52"/>
      <c r="G712" s="132">
        <v>388.95</v>
      </c>
      <c r="H712" s="195">
        <v>24.0</v>
      </c>
      <c r="I712" s="132">
        <v>95.0</v>
      </c>
      <c r="J712" s="132">
        <v>6.0</v>
      </c>
      <c r="K712" s="132">
        <v>6.0</v>
      </c>
      <c r="L712" s="144" t="s">
        <v>28</v>
      </c>
      <c r="M712" s="193" t="s">
        <v>2233</v>
      </c>
      <c r="N712" s="144" t="s">
        <v>28</v>
      </c>
      <c r="O712" s="159">
        <v>100.0</v>
      </c>
      <c r="P712" s="132" t="s">
        <v>29</v>
      </c>
      <c r="Q712" s="159">
        <v>486.0</v>
      </c>
      <c r="R712" s="132"/>
      <c r="S712" s="52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  <c r="AD712" s="129"/>
    </row>
    <row r="713" ht="14.25" customHeight="1">
      <c r="A713" s="133">
        <v>11.0</v>
      </c>
      <c r="B713" s="196" t="s">
        <v>2250</v>
      </c>
      <c r="C713" s="149" t="s">
        <v>2251</v>
      </c>
      <c r="D713" s="145" t="s">
        <v>1948</v>
      </c>
      <c r="E713" s="131" t="s">
        <v>2239</v>
      </c>
      <c r="F713" s="52"/>
      <c r="G713" s="132">
        <v>345.1</v>
      </c>
      <c r="H713" s="197">
        <v>22.0</v>
      </c>
      <c r="I713" s="132">
        <v>85.0</v>
      </c>
      <c r="J713" s="132">
        <v>6.0</v>
      </c>
      <c r="K713" s="132">
        <v>6.0</v>
      </c>
      <c r="L713" s="144" t="s">
        <v>28</v>
      </c>
      <c r="M713" s="193" t="s">
        <v>2233</v>
      </c>
      <c r="N713" s="144" t="s">
        <v>28</v>
      </c>
      <c r="O713" s="159">
        <v>100.0</v>
      </c>
      <c r="P713" s="132" t="s">
        <v>29</v>
      </c>
      <c r="Q713" s="159">
        <v>43.0</v>
      </c>
      <c r="R713" s="132"/>
      <c r="S713" s="52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  <c r="AD713" s="129"/>
    </row>
    <row r="714" ht="14.25" customHeight="1">
      <c r="A714" s="133">
        <v>12.0</v>
      </c>
      <c r="B714" s="196" t="s">
        <v>2252</v>
      </c>
      <c r="C714" s="149" t="s">
        <v>2253</v>
      </c>
      <c r="D714" s="145" t="s">
        <v>1948</v>
      </c>
      <c r="E714" s="131" t="s">
        <v>189</v>
      </c>
      <c r="F714" s="52"/>
      <c r="G714" s="132">
        <v>130.0</v>
      </c>
      <c r="H714" s="197">
        <v>15.0</v>
      </c>
      <c r="I714" s="132">
        <v>60.0</v>
      </c>
      <c r="J714" s="132">
        <v>6.0</v>
      </c>
      <c r="K714" s="132">
        <v>6.0</v>
      </c>
      <c r="L714" s="144" t="s">
        <v>28</v>
      </c>
      <c r="M714" s="193" t="s">
        <v>2233</v>
      </c>
      <c r="N714" s="144" t="s">
        <v>28</v>
      </c>
      <c r="O714" s="159">
        <v>100.0</v>
      </c>
      <c r="P714" s="132" t="s">
        <v>29</v>
      </c>
      <c r="Q714" s="159">
        <v>16.0</v>
      </c>
      <c r="R714" s="132"/>
      <c r="S714" s="52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  <c r="AD714" s="129"/>
    </row>
    <row r="715" ht="14.25" customHeight="1">
      <c r="A715" s="133">
        <v>13.0</v>
      </c>
      <c r="B715" s="196" t="s">
        <v>2254</v>
      </c>
      <c r="C715" s="149" t="s">
        <v>2255</v>
      </c>
      <c r="D715" s="145" t="s">
        <v>1948</v>
      </c>
      <c r="E715" s="131" t="s">
        <v>189</v>
      </c>
      <c r="F715" s="52"/>
      <c r="G715" s="132">
        <v>375.86</v>
      </c>
      <c r="H715" s="197">
        <v>23.0</v>
      </c>
      <c r="I715" s="132">
        <v>90.0</v>
      </c>
      <c r="J715" s="132">
        <v>6.0</v>
      </c>
      <c r="K715" s="132">
        <v>6.0</v>
      </c>
      <c r="L715" s="144" t="s">
        <v>28</v>
      </c>
      <c r="M715" s="193" t="s">
        <v>2233</v>
      </c>
      <c r="N715" s="144" t="s">
        <v>28</v>
      </c>
      <c r="O715" s="159">
        <v>100.0</v>
      </c>
      <c r="P715" s="132" t="s">
        <v>29</v>
      </c>
      <c r="Q715" s="159">
        <v>47.0</v>
      </c>
      <c r="R715" s="132"/>
      <c r="S715" s="52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  <c r="AD715" s="129"/>
    </row>
    <row r="716" ht="14.25" customHeight="1">
      <c r="A716" s="133">
        <v>14.0</v>
      </c>
      <c r="B716" s="196" t="s">
        <v>2256</v>
      </c>
      <c r="C716" s="149" t="s">
        <v>2257</v>
      </c>
      <c r="D716" s="145" t="s">
        <v>1948</v>
      </c>
      <c r="E716" s="131" t="s">
        <v>189</v>
      </c>
      <c r="F716" s="52"/>
      <c r="G716" s="132">
        <v>126.0</v>
      </c>
      <c r="H716" s="197">
        <v>15.0</v>
      </c>
      <c r="I716" s="132">
        <v>60.0</v>
      </c>
      <c r="J716" s="132">
        <v>6.0</v>
      </c>
      <c r="K716" s="132">
        <v>6.0</v>
      </c>
      <c r="L716" s="144" t="s">
        <v>28</v>
      </c>
      <c r="M716" s="193" t="s">
        <v>2233</v>
      </c>
      <c r="N716" s="144" t="s">
        <v>28</v>
      </c>
      <c r="O716" s="159">
        <v>100.0</v>
      </c>
      <c r="P716" s="132" t="s">
        <v>29</v>
      </c>
      <c r="Q716" s="159">
        <v>16.0</v>
      </c>
      <c r="R716" s="132"/>
      <c r="S716" s="52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  <c r="AD716" s="129"/>
    </row>
    <row r="717" ht="14.25" customHeight="1">
      <c r="A717" s="133">
        <v>15.0</v>
      </c>
      <c r="B717" s="196" t="s">
        <v>2258</v>
      </c>
      <c r="C717" s="149" t="s">
        <v>2259</v>
      </c>
      <c r="D717" s="145" t="s">
        <v>1948</v>
      </c>
      <c r="E717" s="131" t="s">
        <v>189</v>
      </c>
      <c r="F717" s="52"/>
      <c r="G717" s="159">
        <v>80.0</v>
      </c>
      <c r="H717" s="197">
        <v>3.0</v>
      </c>
      <c r="I717" s="132">
        <v>10.0</v>
      </c>
      <c r="J717" s="132">
        <v>1.0</v>
      </c>
      <c r="K717" s="132">
        <v>1.0</v>
      </c>
      <c r="L717" s="144" t="s">
        <v>28</v>
      </c>
      <c r="M717" s="193" t="s">
        <v>2233</v>
      </c>
      <c r="N717" s="144" t="s">
        <v>28</v>
      </c>
      <c r="O717" s="159">
        <v>100.0</v>
      </c>
      <c r="P717" s="132" t="s">
        <v>29</v>
      </c>
      <c r="Q717" s="159">
        <v>10.0</v>
      </c>
      <c r="R717" s="132"/>
      <c r="S717" s="52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  <c r="AD717" s="129"/>
    </row>
    <row r="718" ht="14.25" customHeight="1">
      <c r="A718" s="133">
        <v>16.0</v>
      </c>
      <c r="B718" s="196" t="s">
        <v>2260</v>
      </c>
      <c r="C718" s="149" t="s">
        <v>2251</v>
      </c>
      <c r="D718" s="145" t="s">
        <v>1948</v>
      </c>
      <c r="E718" s="131" t="s">
        <v>189</v>
      </c>
      <c r="F718" s="52"/>
      <c r="G718" s="159">
        <v>288.0</v>
      </c>
      <c r="H718" s="197">
        <v>4.0</v>
      </c>
      <c r="I718" s="132">
        <v>15.0</v>
      </c>
      <c r="J718" s="132">
        <v>1.0</v>
      </c>
      <c r="K718" s="132">
        <v>1.0</v>
      </c>
      <c r="L718" s="144" t="s">
        <v>28</v>
      </c>
      <c r="M718" s="193" t="s">
        <v>2233</v>
      </c>
      <c r="N718" s="144" t="s">
        <v>28</v>
      </c>
      <c r="O718" s="159">
        <v>100.0</v>
      </c>
      <c r="P718" s="132" t="s">
        <v>29</v>
      </c>
      <c r="Q718" s="159">
        <v>36.0</v>
      </c>
      <c r="R718" s="132"/>
      <c r="S718" s="52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  <c r="AD718" s="129"/>
    </row>
    <row r="719" ht="14.25" customHeight="1">
      <c r="A719" s="133">
        <v>17.0</v>
      </c>
      <c r="B719" s="196" t="s">
        <v>2261</v>
      </c>
      <c r="C719" s="149" t="s">
        <v>2262</v>
      </c>
      <c r="D719" s="145" t="s">
        <v>1948</v>
      </c>
      <c r="E719" s="131" t="s">
        <v>189</v>
      </c>
      <c r="F719" s="52"/>
      <c r="G719" s="159">
        <v>48.0</v>
      </c>
      <c r="H719" s="197">
        <v>4.0</v>
      </c>
      <c r="I719" s="132">
        <v>15.0</v>
      </c>
      <c r="J719" s="132">
        <v>1.0</v>
      </c>
      <c r="K719" s="132">
        <v>1.0</v>
      </c>
      <c r="L719" s="144" t="s">
        <v>28</v>
      </c>
      <c r="M719" s="193" t="s">
        <v>2233</v>
      </c>
      <c r="N719" s="144" t="s">
        <v>28</v>
      </c>
      <c r="O719" s="159">
        <v>100.0</v>
      </c>
      <c r="P719" s="132" t="s">
        <v>29</v>
      </c>
      <c r="Q719" s="159">
        <v>6.0</v>
      </c>
      <c r="R719" s="132"/>
      <c r="S719" s="52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  <c r="AD719" s="129"/>
    </row>
    <row r="720" ht="14.25" customHeight="1">
      <c r="A720" s="133">
        <v>18.0</v>
      </c>
      <c r="B720" s="196" t="s">
        <v>2263</v>
      </c>
      <c r="C720" s="149" t="s">
        <v>2264</v>
      </c>
      <c r="D720" s="145" t="s">
        <v>1948</v>
      </c>
      <c r="E720" s="131" t="s">
        <v>189</v>
      </c>
      <c r="F720" s="52"/>
      <c r="G720" s="159">
        <v>32.0</v>
      </c>
      <c r="H720" s="197">
        <v>3.0</v>
      </c>
      <c r="I720" s="132">
        <v>10.0</v>
      </c>
      <c r="J720" s="132">
        <v>1.0</v>
      </c>
      <c r="K720" s="132">
        <v>1.0</v>
      </c>
      <c r="L720" s="144" t="s">
        <v>28</v>
      </c>
      <c r="M720" s="193" t="s">
        <v>2233</v>
      </c>
      <c r="N720" s="144" t="s">
        <v>28</v>
      </c>
      <c r="O720" s="159">
        <v>100.0</v>
      </c>
      <c r="P720" s="132" t="s">
        <v>29</v>
      </c>
      <c r="Q720" s="159">
        <v>4.0</v>
      </c>
      <c r="R720" s="132"/>
      <c r="S720" s="52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  <c r="AD720" s="129"/>
    </row>
    <row r="721" ht="14.25" customHeight="1">
      <c r="A721" s="133">
        <v>19.0</v>
      </c>
      <c r="B721" s="196" t="s">
        <v>2265</v>
      </c>
      <c r="C721" s="149" t="s">
        <v>2266</v>
      </c>
      <c r="D721" s="145" t="s">
        <v>1948</v>
      </c>
      <c r="E721" s="131" t="s">
        <v>189</v>
      </c>
      <c r="F721" s="52"/>
      <c r="G721" s="159">
        <v>80.0</v>
      </c>
      <c r="H721" s="197">
        <v>4.0</v>
      </c>
      <c r="I721" s="132">
        <v>15.0</v>
      </c>
      <c r="J721" s="132">
        <v>1.0</v>
      </c>
      <c r="K721" s="132">
        <v>1.0</v>
      </c>
      <c r="L721" s="144" t="s">
        <v>28</v>
      </c>
      <c r="M721" s="193" t="s">
        <v>2233</v>
      </c>
      <c r="N721" s="144" t="s">
        <v>28</v>
      </c>
      <c r="O721" s="159">
        <v>100.0</v>
      </c>
      <c r="P721" s="132" t="s">
        <v>29</v>
      </c>
      <c r="Q721" s="159">
        <v>10.0</v>
      </c>
      <c r="R721" s="132"/>
      <c r="S721" s="52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  <c r="AD721" s="129"/>
    </row>
    <row r="722" ht="14.25" customHeight="1">
      <c r="A722" s="133">
        <v>20.0</v>
      </c>
      <c r="B722" s="196" t="s">
        <v>2267</v>
      </c>
      <c r="C722" s="149" t="s">
        <v>2268</v>
      </c>
      <c r="D722" s="145" t="s">
        <v>1948</v>
      </c>
      <c r="E722" s="131" t="s">
        <v>189</v>
      </c>
      <c r="F722" s="52"/>
      <c r="G722" s="159">
        <v>140.0</v>
      </c>
      <c r="H722" s="197">
        <v>4.0</v>
      </c>
      <c r="I722" s="132">
        <v>15.0</v>
      </c>
      <c r="J722" s="132">
        <v>1.0</v>
      </c>
      <c r="K722" s="132">
        <v>1.0</v>
      </c>
      <c r="L722" s="144" t="s">
        <v>28</v>
      </c>
      <c r="M722" s="193" t="s">
        <v>2233</v>
      </c>
      <c r="N722" s="144" t="s">
        <v>28</v>
      </c>
      <c r="O722" s="159">
        <v>100.0</v>
      </c>
      <c r="P722" s="132" t="s">
        <v>29</v>
      </c>
      <c r="Q722" s="159">
        <v>17.0</v>
      </c>
      <c r="R722" s="132"/>
      <c r="S722" s="52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  <c r="AD722" s="129"/>
    </row>
    <row r="723" ht="14.25" customHeight="1">
      <c r="A723" s="133">
        <v>21.0</v>
      </c>
      <c r="B723" s="196" t="s">
        <v>2269</v>
      </c>
      <c r="C723" s="149" t="s">
        <v>2241</v>
      </c>
      <c r="D723" s="145" t="s">
        <v>1948</v>
      </c>
      <c r="E723" s="131" t="s">
        <v>189</v>
      </c>
      <c r="F723" s="52"/>
      <c r="G723" s="159">
        <v>120.0</v>
      </c>
      <c r="H723" s="197">
        <v>4.0</v>
      </c>
      <c r="I723" s="132">
        <v>15.0</v>
      </c>
      <c r="J723" s="132">
        <v>1.0</v>
      </c>
      <c r="K723" s="132">
        <v>1.0</v>
      </c>
      <c r="L723" s="144" t="s">
        <v>28</v>
      </c>
      <c r="M723" s="193" t="s">
        <v>2233</v>
      </c>
      <c r="N723" s="144" t="s">
        <v>28</v>
      </c>
      <c r="O723" s="159">
        <v>100.0</v>
      </c>
      <c r="P723" s="132" t="s">
        <v>29</v>
      </c>
      <c r="Q723" s="159">
        <v>15.0</v>
      </c>
      <c r="R723" s="132"/>
      <c r="S723" s="52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  <c r="AD723" s="129"/>
    </row>
    <row r="724" ht="14.25" customHeight="1">
      <c r="A724" s="133">
        <v>22.0</v>
      </c>
      <c r="B724" s="196" t="s">
        <v>2270</v>
      </c>
      <c r="C724" s="149" t="s">
        <v>2257</v>
      </c>
      <c r="D724" s="145" t="s">
        <v>1948</v>
      </c>
      <c r="E724" s="131" t="s">
        <v>189</v>
      </c>
      <c r="F724" s="52"/>
      <c r="G724" s="159">
        <v>80.0</v>
      </c>
      <c r="H724" s="197">
        <v>10.0</v>
      </c>
      <c r="I724" s="132">
        <v>35.0</v>
      </c>
      <c r="J724" s="132">
        <v>1.0</v>
      </c>
      <c r="K724" s="132">
        <v>1.0</v>
      </c>
      <c r="L724" s="144" t="s">
        <v>28</v>
      </c>
      <c r="M724" s="193" t="s">
        <v>2233</v>
      </c>
      <c r="N724" s="144" t="s">
        <v>28</v>
      </c>
      <c r="O724" s="159">
        <v>100.0</v>
      </c>
      <c r="P724" s="132" t="s">
        <v>29</v>
      </c>
      <c r="Q724" s="159">
        <v>10.0</v>
      </c>
      <c r="R724" s="132"/>
      <c r="S724" s="52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  <c r="AD724" s="129"/>
    </row>
    <row r="725" ht="14.25" customHeight="1">
      <c r="A725" s="133">
        <v>23.0</v>
      </c>
      <c r="B725" s="196" t="s">
        <v>2271</v>
      </c>
      <c r="C725" s="149" t="s">
        <v>2272</v>
      </c>
      <c r="D725" s="145" t="s">
        <v>1948</v>
      </c>
      <c r="E725" s="131" t="s">
        <v>189</v>
      </c>
      <c r="F725" s="52"/>
      <c r="G725" s="159">
        <v>168.0</v>
      </c>
      <c r="H725" s="197">
        <v>3.0</v>
      </c>
      <c r="I725" s="132">
        <v>15.0</v>
      </c>
      <c r="J725" s="132">
        <v>1.0</v>
      </c>
      <c r="K725" s="132">
        <v>1.0</v>
      </c>
      <c r="L725" s="144" t="s">
        <v>28</v>
      </c>
      <c r="M725" s="193" t="s">
        <v>2233</v>
      </c>
      <c r="N725" s="144" t="s">
        <v>28</v>
      </c>
      <c r="O725" s="159">
        <v>100.0</v>
      </c>
      <c r="P725" s="132" t="s">
        <v>29</v>
      </c>
      <c r="Q725" s="159">
        <v>21.0</v>
      </c>
      <c r="R725" s="132"/>
      <c r="S725" s="52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  <c r="AD725" s="129"/>
    </row>
    <row r="726" ht="14.25" customHeight="1">
      <c r="A726" s="133">
        <v>24.0</v>
      </c>
      <c r="B726" s="196" t="s">
        <v>2273</v>
      </c>
      <c r="C726" s="149" t="s">
        <v>2255</v>
      </c>
      <c r="D726" s="145" t="s">
        <v>1948</v>
      </c>
      <c r="E726" s="131" t="s">
        <v>189</v>
      </c>
      <c r="F726" s="52"/>
      <c r="G726" s="159">
        <v>32.0</v>
      </c>
      <c r="H726" s="197">
        <v>5.0</v>
      </c>
      <c r="I726" s="132">
        <v>20.0</v>
      </c>
      <c r="J726" s="132">
        <v>1.0</v>
      </c>
      <c r="K726" s="132">
        <v>1.0</v>
      </c>
      <c r="L726" s="144" t="s">
        <v>28</v>
      </c>
      <c r="M726" s="193" t="s">
        <v>2233</v>
      </c>
      <c r="N726" s="144" t="s">
        <v>28</v>
      </c>
      <c r="O726" s="159">
        <v>100.0</v>
      </c>
      <c r="P726" s="132" t="s">
        <v>29</v>
      </c>
      <c r="Q726" s="159">
        <v>4.0</v>
      </c>
      <c r="R726" s="132"/>
      <c r="S726" s="52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  <c r="AD726" s="129"/>
    </row>
    <row r="727" ht="14.25" customHeight="1">
      <c r="A727" s="133">
        <v>25.0</v>
      </c>
      <c r="B727" s="196" t="s">
        <v>2274</v>
      </c>
      <c r="C727" s="149" t="s">
        <v>2275</v>
      </c>
      <c r="D727" s="145" t="s">
        <v>1948</v>
      </c>
      <c r="E727" s="131" t="s">
        <v>189</v>
      </c>
      <c r="F727" s="52"/>
      <c r="G727" s="159">
        <v>40.0</v>
      </c>
      <c r="H727" s="197">
        <v>4.0</v>
      </c>
      <c r="I727" s="132">
        <v>15.0</v>
      </c>
      <c r="J727" s="132">
        <v>1.0</v>
      </c>
      <c r="K727" s="132">
        <v>1.0</v>
      </c>
      <c r="L727" s="144" t="s">
        <v>28</v>
      </c>
      <c r="M727" s="193" t="s">
        <v>2233</v>
      </c>
      <c r="N727" s="144" t="s">
        <v>28</v>
      </c>
      <c r="O727" s="159">
        <v>100.0</v>
      </c>
      <c r="P727" s="132" t="s">
        <v>29</v>
      </c>
      <c r="Q727" s="159">
        <v>5.0</v>
      </c>
      <c r="R727" s="132"/>
      <c r="S727" s="52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  <c r="AD727" s="129"/>
    </row>
    <row r="728" ht="14.25" customHeight="1">
      <c r="A728" s="133">
        <v>26.0</v>
      </c>
      <c r="B728" s="196" t="s">
        <v>2276</v>
      </c>
      <c r="C728" s="149" t="s">
        <v>2277</v>
      </c>
      <c r="D728" s="145" t="s">
        <v>1948</v>
      </c>
      <c r="E728" s="131" t="s">
        <v>189</v>
      </c>
      <c r="F728" s="52"/>
      <c r="G728" s="159">
        <v>60.0</v>
      </c>
      <c r="H728" s="197">
        <v>3.0</v>
      </c>
      <c r="I728" s="132">
        <v>10.0</v>
      </c>
      <c r="J728" s="132">
        <v>1.0</v>
      </c>
      <c r="K728" s="132">
        <v>1.0</v>
      </c>
      <c r="L728" s="144" t="s">
        <v>28</v>
      </c>
      <c r="M728" s="193" t="s">
        <v>2233</v>
      </c>
      <c r="N728" s="144" t="s">
        <v>28</v>
      </c>
      <c r="O728" s="159">
        <v>100.0</v>
      </c>
      <c r="P728" s="132" t="s">
        <v>29</v>
      </c>
      <c r="Q728" s="159">
        <v>7.0</v>
      </c>
      <c r="R728" s="132"/>
      <c r="S728" s="52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</row>
    <row r="729" ht="14.25" customHeight="1">
      <c r="A729" s="133">
        <v>27.0</v>
      </c>
      <c r="B729" s="196" t="s">
        <v>2278</v>
      </c>
      <c r="C729" s="149" t="s">
        <v>2279</v>
      </c>
      <c r="D729" s="145" t="s">
        <v>1948</v>
      </c>
      <c r="E729" s="131" t="s">
        <v>189</v>
      </c>
      <c r="F729" s="52"/>
      <c r="G729" s="159">
        <v>64.0</v>
      </c>
      <c r="H729" s="197">
        <v>3.0</v>
      </c>
      <c r="I729" s="132">
        <v>10.0</v>
      </c>
      <c r="J729" s="132">
        <v>1.0</v>
      </c>
      <c r="K729" s="132">
        <v>1.0</v>
      </c>
      <c r="L729" s="144" t="s">
        <v>28</v>
      </c>
      <c r="M729" s="193" t="s">
        <v>2233</v>
      </c>
      <c r="N729" s="144" t="s">
        <v>28</v>
      </c>
      <c r="O729" s="159">
        <v>100.0</v>
      </c>
      <c r="P729" s="132" t="s">
        <v>29</v>
      </c>
      <c r="Q729" s="159">
        <v>8.0</v>
      </c>
      <c r="R729" s="132"/>
      <c r="S729" s="52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</row>
    <row r="730" ht="14.25" customHeight="1">
      <c r="A730" s="133">
        <v>28.0</v>
      </c>
      <c r="B730" s="196" t="s">
        <v>2280</v>
      </c>
      <c r="C730" s="149" t="s">
        <v>2235</v>
      </c>
      <c r="D730" s="145" t="s">
        <v>1948</v>
      </c>
      <c r="E730" s="131" t="s">
        <v>189</v>
      </c>
      <c r="F730" s="52"/>
      <c r="G730" s="159">
        <v>96.0</v>
      </c>
      <c r="H730" s="197">
        <v>4.0</v>
      </c>
      <c r="I730" s="132">
        <v>15.0</v>
      </c>
      <c r="J730" s="132">
        <v>1.0</v>
      </c>
      <c r="K730" s="132">
        <v>1.0</v>
      </c>
      <c r="L730" s="144" t="s">
        <v>28</v>
      </c>
      <c r="M730" s="193" t="s">
        <v>2233</v>
      </c>
      <c r="N730" s="144" t="s">
        <v>28</v>
      </c>
      <c r="O730" s="159">
        <v>100.0</v>
      </c>
      <c r="P730" s="132" t="s">
        <v>29</v>
      </c>
      <c r="Q730" s="159">
        <v>12.0</v>
      </c>
      <c r="R730" s="132"/>
      <c r="S730" s="52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</row>
    <row r="731" ht="14.25" customHeight="1">
      <c r="A731" s="133">
        <v>29.0</v>
      </c>
      <c r="B731" s="196" t="s">
        <v>536</v>
      </c>
      <c r="C731" s="149" t="s">
        <v>2281</v>
      </c>
      <c r="D731" s="145" t="s">
        <v>1948</v>
      </c>
      <c r="E731" s="131" t="s">
        <v>189</v>
      </c>
      <c r="F731" s="52"/>
      <c r="G731" s="159">
        <v>48.0</v>
      </c>
      <c r="H731" s="197">
        <v>3.0</v>
      </c>
      <c r="I731" s="132">
        <v>10.0</v>
      </c>
      <c r="J731" s="132">
        <v>1.0</v>
      </c>
      <c r="K731" s="132">
        <v>1.0</v>
      </c>
      <c r="L731" s="144" t="s">
        <v>28</v>
      </c>
      <c r="M731" s="193" t="s">
        <v>2233</v>
      </c>
      <c r="N731" s="144" t="s">
        <v>28</v>
      </c>
      <c r="O731" s="159">
        <v>100.0</v>
      </c>
      <c r="P731" s="132" t="s">
        <v>29</v>
      </c>
      <c r="Q731" s="159">
        <v>6.0</v>
      </c>
      <c r="R731" s="132"/>
      <c r="S731" s="52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</row>
    <row r="732" ht="14.25" customHeight="1">
      <c r="A732" s="133">
        <v>30.0</v>
      </c>
      <c r="B732" s="196" t="s">
        <v>2282</v>
      </c>
      <c r="C732" s="149" t="s">
        <v>2283</v>
      </c>
      <c r="D732" s="145" t="s">
        <v>1948</v>
      </c>
      <c r="E732" s="129" t="s">
        <v>189</v>
      </c>
      <c r="F732" s="52"/>
      <c r="G732" s="159">
        <v>54.0</v>
      </c>
      <c r="H732" s="197">
        <v>4.0</v>
      </c>
      <c r="I732" s="132">
        <v>15.0</v>
      </c>
      <c r="J732" s="132">
        <v>1.0</v>
      </c>
      <c r="K732" s="132">
        <v>1.0</v>
      </c>
      <c r="L732" s="144" t="s">
        <v>28</v>
      </c>
      <c r="M732" s="193" t="s">
        <v>2233</v>
      </c>
      <c r="N732" s="144" t="s">
        <v>28</v>
      </c>
      <c r="O732" s="159">
        <v>100.0</v>
      </c>
      <c r="P732" s="132" t="s">
        <v>29</v>
      </c>
      <c r="Q732" s="159">
        <v>7.0</v>
      </c>
      <c r="R732" s="132"/>
      <c r="S732" s="52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</row>
    <row r="733" ht="14.25" customHeight="1">
      <c r="A733" s="133">
        <v>31.0</v>
      </c>
      <c r="B733" s="196" t="s">
        <v>2284</v>
      </c>
      <c r="C733" s="149" t="s">
        <v>2245</v>
      </c>
      <c r="D733" s="145" t="s">
        <v>1948</v>
      </c>
      <c r="E733" s="131" t="s">
        <v>189</v>
      </c>
      <c r="F733" s="52"/>
      <c r="G733" s="159">
        <v>96.0</v>
      </c>
      <c r="H733" s="197">
        <v>3.0</v>
      </c>
      <c r="I733" s="132">
        <v>12.0</v>
      </c>
      <c r="J733" s="132">
        <v>1.0</v>
      </c>
      <c r="K733" s="132">
        <v>1.0</v>
      </c>
      <c r="L733" s="144" t="s">
        <v>28</v>
      </c>
      <c r="M733" s="193" t="s">
        <v>2233</v>
      </c>
      <c r="N733" s="144" t="s">
        <v>28</v>
      </c>
      <c r="O733" s="159">
        <v>100.0</v>
      </c>
      <c r="P733" s="132" t="s">
        <v>29</v>
      </c>
      <c r="Q733" s="159">
        <v>12.0</v>
      </c>
      <c r="R733" s="132"/>
      <c r="S733" s="52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</row>
    <row r="734" ht="14.25" customHeight="1">
      <c r="A734" s="133">
        <v>32.0</v>
      </c>
      <c r="B734" s="196" t="s">
        <v>2285</v>
      </c>
      <c r="C734" s="149" t="s">
        <v>2223</v>
      </c>
      <c r="D734" s="145" t="s">
        <v>1948</v>
      </c>
      <c r="E734" s="131" t="s">
        <v>189</v>
      </c>
      <c r="F734" s="52"/>
      <c r="G734" s="159">
        <v>30.0</v>
      </c>
      <c r="H734" s="197">
        <v>3.0</v>
      </c>
      <c r="I734" s="132">
        <v>10.0</v>
      </c>
      <c r="J734" s="132">
        <v>1.0</v>
      </c>
      <c r="K734" s="132">
        <v>1.0</v>
      </c>
      <c r="L734" s="144" t="s">
        <v>28</v>
      </c>
      <c r="M734" s="193" t="s">
        <v>2233</v>
      </c>
      <c r="N734" s="144" t="s">
        <v>28</v>
      </c>
      <c r="O734" s="159">
        <v>100.0</v>
      </c>
      <c r="P734" s="132" t="s">
        <v>29</v>
      </c>
      <c r="Q734" s="159">
        <v>4.0</v>
      </c>
      <c r="R734" s="132"/>
      <c r="S734" s="52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</row>
    <row r="735" ht="14.25" customHeight="1">
      <c r="A735" s="133">
        <v>33.0</v>
      </c>
      <c r="B735" s="196" t="s">
        <v>2286</v>
      </c>
      <c r="C735" s="149" t="s">
        <v>2232</v>
      </c>
      <c r="D735" s="145" t="s">
        <v>1948</v>
      </c>
      <c r="E735" s="131" t="s">
        <v>189</v>
      </c>
      <c r="F735" s="52"/>
      <c r="G735" s="159">
        <v>60.0</v>
      </c>
      <c r="H735" s="197">
        <v>4.0</v>
      </c>
      <c r="I735" s="132">
        <v>15.0</v>
      </c>
      <c r="J735" s="132">
        <v>1.0</v>
      </c>
      <c r="K735" s="132">
        <v>1.0</v>
      </c>
      <c r="L735" s="144" t="s">
        <v>28</v>
      </c>
      <c r="M735" s="193" t="s">
        <v>2233</v>
      </c>
      <c r="N735" s="144" t="s">
        <v>28</v>
      </c>
      <c r="O735" s="159">
        <v>100.0</v>
      </c>
      <c r="P735" s="132" t="s">
        <v>29</v>
      </c>
      <c r="Q735" s="159">
        <v>7.0</v>
      </c>
      <c r="R735" s="132"/>
      <c r="S735" s="52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</row>
    <row r="736" ht="14.25" customHeight="1">
      <c r="A736" s="133">
        <v>34.0</v>
      </c>
      <c r="B736" s="196" t="s">
        <v>2287</v>
      </c>
      <c r="C736" s="149" t="s">
        <v>2247</v>
      </c>
      <c r="D736" s="145" t="s">
        <v>1948</v>
      </c>
      <c r="E736" s="131" t="s">
        <v>189</v>
      </c>
      <c r="F736" s="52"/>
      <c r="G736" s="159">
        <v>48.0</v>
      </c>
      <c r="H736" s="197">
        <v>4.0</v>
      </c>
      <c r="I736" s="132">
        <v>15.0</v>
      </c>
      <c r="J736" s="132">
        <v>1.0</v>
      </c>
      <c r="K736" s="132">
        <v>1.0</v>
      </c>
      <c r="L736" s="144" t="s">
        <v>28</v>
      </c>
      <c r="M736" s="193" t="s">
        <v>2233</v>
      </c>
      <c r="N736" s="144" t="s">
        <v>28</v>
      </c>
      <c r="O736" s="159">
        <v>100.0</v>
      </c>
      <c r="P736" s="132" t="s">
        <v>29</v>
      </c>
      <c r="Q736" s="159">
        <v>6.0</v>
      </c>
      <c r="R736" s="132"/>
      <c r="S736" s="52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</row>
    <row r="737" ht="14.25" customHeight="1">
      <c r="A737" s="133">
        <v>35.0</v>
      </c>
      <c r="B737" s="196" t="s">
        <v>2288</v>
      </c>
      <c r="C737" s="149" t="s">
        <v>2249</v>
      </c>
      <c r="D737" s="145" t="s">
        <v>1948</v>
      </c>
      <c r="E737" s="131" t="s">
        <v>189</v>
      </c>
      <c r="F737" s="52"/>
      <c r="G737" s="159">
        <v>80.0</v>
      </c>
      <c r="H737" s="197">
        <v>3.0</v>
      </c>
      <c r="I737" s="132">
        <v>12.0</v>
      </c>
      <c r="J737" s="132">
        <v>1.0</v>
      </c>
      <c r="K737" s="132">
        <v>1.0</v>
      </c>
      <c r="L737" s="144" t="s">
        <v>28</v>
      </c>
      <c r="M737" s="193" t="s">
        <v>2233</v>
      </c>
      <c r="N737" s="144" t="s">
        <v>28</v>
      </c>
      <c r="O737" s="159">
        <v>100.0</v>
      </c>
      <c r="P737" s="132" t="s">
        <v>29</v>
      </c>
      <c r="Q737" s="159">
        <v>10.0</v>
      </c>
      <c r="R737" s="132"/>
      <c r="S737" s="52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</row>
    <row r="738" ht="14.25" customHeight="1">
      <c r="A738" s="133">
        <v>36.0</v>
      </c>
      <c r="B738" s="196" t="s">
        <v>1814</v>
      </c>
      <c r="C738" s="149" t="s">
        <v>2289</v>
      </c>
      <c r="D738" s="145" t="s">
        <v>1948</v>
      </c>
      <c r="E738" s="131" t="s">
        <v>189</v>
      </c>
      <c r="F738" s="52"/>
      <c r="G738" s="159">
        <v>96.0</v>
      </c>
      <c r="H738" s="197">
        <v>4.0</v>
      </c>
      <c r="I738" s="132">
        <v>15.0</v>
      </c>
      <c r="J738" s="132">
        <v>1.0</v>
      </c>
      <c r="K738" s="132">
        <v>1.0</v>
      </c>
      <c r="L738" s="144" t="s">
        <v>28</v>
      </c>
      <c r="M738" s="193" t="s">
        <v>2233</v>
      </c>
      <c r="N738" s="144" t="s">
        <v>28</v>
      </c>
      <c r="O738" s="159">
        <v>100.0</v>
      </c>
      <c r="P738" s="132" t="s">
        <v>29</v>
      </c>
      <c r="Q738" s="159">
        <v>12.0</v>
      </c>
      <c r="R738" s="132"/>
      <c r="S738" s="52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</row>
    <row r="739" ht="14.25" customHeight="1">
      <c r="A739" s="133">
        <v>37.0</v>
      </c>
      <c r="B739" s="196" t="s">
        <v>2290</v>
      </c>
      <c r="C739" s="149" t="s">
        <v>2253</v>
      </c>
      <c r="D739" s="145" t="s">
        <v>1948</v>
      </c>
      <c r="E739" s="131" t="s">
        <v>189</v>
      </c>
      <c r="F739" s="52"/>
      <c r="G739" s="159">
        <v>90.0</v>
      </c>
      <c r="H739" s="197">
        <v>4.0</v>
      </c>
      <c r="I739" s="132">
        <v>15.0</v>
      </c>
      <c r="J739" s="132">
        <v>1.0</v>
      </c>
      <c r="K739" s="132">
        <v>1.0</v>
      </c>
      <c r="L739" s="144" t="s">
        <v>28</v>
      </c>
      <c r="M739" s="193" t="s">
        <v>2233</v>
      </c>
      <c r="N739" s="144" t="s">
        <v>28</v>
      </c>
      <c r="O739" s="159">
        <v>100.0</v>
      </c>
      <c r="P739" s="132" t="s">
        <v>29</v>
      </c>
      <c r="Q739" s="159">
        <v>11.0</v>
      </c>
      <c r="R739" s="132"/>
      <c r="S739" s="52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</row>
    <row r="740" ht="14.25" customHeight="1">
      <c r="A740" s="133">
        <v>38.0</v>
      </c>
      <c r="B740" s="196" t="s">
        <v>2291</v>
      </c>
      <c r="C740" s="149" t="s">
        <v>2292</v>
      </c>
      <c r="D740" s="145" t="s">
        <v>1948</v>
      </c>
      <c r="E740" s="131" t="s">
        <v>189</v>
      </c>
      <c r="F740" s="52"/>
      <c r="G740" s="159">
        <v>54.0</v>
      </c>
      <c r="H740" s="197">
        <v>3.0</v>
      </c>
      <c r="I740" s="132">
        <v>12.0</v>
      </c>
      <c r="J740" s="132">
        <v>1.0</v>
      </c>
      <c r="K740" s="132">
        <v>1.0</v>
      </c>
      <c r="L740" s="144" t="s">
        <v>28</v>
      </c>
      <c r="M740" s="193" t="s">
        <v>2233</v>
      </c>
      <c r="N740" s="144" t="s">
        <v>28</v>
      </c>
      <c r="O740" s="159">
        <v>100.0</v>
      </c>
      <c r="P740" s="132" t="s">
        <v>29</v>
      </c>
      <c r="Q740" s="159">
        <v>7.0</v>
      </c>
      <c r="R740" s="132"/>
      <c r="S740" s="52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</row>
    <row r="741" ht="15.75" customHeight="1">
      <c r="A741" s="181"/>
      <c r="B741" s="182" t="s">
        <v>2293</v>
      </c>
      <c r="C741" s="182"/>
      <c r="D741" s="182"/>
      <c r="E741" s="182"/>
      <c r="F741" s="182"/>
      <c r="G741" s="183"/>
      <c r="H741" s="184"/>
      <c r="I741" s="184"/>
      <c r="J741" s="185"/>
      <c r="K741" s="185"/>
      <c r="L741" s="185"/>
      <c r="M741" s="185"/>
      <c r="N741" s="185"/>
      <c r="O741" s="185"/>
      <c r="P741" s="184"/>
      <c r="Q741" s="185"/>
      <c r="R741" s="141"/>
      <c r="S741" s="142"/>
      <c r="T741" s="142"/>
      <c r="U741" s="142"/>
      <c r="V741" s="142"/>
      <c r="W741" s="142"/>
      <c r="X741" s="142"/>
      <c r="Y741" s="142"/>
      <c r="Z741" s="142"/>
      <c r="AA741" s="142"/>
      <c r="AB741" s="142"/>
      <c r="AC741" s="142"/>
      <c r="AD741" s="142"/>
    </row>
    <row r="742" ht="14.25" customHeight="1">
      <c r="A742" s="133">
        <v>1.0</v>
      </c>
      <c r="B742" s="149" t="s">
        <v>2294</v>
      </c>
      <c r="C742" s="149" t="s">
        <v>2295</v>
      </c>
      <c r="D742" s="149" t="s">
        <v>25</v>
      </c>
      <c r="E742" s="149" t="s">
        <v>57</v>
      </c>
      <c r="F742" s="52"/>
      <c r="G742" s="132">
        <v>120.0</v>
      </c>
      <c r="H742" s="132">
        <v>8.0</v>
      </c>
      <c r="I742" s="132">
        <v>40.0</v>
      </c>
      <c r="J742" s="132">
        <v>1.0</v>
      </c>
      <c r="K742" s="132">
        <v>1.0</v>
      </c>
      <c r="L742" s="132" t="s">
        <v>2296</v>
      </c>
      <c r="M742" s="132" t="s">
        <v>65</v>
      </c>
      <c r="N742" s="132" t="s">
        <v>28</v>
      </c>
      <c r="O742" s="132" t="s">
        <v>28</v>
      </c>
      <c r="P742" s="132" t="s">
        <v>66</v>
      </c>
      <c r="Q742" s="132">
        <v>6.0</v>
      </c>
      <c r="R742" s="189"/>
      <c r="S742" s="52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  <c r="AD742" s="129"/>
    </row>
    <row r="743" ht="14.25" customHeight="1">
      <c r="A743" s="133">
        <v>2.0</v>
      </c>
      <c r="B743" s="149" t="s">
        <v>2297</v>
      </c>
      <c r="C743" s="149" t="s">
        <v>2295</v>
      </c>
      <c r="D743" s="149" t="s">
        <v>25</v>
      </c>
      <c r="E743" s="149" t="s">
        <v>57</v>
      </c>
      <c r="F743" s="52"/>
      <c r="G743" s="132">
        <v>216.0</v>
      </c>
      <c r="H743" s="132">
        <v>20.0</v>
      </c>
      <c r="I743" s="132">
        <v>50.0</v>
      </c>
      <c r="J743" s="132">
        <v>2.0</v>
      </c>
      <c r="K743" s="132">
        <v>2.0</v>
      </c>
      <c r="L743" s="132">
        <v>2.0</v>
      </c>
      <c r="M743" s="132" t="s">
        <v>65</v>
      </c>
      <c r="N743" s="132" t="s">
        <v>28</v>
      </c>
      <c r="O743" s="132" t="s">
        <v>28</v>
      </c>
      <c r="P743" s="132" t="s">
        <v>66</v>
      </c>
      <c r="Q743" s="132">
        <v>20.0</v>
      </c>
      <c r="R743" s="132"/>
      <c r="S743" s="52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  <c r="AD743" s="129"/>
    </row>
    <row r="744" ht="15.0" customHeight="1">
      <c r="A744" s="133">
        <v>3.0</v>
      </c>
      <c r="B744" s="145" t="s">
        <v>2298</v>
      </c>
      <c r="C744" s="145" t="s">
        <v>2295</v>
      </c>
      <c r="D744" s="149" t="s">
        <v>25</v>
      </c>
      <c r="E744" s="149" t="s">
        <v>57</v>
      </c>
      <c r="F744" s="146"/>
      <c r="G744" s="133">
        <v>228.0</v>
      </c>
      <c r="H744" s="133">
        <v>10.0</v>
      </c>
      <c r="I744" s="133">
        <v>50.0</v>
      </c>
      <c r="J744" s="133" t="s">
        <v>28</v>
      </c>
      <c r="K744" s="132" t="s">
        <v>28</v>
      </c>
      <c r="L744" s="133" t="s">
        <v>2299</v>
      </c>
      <c r="M744" s="133" t="s">
        <v>65</v>
      </c>
      <c r="N744" s="132" t="s">
        <v>28</v>
      </c>
      <c r="O744" s="132" t="s">
        <v>28</v>
      </c>
      <c r="P744" s="133" t="s">
        <v>66</v>
      </c>
      <c r="Q744" s="133">
        <v>8.0</v>
      </c>
      <c r="R744" s="132"/>
      <c r="S744" s="52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  <c r="AD744" s="129"/>
    </row>
    <row r="745" ht="14.25" customHeight="1">
      <c r="A745" s="133">
        <v>4.0</v>
      </c>
      <c r="B745" s="149" t="s">
        <v>2300</v>
      </c>
      <c r="C745" s="149" t="s">
        <v>2301</v>
      </c>
      <c r="D745" s="149" t="s">
        <v>25</v>
      </c>
      <c r="E745" s="149" t="s">
        <v>57</v>
      </c>
      <c r="F745" s="52"/>
      <c r="G745" s="132">
        <v>378.0</v>
      </c>
      <c r="H745" s="132">
        <v>24.0</v>
      </c>
      <c r="I745" s="132">
        <v>120.0</v>
      </c>
      <c r="J745" s="132">
        <v>6.0</v>
      </c>
      <c r="K745" s="132">
        <v>6.0</v>
      </c>
      <c r="L745" s="132" t="s">
        <v>28</v>
      </c>
      <c r="M745" s="132" t="s">
        <v>65</v>
      </c>
      <c r="N745" s="132" t="s">
        <v>28</v>
      </c>
      <c r="O745" s="132" t="s">
        <v>28</v>
      </c>
      <c r="P745" s="132" t="s">
        <v>29</v>
      </c>
      <c r="Q745" s="132" t="s">
        <v>28</v>
      </c>
      <c r="R745" s="132"/>
      <c r="S745" s="52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  <c r="AD745" s="129"/>
    </row>
    <row r="746" ht="14.25" customHeight="1">
      <c r="A746" s="133">
        <v>5.0</v>
      </c>
      <c r="B746" s="149" t="s">
        <v>2302</v>
      </c>
      <c r="C746" s="149" t="s">
        <v>2301</v>
      </c>
      <c r="D746" s="149" t="s">
        <v>25</v>
      </c>
      <c r="E746" s="149" t="s">
        <v>57</v>
      </c>
      <c r="F746" s="52"/>
      <c r="G746" s="132">
        <v>30.0</v>
      </c>
      <c r="H746" s="132">
        <v>2.0</v>
      </c>
      <c r="I746" s="132">
        <v>8.0</v>
      </c>
      <c r="J746" s="132" t="s">
        <v>28</v>
      </c>
      <c r="K746" s="132" t="s">
        <v>28</v>
      </c>
      <c r="L746" s="132">
        <v>1.0</v>
      </c>
      <c r="M746" s="132" t="s">
        <v>65</v>
      </c>
      <c r="N746" s="132" t="s">
        <v>28</v>
      </c>
      <c r="O746" s="132" t="s">
        <v>28</v>
      </c>
      <c r="P746" s="132" t="s">
        <v>66</v>
      </c>
      <c r="Q746" s="132">
        <v>2.0</v>
      </c>
      <c r="R746" s="132"/>
      <c r="S746" s="52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  <c r="AD746" s="129"/>
    </row>
    <row r="747" ht="14.25" customHeight="1">
      <c r="A747" s="133">
        <v>6.0</v>
      </c>
      <c r="B747" s="149" t="s">
        <v>2300</v>
      </c>
      <c r="C747" s="149" t="s">
        <v>1639</v>
      </c>
      <c r="D747" s="149" t="s">
        <v>25</v>
      </c>
      <c r="E747" s="149" t="s">
        <v>57</v>
      </c>
      <c r="F747" s="52"/>
      <c r="G747" s="132">
        <v>378.0</v>
      </c>
      <c r="H747" s="132">
        <v>24.0</v>
      </c>
      <c r="I747" s="132">
        <v>120.0</v>
      </c>
      <c r="J747" s="132">
        <v>6.0</v>
      </c>
      <c r="K747" s="132">
        <v>6.0</v>
      </c>
      <c r="L747" s="151" t="s">
        <v>28</v>
      </c>
      <c r="M747" s="132" t="s">
        <v>65</v>
      </c>
      <c r="N747" s="132" t="s">
        <v>28</v>
      </c>
      <c r="O747" s="132" t="s">
        <v>28</v>
      </c>
      <c r="P747" s="132" t="s">
        <v>29</v>
      </c>
      <c r="Q747" s="132" t="s">
        <v>28</v>
      </c>
      <c r="R747" s="132"/>
      <c r="S747" s="52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  <c r="AD747" s="129"/>
    </row>
    <row r="748" ht="12.0" customHeight="1">
      <c r="A748" s="133">
        <v>7.0</v>
      </c>
      <c r="B748" s="149" t="s">
        <v>2302</v>
      </c>
      <c r="C748" s="149" t="s">
        <v>1639</v>
      </c>
      <c r="D748" s="149" t="s">
        <v>25</v>
      </c>
      <c r="E748" s="149" t="s">
        <v>57</v>
      </c>
      <c r="F748" s="52"/>
      <c r="G748" s="132">
        <v>48.0</v>
      </c>
      <c r="H748" s="132">
        <v>2.0</v>
      </c>
      <c r="I748" s="132">
        <v>10.0</v>
      </c>
      <c r="J748" s="132">
        <v>1.0</v>
      </c>
      <c r="K748" s="132">
        <v>1.0</v>
      </c>
      <c r="L748" s="132" t="s">
        <v>28</v>
      </c>
      <c r="M748" s="132" t="s">
        <v>65</v>
      </c>
      <c r="N748" s="132" t="s">
        <v>28</v>
      </c>
      <c r="O748" s="132" t="s">
        <v>28</v>
      </c>
      <c r="P748" s="132" t="s">
        <v>66</v>
      </c>
      <c r="Q748" s="132">
        <v>4.0</v>
      </c>
      <c r="R748" s="132"/>
      <c r="S748" s="52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  <c r="AD748" s="129"/>
    </row>
    <row r="749" ht="14.25" customHeight="1">
      <c r="A749" s="133">
        <v>8.0</v>
      </c>
      <c r="B749" s="149" t="s">
        <v>2300</v>
      </c>
      <c r="C749" s="149" t="s">
        <v>1552</v>
      </c>
      <c r="D749" s="149" t="s">
        <v>25</v>
      </c>
      <c r="E749" s="149" t="s">
        <v>57</v>
      </c>
      <c r="F749" s="52"/>
      <c r="G749" s="132">
        <v>378.0</v>
      </c>
      <c r="H749" s="132">
        <v>24.0</v>
      </c>
      <c r="I749" s="132">
        <v>120.0</v>
      </c>
      <c r="J749" s="132">
        <v>6.0</v>
      </c>
      <c r="K749" s="132">
        <v>6.0</v>
      </c>
      <c r="L749" s="132" t="s">
        <v>28</v>
      </c>
      <c r="M749" s="132" t="s">
        <v>65</v>
      </c>
      <c r="N749" s="132" t="s">
        <v>28</v>
      </c>
      <c r="O749" s="132" t="s">
        <v>28</v>
      </c>
      <c r="P749" s="132" t="s">
        <v>29</v>
      </c>
      <c r="Q749" s="132" t="s">
        <v>28</v>
      </c>
      <c r="R749" s="132"/>
      <c r="S749" s="52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  <c r="AD749" s="129"/>
    </row>
    <row r="750" ht="14.25" customHeight="1">
      <c r="A750" s="133">
        <v>9.0</v>
      </c>
      <c r="B750" s="149" t="s">
        <v>68</v>
      </c>
      <c r="C750" s="149" t="s">
        <v>1552</v>
      </c>
      <c r="D750" s="149" t="s">
        <v>25</v>
      </c>
      <c r="E750" s="149" t="s">
        <v>57</v>
      </c>
      <c r="F750" s="52"/>
      <c r="G750" s="132">
        <v>48.0</v>
      </c>
      <c r="H750" s="132">
        <v>5.0</v>
      </c>
      <c r="I750" s="132">
        <v>20.0</v>
      </c>
      <c r="J750" s="132">
        <v>1.0</v>
      </c>
      <c r="K750" s="132">
        <v>1.0</v>
      </c>
      <c r="L750" s="132" t="s">
        <v>28</v>
      </c>
      <c r="M750" s="132" t="s">
        <v>65</v>
      </c>
      <c r="N750" s="132" t="s">
        <v>28</v>
      </c>
      <c r="O750" s="132" t="s">
        <v>28</v>
      </c>
      <c r="P750" s="132" t="s">
        <v>66</v>
      </c>
      <c r="Q750" s="132">
        <v>6.0</v>
      </c>
      <c r="R750" s="132"/>
      <c r="S750" s="52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  <c r="AD750" s="129"/>
    </row>
    <row r="751" ht="14.25" customHeight="1">
      <c r="A751" s="133">
        <v>10.0</v>
      </c>
      <c r="B751" s="149" t="s">
        <v>68</v>
      </c>
      <c r="C751" s="149" t="s">
        <v>2303</v>
      </c>
      <c r="D751" s="149" t="s">
        <v>25</v>
      </c>
      <c r="E751" s="149" t="s">
        <v>57</v>
      </c>
      <c r="F751" s="52"/>
      <c r="G751" s="132">
        <v>48.0</v>
      </c>
      <c r="H751" s="132">
        <v>6.0</v>
      </c>
      <c r="I751" s="132">
        <v>30.0</v>
      </c>
      <c r="J751" s="132">
        <v>1.0</v>
      </c>
      <c r="K751" s="132">
        <v>1.0</v>
      </c>
      <c r="L751" s="132" t="s">
        <v>28</v>
      </c>
      <c r="M751" s="132" t="s">
        <v>65</v>
      </c>
      <c r="N751" s="132" t="s">
        <v>28</v>
      </c>
      <c r="O751" s="132" t="s">
        <v>28</v>
      </c>
      <c r="P751" s="132" t="s">
        <v>29</v>
      </c>
      <c r="Q751" s="132" t="s">
        <v>28</v>
      </c>
      <c r="R751" s="132"/>
      <c r="S751" s="52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  <c r="AD751" s="129"/>
    </row>
    <row r="752" ht="14.25" customHeight="1">
      <c r="A752" s="133">
        <v>11.0</v>
      </c>
      <c r="B752" s="149" t="s">
        <v>68</v>
      </c>
      <c r="C752" s="149" t="s">
        <v>2304</v>
      </c>
      <c r="D752" s="149" t="s">
        <v>25</v>
      </c>
      <c r="E752" s="149" t="s">
        <v>57</v>
      </c>
      <c r="F752" s="52"/>
      <c r="G752" s="132">
        <v>48.0</v>
      </c>
      <c r="H752" s="132">
        <v>6.0</v>
      </c>
      <c r="I752" s="132">
        <v>30.0</v>
      </c>
      <c r="J752" s="132">
        <v>1.0</v>
      </c>
      <c r="K752" s="132">
        <v>1.0</v>
      </c>
      <c r="L752" s="132" t="s">
        <v>28</v>
      </c>
      <c r="M752" s="132" t="s">
        <v>65</v>
      </c>
      <c r="N752" s="132" t="s">
        <v>28</v>
      </c>
      <c r="O752" s="132" t="s">
        <v>28</v>
      </c>
      <c r="P752" s="132" t="s">
        <v>29</v>
      </c>
      <c r="Q752" s="132" t="s">
        <v>28</v>
      </c>
      <c r="R752" s="132"/>
      <c r="S752" s="52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  <c r="AD752" s="129"/>
    </row>
    <row r="753" ht="14.25" customHeight="1">
      <c r="A753" s="133">
        <v>12.0</v>
      </c>
      <c r="B753" s="149" t="s">
        <v>2300</v>
      </c>
      <c r="C753" s="149" t="s">
        <v>2305</v>
      </c>
      <c r="D753" s="149" t="s">
        <v>25</v>
      </c>
      <c r="E753" s="149" t="s">
        <v>57</v>
      </c>
      <c r="F753" s="52"/>
      <c r="G753" s="132">
        <v>378.0</v>
      </c>
      <c r="H753" s="132">
        <v>24.0</v>
      </c>
      <c r="I753" s="132">
        <v>120.0</v>
      </c>
      <c r="J753" s="132">
        <v>6.0</v>
      </c>
      <c r="K753" s="132">
        <v>6.0</v>
      </c>
      <c r="L753" s="132" t="s">
        <v>28</v>
      </c>
      <c r="M753" s="132" t="s">
        <v>65</v>
      </c>
      <c r="N753" s="132" t="s">
        <v>28</v>
      </c>
      <c r="O753" s="132" t="s">
        <v>28</v>
      </c>
      <c r="P753" s="132" t="s">
        <v>29</v>
      </c>
      <c r="Q753" s="132" t="s">
        <v>28</v>
      </c>
      <c r="R753" s="132"/>
      <c r="S753" s="52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  <c r="AD753" s="129"/>
    </row>
    <row r="754" ht="14.25" customHeight="1">
      <c r="A754" s="133">
        <v>13.0</v>
      </c>
      <c r="B754" s="149" t="s">
        <v>2302</v>
      </c>
      <c r="C754" s="149" t="s">
        <v>2305</v>
      </c>
      <c r="D754" s="149" t="s">
        <v>25</v>
      </c>
      <c r="E754" s="149" t="s">
        <v>57</v>
      </c>
      <c r="F754" s="52"/>
      <c r="G754" s="132">
        <v>60.0</v>
      </c>
      <c r="H754" s="132">
        <v>4.0</v>
      </c>
      <c r="I754" s="132">
        <v>20.0</v>
      </c>
      <c r="J754" s="132">
        <v>1.0</v>
      </c>
      <c r="K754" s="132">
        <v>1.0</v>
      </c>
      <c r="L754" s="132" t="s">
        <v>28</v>
      </c>
      <c r="M754" s="132" t="s">
        <v>65</v>
      </c>
      <c r="N754" s="132" t="s">
        <v>28</v>
      </c>
      <c r="O754" s="132" t="s">
        <v>28</v>
      </c>
      <c r="P754" s="132" t="s">
        <v>66</v>
      </c>
      <c r="Q754" s="132">
        <v>4.0</v>
      </c>
      <c r="R754" s="132"/>
      <c r="S754" s="52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  <c r="AD754" s="129"/>
    </row>
    <row r="755" ht="14.25" customHeight="1">
      <c r="A755" s="133">
        <v>14.0</v>
      </c>
      <c r="B755" s="149" t="s">
        <v>2306</v>
      </c>
      <c r="C755" s="149" t="s">
        <v>2307</v>
      </c>
      <c r="D755" s="149" t="s">
        <v>25</v>
      </c>
      <c r="E755" s="149" t="s">
        <v>57</v>
      </c>
      <c r="F755" s="52"/>
      <c r="G755" s="132">
        <v>36.0</v>
      </c>
      <c r="H755" s="132">
        <v>2.0</v>
      </c>
      <c r="I755" s="132">
        <v>10.0</v>
      </c>
      <c r="J755" s="132" t="s">
        <v>28</v>
      </c>
      <c r="K755" s="132" t="s">
        <v>28</v>
      </c>
      <c r="L755" s="132">
        <v>1.0</v>
      </c>
      <c r="M755" s="132" t="s">
        <v>65</v>
      </c>
      <c r="N755" s="132" t="s">
        <v>28</v>
      </c>
      <c r="O755" s="132" t="s">
        <v>28</v>
      </c>
      <c r="P755" s="132" t="s">
        <v>66</v>
      </c>
      <c r="Q755" s="132">
        <v>2.0</v>
      </c>
      <c r="R755" s="132"/>
      <c r="S755" s="52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  <c r="AD755" s="129"/>
    </row>
    <row r="756" ht="14.25" customHeight="1">
      <c r="A756" s="133">
        <v>16.0</v>
      </c>
      <c r="B756" s="149" t="s">
        <v>68</v>
      </c>
      <c r="C756" s="149" t="s">
        <v>2308</v>
      </c>
      <c r="D756" s="149" t="s">
        <v>25</v>
      </c>
      <c r="E756" s="149" t="s">
        <v>57</v>
      </c>
      <c r="F756" s="52"/>
      <c r="G756" s="132">
        <v>48.0</v>
      </c>
      <c r="H756" s="132">
        <v>4.0</v>
      </c>
      <c r="I756" s="132">
        <v>20.0</v>
      </c>
      <c r="J756" s="132" t="s">
        <v>28</v>
      </c>
      <c r="K756" s="132" t="s">
        <v>28</v>
      </c>
      <c r="L756" s="132">
        <v>1.0</v>
      </c>
      <c r="M756" s="132" t="s">
        <v>65</v>
      </c>
      <c r="N756" s="132" t="s">
        <v>28</v>
      </c>
      <c r="O756" s="132" t="s">
        <v>28</v>
      </c>
      <c r="P756" s="132" t="s">
        <v>29</v>
      </c>
      <c r="Q756" s="132" t="s">
        <v>28</v>
      </c>
      <c r="R756" s="132"/>
      <c r="S756" s="52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  <c r="AD756" s="129"/>
    </row>
    <row r="757" ht="14.25" customHeight="1">
      <c r="A757" s="133">
        <v>16.0</v>
      </c>
      <c r="B757" s="149" t="s">
        <v>2309</v>
      </c>
      <c r="C757" s="149" t="s">
        <v>2310</v>
      </c>
      <c r="D757" s="149" t="s">
        <v>25</v>
      </c>
      <c r="E757" s="149" t="s">
        <v>57</v>
      </c>
      <c r="F757" s="52"/>
      <c r="G757" s="132">
        <v>30.0</v>
      </c>
      <c r="H757" s="132">
        <v>4.0</v>
      </c>
      <c r="I757" s="132">
        <v>20.0</v>
      </c>
      <c r="J757" s="132">
        <v>1.0</v>
      </c>
      <c r="K757" s="132">
        <v>1.0</v>
      </c>
      <c r="L757" s="132" t="s">
        <v>28</v>
      </c>
      <c r="M757" s="132" t="s">
        <v>65</v>
      </c>
      <c r="N757" s="132" t="s">
        <v>28</v>
      </c>
      <c r="O757" s="132" t="s">
        <v>28</v>
      </c>
      <c r="P757" s="132" t="s">
        <v>66</v>
      </c>
      <c r="Q757" s="132">
        <v>6.0</v>
      </c>
      <c r="R757" s="132"/>
      <c r="S757" s="52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  <c r="AD757" s="129"/>
    </row>
    <row r="758" ht="14.25" customHeight="1">
      <c r="A758" s="133">
        <v>17.0</v>
      </c>
      <c r="B758" s="149" t="s">
        <v>2311</v>
      </c>
      <c r="C758" s="149" t="s">
        <v>2295</v>
      </c>
      <c r="D758" s="149" t="s">
        <v>25</v>
      </c>
      <c r="E758" s="149" t="s">
        <v>57</v>
      </c>
      <c r="F758" s="52"/>
      <c r="G758" s="132">
        <v>35.0</v>
      </c>
      <c r="H758" s="132">
        <v>4.0</v>
      </c>
      <c r="I758" s="132">
        <v>20.0</v>
      </c>
      <c r="J758" s="132" t="s">
        <v>28</v>
      </c>
      <c r="K758" s="132" t="s">
        <v>28</v>
      </c>
      <c r="L758" s="132">
        <v>1.0</v>
      </c>
      <c r="M758" s="132" t="s">
        <v>65</v>
      </c>
      <c r="N758" s="132" t="s">
        <v>28</v>
      </c>
      <c r="O758" s="132" t="s">
        <v>28</v>
      </c>
      <c r="P758" s="132" t="s">
        <v>29</v>
      </c>
      <c r="Q758" s="132" t="s">
        <v>28</v>
      </c>
      <c r="R758" s="132"/>
      <c r="S758" s="52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  <c r="AD758" s="129"/>
    </row>
    <row r="759" ht="14.25" customHeight="1">
      <c r="A759" s="133">
        <v>18.0</v>
      </c>
      <c r="B759" s="149" t="s">
        <v>2312</v>
      </c>
      <c r="C759" s="149" t="s">
        <v>2313</v>
      </c>
      <c r="D759" s="149" t="s">
        <v>25</v>
      </c>
      <c r="E759" s="149" t="s">
        <v>57</v>
      </c>
      <c r="F759" s="52"/>
      <c r="G759" s="132">
        <v>189.0</v>
      </c>
      <c r="H759" s="132">
        <v>24.0</v>
      </c>
      <c r="I759" s="132">
        <v>120.0</v>
      </c>
      <c r="J759" s="132">
        <v>6.0</v>
      </c>
      <c r="K759" s="132">
        <v>6.0</v>
      </c>
      <c r="L759" s="132" t="s">
        <v>28</v>
      </c>
      <c r="M759" s="132" t="s">
        <v>65</v>
      </c>
      <c r="N759" s="132" t="s">
        <v>28</v>
      </c>
      <c r="O759" s="132" t="s">
        <v>28</v>
      </c>
      <c r="P759" s="132" t="s">
        <v>29</v>
      </c>
      <c r="Q759" s="132" t="s">
        <v>28</v>
      </c>
      <c r="R759" s="132"/>
      <c r="S759" s="52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  <c r="AD759" s="129"/>
    </row>
    <row r="760" ht="14.25" customHeight="1">
      <c r="A760" s="133">
        <v>19.0</v>
      </c>
      <c r="B760" s="149" t="s">
        <v>68</v>
      </c>
      <c r="C760" s="149" t="s">
        <v>2314</v>
      </c>
      <c r="D760" s="149" t="s">
        <v>25</v>
      </c>
      <c r="E760" s="149" t="s">
        <v>57</v>
      </c>
      <c r="F760" s="52"/>
      <c r="G760" s="132">
        <v>48.0</v>
      </c>
      <c r="H760" s="132">
        <v>4.0</v>
      </c>
      <c r="I760" s="132">
        <v>20.0</v>
      </c>
      <c r="J760" s="132">
        <v>1.0</v>
      </c>
      <c r="K760" s="132">
        <v>1.0</v>
      </c>
      <c r="L760" s="132" t="s">
        <v>28</v>
      </c>
      <c r="M760" s="132" t="s">
        <v>65</v>
      </c>
      <c r="N760" s="132" t="s">
        <v>28</v>
      </c>
      <c r="O760" s="132" t="s">
        <v>28</v>
      </c>
      <c r="P760" s="132" t="s">
        <v>29</v>
      </c>
      <c r="Q760" s="132" t="s">
        <v>28</v>
      </c>
      <c r="R760" s="132"/>
      <c r="S760" s="52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  <c r="AD760" s="129"/>
    </row>
    <row r="761" ht="14.25" customHeight="1">
      <c r="A761" s="133">
        <v>20.0</v>
      </c>
      <c r="B761" s="149" t="s">
        <v>68</v>
      </c>
      <c r="C761" s="149" t="s">
        <v>2315</v>
      </c>
      <c r="D761" s="149" t="s">
        <v>25</v>
      </c>
      <c r="E761" s="149" t="s">
        <v>57</v>
      </c>
      <c r="F761" s="52"/>
      <c r="G761" s="132">
        <v>66.0</v>
      </c>
      <c r="H761" s="132">
        <v>6.0</v>
      </c>
      <c r="I761" s="132">
        <v>30.0</v>
      </c>
      <c r="J761" s="132">
        <v>1.0</v>
      </c>
      <c r="K761" s="132">
        <v>1.0</v>
      </c>
      <c r="L761" s="132" t="s">
        <v>28</v>
      </c>
      <c r="M761" s="132" t="s">
        <v>65</v>
      </c>
      <c r="N761" s="132" t="s">
        <v>28</v>
      </c>
      <c r="O761" s="132" t="s">
        <v>28</v>
      </c>
      <c r="P761" s="132" t="s">
        <v>66</v>
      </c>
      <c r="Q761" s="132">
        <v>6.0</v>
      </c>
      <c r="R761" s="132"/>
      <c r="S761" s="52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  <c r="AD761" s="129"/>
    </row>
    <row r="762" ht="14.25" customHeight="1">
      <c r="A762" s="133">
        <v>21.0</v>
      </c>
      <c r="B762" s="149" t="s">
        <v>2300</v>
      </c>
      <c r="C762" s="149" t="s">
        <v>2316</v>
      </c>
      <c r="D762" s="149" t="s">
        <v>25</v>
      </c>
      <c r="E762" s="149" t="s">
        <v>57</v>
      </c>
      <c r="F762" s="52"/>
      <c r="G762" s="132">
        <v>378.0</v>
      </c>
      <c r="H762" s="132">
        <v>24.0</v>
      </c>
      <c r="I762" s="132">
        <v>120.0</v>
      </c>
      <c r="J762" s="132">
        <v>6.0</v>
      </c>
      <c r="K762" s="132">
        <v>6.0</v>
      </c>
      <c r="L762" s="132" t="s">
        <v>28</v>
      </c>
      <c r="M762" s="132" t="s">
        <v>65</v>
      </c>
      <c r="N762" s="132" t="s">
        <v>28</v>
      </c>
      <c r="O762" s="132" t="s">
        <v>28</v>
      </c>
      <c r="P762" s="132" t="s">
        <v>29</v>
      </c>
      <c r="Q762" s="132" t="s">
        <v>28</v>
      </c>
      <c r="R762" s="132"/>
      <c r="S762" s="52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  <c r="AD762" s="129"/>
    </row>
    <row r="763" ht="14.25" customHeight="1">
      <c r="A763" s="133">
        <v>22.0</v>
      </c>
      <c r="B763" s="149" t="s">
        <v>2300</v>
      </c>
      <c r="C763" s="149" t="s">
        <v>2317</v>
      </c>
      <c r="D763" s="149" t="s">
        <v>25</v>
      </c>
      <c r="E763" s="149" t="s">
        <v>57</v>
      </c>
      <c r="F763" s="52"/>
      <c r="G763" s="132">
        <v>378.0</v>
      </c>
      <c r="H763" s="132">
        <v>24.0</v>
      </c>
      <c r="I763" s="132">
        <v>120.0</v>
      </c>
      <c r="J763" s="132">
        <v>6.0</v>
      </c>
      <c r="K763" s="132">
        <v>6.0</v>
      </c>
      <c r="L763" s="132" t="s">
        <v>28</v>
      </c>
      <c r="M763" s="132" t="s">
        <v>65</v>
      </c>
      <c r="N763" s="132" t="s">
        <v>28</v>
      </c>
      <c r="O763" s="132" t="s">
        <v>28</v>
      </c>
      <c r="P763" s="132" t="s">
        <v>29</v>
      </c>
      <c r="Q763" s="132" t="s">
        <v>28</v>
      </c>
      <c r="R763" s="132"/>
      <c r="S763" s="52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  <c r="AD763" s="129"/>
    </row>
    <row r="764" ht="14.25" customHeight="1">
      <c r="A764" s="133">
        <v>23.0</v>
      </c>
      <c r="B764" s="149" t="s">
        <v>2306</v>
      </c>
      <c r="C764" s="149" t="s">
        <v>2317</v>
      </c>
      <c r="D764" s="149" t="s">
        <v>25</v>
      </c>
      <c r="E764" s="149" t="s">
        <v>57</v>
      </c>
      <c r="F764" s="52"/>
      <c r="G764" s="132">
        <v>110.0</v>
      </c>
      <c r="H764" s="132">
        <v>5.0</v>
      </c>
      <c r="I764" s="132">
        <v>25.0</v>
      </c>
      <c r="J764" s="132" t="s">
        <v>28</v>
      </c>
      <c r="K764" s="132" t="s">
        <v>28</v>
      </c>
      <c r="L764" s="132">
        <v>1.0</v>
      </c>
      <c r="M764" s="132" t="s">
        <v>65</v>
      </c>
      <c r="N764" s="132" t="s">
        <v>28</v>
      </c>
      <c r="O764" s="132" t="s">
        <v>28</v>
      </c>
      <c r="P764" s="132" t="s">
        <v>29</v>
      </c>
      <c r="Q764" s="132" t="s">
        <v>28</v>
      </c>
      <c r="R764" s="132"/>
      <c r="S764" s="52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  <c r="AD764" s="129"/>
    </row>
    <row r="765" ht="15.75" customHeight="1">
      <c r="A765" s="181"/>
      <c r="B765" s="182" t="s">
        <v>2318</v>
      </c>
      <c r="C765" s="182"/>
      <c r="D765" s="182"/>
      <c r="E765" s="182"/>
      <c r="F765" s="182"/>
      <c r="G765" s="183"/>
      <c r="H765" s="184"/>
      <c r="I765" s="184"/>
      <c r="J765" s="185"/>
      <c r="K765" s="185"/>
      <c r="L765" s="185"/>
      <c r="M765" s="185"/>
      <c r="N765" s="185"/>
      <c r="O765" s="185"/>
      <c r="P765" s="184"/>
      <c r="Q765" s="185"/>
      <c r="R765" s="141"/>
      <c r="S765" s="142"/>
      <c r="T765" s="142"/>
      <c r="U765" s="142"/>
      <c r="V765" s="142"/>
      <c r="W765" s="142"/>
      <c r="X765" s="142"/>
      <c r="Y765" s="142"/>
      <c r="Z765" s="142"/>
      <c r="AA765" s="142"/>
      <c r="AB765" s="142"/>
      <c r="AC765" s="142"/>
      <c r="AD765" s="142"/>
    </row>
    <row r="766" ht="14.25" customHeight="1">
      <c r="A766" s="133">
        <v>1.0</v>
      </c>
      <c r="B766" s="149" t="s">
        <v>2319</v>
      </c>
      <c r="C766" s="149" t="s">
        <v>2320</v>
      </c>
      <c r="D766" s="149" t="s">
        <v>25</v>
      </c>
      <c r="E766" s="149" t="s">
        <v>57</v>
      </c>
      <c r="F766" s="52"/>
      <c r="G766" s="132" t="s">
        <v>1257</v>
      </c>
      <c r="H766" s="132" t="s">
        <v>1257</v>
      </c>
      <c r="I766" s="132">
        <v>15.0</v>
      </c>
      <c r="J766" s="132" t="s">
        <v>1257</v>
      </c>
      <c r="K766" s="132" t="s">
        <v>1257</v>
      </c>
      <c r="L766" s="132">
        <v>1.0</v>
      </c>
      <c r="M766" s="132" t="s">
        <v>82</v>
      </c>
      <c r="N766" s="144" t="s">
        <v>28</v>
      </c>
      <c r="O766" s="132" t="s">
        <v>1257</v>
      </c>
      <c r="P766" s="132" t="s">
        <v>29</v>
      </c>
      <c r="Q766" s="132" t="s">
        <v>1257</v>
      </c>
      <c r="R766" s="132"/>
      <c r="S766" s="52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</row>
    <row r="767" ht="14.25" customHeight="1">
      <c r="A767" s="133">
        <v>2.0</v>
      </c>
      <c r="B767" s="149" t="s">
        <v>2321</v>
      </c>
      <c r="C767" s="149" t="s">
        <v>2322</v>
      </c>
      <c r="D767" s="149" t="s">
        <v>25</v>
      </c>
      <c r="E767" s="149" t="s">
        <v>57</v>
      </c>
      <c r="F767" s="52"/>
      <c r="G767" s="132" t="s">
        <v>1257</v>
      </c>
      <c r="H767" s="132" t="s">
        <v>1257</v>
      </c>
      <c r="I767" s="132">
        <v>12.0</v>
      </c>
      <c r="J767" s="132" t="s">
        <v>1257</v>
      </c>
      <c r="K767" s="132" t="s">
        <v>1257</v>
      </c>
      <c r="L767" s="132">
        <v>1.0</v>
      </c>
      <c r="M767" s="132" t="s">
        <v>82</v>
      </c>
      <c r="N767" s="144" t="s">
        <v>28</v>
      </c>
      <c r="O767" s="132" t="s">
        <v>1257</v>
      </c>
      <c r="P767" s="132" t="s">
        <v>29</v>
      </c>
      <c r="Q767" s="132" t="s">
        <v>1257</v>
      </c>
      <c r="R767" s="132"/>
      <c r="S767" s="52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</row>
    <row r="768" ht="14.25" customHeight="1">
      <c r="A768" s="133">
        <v>3.0</v>
      </c>
      <c r="B768" s="149" t="s">
        <v>2323</v>
      </c>
      <c r="C768" s="149" t="s">
        <v>2324</v>
      </c>
      <c r="D768" s="149" t="s">
        <v>25</v>
      </c>
      <c r="E768" s="149" t="s">
        <v>57</v>
      </c>
      <c r="F768" s="52"/>
      <c r="G768" s="132" t="s">
        <v>1257</v>
      </c>
      <c r="H768" s="132" t="s">
        <v>1257</v>
      </c>
      <c r="I768" s="132">
        <v>10.0</v>
      </c>
      <c r="J768" s="132" t="s">
        <v>1257</v>
      </c>
      <c r="K768" s="132" t="s">
        <v>1257</v>
      </c>
      <c r="L768" s="132">
        <v>1.0</v>
      </c>
      <c r="M768" s="132" t="s">
        <v>82</v>
      </c>
      <c r="N768" s="144" t="s">
        <v>28</v>
      </c>
      <c r="O768" s="132" t="s">
        <v>1257</v>
      </c>
      <c r="P768" s="132" t="s">
        <v>29</v>
      </c>
      <c r="Q768" s="132" t="s">
        <v>1257</v>
      </c>
      <c r="R768" s="132"/>
      <c r="S768" s="52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  <c r="AD768" s="129"/>
    </row>
    <row r="769" ht="14.25" customHeight="1">
      <c r="A769" s="133">
        <v>4.0</v>
      </c>
      <c r="B769" s="149" t="s">
        <v>2325</v>
      </c>
      <c r="C769" s="149" t="s">
        <v>2326</v>
      </c>
      <c r="D769" s="149" t="s">
        <v>25</v>
      </c>
      <c r="E769" s="149" t="s">
        <v>57</v>
      </c>
      <c r="F769" s="52"/>
      <c r="G769" s="132" t="s">
        <v>1257</v>
      </c>
      <c r="H769" s="132" t="s">
        <v>1257</v>
      </c>
      <c r="I769" s="132">
        <v>20.0</v>
      </c>
      <c r="J769" s="132" t="s">
        <v>1257</v>
      </c>
      <c r="K769" s="132" t="s">
        <v>1257</v>
      </c>
      <c r="L769" s="132">
        <v>1.0</v>
      </c>
      <c r="M769" s="132" t="s">
        <v>82</v>
      </c>
      <c r="N769" s="144" t="s">
        <v>28</v>
      </c>
      <c r="O769" s="132" t="s">
        <v>1257</v>
      </c>
      <c r="P769" s="132" t="s">
        <v>29</v>
      </c>
      <c r="Q769" s="132" t="s">
        <v>1257</v>
      </c>
      <c r="R769" s="132"/>
      <c r="S769" s="52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</row>
    <row r="770" ht="14.25" customHeight="1">
      <c r="A770" s="133">
        <v>5.0</v>
      </c>
      <c r="B770" s="149" t="s">
        <v>2327</v>
      </c>
      <c r="C770" s="149" t="s">
        <v>2328</v>
      </c>
      <c r="D770" s="149" t="s">
        <v>25</v>
      </c>
      <c r="E770" s="149" t="s">
        <v>57</v>
      </c>
      <c r="F770" s="52"/>
      <c r="G770" s="132" t="s">
        <v>1257</v>
      </c>
      <c r="H770" s="132" t="s">
        <v>1257</v>
      </c>
      <c r="I770" s="132">
        <v>20.0</v>
      </c>
      <c r="J770" s="132" t="s">
        <v>1257</v>
      </c>
      <c r="K770" s="132" t="s">
        <v>1257</v>
      </c>
      <c r="L770" s="132">
        <v>2.0</v>
      </c>
      <c r="M770" s="132" t="s">
        <v>82</v>
      </c>
      <c r="N770" s="144" t="s">
        <v>28</v>
      </c>
      <c r="O770" s="132" t="s">
        <v>1257</v>
      </c>
      <c r="P770" s="132" t="s">
        <v>29</v>
      </c>
      <c r="Q770" s="132" t="s">
        <v>1257</v>
      </c>
      <c r="R770" s="132"/>
      <c r="S770" s="52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</row>
    <row r="771" ht="14.25" customHeight="1">
      <c r="A771" s="133">
        <v>6.0</v>
      </c>
      <c r="B771" s="149" t="s">
        <v>2329</v>
      </c>
      <c r="C771" s="149" t="s">
        <v>2330</v>
      </c>
      <c r="D771" s="149" t="s">
        <v>25</v>
      </c>
      <c r="E771" s="149" t="s">
        <v>57</v>
      </c>
      <c r="F771" s="52"/>
      <c r="G771" s="132" t="s">
        <v>1257</v>
      </c>
      <c r="H771" s="132" t="s">
        <v>1257</v>
      </c>
      <c r="I771" s="132">
        <v>15.0</v>
      </c>
      <c r="J771" s="132" t="s">
        <v>1257</v>
      </c>
      <c r="K771" s="132" t="s">
        <v>1257</v>
      </c>
      <c r="L771" s="132">
        <v>1.0</v>
      </c>
      <c r="M771" s="132" t="s">
        <v>82</v>
      </c>
      <c r="N771" s="144" t="s">
        <v>28</v>
      </c>
      <c r="O771" s="132" t="s">
        <v>1257</v>
      </c>
      <c r="P771" s="132" t="s">
        <v>29</v>
      </c>
      <c r="Q771" s="132" t="s">
        <v>1257</v>
      </c>
      <c r="R771" s="132"/>
      <c r="S771" s="52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</row>
    <row r="772" ht="14.25" customHeight="1">
      <c r="A772" s="133">
        <v>7.0</v>
      </c>
      <c r="B772" s="149" t="s">
        <v>2331</v>
      </c>
      <c r="C772" s="149" t="s">
        <v>2332</v>
      </c>
      <c r="D772" s="149" t="s">
        <v>25</v>
      </c>
      <c r="E772" s="149" t="s">
        <v>57</v>
      </c>
      <c r="F772" s="52"/>
      <c r="G772" s="132" t="s">
        <v>1257</v>
      </c>
      <c r="H772" s="132" t="s">
        <v>1257</v>
      </c>
      <c r="I772" s="132">
        <v>15.0</v>
      </c>
      <c r="J772" s="132" t="s">
        <v>1257</v>
      </c>
      <c r="K772" s="132" t="s">
        <v>1257</v>
      </c>
      <c r="L772" s="132">
        <v>1.0</v>
      </c>
      <c r="M772" s="132" t="s">
        <v>82</v>
      </c>
      <c r="N772" s="144" t="s">
        <v>28</v>
      </c>
      <c r="O772" s="132" t="s">
        <v>1257</v>
      </c>
      <c r="P772" s="132" t="s">
        <v>29</v>
      </c>
      <c r="Q772" s="132" t="s">
        <v>1257</v>
      </c>
      <c r="R772" s="132"/>
      <c r="S772" s="52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</row>
    <row r="773" ht="14.25" customHeight="1">
      <c r="A773" s="133">
        <v>8.0</v>
      </c>
      <c r="B773" s="149" t="s">
        <v>2333</v>
      </c>
      <c r="C773" s="149" t="s">
        <v>2334</v>
      </c>
      <c r="D773" s="149" t="s">
        <v>25</v>
      </c>
      <c r="E773" s="149" t="s">
        <v>57</v>
      </c>
      <c r="F773" s="52"/>
      <c r="G773" s="132" t="s">
        <v>1257</v>
      </c>
      <c r="H773" s="132" t="s">
        <v>1257</v>
      </c>
      <c r="I773" s="132">
        <v>20.0</v>
      </c>
      <c r="J773" s="132" t="s">
        <v>1257</v>
      </c>
      <c r="K773" s="132" t="s">
        <v>1257</v>
      </c>
      <c r="L773" s="132">
        <v>2.0</v>
      </c>
      <c r="M773" s="132" t="s">
        <v>82</v>
      </c>
      <c r="N773" s="144" t="s">
        <v>28</v>
      </c>
      <c r="O773" s="132" t="s">
        <v>1257</v>
      </c>
      <c r="P773" s="132" t="s">
        <v>29</v>
      </c>
      <c r="Q773" s="132" t="s">
        <v>1257</v>
      </c>
      <c r="R773" s="132"/>
      <c r="S773" s="52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</row>
    <row r="774" ht="14.25" customHeight="1">
      <c r="A774" s="133">
        <v>9.0</v>
      </c>
      <c r="B774" s="149" t="s">
        <v>2335</v>
      </c>
      <c r="C774" s="149" t="s">
        <v>2336</v>
      </c>
      <c r="D774" s="149" t="s">
        <v>25</v>
      </c>
      <c r="E774" s="149" t="s">
        <v>57</v>
      </c>
      <c r="F774" s="52"/>
      <c r="G774" s="132" t="s">
        <v>1257</v>
      </c>
      <c r="H774" s="132" t="s">
        <v>1257</v>
      </c>
      <c r="I774" s="132">
        <v>12.0</v>
      </c>
      <c r="J774" s="132" t="s">
        <v>1257</v>
      </c>
      <c r="K774" s="132" t="s">
        <v>1257</v>
      </c>
      <c r="L774" s="132">
        <v>1.0</v>
      </c>
      <c r="M774" s="132" t="s">
        <v>82</v>
      </c>
      <c r="N774" s="144" t="s">
        <v>28</v>
      </c>
      <c r="O774" s="132" t="s">
        <v>1257</v>
      </c>
      <c r="P774" s="132" t="s">
        <v>29</v>
      </c>
      <c r="Q774" s="132" t="s">
        <v>1257</v>
      </c>
      <c r="R774" s="132"/>
      <c r="S774" s="52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</row>
    <row r="775" ht="14.25" customHeight="1">
      <c r="A775" s="133">
        <v>10.0</v>
      </c>
      <c r="B775" s="149" t="s">
        <v>2337</v>
      </c>
      <c r="C775" s="149" t="s">
        <v>2338</v>
      </c>
      <c r="D775" s="149" t="s">
        <v>25</v>
      </c>
      <c r="E775" s="149" t="s">
        <v>57</v>
      </c>
      <c r="F775" s="52"/>
      <c r="G775" s="132" t="s">
        <v>1257</v>
      </c>
      <c r="H775" s="132" t="s">
        <v>1257</v>
      </c>
      <c r="I775" s="132">
        <v>20.0</v>
      </c>
      <c r="J775" s="132" t="s">
        <v>1257</v>
      </c>
      <c r="K775" s="132" t="s">
        <v>1257</v>
      </c>
      <c r="L775" s="132">
        <v>2.0</v>
      </c>
      <c r="M775" s="132" t="s">
        <v>82</v>
      </c>
      <c r="N775" s="144" t="s">
        <v>28</v>
      </c>
      <c r="O775" s="132" t="s">
        <v>1257</v>
      </c>
      <c r="P775" s="132" t="s">
        <v>29</v>
      </c>
      <c r="Q775" s="132" t="s">
        <v>1257</v>
      </c>
      <c r="R775" s="132"/>
      <c r="S775" s="52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</row>
    <row r="776" ht="14.25" customHeight="1">
      <c r="A776" s="133">
        <v>11.0</v>
      </c>
      <c r="B776" s="149" t="s">
        <v>2339</v>
      </c>
      <c r="C776" s="149" t="s">
        <v>2340</v>
      </c>
      <c r="D776" s="149" t="s">
        <v>25</v>
      </c>
      <c r="E776" s="149" t="s">
        <v>57</v>
      </c>
      <c r="F776" s="52"/>
      <c r="G776" s="132" t="s">
        <v>1257</v>
      </c>
      <c r="H776" s="132" t="s">
        <v>1257</v>
      </c>
      <c r="I776" s="132">
        <v>20.0</v>
      </c>
      <c r="J776" s="132" t="s">
        <v>1257</v>
      </c>
      <c r="K776" s="132" t="s">
        <v>1257</v>
      </c>
      <c r="L776" s="132">
        <v>1.0</v>
      </c>
      <c r="M776" s="132" t="s">
        <v>82</v>
      </c>
      <c r="N776" s="144" t="s">
        <v>28</v>
      </c>
      <c r="O776" s="132" t="s">
        <v>1257</v>
      </c>
      <c r="P776" s="132" t="s">
        <v>29</v>
      </c>
      <c r="Q776" s="132" t="s">
        <v>1257</v>
      </c>
      <c r="R776" s="132"/>
      <c r="S776" s="52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</row>
    <row r="777" ht="14.25" customHeight="1">
      <c r="A777" s="133">
        <v>12.0</v>
      </c>
      <c r="B777" s="149" t="s">
        <v>2341</v>
      </c>
      <c r="C777" s="149" t="s">
        <v>2342</v>
      </c>
      <c r="D777" s="149" t="s">
        <v>25</v>
      </c>
      <c r="E777" s="149" t="s">
        <v>57</v>
      </c>
      <c r="F777" s="52"/>
      <c r="G777" s="132" t="s">
        <v>1257</v>
      </c>
      <c r="H777" s="132" t="s">
        <v>1257</v>
      </c>
      <c r="I777" s="132">
        <v>10.0</v>
      </c>
      <c r="J777" s="132" t="s">
        <v>1257</v>
      </c>
      <c r="K777" s="132" t="s">
        <v>1257</v>
      </c>
      <c r="L777" s="132">
        <v>1.0</v>
      </c>
      <c r="M777" s="132" t="s">
        <v>82</v>
      </c>
      <c r="N777" s="144" t="s">
        <v>28</v>
      </c>
      <c r="O777" s="132" t="s">
        <v>1257</v>
      </c>
      <c r="P777" s="132" t="s">
        <v>29</v>
      </c>
      <c r="Q777" s="132" t="s">
        <v>1257</v>
      </c>
      <c r="R777" s="132"/>
      <c r="S777" s="52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</row>
    <row r="778" ht="14.25" customHeight="1">
      <c r="A778" s="133">
        <v>13.0</v>
      </c>
      <c r="B778" s="149" t="s">
        <v>2343</v>
      </c>
      <c r="C778" s="149" t="s">
        <v>2344</v>
      </c>
      <c r="D778" s="149" t="s">
        <v>25</v>
      </c>
      <c r="E778" s="149" t="s">
        <v>57</v>
      </c>
      <c r="F778" s="52"/>
      <c r="G778" s="132" t="s">
        <v>1257</v>
      </c>
      <c r="H778" s="132" t="s">
        <v>1257</v>
      </c>
      <c r="I778" s="132">
        <v>20.0</v>
      </c>
      <c r="J778" s="132" t="s">
        <v>1257</v>
      </c>
      <c r="K778" s="132" t="s">
        <v>1257</v>
      </c>
      <c r="L778" s="132">
        <v>1.0</v>
      </c>
      <c r="M778" s="132" t="s">
        <v>82</v>
      </c>
      <c r="N778" s="144" t="s">
        <v>28</v>
      </c>
      <c r="O778" s="132" t="s">
        <v>1257</v>
      </c>
      <c r="P778" s="132" t="s">
        <v>29</v>
      </c>
      <c r="Q778" s="132" t="s">
        <v>1257</v>
      </c>
      <c r="R778" s="132"/>
      <c r="S778" s="52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</row>
    <row r="779" ht="14.25" customHeight="1">
      <c r="A779" s="133">
        <v>14.0</v>
      </c>
      <c r="B779" s="149" t="s">
        <v>2345</v>
      </c>
      <c r="C779" s="149" t="s">
        <v>2346</v>
      </c>
      <c r="D779" s="149" t="s">
        <v>25</v>
      </c>
      <c r="E779" s="149" t="s">
        <v>57</v>
      </c>
      <c r="F779" s="52"/>
      <c r="G779" s="132" t="s">
        <v>1257</v>
      </c>
      <c r="H779" s="132" t="s">
        <v>1257</v>
      </c>
      <c r="I779" s="132">
        <v>10.0</v>
      </c>
      <c r="J779" s="132" t="s">
        <v>1257</v>
      </c>
      <c r="K779" s="132" t="s">
        <v>1257</v>
      </c>
      <c r="L779" s="132">
        <v>1.0</v>
      </c>
      <c r="M779" s="132" t="s">
        <v>82</v>
      </c>
      <c r="N779" s="144" t="s">
        <v>28</v>
      </c>
      <c r="O779" s="132" t="s">
        <v>1257</v>
      </c>
      <c r="P779" s="132" t="s">
        <v>29</v>
      </c>
      <c r="Q779" s="132" t="s">
        <v>1257</v>
      </c>
      <c r="R779" s="132"/>
      <c r="S779" s="52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</row>
    <row r="780" ht="14.25" customHeight="1">
      <c r="A780" s="133">
        <v>15.0</v>
      </c>
      <c r="B780" s="149" t="s">
        <v>2347</v>
      </c>
      <c r="C780" s="149" t="s">
        <v>2348</v>
      </c>
      <c r="D780" s="149" t="s">
        <v>25</v>
      </c>
      <c r="E780" s="149" t="s">
        <v>57</v>
      </c>
      <c r="F780" s="52"/>
      <c r="G780" s="132" t="s">
        <v>1257</v>
      </c>
      <c r="H780" s="132" t="s">
        <v>1257</v>
      </c>
      <c r="I780" s="132">
        <v>20.0</v>
      </c>
      <c r="J780" s="132" t="s">
        <v>1257</v>
      </c>
      <c r="K780" s="132" t="s">
        <v>1257</v>
      </c>
      <c r="L780" s="132">
        <v>1.0</v>
      </c>
      <c r="M780" s="132" t="s">
        <v>82</v>
      </c>
      <c r="N780" s="144" t="s">
        <v>28</v>
      </c>
      <c r="O780" s="132" t="s">
        <v>1257</v>
      </c>
      <c r="P780" s="132" t="s">
        <v>29</v>
      </c>
      <c r="Q780" s="132" t="s">
        <v>1257</v>
      </c>
      <c r="R780" s="132"/>
      <c r="S780" s="52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  <c r="AD780" s="129"/>
    </row>
    <row r="781" ht="14.25" customHeight="1">
      <c r="A781" s="133">
        <v>16.0</v>
      </c>
      <c r="B781" s="149" t="s">
        <v>2349</v>
      </c>
      <c r="C781" s="149" t="s">
        <v>2350</v>
      </c>
      <c r="D781" s="149" t="s">
        <v>25</v>
      </c>
      <c r="E781" s="149" t="s">
        <v>57</v>
      </c>
      <c r="F781" s="52"/>
      <c r="G781" s="132" t="s">
        <v>1257</v>
      </c>
      <c r="H781" s="132" t="s">
        <v>1257</v>
      </c>
      <c r="I781" s="132">
        <v>25.0</v>
      </c>
      <c r="J781" s="132" t="s">
        <v>1257</v>
      </c>
      <c r="K781" s="132" t="s">
        <v>1257</v>
      </c>
      <c r="L781" s="132">
        <v>1.0</v>
      </c>
      <c r="M781" s="132" t="s">
        <v>82</v>
      </c>
      <c r="N781" s="144" t="s">
        <v>28</v>
      </c>
      <c r="O781" s="132" t="s">
        <v>1257</v>
      </c>
      <c r="P781" s="132" t="s">
        <v>29</v>
      </c>
      <c r="Q781" s="132" t="s">
        <v>1257</v>
      </c>
      <c r="R781" s="132"/>
      <c r="S781" s="52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  <c r="AD781" s="129"/>
    </row>
    <row r="782" ht="14.25" customHeight="1">
      <c r="A782" s="133">
        <v>17.0</v>
      </c>
      <c r="B782" s="149" t="s">
        <v>2351</v>
      </c>
      <c r="C782" s="149" t="s">
        <v>2352</v>
      </c>
      <c r="D782" s="149" t="s">
        <v>25</v>
      </c>
      <c r="E782" s="149" t="s">
        <v>57</v>
      </c>
      <c r="F782" s="52"/>
      <c r="G782" s="132" t="s">
        <v>1257</v>
      </c>
      <c r="H782" s="132" t="s">
        <v>1257</v>
      </c>
      <c r="I782" s="132">
        <v>25.0</v>
      </c>
      <c r="J782" s="132" t="s">
        <v>1257</v>
      </c>
      <c r="K782" s="132" t="s">
        <v>1257</v>
      </c>
      <c r="L782" s="132">
        <v>1.0</v>
      </c>
      <c r="M782" s="132" t="s">
        <v>82</v>
      </c>
      <c r="N782" s="144" t="s">
        <v>28</v>
      </c>
      <c r="O782" s="132" t="s">
        <v>1257</v>
      </c>
      <c r="P782" s="132" t="s">
        <v>29</v>
      </c>
      <c r="Q782" s="132" t="s">
        <v>1257</v>
      </c>
      <c r="R782" s="132"/>
      <c r="S782" s="52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  <c r="AD782" s="129"/>
    </row>
    <row r="783" ht="14.25" customHeight="1">
      <c r="A783" s="133">
        <v>18.0</v>
      </c>
      <c r="B783" s="149" t="s">
        <v>2353</v>
      </c>
      <c r="C783" s="149" t="s">
        <v>2354</v>
      </c>
      <c r="D783" s="149" t="s">
        <v>25</v>
      </c>
      <c r="E783" s="149" t="s">
        <v>57</v>
      </c>
      <c r="F783" s="52"/>
      <c r="G783" s="132" t="s">
        <v>1257</v>
      </c>
      <c r="H783" s="132" t="s">
        <v>1257</v>
      </c>
      <c r="I783" s="132">
        <v>20.0</v>
      </c>
      <c r="J783" s="132" t="s">
        <v>1257</v>
      </c>
      <c r="K783" s="132" t="s">
        <v>1257</v>
      </c>
      <c r="L783" s="132">
        <v>1.0</v>
      </c>
      <c r="M783" s="132" t="s">
        <v>82</v>
      </c>
      <c r="N783" s="144" t="s">
        <v>28</v>
      </c>
      <c r="O783" s="132" t="s">
        <v>1257</v>
      </c>
      <c r="P783" s="132" t="s">
        <v>29</v>
      </c>
      <c r="Q783" s="132" t="s">
        <v>1257</v>
      </c>
      <c r="R783" s="132"/>
      <c r="S783" s="52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  <c r="AD783" s="129"/>
    </row>
    <row r="784" ht="14.25" customHeight="1">
      <c r="A784" s="133">
        <v>19.0</v>
      </c>
      <c r="B784" s="149" t="s">
        <v>2355</v>
      </c>
      <c r="C784" s="149" t="s">
        <v>2356</v>
      </c>
      <c r="D784" s="149" t="s">
        <v>25</v>
      </c>
      <c r="E784" s="149" t="s">
        <v>57</v>
      </c>
      <c r="F784" s="52"/>
      <c r="G784" s="132" t="s">
        <v>1257</v>
      </c>
      <c r="H784" s="132" t="s">
        <v>1257</v>
      </c>
      <c r="I784" s="132">
        <v>15.0</v>
      </c>
      <c r="J784" s="132" t="s">
        <v>1257</v>
      </c>
      <c r="K784" s="132" t="s">
        <v>1257</v>
      </c>
      <c r="L784" s="132">
        <v>1.0</v>
      </c>
      <c r="M784" s="132" t="s">
        <v>82</v>
      </c>
      <c r="N784" s="144" t="s">
        <v>28</v>
      </c>
      <c r="O784" s="132" t="s">
        <v>1257</v>
      </c>
      <c r="P784" s="132" t="s">
        <v>29</v>
      </c>
      <c r="Q784" s="132" t="s">
        <v>1257</v>
      </c>
      <c r="R784" s="132"/>
      <c r="S784" s="52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  <c r="AD784" s="129"/>
    </row>
    <row r="785" ht="14.25" customHeight="1">
      <c r="A785" s="133">
        <v>20.0</v>
      </c>
      <c r="B785" s="149" t="s">
        <v>2357</v>
      </c>
      <c r="C785" s="149" t="s">
        <v>2358</v>
      </c>
      <c r="D785" s="149" t="s">
        <v>25</v>
      </c>
      <c r="E785" s="149" t="s">
        <v>57</v>
      </c>
      <c r="F785" s="52"/>
      <c r="G785" s="132" t="s">
        <v>1257</v>
      </c>
      <c r="H785" s="132" t="s">
        <v>1257</v>
      </c>
      <c r="I785" s="132">
        <v>20.0</v>
      </c>
      <c r="J785" s="132" t="s">
        <v>1257</v>
      </c>
      <c r="K785" s="132" t="s">
        <v>1257</v>
      </c>
      <c r="L785" s="132">
        <v>1.0</v>
      </c>
      <c r="M785" s="132" t="s">
        <v>82</v>
      </c>
      <c r="N785" s="144" t="s">
        <v>28</v>
      </c>
      <c r="O785" s="132" t="s">
        <v>1257</v>
      </c>
      <c r="P785" s="132" t="s">
        <v>29</v>
      </c>
      <c r="Q785" s="132" t="s">
        <v>1257</v>
      </c>
      <c r="R785" s="132"/>
      <c r="S785" s="52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  <c r="AD785" s="129"/>
    </row>
    <row r="786" ht="14.25" customHeight="1">
      <c r="A786" s="133">
        <v>21.0</v>
      </c>
      <c r="B786" s="149" t="s">
        <v>2359</v>
      </c>
      <c r="C786" s="149" t="s">
        <v>2360</v>
      </c>
      <c r="D786" s="149" t="s">
        <v>25</v>
      </c>
      <c r="E786" s="149" t="s">
        <v>57</v>
      </c>
      <c r="F786" s="52"/>
      <c r="G786" s="132" t="s">
        <v>1257</v>
      </c>
      <c r="H786" s="132" t="s">
        <v>1257</v>
      </c>
      <c r="I786" s="132">
        <v>15.0</v>
      </c>
      <c r="J786" s="132" t="s">
        <v>1257</v>
      </c>
      <c r="K786" s="132" t="s">
        <v>1257</v>
      </c>
      <c r="L786" s="132">
        <v>1.0</v>
      </c>
      <c r="M786" s="132" t="s">
        <v>82</v>
      </c>
      <c r="N786" s="144" t="s">
        <v>28</v>
      </c>
      <c r="O786" s="132" t="s">
        <v>1257</v>
      </c>
      <c r="P786" s="132" t="s">
        <v>29</v>
      </c>
      <c r="Q786" s="132" t="s">
        <v>1257</v>
      </c>
      <c r="R786" s="132"/>
      <c r="S786" s="52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  <c r="AD786" s="129"/>
    </row>
    <row r="787" ht="14.25" customHeight="1">
      <c r="A787" s="133">
        <v>22.0</v>
      </c>
      <c r="B787" s="149" t="s">
        <v>2361</v>
      </c>
      <c r="C787" s="149" t="s">
        <v>2362</v>
      </c>
      <c r="D787" s="149" t="s">
        <v>25</v>
      </c>
      <c r="E787" s="149" t="s">
        <v>57</v>
      </c>
      <c r="F787" s="52"/>
      <c r="G787" s="132" t="s">
        <v>1257</v>
      </c>
      <c r="H787" s="132" t="s">
        <v>1257</v>
      </c>
      <c r="I787" s="132">
        <v>20.0</v>
      </c>
      <c r="J787" s="132" t="s">
        <v>1257</v>
      </c>
      <c r="K787" s="132" t="s">
        <v>1257</v>
      </c>
      <c r="L787" s="132">
        <v>1.0</v>
      </c>
      <c r="M787" s="132" t="s">
        <v>82</v>
      </c>
      <c r="N787" s="144" t="s">
        <v>28</v>
      </c>
      <c r="O787" s="132" t="s">
        <v>1257</v>
      </c>
      <c r="P787" s="132" t="s">
        <v>29</v>
      </c>
      <c r="Q787" s="132" t="s">
        <v>1257</v>
      </c>
      <c r="R787" s="132"/>
      <c r="S787" s="52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  <c r="AD787" s="129"/>
    </row>
    <row r="788" ht="14.25" customHeight="1">
      <c r="A788" s="133">
        <v>23.0</v>
      </c>
      <c r="B788" s="149" t="s">
        <v>2363</v>
      </c>
      <c r="C788" s="149" t="s">
        <v>2364</v>
      </c>
      <c r="D788" s="149" t="s">
        <v>25</v>
      </c>
      <c r="E788" s="149" t="s">
        <v>57</v>
      </c>
      <c r="F788" s="52"/>
      <c r="G788" s="132" t="s">
        <v>1257</v>
      </c>
      <c r="H788" s="132" t="s">
        <v>1257</v>
      </c>
      <c r="I788" s="132">
        <v>20.0</v>
      </c>
      <c r="J788" s="132" t="s">
        <v>1257</v>
      </c>
      <c r="K788" s="132" t="s">
        <v>1257</v>
      </c>
      <c r="L788" s="132">
        <v>1.0</v>
      </c>
      <c r="M788" s="132" t="s">
        <v>82</v>
      </c>
      <c r="N788" s="144" t="s">
        <v>28</v>
      </c>
      <c r="O788" s="132" t="s">
        <v>1257</v>
      </c>
      <c r="P788" s="132" t="s">
        <v>29</v>
      </c>
      <c r="Q788" s="132" t="s">
        <v>1257</v>
      </c>
      <c r="R788" s="132"/>
      <c r="S788" s="52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  <c r="AD788" s="129"/>
    </row>
    <row r="789" ht="14.25" customHeight="1">
      <c r="A789" s="133">
        <v>24.0</v>
      </c>
      <c r="B789" s="149" t="s">
        <v>2365</v>
      </c>
      <c r="C789" s="149" t="s">
        <v>2366</v>
      </c>
      <c r="D789" s="149" t="s">
        <v>25</v>
      </c>
      <c r="E789" s="149" t="s">
        <v>57</v>
      </c>
      <c r="F789" s="52"/>
      <c r="G789" s="132" t="s">
        <v>1257</v>
      </c>
      <c r="H789" s="132" t="s">
        <v>1257</v>
      </c>
      <c r="I789" s="132">
        <v>15.0</v>
      </c>
      <c r="J789" s="132" t="s">
        <v>1257</v>
      </c>
      <c r="K789" s="132" t="s">
        <v>1257</v>
      </c>
      <c r="L789" s="132">
        <v>1.0</v>
      </c>
      <c r="M789" s="132" t="s">
        <v>82</v>
      </c>
      <c r="N789" s="144" t="s">
        <v>28</v>
      </c>
      <c r="O789" s="132" t="s">
        <v>1257</v>
      </c>
      <c r="P789" s="132" t="s">
        <v>29</v>
      </c>
      <c r="Q789" s="132" t="s">
        <v>1257</v>
      </c>
      <c r="R789" s="132"/>
      <c r="S789" s="52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  <c r="AD789" s="129"/>
    </row>
    <row r="790" ht="14.25" customHeight="1">
      <c r="A790" s="133">
        <v>25.0</v>
      </c>
      <c r="B790" s="149" t="s">
        <v>2367</v>
      </c>
      <c r="C790" s="149" t="s">
        <v>2368</v>
      </c>
      <c r="D790" s="149" t="s">
        <v>25</v>
      </c>
      <c r="E790" s="149" t="s">
        <v>57</v>
      </c>
      <c r="F790" s="52"/>
      <c r="G790" s="132" t="s">
        <v>1257</v>
      </c>
      <c r="H790" s="132" t="s">
        <v>1257</v>
      </c>
      <c r="I790" s="132">
        <v>15.0</v>
      </c>
      <c r="J790" s="132" t="s">
        <v>1257</v>
      </c>
      <c r="K790" s="132" t="s">
        <v>1257</v>
      </c>
      <c r="L790" s="132">
        <v>1.0</v>
      </c>
      <c r="M790" s="132" t="s">
        <v>82</v>
      </c>
      <c r="N790" s="144" t="s">
        <v>28</v>
      </c>
      <c r="O790" s="132" t="s">
        <v>1257</v>
      </c>
      <c r="P790" s="132" t="s">
        <v>29</v>
      </c>
      <c r="Q790" s="132" t="s">
        <v>1257</v>
      </c>
      <c r="R790" s="132"/>
      <c r="S790" s="52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  <c r="AD790" s="129"/>
    </row>
    <row r="791" ht="14.25" customHeight="1">
      <c r="A791" s="133">
        <v>26.0</v>
      </c>
      <c r="B791" s="149" t="s">
        <v>2369</v>
      </c>
      <c r="C791" s="149" t="s">
        <v>2370</v>
      </c>
      <c r="D791" s="149" t="s">
        <v>25</v>
      </c>
      <c r="E791" s="149" t="s">
        <v>57</v>
      </c>
      <c r="F791" s="52"/>
      <c r="G791" s="132" t="s">
        <v>1257</v>
      </c>
      <c r="H791" s="132" t="s">
        <v>1257</v>
      </c>
      <c r="I791" s="132">
        <v>20.0</v>
      </c>
      <c r="J791" s="132" t="s">
        <v>1257</v>
      </c>
      <c r="K791" s="132" t="s">
        <v>1257</v>
      </c>
      <c r="L791" s="132">
        <v>1.0</v>
      </c>
      <c r="M791" s="132" t="s">
        <v>82</v>
      </c>
      <c r="N791" s="144" t="s">
        <v>28</v>
      </c>
      <c r="O791" s="132" t="s">
        <v>1257</v>
      </c>
      <c r="P791" s="132" t="s">
        <v>29</v>
      </c>
      <c r="Q791" s="132" t="s">
        <v>1257</v>
      </c>
      <c r="R791" s="132"/>
      <c r="S791" s="52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  <c r="AD791" s="129"/>
    </row>
    <row r="792" ht="14.25" customHeight="1">
      <c r="A792" s="133">
        <v>27.0</v>
      </c>
      <c r="B792" s="149" t="s">
        <v>2371</v>
      </c>
      <c r="C792" s="149" t="s">
        <v>2372</v>
      </c>
      <c r="D792" s="149" t="s">
        <v>25</v>
      </c>
      <c r="E792" s="149" t="s">
        <v>57</v>
      </c>
      <c r="F792" s="52"/>
      <c r="G792" s="132" t="s">
        <v>1257</v>
      </c>
      <c r="H792" s="132" t="s">
        <v>1257</v>
      </c>
      <c r="I792" s="132">
        <v>20.0</v>
      </c>
      <c r="J792" s="132" t="s">
        <v>1257</v>
      </c>
      <c r="K792" s="132" t="s">
        <v>1257</v>
      </c>
      <c r="L792" s="132">
        <v>1.0</v>
      </c>
      <c r="M792" s="132" t="s">
        <v>82</v>
      </c>
      <c r="N792" s="144" t="s">
        <v>28</v>
      </c>
      <c r="O792" s="132" t="s">
        <v>1257</v>
      </c>
      <c r="P792" s="132" t="s">
        <v>29</v>
      </c>
      <c r="Q792" s="132" t="s">
        <v>1257</v>
      </c>
      <c r="R792" s="132"/>
      <c r="S792" s="52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  <c r="AD792" s="129"/>
    </row>
    <row r="793" ht="14.25" customHeight="1">
      <c r="A793" s="133">
        <v>28.0</v>
      </c>
      <c r="B793" s="149" t="s">
        <v>2373</v>
      </c>
      <c r="C793" s="149" t="s">
        <v>2374</v>
      </c>
      <c r="D793" s="149" t="s">
        <v>25</v>
      </c>
      <c r="E793" s="149" t="s">
        <v>57</v>
      </c>
      <c r="F793" s="52"/>
      <c r="G793" s="132" t="s">
        <v>1257</v>
      </c>
      <c r="H793" s="132" t="s">
        <v>1257</v>
      </c>
      <c r="I793" s="132">
        <v>15.0</v>
      </c>
      <c r="J793" s="132" t="s">
        <v>1257</v>
      </c>
      <c r="K793" s="132" t="s">
        <v>1257</v>
      </c>
      <c r="L793" s="132">
        <v>1.0</v>
      </c>
      <c r="M793" s="132" t="s">
        <v>82</v>
      </c>
      <c r="N793" s="144" t="s">
        <v>28</v>
      </c>
      <c r="O793" s="132" t="s">
        <v>1257</v>
      </c>
      <c r="P793" s="132" t="s">
        <v>29</v>
      </c>
      <c r="Q793" s="132" t="s">
        <v>1257</v>
      </c>
      <c r="R793" s="132"/>
      <c r="S793" s="52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  <c r="AD793" s="129"/>
    </row>
    <row r="794" ht="14.25" customHeight="1">
      <c r="A794" s="133">
        <v>29.0</v>
      </c>
      <c r="B794" s="149" t="s">
        <v>2375</v>
      </c>
      <c r="C794" s="149" t="s">
        <v>2376</v>
      </c>
      <c r="D794" s="149" t="s">
        <v>25</v>
      </c>
      <c r="E794" s="149" t="s">
        <v>57</v>
      </c>
      <c r="F794" s="52"/>
      <c r="G794" s="132" t="s">
        <v>1257</v>
      </c>
      <c r="H794" s="132" t="s">
        <v>1257</v>
      </c>
      <c r="I794" s="132">
        <v>20.0</v>
      </c>
      <c r="J794" s="132" t="s">
        <v>1257</v>
      </c>
      <c r="K794" s="132" t="s">
        <v>1257</v>
      </c>
      <c r="L794" s="132">
        <v>1.0</v>
      </c>
      <c r="M794" s="132" t="s">
        <v>82</v>
      </c>
      <c r="N794" s="144" t="s">
        <v>28</v>
      </c>
      <c r="O794" s="132" t="s">
        <v>1257</v>
      </c>
      <c r="P794" s="132" t="s">
        <v>29</v>
      </c>
      <c r="Q794" s="132" t="s">
        <v>1257</v>
      </c>
      <c r="R794" s="132"/>
      <c r="S794" s="52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  <c r="AD794" s="129"/>
    </row>
    <row r="795" ht="14.25" customHeight="1">
      <c r="A795" s="133">
        <v>30.0</v>
      </c>
      <c r="B795" s="149" t="s">
        <v>2377</v>
      </c>
      <c r="C795" s="149" t="s">
        <v>2378</v>
      </c>
      <c r="D795" s="149" t="s">
        <v>25</v>
      </c>
      <c r="E795" s="149" t="s">
        <v>57</v>
      </c>
      <c r="F795" s="52"/>
      <c r="G795" s="132" t="s">
        <v>1257</v>
      </c>
      <c r="H795" s="132" t="s">
        <v>1257</v>
      </c>
      <c r="I795" s="132">
        <v>15.0</v>
      </c>
      <c r="J795" s="132" t="s">
        <v>1257</v>
      </c>
      <c r="K795" s="132" t="s">
        <v>1257</v>
      </c>
      <c r="L795" s="132">
        <v>1.0</v>
      </c>
      <c r="M795" s="132" t="s">
        <v>82</v>
      </c>
      <c r="N795" s="144" t="s">
        <v>28</v>
      </c>
      <c r="O795" s="132" t="s">
        <v>1257</v>
      </c>
      <c r="P795" s="132" t="s">
        <v>29</v>
      </c>
      <c r="Q795" s="132" t="s">
        <v>1257</v>
      </c>
      <c r="R795" s="132"/>
      <c r="S795" s="52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  <c r="AD795" s="129"/>
    </row>
    <row r="796" ht="14.25" customHeight="1">
      <c r="A796" s="133">
        <v>31.0</v>
      </c>
      <c r="B796" s="149" t="s">
        <v>2379</v>
      </c>
      <c r="C796" s="149" t="s">
        <v>2380</v>
      </c>
      <c r="D796" s="149" t="s">
        <v>25</v>
      </c>
      <c r="E796" s="149" t="s">
        <v>57</v>
      </c>
      <c r="F796" s="52"/>
      <c r="G796" s="132" t="s">
        <v>1257</v>
      </c>
      <c r="H796" s="132" t="s">
        <v>1257</v>
      </c>
      <c r="I796" s="132">
        <v>20.0</v>
      </c>
      <c r="J796" s="132" t="s">
        <v>1257</v>
      </c>
      <c r="K796" s="132" t="s">
        <v>1257</v>
      </c>
      <c r="L796" s="132">
        <v>1.0</v>
      </c>
      <c r="M796" s="132" t="s">
        <v>82</v>
      </c>
      <c r="N796" s="144" t="s">
        <v>28</v>
      </c>
      <c r="O796" s="132" t="s">
        <v>1257</v>
      </c>
      <c r="P796" s="132" t="s">
        <v>29</v>
      </c>
      <c r="Q796" s="132" t="s">
        <v>1257</v>
      </c>
      <c r="R796" s="132"/>
      <c r="S796" s="52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  <c r="AD796" s="129"/>
    </row>
    <row r="797" ht="14.25" customHeight="1">
      <c r="A797" s="133">
        <v>32.0</v>
      </c>
      <c r="B797" s="149" t="s">
        <v>2381</v>
      </c>
      <c r="C797" s="149" t="s">
        <v>2382</v>
      </c>
      <c r="D797" s="149" t="s">
        <v>25</v>
      </c>
      <c r="E797" s="149" t="s">
        <v>57</v>
      </c>
      <c r="F797" s="52"/>
      <c r="G797" s="132" t="s">
        <v>1257</v>
      </c>
      <c r="H797" s="132" t="s">
        <v>1257</v>
      </c>
      <c r="I797" s="132">
        <v>15.0</v>
      </c>
      <c r="J797" s="132" t="s">
        <v>1257</v>
      </c>
      <c r="K797" s="132" t="s">
        <v>1257</v>
      </c>
      <c r="L797" s="132">
        <v>1.0</v>
      </c>
      <c r="M797" s="132" t="s">
        <v>82</v>
      </c>
      <c r="N797" s="144" t="s">
        <v>28</v>
      </c>
      <c r="O797" s="132" t="s">
        <v>1257</v>
      </c>
      <c r="P797" s="132" t="s">
        <v>29</v>
      </c>
      <c r="Q797" s="132" t="s">
        <v>1257</v>
      </c>
      <c r="R797" s="132"/>
      <c r="S797" s="52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  <c r="AD797" s="129"/>
    </row>
    <row r="798" ht="14.25" customHeight="1">
      <c r="A798" s="133">
        <v>33.0</v>
      </c>
      <c r="B798" s="149" t="s">
        <v>2383</v>
      </c>
      <c r="C798" s="149" t="s">
        <v>2384</v>
      </c>
      <c r="D798" s="149" t="s">
        <v>25</v>
      </c>
      <c r="E798" s="149" t="s">
        <v>57</v>
      </c>
      <c r="F798" s="52"/>
      <c r="G798" s="132" t="s">
        <v>1257</v>
      </c>
      <c r="H798" s="132" t="s">
        <v>1257</v>
      </c>
      <c r="I798" s="132">
        <v>20.0</v>
      </c>
      <c r="J798" s="132" t="s">
        <v>1257</v>
      </c>
      <c r="K798" s="132" t="s">
        <v>1257</v>
      </c>
      <c r="L798" s="132">
        <v>1.0</v>
      </c>
      <c r="M798" s="132" t="s">
        <v>82</v>
      </c>
      <c r="N798" s="144" t="s">
        <v>28</v>
      </c>
      <c r="O798" s="132" t="s">
        <v>1257</v>
      </c>
      <c r="P798" s="132" t="s">
        <v>29</v>
      </c>
      <c r="Q798" s="132" t="s">
        <v>1257</v>
      </c>
      <c r="R798" s="132"/>
      <c r="S798" s="52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  <c r="AD798" s="129"/>
    </row>
    <row r="799" ht="14.25" customHeight="1">
      <c r="A799" s="133">
        <v>34.0</v>
      </c>
      <c r="B799" s="149" t="s">
        <v>2385</v>
      </c>
      <c r="C799" s="149" t="s">
        <v>2386</v>
      </c>
      <c r="D799" s="149" t="s">
        <v>25</v>
      </c>
      <c r="E799" s="149" t="s">
        <v>57</v>
      </c>
      <c r="F799" s="52"/>
      <c r="G799" s="132" t="s">
        <v>1257</v>
      </c>
      <c r="H799" s="132" t="s">
        <v>1257</v>
      </c>
      <c r="I799" s="132">
        <v>20.0</v>
      </c>
      <c r="J799" s="132" t="s">
        <v>1257</v>
      </c>
      <c r="K799" s="132" t="s">
        <v>1257</v>
      </c>
      <c r="L799" s="132">
        <v>1.0</v>
      </c>
      <c r="M799" s="132" t="s">
        <v>82</v>
      </c>
      <c r="N799" s="144" t="s">
        <v>28</v>
      </c>
      <c r="O799" s="132" t="s">
        <v>1257</v>
      </c>
      <c r="P799" s="132" t="s">
        <v>29</v>
      </c>
      <c r="Q799" s="132" t="s">
        <v>1257</v>
      </c>
      <c r="R799" s="132"/>
      <c r="S799" s="52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  <c r="AD799" s="129"/>
    </row>
    <row r="800" ht="14.25" customHeight="1">
      <c r="A800" s="133">
        <v>35.0</v>
      </c>
      <c r="B800" s="149" t="s">
        <v>2387</v>
      </c>
      <c r="C800" s="149" t="s">
        <v>2388</v>
      </c>
      <c r="D800" s="149" t="s">
        <v>25</v>
      </c>
      <c r="E800" s="149" t="s">
        <v>57</v>
      </c>
      <c r="F800" s="52"/>
      <c r="G800" s="132" t="s">
        <v>1257</v>
      </c>
      <c r="H800" s="132" t="s">
        <v>1257</v>
      </c>
      <c r="I800" s="132">
        <v>20.0</v>
      </c>
      <c r="J800" s="132" t="s">
        <v>1257</v>
      </c>
      <c r="K800" s="132" t="s">
        <v>1257</v>
      </c>
      <c r="L800" s="132">
        <v>1.0</v>
      </c>
      <c r="M800" s="132" t="s">
        <v>82</v>
      </c>
      <c r="N800" s="144" t="s">
        <v>28</v>
      </c>
      <c r="O800" s="132" t="s">
        <v>1257</v>
      </c>
      <c r="P800" s="132" t="s">
        <v>29</v>
      </c>
      <c r="Q800" s="132" t="s">
        <v>1257</v>
      </c>
      <c r="R800" s="132"/>
      <c r="S800" s="52"/>
      <c r="T800" s="129"/>
      <c r="U800" s="129"/>
      <c r="V800" s="129"/>
      <c r="W800" s="129"/>
      <c r="X800" s="129"/>
      <c r="Y800" s="129"/>
      <c r="Z800" s="129"/>
      <c r="AA800" s="129"/>
      <c r="AB800" s="129"/>
      <c r="AC800" s="129"/>
      <c r="AD800" s="129"/>
    </row>
    <row r="801" ht="14.25" customHeight="1">
      <c r="A801" s="133">
        <v>36.0</v>
      </c>
      <c r="B801" s="149" t="s">
        <v>2389</v>
      </c>
      <c r="C801" s="149" t="s">
        <v>2390</v>
      </c>
      <c r="D801" s="149" t="s">
        <v>25</v>
      </c>
      <c r="E801" s="149" t="s">
        <v>57</v>
      </c>
      <c r="F801" s="52"/>
      <c r="G801" s="132" t="s">
        <v>1257</v>
      </c>
      <c r="H801" s="132" t="s">
        <v>1257</v>
      </c>
      <c r="I801" s="132">
        <v>70.0</v>
      </c>
      <c r="J801" s="132" t="s">
        <v>1257</v>
      </c>
      <c r="K801" s="132" t="s">
        <v>1257</v>
      </c>
      <c r="L801" s="132">
        <v>4.0</v>
      </c>
      <c r="M801" s="132" t="s">
        <v>82</v>
      </c>
      <c r="N801" s="144" t="s">
        <v>28</v>
      </c>
      <c r="O801" s="132" t="s">
        <v>1257</v>
      </c>
      <c r="P801" s="132" t="s">
        <v>29</v>
      </c>
      <c r="Q801" s="132" t="s">
        <v>1257</v>
      </c>
      <c r="R801" s="132"/>
      <c r="S801" s="52"/>
      <c r="T801" s="129"/>
      <c r="U801" s="129"/>
      <c r="V801" s="129"/>
      <c r="W801" s="129"/>
      <c r="X801" s="129"/>
      <c r="Y801" s="129"/>
      <c r="Z801" s="129"/>
      <c r="AA801" s="129"/>
      <c r="AB801" s="129"/>
      <c r="AC801" s="129"/>
      <c r="AD801" s="129"/>
    </row>
    <row r="802" ht="14.25" customHeight="1">
      <c r="A802" s="133">
        <v>37.0</v>
      </c>
      <c r="B802" s="149" t="s">
        <v>2391</v>
      </c>
      <c r="C802" s="149" t="s">
        <v>2326</v>
      </c>
      <c r="D802" s="149" t="s">
        <v>25</v>
      </c>
      <c r="E802" s="149" t="s">
        <v>57</v>
      </c>
      <c r="F802" s="52"/>
      <c r="G802" s="132" t="s">
        <v>1257</v>
      </c>
      <c r="H802" s="132" t="s">
        <v>1257</v>
      </c>
      <c r="I802" s="132">
        <v>50.0</v>
      </c>
      <c r="J802" s="132" t="s">
        <v>1257</v>
      </c>
      <c r="K802" s="132" t="s">
        <v>1257</v>
      </c>
      <c r="L802" s="132">
        <v>3.0</v>
      </c>
      <c r="M802" s="132" t="s">
        <v>82</v>
      </c>
      <c r="N802" s="144" t="s">
        <v>28</v>
      </c>
      <c r="O802" s="132" t="s">
        <v>1257</v>
      </c>
      <c r="P802" s="132" t="s">
        <v>29</v>
      </c>
      <c r="Q802" s="132" t="s">
        <v>1257</v>
      </c>
      <c r="R802" s="132"/>
      <c r="S802" s="52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  <c r="AD802" s="129"/>
    </row>
    <row r="803" ht="14.25" customHeight="1">
      <c r="A803" s="133">
        <v>38.0</v>
      </c>
      <c r="B803" s="149" t="s">
        <v>2392</v>
      </c>
      <c r="C803" s="149" t="s">
        <v>2328</v>
      </c>
      <c r="D803" s="149" t="s">
        <v>25</v>
      </c>
      <c r="E803" s="149" t="s">
        <v>57</v>
      </c>
      <c r="F803" s="52"/>
      <c r="G803" s="132" t="s">
        <v>1257</v>
      </c>
      <c r="H803" s="132" t="s">
        <v>1257</v>
      </c>
      <c r="I803" s="132">
        <v>30.0</v>
      </c>
      <c r="J803" s="132" t="s">
        <v>1257</v>
      </c>
      <c r="K803" s="132" t="s">
        <v>1257</v>
      </c>
      <c r="L803" s="132">
        <v>2.0</v>
      </c>
      <c r="M803" s="132" t="s">
        <v>82</v>
      </c>
      <c r="N803" s="144" t="s">
        <v>28</v>
      </c>
      <c r="O803" s="132" t="s">
        <v>1257</v>
      </c>
      <c r="P803" s="132" t="s">
        <v>29</v>
      </c>
      <c r="Q803" s="132" t="s">
        <v>1257</v>
      </c>
      <c r="R803" s="132"/>
      <c r="S803" s="52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  <c r="AD803" s="129"/>
    </row>
    <row r="804" ht="14.25" customHeight="1">
      <c r="A804" s="133">
        <v>39.0</v>
      </c>
      <c r="B804" s="149" t="s">
        <v>2393</v>
      </c>
      <c r="C804" s="149" t="s">
        <v>2330</v>
      </c>
      <c r="D804" s="149" t="s">
        <v>25</v>
      </c>
      <c r="E804" s="149" t="s">
        <v>57</v>
      </c>
      <c r="F804" s="52"/>
      <c r="G804" s="132" t="s">
        <v>1257</v>
      </c>
      <c r="H804" s="132" t="s">
        <v>1257</v>
      </c>
      <c r="I804" s="132">
        <v>40.0</v>
      </c>
      <c r="J804" s="132" t="s">
        <v>1257</v>
      </c>
      <c r="K804" s="132" t="s">
        <v>1257</v>
      </c>
      <c r="L804" s="132">
        <v>3.0</v>
      </c>
      <c r="M804" s="132" t="s">
        <v>82</v>
      </c>
      <c r="N804" s="144" t="s">
        <v>28</v>
      </c>
      <c r="O804" s="132" t="s">
        <v>1257</v>
      </c>
      <c r="P804" s="132" t="s">
        <v>29</v>
      </c>
      <c r="Q804" s="132" t="s">
        <v>1257</v>
      </c>
      <c r="R804" s="132"/>
      <c r="S804" s="52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</row>
    <row r="805" ht="14.25" customHeight="1">
      <c r="A805" s="133">
        <v>40.0</v>
      </c>
      <c r="B805" s="149" t="s">
        <v>2394</v>
      </c>
      <c r="C805" s="149" t="s">
        <v>2332</v>
      </c>
      <c r="D805" s="149" t="s">
        <v>25</v>
      </c>
      <c r="E805" s="149" t="s">
        <v>57</v>
      </c>
      <c r="F805" s="52"/>
      <c r="G805" s="132" t="s">
        <v>1257</v>
      </c>
      <c r="H805" s="132" t="s">
        <v>1257</v>
      </c>
      <c r="I805" s="132">
        <v>50.0</v>
      </c>
      <c r="J805" s="132" t="s">
        <v>1257</v>
      </c>
      <c r="K805" s="132" t="s">
        <v>1257</v>
      </c>
      <c r="L805" s="132">
        <v>4.0</v>
      </c>
      <c r="M805" s="132" t="s">
        <v>82</v>
      </c>
      <c r="N805" s="144" t="s">
        <v>28</v>
      </c>
      <c r="O805" s="132" t="s">
        <v>1257</v>
      </c>
      <c r="P805" s="132" t="s">
        <v>29</v>
      </c>
      <c r="Q805" s="132" t="s">
        <v>1257</v>
      </c>
      <c r="R805" s="132"/>
      <c r="S805" s="52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</row>
    <row r="806" ht="14.25" customHeight="1">
      <c r="A806" s="133">
        <v>41.0</v>
      </c>
      <c r="B806" s="149" t="s">
        <v>2395</v>
      </c>
      <c r="C806" s="149" t="s">
        <v>2338</v>
      </c>
      <c r="D806" s="149" t="s">
        <v>25</v>
      </c>
      <c r="E806" s="149" t="s">
        <v>57</v>
      </c>
      <c r="F806" s="52"/>
      <c r="G806" s="132" t="s">
        <v>1257</v>
      </c>
      <c r="H806" s="132" t="s">
        <v>1257</v>
      </c>
      <c r="I806" s="132">
        <v>60.0</v>
      </c>
      <c r="J806" s="132" t="s">
        <v>1257</v>
      </c>
      <c r="K806" s="132" t="s">
        <v>1257</v>
      </c>
      <c r="L806" s="132">
        <v>4.0</v>
      </c>
      <c r="M806" s="132" t="s">
        <v>82</v>
      </c>
      <c r="N806" s="144" t="s">
        <v>28</v>
      </c>
      <c r="O806" s="132" t="s">
        <v>1257</v>
      </c>
      <c r="P806" s="132" t="s">
        <v>29</v>
      </c>
      <c r="Q806" s="132" t="s">
        <v>1257</v>
      </c>
      <c r="R806" s="132"/>
      <c r="S806" s="52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  <c r="AD806" s="129"/>
    </row>
    <row r="807" ht="14.25" customHeight="1">
      <c r="A807" s="133">
        <v>42.0</v>
      </c>
      <c r="B807" s="149" t="s">
        <v>2396</v>
      </c>
      <c r="C807" s="149" t="s">
        <v>2340</v>
      </c>
      <c r="D807" s="149" t="s">
        <v>25</v>
      </c>
      <c r="E807" s="149" t="s">
        <v>57</v>
      </c>
      <c r="F807" s="52"/>
      <c r="G807" s="132" t="s">
        <v>1257</v>
      </c>
      <c r="H807" s="132" t="s">
        <v>1257</v>
      </c>
      <c r="I807" s="132">
        <v>50.0</v>
      </c>
      <c r="J807" s="132" t="s">
        <v>1257</v>
      </c>
      <c r="K807" s="132" t="s">
        <v>1257</v>
      </c>
      <c r="L807" s="132">
        <v>3.0</v>
      </c>
      <c r="M807" s="132" t="s">
        <v>82</v>
      </c>
      <c r="N807" s="144" t="s">
        <v>28</v>
      </c>
      <c r="O807" s="132" t="s">
        <v>1257</v>
      </c>
      <c r="P807" s="132" t="s">
        <v>29</v>
      </c>
      <c r="Q807" s="132" t="s">
        <v>1257</v>
      </c>
      <c r="R807" s="132"/>
      <c r="S807" s="52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</row>
    <row r="808" ht="14.25" customHeight="1">
      <c r="A808" s="133">
        <v>43.0</v>
      </c>
      <c r="B808" s="149" t="s">
        <v>2397</v>
      </c>
      <c r="C808" s="149" t="s">
        <v>2342</v>
      </c>
      <c r="D808" s="149" t="s">
        <v>25</v>
      </c>
      <c r="E808" s="149" t="s">
        <v>57</v>
      </c>
      <c r="F808" s="52"/>
      <c r="G808" s="132" t="s">
        <v>1257</v>
      </c>
      <c r="H808" s="132" t="s">
        <v>1257</v>
      </c>
      <c r="I808" s="132">
        <v>60.0</v>
      </c>
      <c r="J808" s="132" t="s">
        <v>1257</v>
      </c>
      <c r="K808" s="132" t="s">
        <v>1257</v>
      </c>
      <c r="L808" s="132">
        <v>3.0</v>
      </c>
      <c r="M808" s="132" t="s">
        <v>82</v>
      </c>
      <c r="N808" s="144" t="s">
        <v>28</v>
      </c>
      <c r="O808" s="132" t="s">
        <v>1257</v>
      </c>
      <c r="P808" s="132" t="s">
        <v>29</v>
      </c>
      <c r="Q808" s="132" t="s">
        <v>1257</v>
      </c>
      <c r="R808" s="132"/>
      <c r="S808" s="52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</row>
    <row r="809" ht="14.25" customHeight="1">
      <c r="A809" s="133">
        <v>44.0</v>
      </c>
      <c r="B809" s="149" t="s">
        <v>2398</v>
      </c>
      <c r="C809" s="149" t="s">
        <v>2344</v>
      </c>
      <c r="D809" s="149" t="s">
        <v>25</v>
      </c>
      <c r="E809" s="149" t="s">
        <v>57</v>
      </c>
      <c r="F809" s="52"/>
      <c r="G809" s="132" t="s">
        <v>1257</v>
      </c>
      <c r="H809" s="132" t="s">
        <v>1257</v>
      </c>
      <c r="I809" s="132">
        <v>60.0</v>
      </c>
      <c r="J809" s="132" t="s">
        <v>1257</v>
      </c>
      <c r="K809" s="132" t="s">
        <v>1257</v>
      </c>
      <c r="L809" s="132">
        <v>3.0</v>
      </c>
      <c r="M809" s="132" t="s">
        <v>82</v>
      </c>
      <c r="N809" s="144" t="s">
        <v>28</v>
      </c>
      <c r="O809" s="132" t="s">
        <v>1257</v>
      </c>
      <c r="P809" s="132" t="s">
        <v>29</v>
      </c>
      <c r="Q809" s="132" t="s">
        <v>1257</v>
      </c>
      <c r="R809" s="132"/>
      <c r="S809" s="52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</row>
    <row r="810" ht="14.25" customHeight="1">
      <c r="A810" s="133">
        <v>45.0</v>
      </c>
      <c r="B810" s="149" t="s">
        <v>2399</v>
      </c>
      <c r="C810" s="149" t="s">
        <v>2344</v>
      </c>
      <c r="D810" s="149" t="s">
        <v>25</v>
      </c>
      <c r="E810" s="149" t="s">
        <v>57</v>
      </c>
      <c r="F810" s="52"/>
      <c r="G810" s="132" t="s">
        <v>1257</v>
      </c>
      <c r="H810" s="132" t="s">
        <v>1257</v>
      </c>
      <c r="I810" s="132">
        <v>150.0</v>
      </c>
      <c r="J810" s="132" t="s">
        <v>1257</v>
      </c>
      <c r="K810" s="132" t="s">
        <v>1257</v>
      </c>
      <c r="L810" s="132">
        <v>6.0</v>
      </c>
      <c r="M810" s="132" t="s">
        <v>82</v>
      </c>
      <c r="N810" s="144" t="s">
        <v>28</v>
      </c>
      <c r="O810" s="132" t="s">
        <v>1257</v>
      </c>
      <c r="P810" s="132" t="s">
        <v>29</v>
      </c>
      <c r="Q810" s="132" t="s">
        <v>1257</v>
      </c>
      <c r="R810" s="132"/>
      <c r="S810" s="52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</row>
    <row r="811" ht="14.25" customHeight="1">
      <c r="A811" s="133">
        <v>46.0</v>
      </c>
      <c r="B811" s="149" t="s">
        <v>2400</v>
      </c>
      <c r="C811" s="149" t="s">
        <v>2352</v>
      </c>
      <c r="D811" s="149" t="s">
        <v>25</v>
      </c>
      <c r="E811" s="149" t="s">
        <v>57</v>
      </c>
      <c r="F811" s="52"/>
      <c r="G811" s="132" t="s">
        <v>1257</v>
      </c>
      <c r="H811" s="132" t="s">
        <v>1257</v>
      </c>
      <c r="I811" s="132">
        <v>50.0</v>
      </c>
      <c r="J811" s="132" t="s">
        <v>1257</v>
      </c>
      <c r="K811" s="132" t="s">
        <v>1257</v>
      </c>
      <c r="L811" s="132">
        <v>3.0</v>
      </c>
      <c r="M811" s="132" t="s">
        <v>82</v>
      </c>
      <c r="N811" s="144" t="s">
        <v>28</v>
      </c>
      <c r="O811" s="132" t="s">
        <v>1257</v>
      </c>
      <c r="P811" s="132" t="s">
        <v>29</v>
      </c>
      <c r="Q811" s="132" t="s">
        <v>1257</v>
      </c>
      <c r="R811" s="132"/>
      <c r="S811" s="52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</row>
    <row r="812" ht="15.0" customHeight="1">
      <c r="A812" s="133">
        <v>47.0</v>
      </c>
      <c r="B812" s="149" t="s">
        <v>2401</v>
      </c>
      <c r="C812" s="149" t="s">
        <v>2346</v>
      </c>
      <c r="D812" s="149" t="s">
        <v>25</v>
      </c>
      <c r="E812" s="149" t="s">
        <v>57</v>
      </c>
      <c r="F812" s="52"/>
      <c r="G812" s="132" t="s">
        <v>1257</v>
      </c>
      <c r="H812" s="132" t="s">
        <v>1257</v>
      </c>
      <c r="I812" s="132">
        <v>40.0</v>
      </c>
      <c r="J812" s="132" t="s">
        <v>1257</v>
      </c>
      <c r="K812" s="132" t="s">
        <v>1257</v>
      </c>
      <c r="L812" s="132">
        <v>3.0</v>
      </c>
      <c r="M812" s="132" t="s">
        <v>82</v>
      </c>
      <c r="N812" s="144" t="s">
        <v>28</v>
      </c>
      <c r="O812" s="132" t="s">
        <v>1257</v>
      </c>
      <c r="P812" s="132" t="s">
        <v>29</v>
      </c>
      <c r="Q812" s="132" t="s">
        <v>1257</v>
      </c>
      <c r="R812" s="132"/>
      <c r="S812" s="52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</row>
    <row r="813" ht="14.25" customHeight="1">
      <c r="A813" s="133">
        <v>48.0</v>
      </c>
      <c r="B813" s="149" t="s">
        <v>2402</v>
      </c>
      <c r="C813" s="149" t="s">
        <v>2348</v>
      </c>
      <c r="D813" s="149" t="s">
        <v>25</v>
      </c>
      <c r="E813" s="149" t="s">
        <v>57</v>
      </c>
      <c r="F813" s="52"/>
      <c r="G813" s="132" t="s">
        <v>1257</v>
      </c>
      <c r="H813" s="132" t="s">
        <v>1257</v>
      </c>
      <c r="I813" s="132">
        <v>60.0</v>
      </c>
      <c r="J813" s="132" t="s">
        <v>1257</v>
      </c>
      <c r="K813" s="132" t="s">
        <v>1257</v>
      </c>
      <c r="L813" s="132">
        <v>3.0</v>
      </c>
      <c r="M813" s="132" t="s">
        <v>82</v>
      </c>
      <c r="N813" s="144" t="s">
        <v>28</v>
      </c>
      <c r="O813" s="132" t="s">
        <v>1257</v>
      </c>
      <c r="P813" s="132" t="s">
        <v>29</v>
      </c>
      <c r="Q813" s="132" t="s">
        <v>1257</v>
      </c>
      <c r="R813" s="132"/>
      <c r="S813" s="52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</row>
    <row r="814" ht="14.25" customHeight="1">
      <c r="A814" s="133">
        <v>49.0</v>
      </c>
      <c r="B814" s="149" t="s">
        <v>2403</v>
      </c>
      <c r="C814" s="149" t="s">
        <v>2348</v>
      </c>
      <c r="D814" s="149" t="s">
        <v>25</v>
      </c>
      <c r="E814" s="149" t="s">
        <v>57</v>
      </c>
      <c r="F814" s="52"/>
      <c r="G814" s="132" t="s">
        <v>1257</v>
      </c>
      <c r="H814" s="132" t="s">
        <v>1257</v>
      </c>
      <c r="I814" s="132">
        <v>150.0</v>
      </c>
      <c r="J814" s="132" t="s">
        <v>1257</v>
      </c>
      <c r="K814" s="132" t="s">
        <v>1257</v>
      </c>
      <c r="L814" s="132">
        <v>6.0</v>
      </c>
      <c r="M814" s="132" t="s">
        <v>82</v>
      </c>
      <c r="N814" s="144" t="s">
        <v>28</v>
      </c>
      <c r="O814" s="132" t="s">
        <v>1257</v>
      </c>
      <c r="P814" s="132" t="s">
        <v>29</v>
      </c>
      <c r="Q814" s="132" t="s">
        <v>1257</v>
      </c>
      <c r="R814" s="132"/>
      <c r="S814" s="52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</row>
    <row r="815" ht="14.25" customHeight="1">
      <c r="A815" s="133">
        <v>50.0</v>
      </c>
      <c r="B815" s="149" t="s">
        <v>2404</v>
      </c>
      <c r="C815" s="149" t="s">
        <v>2358</v>
      </c>
      <c r="D815" s="149" t="s">
        <v>25</v>
      </c>
      <c r="E815" s="149" t="s">
        <v>57</v>
      </c>
      <c r="F815" s="52"/>
      <c r="G815" s="132" t="s">
        <v>1257</v>
      </c>
      <c r="H815" s="132" t="s">
        <v>1257</v>
      </c>
      <c r="I815" s="132">
        <v>30.0</v>
      </c>
      <c r="J815" s="132" t="s">
        <v>1257</v>
      </c>
      <c r="K815" s="132" t="s">
        <v>1257</v>
      </c>
      <c r="L815" s="132">
        <v>2.0</v>
      </c>
      <c r="M815" s="132" t="s">
        <v>82</v>
      </c>
      <c r="N815" s="144" t="s">
        <v>28</v>
      </c>
      <c r="O815" s="132" t="s">
        <v>1257</v>
      </c>
      <c r="P815" s="132" t="s">
        <v>29</v>
      </c>
      <c r="Q815" s="132" t="s">
        <v>1257</v>
      </c>
      <c r="R815" s="132"/>
      <c r="S815" s="52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</row>
    <row r="816" ht="14.25" customHeight="1">
      <c r="A816" s="133">
        <v>51.0</v>
      </c>
      <c r="B816" s="149" t="s">
        <v>2405</v>
      </c>
      <c r="C816" s="149" t="s">
        <v>2370</v>
      </c>
      <c r="D816" s="149" t="s">
        <v>25</v>
      </c>
      <c r="E816" s="149" t="s">
        <v>57</v>
      </c>
      <c r="F816" s="52"/>
      <c r="G816" s="132" t="s">
        <v>1257</v>
      </c>
      <c r="H816" s="132" t="s">
        <v>1257</v>
      </c>
      <c r="I816" s="132">
        <v>50.0</v>
      </c>
      <c r="J816" s="132" t="s">
        <v>1257</v>
      </c>
      <c r="K816" s="132" t="s">
        <v>1257</v>
      </c>
      <c r="L816" s="132">
        <v>3.0</v>
      </c>
      <c r="M816" s="132" t="s">
        <v>82</v>
      </c>
      <c r="N816" s="144" t="s">
        <v>28</v>
      </c>
      <c r="O816" s="132" t="s">
        <v>1257</v>
      </c>
      <c r="P816" s="132" t="s">
        <v>29</v>
      </c>
      <c r="Q816" s="132" t="s">
        <v>1257</v>
      </c>
      <c r="R816" s="132"/>
      <c r="S816" s="52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</row>
    <row r="817" ht="14.25" customHeight="1">
      <c r="A817" s="133">
        <v>52.0</v>
      </c>
      <c r="B817" s="149" t="s">
        <v>2406</v>
      </c>
      <c r="C817" s="149" t="s">
        <v>2372</v>
      </c>
      <c r="D817" s="149" t="s">
        <v>25</v>
      </c>
      <c r="E817" s="149" t="s">
        <v>57</v>
      </c>
      <c r="F817" s="52"/>
      <c r="G817" s="132" t="s">
        <v>1257</v>
      </c>
      <c r="H817" s="132" t="s">
        <v>1257</v>
      </c>
      <c r="I817" s="132">
        <v>150.0</v>
      </c>
      <c r="J817" s="132" t="s">
        <v>1257</v>
      </c>
      <c r="K817" s="132" t="s">
        <v>1257</v>
      </c>
      <c r="L817" s="132">
        <v>6.0</v>
      </c>
      <c r="M817" s="132" t="s">
        <v>82</v>
      </c>
      <c r="N817" s="144" t="s">
        <v>28</v>
      </c>
      <c r="O817" s="132" t="s">
        <v>1257</v>
      </c>
      <c r="P817" s="132" t="s">
        <v>29</v>
      </c>
      <c r="Q817" s="132" t="s">
        <v>1257</v>
      </c>
      <c r="R817" s="132"/>
      <c r="S817" s="52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</row>
    <row r="818" ht="14.25" customHeight="1">
      <c r="A818" s="133">
        <v>53.0</v>
      </c>
      <c r="B818" s="149" t="s">
        <v>2407</v>
      </c>
      <c r="C818" s="149" t="s">
        <v>2366</v>
      </c>
      <c r="D818" s="149" t="s">
        <v>25</v>
      </c>
      <c r="E818" s="149" t="s">
        <v>57</v>
      </c>
      <c r="F818" s="52"/>
      <c r="G818" s="132" t="s">
        <v>1257</v>
      </c>
      <c r="H818" s="132" t="s">
        <v>1257</v>
      </c>
      <c r="I818" s="132">
        <v>30.0</v>
      </c>
      <c r="J818" s="132" t="s">
        <v>1257</v>
      </c>
      <c r="K818" s="132" t="s">
        <v>1257</v>
      </c>
      <c r="L818" s="132">
        <v>2.0</v>
      </c>
      <c r="M818" s="132" t="s">
        <v>82</v>
      </c>
      <c r="N818" s="144" t="s">
        <v>28</v>
      </c>
      <c r="O818" s="132" t="s">
        <v>1257</v>
      </c>
      <c r="P818" s="132" t="s">
        <v>29</v>
      </c>
      <c r="Q818" s="132" t="s">
        <v>1257</v>
      </c>
      <c r="R818" s="132"/>
      <c r="S818" s="52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  <c r="AD818" s="129"/>
    </row>
    <row r="819" ht="14.25" customHeight="1">
      <c r="A819" s="133">
        <v>54.0</v>
      </c>
      <c r="B819" s="149" t="s">
        <v>2408</v>
      </c>
      <c r="C819" s="149" t="s">
        <v>2378</v>
      </c>
      <c r="D819" s="149" t="s">
        <v>25</v>
      </c>
      <c r="E819" s="149" t="s">
        <v>57</v>
      </c>
      <c r="F819" s="52"/>
      <c r="G819" s="132" t="s">
        <v>1257</v>
      </c>
      <c r="H819" s="132" t="s">
        <v>1257</v>
      </c>
      <c r="I819" s="132">
        <v>50.0</v>
      </c>
      <c r="J819" s="132" t="s">
        <v>1257</v>
      </c>
      <c r="K819" s="132" t="s">
        <v>1257</v>
      </c>
      <c r="L819" s="132">
        <v>3.0</v>
      </c>
      <c r="M819" s="132" t="s">
        <v>82</v>
      </c>
      <c r="N819" s="144" t="s">
        <v>28</v>
      </c>
      <c r="O819" s="132" t="s">
        <v>1257</v>
      </c>
      <c r="P819" s="132" t="s">
        <v>29</v>
      </c>
      <c r="Q819" s="132" t="s">
        <v>1257</v>
      </c>
      <c r="R819" s="132"/>
      <c r="S819" s="52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  <c r="AD819" s="129"/>
    </row>
    <row r="820" ht="14.25" customHeight="1">
      <c r="A820" s="133">
        <v>55.0</v>
      </c>
      <c r="B820" s="149" t="s">
        <v>2409</v>
      </c>
      <c r="C820" s="149" t="s">
        <v>2380</v>
      </c>
      <c r="D820" s="149" t="s">
        <v>25</v>
      </c>
      <c r="E820" s="149" t="s">
        <v>57</v>
      </c>
      <c r="F820" s="52"/>
      <c r="G820" s="132" t="s">
        <v>1257</v>
      </c>
      <c r="H820" s="132" t="s">
        <v>1257</v>
      </c>
      <c r="I820" s="132">
        <v>150.0</v>
      </c>
      <c r="J820" s="132" t="s">
        <v>1257</v>
      </c>
      <c r="K820" s="132" t="s">
        <v>1257</v>
      </c>
      <c r="L820" s="132">
        <v>6.0</v>
      </c>
      <c r="M820" s="132" t="s">
        <v>82</v>
      </c>
      <c r="N820" s="144" t="s">
        <v>28</v>
      </c>
      <c r="O820" s="132" t="s">
        <v>1257</v>
      </c>
      <c r="P820" s="132" t="s">
        <v>29</v>
      </c>
      <c r="Q820" s="132" t="s">
        <v>1257</v>
      </c>
      <c r="R820" s="132"/>
      <c r="S820" s="52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  <c r="AD820" s="129"/>
    </row>
    <row r="821" ht="14.25" customHeight="1">
      <c r="A821" s="133">
        <v>56.0</v>
      </c>
      <c r="B821" s="149" t="s">
        <v>2410</v>
      </c>
      <c r="C821" s="149" t="s">
        <v>2411</v>
      </c>
      <c r="D821" s="149" t="s">
        <v>25</v>
      </c>
      <c r="E821" s="149" t="s">
        <v>57</v>
      </c>
      <c r="F821" s="52"/>
      <c r="G821" s="132" t="s">
        <v>1257</v>
      </c>
      <c r="H821" s="132" t="s">
        <v>1257</v>
      </c>
      <c r="I821" s="132">
        <v>70.0</v>
      </c>
      <c r="J821" s="132" t="s">
        <v>1257</v>
      </c>
      <c r="K821" s="132" t="s">
        <v>1257</v>
      </c>
      <c r="L821" s="132">
        <v>4.0</v>
      </c>
      <c r="M821" s="132" t="s">
        <v>82</v>
      </c>
      <c r="N821" s="144" t="s">
        <v>28</v>
      </c>
      <c r="O821" s="132" t="s">
        <v>1257</v>
      </c>
      <c r="P821" s="132" t="s">
        <v>29</v>
      </c>
      <c r="Q821" s="132" t="s">
        <v>1257</v>
      </c>
      <c r="R821" s="132"/>
      <c r="S821" s="52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  <c r="AD821" s="129"/>
    </row>
    <row r="822" ht="14.25" customHeight="1">
      <c r="A822" s="133">
        <v>57.0</v>
      </c>
      <c r="B822" s="149" t="s">
        <v>2412</v>
      </c>
      <c r="C822" s="149" t="s">
        <v>2350</v>
      </c>
      <c r="D822" s="149" t="s">
        <v>25</v>
      </c>
      <c r="E822" s="149" t="s">
        <v>57</v>
      </c>
      <c r="F822" s="52"/>
      <c r="G822" s="132" t="s">
        <v>1257</v>
      </c>
      <c r="H822" s="132" t="s">
        <v>1257</v>
      </c>
      <c r="I822" s="132">
        <v>100.0</v>
      </c>
      <c r="J822" s="132" t="s">
        <v>1257</v>
      </c>
      <c r="K822" s="132" t="s">
        <v>1257</v>
      </c>
      <c r="L822" s="132">
        <v>5.0</v>
      </c>
      <c r="M822" s="132" t="s">
        <v>82</v>
      </c>
      <c r="N822" s="144" t="s">
        <v>28</v>
      </c>
      <c r="O822" s="132" t="s">
        <v>1257</v>
      </c>
      <c r="P822" s="132" t="s">
        <v>66</v>
      </c>
      <c r="Q822" s="132" t="s">
        <v>1257</v>
      </c>
      <c r="R822" s="132"/>
      <c r="S822" s="52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  <c r="AD822" s="129"/>
    </row>
    <row r="823" ht="14.25" customHeight="1">
      <c r="A823" s="133">
        <v>58.0</v>
      </c>
      <c r="B823" s="149" t="s">
        <v>1260</v>
      </c>
      <c r="C823" s="149" t="s">
        <v>2380</v>
      </c>
      <c r="D823" s="149" t="s">
        <v>25</v>
      </c>
      <c r="E823" s="149" t="s">
        <v>57</v>
      </c>
      <c r="F823" s="52"/>
      <c r="G823" s="132" t="s">
        <v>1257</v>
      </c>
      <c r="H823" s="132" t="s">
        <v>1257</v>
      </c>
      <c r="I823" s="132">
        <v>40.0</v>
      </c>
      <c r="J823" s="132" t="s">
        <v>1257</v>
      </c>
      <c r="K823" s="132" t="s">
        <v>1257</v>
      </c>
      <c r="L823" s="132">
        <v>2.0</v>
      </c>
      <c r="M823" s="132" t="s">
        <v>82</v>
      </c>
      <c r="N823" s="144" t="s">
        <v>28</v>
      </c>
      <c r="O823" s="132" t="s">
        <v>1257</v>
      </c>
      <c r="P823" s="132" t="s">
        <v>29</v>
      </c>
      <c r="Q823" s="132" t="s">
        <v>1257</v>
      </c>
      <c r="R823" s="132"/>
      <c r="S823" s="52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  <c r="AD823" s="129"/>
    </row>
    <row r="824" ht="14.25" customHeight="1">
      <c r="A824" s="133">
        <v>59.0</v>
      </c>
      <c r="B824" s="149" t="s">
        <v>2413</v>
      </c>
      <c r="C824" s="149" t="s">
        <v>2380</v>
      </c>
      <c r="D824" s="149" t="s">
        <v>25</v>
      </c>
      <c r="E824" s="149" t="s">
        <v>57</v>
      </c>
      <c r="F824" s="52"/>
      <c r="G824" s="132" t="s">
        <v>1257</v>
      </c>
      <c r="H824" s="132" t="s">
        <v>1257</v>
      </c>
      <c r="I824" s="132">
        <v>30.0</v>
      </c>
      <c r="J824" s="132" t="s">
        <v>1257</v>
      </c>
      <c r="K824" s="132" t="s">
        <v>1257</v>
      </c>
      <c r="L824" s="132">
        <v>2.0</v>
      </c>
      <c r="M824" s="132" t="s">
        <v>82</v>
      </c>
      <c r="N824" s="144" t="s">
        <v>28</v>
      </c>
      <c r="O824" s="132" t="s">
        <v>1257</v>
      </c>
      <c r="P824" s="132" t="s">
        <v>29</v>
      </c>
      <c r="Q824" s="132" t="s">
        <v>1257</v>
      </c>
      <c r="R824" s="132"/>
      <c r="S824" s="52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  <c r="AD824" s="129"/>
    </row>
    <row r="825" ht="14.25" customHeight="1">
      <c r="A825" s="133">
        <v>60.0</v>
      </c>
      <c r="B825" s="149" t="s">
        <v>2414</v>
      </c>
      <c r="C825" s="149" t="s">
        <v>2415</v>
      </c>
      <c r="D825" s="149" t="s">
        <v>25</v>
      </c>
      <c r="E825" s="149" t="s">
        <v>57</v>
      </c>
      <c r="F825" s="52"/>
      <c r="G825" s="132" t="s">
        <v>1257</v>
      </c>
      <c r="H825" s="132" t="s">
        <v>1257</v>
      </c>
      <c r="I825" s="132">
        <v>100.0</v>
      </c>
      <c r="J825" s="132" t="s">
        <v>1257</v>
      </c>
      <c r="K825" s="132" t="s">
        <v>1257</v>
      </c>
      <c r="L825" s="132">
        <v>4.0</v>
      </c>
      <c r="M825" s="132" t="s">
        <v>82</v>
      </c>
      <c r="N825" s="144" t="s">
        <v>28</v>
      </c>
      <c r="O825" s="132" t="s">
        <v>1257</v>
      </c>
      <c r="P825" s="132" t="s">
        <v>66</v>
      </c>
      <c r="Q825" s="132" t="s">
        <v>1257</v>
      </c>
      <c r="R825" s="132"/>
      <c r="S825" s="52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  <c r="AD825" s="129"/>
    </row>
    <row r="826" ht="14.25" customHeight="1">
      <c r="A826" s="133">
        <v>61.0</v>
      </c>
      <c r="B826" s="149" t="s">
        <v>2416</v>
      </c>
      <c r="C826" s="149" t="s">
        <v>2417</v>
      </c>
      <c r="D826" s="149" t="s">
        <v>25</v>
      </c>
      <c r="E826" s="149" t="s">
        <v>57</v>
      </c>
      <c r="F826" s="52"/>
      <c r="G826" s="132" t="s">
        <v>1257</v>
      </c>
      <c r="H826" s="132" t="s">
        <v>1257</v>
      </c>
      <c r="I826" s="132">
        <v>20.0</v>
      </c>
      <c r="J826" s="132" t="s">
        <v>1257</v>
      </c>
      <c r="K826" s="132" t="s">
        <v>1257</v>
      </c>
      <c r="L826" s="132">
        <v>2.0</v>
      </c>
      <c r="M826" s="132" t="s">
        <v>82</v>
      </c>
      <c r="N826" s="144" t="s">
        <v>28</v>
      </c>
      <c r="O826" s="132" t="s">
        <v>1257</v>
      </c>
      <c r="P826" s="132" t="s">
        <v>29</v>
      </c>
      <c r="Q826" s="132" t="s">
        <v>1257</v>
      </c>
      <c r="R826" s="132"/>
      <c r="S826" s="52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  <c r="AD826" s="129"/>
    </row>
    <row r="827" ht="14.25" customHeight="1">
      <c r="A827" s="133">
        <v>62.0</v>
      </c>
      <c r="B827" s="149" t="s">
        <v>2418</v>
      </c>
      <c r="C827" s="149" t="s">
        <v>2384</v>
      </c>
      <c r="D827" s="149" t="s">
        <v>25</v>
      </c>
      <c r="E827" s="149" t="s">
        <v>57</v>
      </c>
      <c r="F827" s="52"/>
      <c r="G827" s="132" t="s">
        <v>1257</v>
      </c>
      <c r="H827" s="132" t="s">
        <v>1257</v>
      </c>
      <c r="I827" s="132">
        <v>20.0</v>
      </c>
      <c r="J827" s="132" t="s">
        <v>1257</v>
      </c>
      <c r="K827" s="132" t="s">
        <v>1257</v>
      </c>
      <c r="L827" s="132">
        <v>2.0</v>
      </c>
      <c r="M827" s="132" t="s">
        <v>82</v>
      </c>
      <c r="N827" s="144" t="s">
        <v>28</v>
      </c>
      <c r="O827" s="132" t="s">
        <v>1257</v>
      </c>
      <c r="P827" s="132" t="s">
        <v>29</v>
      </c>
      <c r="Q827" s="132" t="s">
        <v>1257</v>
      </c>
      <c r="R827" s="132"/>
      <c r="S827" s="52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  <c r="AD827" s="129"/>
    </row>
    <row r="828" ht="15.75" customHeight="1">
      <c r="A828" s="181"/>
      <c r="B828" s="182" t="s">
        <v>2419</v>
      </c>
      <c r="C828" s="182"/>
      <c r="D828" s="182"/>
      <c r="E828" s="182"/>
      <c r="F828" s="182"/>
      <c r="G828" s="183"/>
      <c r="H828" s="184"/>
      <c r="I828" s="184"/>
      <c r="J828" s="185"/>
      <c r="K828" s="185"/>
      <c r="L828" s="185"/>
      <c r="M828" s="185"/>
      <c r="N828" s="185"/>
      <c r="O828" s="185"/>
      <c r="P828" s="184"/>
      <c r="Q828" s="185"/>
      <c r="R828" s="141"/>
      <c r="S828" s="142"/>
      <c r="T828" s="142"/>
      <c r="U828" s="142"/>
      <c r="V828" s="142"/>
      <c r="W828" s="142"/>
      <c r="X828" s="142"/>
      <c r="Y828" s="142"/>
      <c r="Z828" s="142"/>
      <c r="AA828" s="142"/>
      <c r="AB828" s="142"/>
      <c r="AC828" s="142"/>
      <c r="AD828" s="142"/>
    </row>
    <row r="829" ht="14.25" customHeight="1">
      <c r="A829" s="133">
        <v>1.0</v>
      </c>
      <c r="B829" s="149" t="s">
        <v>2420</v>
      </c>
      <c r="C829" s="149" t="s">
        <v>2421</v>
      </c>
      <c r="D829" s="149" t="s">
        <v>25</v>
      </c>
      <c r="E829" s="149" t="s">
        <v>57</v>
      </c>
      <c r="F829" s="52"/>
      <c r="G829" s="132">
        <v>288.0</v>
      </c>
      <c r="H829" s="132">
        <f>90/5</f>
        <v>18</v>
      </c>
      <c r="I829" s="132">
        <v>90.0</v>
      </c>
      <c r="J829" s="144" t="s">
        <v>28</v>
      </c>
      <c r="K829" s="144" t="s">
        <v>28</v>
      </c>
      <c r="L829" s="132">
        <v>7.0</v>
      </c>
      <c r="M829" s="132" t="s">
        <v>323</v>
      </c>
      <c r="N829" s="132" t="s">
        <v>323</v>
      </c>
      <c r="O829" s="132">
        <v>100.0</v>
      </c>
      <c r="P829" s="132" t="s">
        <v>66</v>
      </c>
      <c r="Q829" s="132">
        <v>15.0</v>
      </c>
      <c r="R829" s="198">
        <v>44502.0</v>
      </c>
      <c r="S829" s="191">
        <v>44616.0</v>
      </c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  <c r="AD829" s="129"/>
    </row>
    <row r="830" ht="14.25" customHeight="1">
      <c r="A830" s="133">
        <v>2.0</v>
      </c>
      <c r="B830" s="149" t="s">
        <v>1174</v>
      </c>
      <c r="C830" s="149" t="s">
        <v>2421</v>
      </c>
      <c r="D830" s="149" t="s">
        <v>25</v>
      </c>
      <c r="E830" s="149" t="s">
        <v>57</v>
      </c>
      <c r="F830" s="52"/>
      <c r="G830" s="132">
        <v>54.0</v>
      </c>
      <c r="H830" s="132">
        <v>1.0</v>
      </c>
      <c r="I830" s="132">
        <v>5.0</v>
      </c>
      <c r="J830" s="144" t="s">
        <v>28</v>
      </c>
      <c r="K830" s="144" t="s">
        <v>28</v>
      </c>
      <c r="L830" s="132">
        <v>1.0</v>
      </c>
      <c r="M830" s="132" t="s">
        <v>323</v>
      </c>
      <c r="N830" s="132" t="s">
        <v>323</v>
      </c>
      <c r="O830" s="144" t="s">
        <v>28</v>
      </c>
      <c r="P830" s="132" t="s">
        <v>66</v>
      </c>
      <c r="Q830" s="132">
        <v>5.0</v>
      </c>
      <c r="R830" s="132"/>
      <c r="S830" s="52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  <c r="AD830" s="129"/>
    </row>
    <row r="831" ht="14.25" customHeight="1">
      <c r="A831" s="133">
        <v>3.0</v>
      </c>
      <c r="B831" s="149" t="s">
        <v>2422</v>
      </c>
      <c r="C831" s="149" t="s">
        <v>2421</v>
      </c>
      <c r="D831" s="149" t="s">
        <v>25</v>
      </c>
      <c r="E831" s="149" t="s">
        <v>57</v>
      </c>
      <c r="F831" s="52"/>
      <c r="G831" s="132">
        <v>49.0</v>
      </c>
      <c r="H831" s="132">
        <v>2.0</v>
      </c>
      <c r="I831" s="132">
        <v>10.0</v>
      </c>
      <c r="J831" s="144" t="s">
        <v>28</v>
      </c>
      <c r="K831" s="144" t="s">
        <v>28</v>
      </c>
      <c r="L831" s="132">
        <v>1.0</v>
      </c>
      <c r="M831" s="132" t="s">
        <v>323</v>
      </c>
      <c r="N831" s="132" t="s">
        <v>323</v>
      </c>
      <c r="O831" s="144" t="s">
        <v>28</v>
      </c>
      <c r="P831" s="132" t="s">
        <v>66</v>
      </c>
      <c r="Q831" s="132">
        <v>10.0</v>
      </c>
      <c r="R831" s="132"/>
      <c r="S831" s="52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  <c r="AD831" s="129"/>
    </row>
    <row r="832" ht="14.25" customHeight="1">
      <c r="A832" s="133">
        <v>4.0</v>
      </c>
      <c r="B832" s="149" t="s">
        <v>2423</v>
      </c>
      <c r="C832" s="149" t="s">
        <v>2424</v>
      </c>
      <c r="D832" s="149" t="s">
        <v>25</v>
      </c>
      <c r="E832" s="149" t="s">
        <v>57</v>
      </c>
      <c r="F832" s="52"/>
      <c r="G832" s="132">
        <v>84.0</v>
      </c>
      <c r="H832" s="132">
        <v>6.0</v>
      </c>
      <c r="I832" s="132">
        <v>30.0</v>
      </c>
      <c r="J832" s="144" t="s">
        <v>28</v>
      </c>
      <c r="K832" s="144" t="s">
        <v>28</v>
      </c>
      <c r="L832" s="132">
        <v>2.0</v>
      </c>
      <c r="M832" s="132" t="s">
        <v>323</v>
      </c>
      <c r="N832" s="132" t="s">
        <v>323</v>
      </c>
      <c r="O832" s="132">
        <v>100.0</v>
      </c>
      <c r="P832" s="132" t="s">
        <v>29</v>
      </c>
      <c r="Q832" s="132"/>
      <c r="R832" s="132"/>
      <c r="S832" s="52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  <c r="AD832" s="129"/>
    </row>
    <row r="833" ht="14.25" customHeight="1">
      <c r="A833" s="133">
        <v>5.0</v>
      </c>
      <c r="B833" s="149" t="s">
        <v>2425</v>
      </c>
      <c r="C833" s="149" t="s">
        <v>2424</v>
      </c>
      <c r="D833" s="149" t="s">
        <v>25</v>
      </c>
      <c r="E833" s="149" t="s">
        <v>57</v>
      </c>
      <c r="F833" s="52"/>
      <c r="G833" s="132">
        <v>42.0</v>
      </c>
      <c r="H833" s="132">
        <v>3.0</v>
      </c>
      <c r="I833" s="132">
        <v>15.0</v>
      </c>
      <c r="J833" s="132">
        <v>1.0</v>
      </c>
      <c r="K833" s="132">
        <v>1.0</v>
      </c>
      <c r="L833" s="144" t="s">
        <v>28</v>
      </c>
      <c r="M833" s="132" t="s">
        <v>323</v>
      </c>
      <c r="N833" s="132" t="s">
        <v>323</v>
      </c>
      <c r="O833" s="144" t="s">
        <v>28</v>
      </c>
      <c r="P833" s="132" t="s">
        <v>66</v>
      </c>
      <c r="Q833" s="132">
        <v>15.0</v>
      </c>
      <c r="R833" s="132"/>
      <c r="S833" s="52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  <c r="AD833" s="129"/>
    </row>
    <row r="834" ht="14.25" customHeight="1">
      <c r="A834" s="133">
        <v>6.0</v>
      </c>
      <c r="B834" s="149" t="s">
        <v>2422</v>
      </c>
      <c r="C834" s="149" t="s">
        <v>2424</v>
      </c>
      <c r="D834" s="149" t="s">
        <v>25</v>
      </c>
      <c r="E834" s="149" t="s">
        <v>57</v>
      </c>
      <c r="F834" s="52"/>
      <c r="G834" s="132">
        <v>49.0</v>
      </c>
      <c r="H834" s="132">
        <v>3.0</v>
      </c>
      <c r="I834" s="132">
        <v>15.0</v>
      </c>
      <c r="J834" s="144" t="s">
        <v>28</v>
      </c>
      <c r="K834" s="144" t="s">
        <v>28</v>
      </c>
      <c r="L834" s="132">
        <v>1.0</v>
      </c>
      <c r="M834" s="132" t="s">
        <v>323</v>
      </c>
      <c r="N834" s="132" t="s">
        <v>323</v>
      </c>
      <c r="O834" s="144" t="s">
        <v>28</v>
      </c>
      <c r="P834" s="132" t="s">
        <v>66</v>
      </c>
      <c r="Q834" s="132">
        <v>15.0</v>
      </c>
      <c r="R834" s="132"/>
      <c r="S834" s="52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  <c r="AD834" s="129"/>
    </row>
    <row r="835" ht="14.25" customHeight="1">
      <c r="A835" s="133">
        <v>7.0</v>
      </c>
      <c r="B835" s="149" t="s">
        <v>2426</v>
      </c>
      <c r="C835" s="149" t="s">
        <v>2427</v>
      </c>
      <c r="D835" s="149" t="s">
        <v>25</v>
      </c>
      <c r="E835" s="149" t="s">
        <v>57</v>
      </c>
      <c r="F835" s="52"/>
      <c r="G835" s="132">
        <v>84.0</v>
      </c>
      <c r="H835" s="132">
        <v>6.0</v>
      </c>
      <c r="I835" s="132">
        <v>30.0</v>
      </c>
      <c r="J835" s="144" t="s">
        <v>28</v>
      </c>
      <c r="K835" s="144" t="s">
        <v>28</v>
      </c>
      <c r="L835" s="132">
        <v>2.0</v>
      </c>
      <c r="M835" s="132" t="s">
        <v>323</v>
      </c>
      <c r="N835" s="132" t="s">
        <v>323</v>
      </c>
      <c r="O835" s="132">
        <v>100.0</v>
      </c>
      <c r="P835" s="132" t="s">
        <v>29</v>
      </c>
      <c r="Q835" s="132"/>
      <c r="R835" s="132"/>
      <c r="S835" s="52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  <c r="AD835" s="129"/>
    </row>
    <row r="836" ht="14.25" customHeight="1">
      <c r="A836" s="133">
        <v>8.0</v>
      </c>
      <c r="B836" s="149" t="s">
        <v>2422</v>
      </c>
      <c r="C836" s="149" t="s">
        <v>2427</v>
      </c>
      <c r="D836" s="149" t="s">
        <v>25</v>
      </c>
      <c r="E836" s="149" t="s">
        <v>57</v>
      </c>
      <c r="F836" s="52"/>
      <c r="G836" s="132">
        <v>48.0</v>
      </c>
      <c r="H836" s="132">
        <v>3.0</v>
      </c>
      <c r="I836" s="132">
        <v>15.0</v>
      </c>
      <c r="J836" s="144" t="s">
        <v>28</v>
      </c>
      <c r="K836" s="144" t="s">
        <v>28</v>
      </c>
      <c r="L836" s="132">
        <v>1.0</v>
      </c>
      <c r="M836" s="132" t="s">
        <v>323</v>
      </c>
      <c r="N836" s="132" t="s">
        <v>323</v>
      </c>
      <c r="O836" s="144" t="s">
        <v>28</v>
      </c>
      <c r="P836" s="132" t="s">
        <v>66</v>
      </c>
      <c r="Q836" s="132">
        <v>15.0</v>
      </c>
      <c r="R836" s="132"/>
      <c r="S836" s="52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  <c r="AD836" s="129"/>
    </row>
    <row r="837" ht="14.25" customHeight="1">
      <c r="A837" s="133">
        <v>9.0</v>
      </c>
      <c r="B837" s="149" t="s">
        <v>1174</v>
      </c>
      <c r="C837" s="149" t="s">
        <v>2427</v>
      </c>
      <c r="D837" s="149" t="s">
        <v>25</v>
      </c>
      <c r="E837" s="149" t="s">
        <v>57</v>
      </c>
      <c r="F837" s="52"/>
      <c r="G837" s="132">
        <v>72.0</v>
      </c>
      <c r="H837" s="132">
        <v>5.0</v>
      </c>
      <c r="I837" s="132">
        <v>25.0</v>
      </c>
      <c r="J837" s="144" t="s">
        <v>28</v>
      </c>
      <c r="K837" s="144" t="s">
        <v>28</v>
      </c>
      <c r="L837" s="132">
        <v>1.0</v>
      </c>
      <c r="M837" s="132" t="s">
        <v>323</v>
      </c>
      <c r="N837" s="132" t="s">
        <v>323</v>
      </c>
      <c r="O837" s="144" t="s">
        <v>28</v>
      </c>
      <c r="P837" s="132" t="s">
        <v>66</v>
      </c>
      <c r="Q837" s="132">
        <v>25.0</v>
      </c>
      <c r="R837" s="132"/>
      <c r="S837" s="52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  <c r="AD837" s="129"/>
    </row>
    <row r="838" ht="14.25" customHeight="1">
      <c r="A838" s="133">
        <v>10.0</v>
      </c>
      <c r="B838" s="149" t="s">
        <v>2428</v>
      </c>
      <c r="C838" s="149" t="s">
        <v>2429</v>
      </c>
      <c r="D838" s="149" t="s">
        <v>25</v>
      </c>
      <c r="E838" s="149" t="s">
        <v>57</v>
      </c>
      <c r="F838" s="52"/>
      <c r="G838" s="132">
        <v>420.0</v>
      </c>
      <c r="H838" s="132">
        <v>30.0</v>
      </c>
      <c r="I838" s="132">
        <v>150.0</v>
      </c>
      <c r="J838" s="144" t="s">
        <v>28</v>
      </c>
      <c r="K838" s="144" t="s">
        <v>28</v>
      </c>
      <c r="L838" s="132">
        <v>1.0</v>
      </c>
      <c r="M838" s="132" t="s">
        <v>323</v>
      </c>
      <c r="N838" s="132" t="s">
        <v>323</v>
      </c>
      <c r="O838" s="144" t="s">
        <v>28</v>
      </c>
      <c r="P838" s="132" t="s">
        <v>29</v>
      </c>
      <c r="Q838" s="132"/>
      <c r="R838" s="132"/>
      <c r="S838" s="52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  <c r="AD838" s="129"/>
    </row>
    <row r="839" ht="14.25" customHeight="1">
      <c r="A839" s="133">
        <v>11.0</v>
      </c>
      <c r="B839" s="149" t="s">
        <v>2430</v>
      </c>
      <c r="C839" s="149" t="s">
        <v>2429</v>
      </c>
      <c r="D839" s="149" t="s">
        <v>25</v>
      </c>
      <c r="E839" s="149" t="s">
        <v>57</v>
      </c>
      <c r="F839" s="52"/>
      <c r="G839" s="132">
        <v>36.0</v>
      </c>
      <c r="H839" s="132">
        <v>3.0</v>
      </c>
      <c r="I839" s="132">
        <v>15.0</v>
      </c>
      <c r="J839" s="132">
        <v>1.0</v>
      </c>
      <c r="K839" s="132">
        <v>1.0</v>
      </c>
      <c r="L839" s="144" t="s">
        <v>28</v>
      </c>
      <c r="M839" s="132" t="s">
        <v>323</v>
      </c>
      <c r="N839" s="132" t="s">
        <v>323</v>
      </c>
      <c r="O839" s="144" t="s">
        <v>28</v>
      </c>
      <c r="P839" s="132" t="s">
        <v>66</v>
      </c>
      <c r="Q839" s="132">
        <v>15.0</v>
      </c>
      <c r="R839" s="132"/>
      <c r="S839" s="52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  <c r="AD839" s="129"/>
    </row>
    <row r="840" ht="14.25" customHeight="1">
      <c r="A840" s="133">
        <v>12.0</v>
      </c>
      <c r="B840" s="149" t="s">
        <v>2431</v>
      </c>
      <c r="C840" s="149" t="s">
        <v>2429</v>
      </c>
      <c r="D840" s="149" t="s">
        <v>25</v>
      </c>
      <c r="E840" s="149" t="s">
        <v>57</v>
      </c>
      <c r="F840" s="52"/>
      <c r="G840" s="132">
        <v>72.0</v>
      </c>
      <c r="H840" s="132">
        <v>7.0</v>
      </c>
      <c r="I840" s="132">
        <v>35.0</v>
      </c>
      <c r="J840" s="132">
        <v>1.0</v>
      </c>
      <c r="K840" s="132">
        <v>1.0</v>
      </c>
      <c r="L840" s="144" t="s">
        <v>28</v>
      </c>
      <c r="M840" s="132" t="s">
        <v>323</v>
      </c>
      <c r="N840" s="132" t="s">
        <v>323</v>
      </c>
      <c r="O840" s="132">
        <v>130.0</v>
      </c>
      <c r="P840" s="132" t="s">
        <v>66</v>
      </c>
      <c r="Q840" s="132">
        <v>35.0</v>
      </c>
      <c r="R840" s="132"/>
      <c r="S840" s="52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  <c r="AD840" s="129"/>
    </row>
    <row r="841" ht="14.25" customHeight="1">
      <c r="A841" s="133">
        <v>13.0</v>
      </c>
      <c r="B841" s="149" t="s">
        <v>2432</v>
      </c>
      <c r="C841" s="149" t="s">
        <v>2433</v>
      </c>
      <c r="D841" s="149" t="s">
        <v>25</v>
      </c>
      <c r="E841" s="149" t="s">
        <v>57</v>
      </c>
      <c r="F841" s="52"/>
      <c r="G841" s="132">
        <v>84.0</v>
      </c>
      <c r="H841" s="132">
        <v>6.0</v>
      </c>
      <c r="I841" s="132">
        <v>30.0</v>
      </c>
      <c r="J841" s="144" t="s">
        <v>28</v>
      </c>
      <c r="K841" s="144" t="s">
        <v>28</v>
      </c>
      <c r="L841" s="132">
        <v>7.0</v>
      </c>
      <c r="M841" s="132" t="s">
        <v>323</v>
      </c>
      <c r="N841" s="132" t="s">
        <v>323</v>
      </c>
      <c r="O841" s="132">
        <v>100.0</v>
      </c>
      <c r="P841" s="132" t="s">
        <v>29</v>
      </c>
      <c r="Q841" s="132"/>
      <c r="R841" s="132"/>
      <c r="S841" s="52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  <c r="AD841" s="129"/>
    </row>
    <row r="842" ht="14.25" customHeight="1">
      <c r="A842" s="133">
        <v>14.0</v>
      </c>
      <c r="B842" s="149" t="s">
        <v>2422</v>
      </c>
      <c r="C842" s="149" t="s">
        <v>2433</v>
      </c>
      <c r="D842" s="149" t="s">
        <v>25</v>
      </c>
      <c r="E842" s="149" t="s">
        <v>57</v>
      </c>
      <c r="F842" s="52"/>
      <c r="G842" s="132">
        <v>48.0</v>
      </c>
      <c r="H842" s="132">
        <v>3.0</v>
      </c>
      <c r="I842" s="132">
        <v>15.0</v>
      </c>
      <c r="J842" s="144" t="s">
        <v>28</v>
      </c>
      <c r="K842" s="144" t="s">
        <v>28</v>
      </c>
      <c r="L842" s="132">
        <v>1.0</v>
      </c>
      <c r="M842" s="132" t="s">
        <v>323</v>
      </c>
      <c r="N842" s="132" t="s">
        <v>323</v>
      </c>
      <c r="O842" s="144" t="s">
        <v>28</v>
      </c>
      <c r="P842" s="132" t="s">
        <v>66</v>
      </c>
      <c r="Q842" s="132">
        <v>15.0</v>
      </c>
      <c r="R842" s="132"/>
      <c r="S842" s="52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</row>
    <row r="843" ht="14.25" customHeight="1">
      <c r="A843" s="133">
        <v>15.0</v>
      </c>
      <c r="B843" s="149" t="s">
        <v>1174</v>
      </c>
      <c r="C843" s="149" t="s">
        <v>2433</v>
      </c>
      <c r="D843" s="149" t="s">
        <v>25</v>
      </c>
      <c r="E843" s="149" t="s">
        <v>57</v>
      </c>
      <c r="F843" s="52"/>
      <c r="G843" s="132">
        <v>72.0</v>
      </c>
      <c r="H843" s="132">
        <v>7.0</v>
      </c>
      <c r="I843" s="132">
        <v>35.0</v>
      </c>
      <c r="J843" s="144" t="s">
        <v>28</v>
      </c>
      <c r="K843" s="144" t="s">
        <v>28</v>
      </c>
      <c r="L843" s="132">
        <v>1.0</v>
      </c>
      <c r="M843" s="132" t="s">
        <v>323</v>
      </c>
      <c r="N843" s="132" t="s">
        <v>323</v>
      </c>
      <c r="O843" s="144" t="s">
        <v>28</v>
      </c>
      <c r="P843" s="132" t="s">
        <v>66</v>
      </c>
      <c r="Q843" s="132">
        <v>35.0</v>
      </c>
      <c r="R843" s="132"/>
      <c r="S843" s="52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</row>
    <row r="844" ht="14.25" customHeight="1">
      <c r="A844" s="133">
        <v>16.0</v>
      </c>
      <c r="B844" s="149" t="s">
        <v>2434</v>
      </c>
      <c r="C844" s="149" t="s">
        <v>2433</v>
      </c>
      <c r="D844" s="149" t="s">
        <v>25</v>
      </c>
      <c r="E844" s="149" t="s">
        <v>57</v>
      </c>
      <c r="F844" s="52"/>
      <c r="G844" s="132">
        <v>42.0</v>
      </c>
      <c r="H844" s="132">
        <v>3.0</v>
      </c>
      <c r="I844" s="132">
        <v>15.0</v>
      </c>
      <c r="J844" s="132">
        <v>1.0</v>
      </c>
      <c r="K844" s="132">
        <v>1.0</v>
      </c>
      <c r="L844" s="144" t="s">
        <v>28</v>
      </c>
      <c r="M844" s="132" t="s">
        <v>323</v>
      </c>
      <c r="N844" s="132" t="s">
        <v>323</v>
      </c>
      <c r="O844" s="144" t="s">
        <v>28</v>
      </c>
      <c r="P844" s="132" t="s">
        <v>66</v>
      </c>
      <c r="Q844" s="132">
        <v>15.0</v>
      </c>
      <c r="R844" s="132"/>
      <c r="S844" s="52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  <c r="AD844" s="129"/>
    </row>
    <row r="845" ht="14.25" customHeight="1">
      <c r="A845" s="133">
        <v>17.0</v>
      </c>
      <c r="B845" s="149" t="s">
        <v>2435</v>
      </c>
      <c r="C845" s="149" t="s">
        <v>2436</v>
      </c>
      <c r="D845" s="149" t="s">
        <v>25</v>
      </c>
      <c r="E845" s="149" t="s">
        <v>57</v>
      </c>
      <c r="F845" s="52"/>
      <c r="G845" s="132">
        <v>126.0</v>
      </c>
      <c r="H845" s="132">
        <v>10.0</v>
      </c>
      <c r="I845" s="132">
        <v>50.0</v>
      </c>
      <c r="J845" s="132">
        <v>1.0</v>
      </c>
      <c r="K845" s="132">
        <v>1.0</v>
      </c>
      <c r="L845" s="132">
        <v>8.0</v>
      </c>
      <c r="M845" s="132" t="s">
        <v>323</v>
      </c>
      <c r="N845" s="132" t="s">
        <v>323</v>
      </c>
      <c r="O845" s="144" t="s">
        <v>28</v>
      </c>
      <c r="P845" s="132" t="s">
        <v>66</v>
      </c>
      <c r="Q845" s="132">
        <v>50.0</v>
      </c>
      <c r="R845" s="132"/>
      <c r="S845" s="52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</row>
    <row r="846" ht="14.25" customHeight="1">
      <c r="A846" s="133">
        <v>18.0</v>
      </c>
      <c r="B846" s="149" t="s">
        <v>2437</v>
      </c>
      <c r="C846" s="149" t="s">
        <v>2436</v>
      </c>
      <c r="D846" s="149" t="s">
        <v>25</v>
      </c>
      <c r="E846" s="149" t="s">
        <v>57</v>
      </c>
      <c r="F846" s="52"/>
      <c r="G846" s="132">
        <v>49.0</v>
      </c>
      <c r="H846" s="132">
        <v>3.0</v>
      </c>
      <c r="I846" s="132">
        <v>15.0</v>
      </c>
      <c r="J846" s="132">
        <v>1.0</v>
      </c>
      <c r="K846" s="132">
        <v>1.0</v>
      </c>
      <c r="L846" s="144" t="s">
        <v>28</v>
      </c>
      <c r="M846" s="132" t="s">
        <v>323</v>
      </c>
      <c r="N846" s="132" t="s">
        <v>323</v>
      </c>
      <c r="O846" s="144" t="s">
        <v>28</v>
      </c>
      <c r="P846" s="132" t="s">
        <v>66</v>
      </c>
      <c r="Q846" s="132">
        <v>15.0</v>
      </c>
      <c r="R846" s="132"/>
      <c r="S846" s="52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</row>
    <row r="847" ht="14.25" customHeight="1">
      <c r="A847" s="133">
        <v>19.0</v>
      </c>
      <c r="B847" s="149" t="s">
        <v>2438</v>
      </c>
      <c r="C847" s="149" t="s">
        <v>2439</v>
      </c>
      <c r="D847" s="149" t="s">
        <v>25</v>
      </c>
      <c r="E847" s="149" t="s">
        <v>57</v>
      </c>
      <c r="F847" s="52"/>
      <c r="G847" s="132">
        <v>126.0</v>
      </c>
      <c r="H847" s="132">
        <v>10.0</v>
      </c>
      <c r="I847" s="132">
        <v>50.0</v>
      </c>
      <c r="J847" s="144" t="s">
        <v>28</v>
      </c>
      <c r="K847" s="144" t="s">
        <v>28</v>
      </c>
      <c r="L847" s="132">
        <v>6.0</v>
      </c>
      <c r="M847" s="132" t="s">
        <v>323</v>
      </c>
      <c r="N847" s="132" t="s">
        <v>323</v>
      </c>
      <c r="O847" s="132">
        <v>100.0</v>
      </c>
      <c r="P847" s="132" t="s">
        <v>66</v>
      </c>
      <c r="Q847" s="132">
        <v>50.0</v>
      </c>
      <c r="R847" s="132"/>
      <c r="S847" s="52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</row>
    <row r="848" ht="14.25" customHeight="1">
      <c r="A848" s="133">
        <v>20.0</v>
      </c>
      <c r="B848" s="149" t="s">
        <v>2440</v>
      </c>
      <c r="C848" s="149" t="s">
        <v>2439</v>
      </c>
      <c r="D848" s="149" t="s">
        <v>25</v>
      </c>
      <c r="E848" s="149" t="s">
        <v>57</v>
      </c>
      <c r="F848" s="52"/>
      <c r="G848" s="132">
        <v>84.0</v>
      </c>
      <c r="H848" s="132">
        <v>6.0</v>
      </c>
      <c r="I848" s="132">
        <v>30.0</v>
      </c>
      <c r="J848" s="144" t="s">
        <v>28</v>
      </c>
      <c r="K848" s="144" t="s">
        <v>28</v>
      </c>
      <c r="L848" s="132">
        <v>2.0</v>
      </c>
      <c r="M848" s="132" t="s">
        <v>323</v>
      </c>
      <c r="N848" s="132" t="s">
        <v>323</v>
      </c>
      <c r="O848" s="144" t="s">
        <v>28</v>
      </c>
      <c r="P848" s="132" t="s">
        <v>66</v>
      </c>
      <c r="Q848" s="132">
        <v>30.0</v>
      </c>
      <c r="R848" s="132"/>
      <c r="S848" s="52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</row>
    <row r="849" ht="14.25" customHeight="1">
      <c r="A849" s="133">
        <v>21.0</v>
      </c>
      <c r="B849" s="149" t="s">
        <v>2441</v>
      </c>
      <c r="C849" s="149" t="s">
        <v>2439</v>
      </c>
      <c r="D849" s="149" t="s">
        <v>25</v>
      </c>
      <c r="E849" s="149" t="s">
        <v>57</v>
      </c>
      <c r="F849" s="52"/>
      <c r="G849" s="132">
        <v>42.0</v>
      </c>
      <c r="H849" s="132">
        <v>3.0</v>
      </c>
      <c r="I849" s="132">
        <v>15.0</v>
      </c>
      <c r="J849" s="144" t="s">
        <v>28</v>
      </c>
      <c r="K849" s="144" t="s">
        <v>28</v>
      </c>
      <c r="L849" s="132">
        <v>1.0</v>
      </c>
      <c r="M849" s="132" t="s">
        <v>323</v>
      </c>
      <c r="N849" s="132" t="s">
        <v>323</v>
      </c>
      <c r="O849" s="144" t="s">
        <v>28</v>
      </c>
      <c r="P849" s="132" t="s">
        <v>66</v>
      </c>
      <c r="Q849" s="132">
        <v>15.0</v>
      </c>
      <c r="R849" s="132"/>
      <c r="S849" s="52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</row>
    <row r="850" ht="14.25" customHeight="1">
      <c r="A850" s="133">
        <v>22.0</v>
      </c>
      <c r="B850" s="149" t="s">
        <v>43</v>
      </c>
      <c r="C850" s="149" t="s">
        <v>2439</v>
      </c>
      <c r="D850" s="149" t="s">
        <v>25</v>
      </c>
      <c r="E850" s="149" t="s">
        <v>57</v>
      </c>
      <c r="F850" s="52"/>
      <c r="G850" s="132">
        <v>63.0</v>
      </c>
      <c r="H850" s="132">
        <v>10.0</v>
      </c>
      <c r="I850" s="132">
        <v>50.0</v>
      </c>
      <c r="J850" s="144" t="s">
        <v>28</v>
      </c>
      <c r="K850" s="144" t="s">
        <v>28</v>
      </c>
      <c r="L850" s="132">
        <v>2.0</v>
      </c>
      <c r="M850" s="132" t="s">
        <v>323</v>
      </c>
      <c r="N850" s="132" t="s">
        <v>323</v>
      </c>
      <c r="O850" s="132">
        <v>100.0</v>
      </c>
      <c r="P850" s="132" t="s">
        <v>66</v>
      </c>
      <c r="Q850" s="132">
        <v>50.0</v>
      </c>
      <c r="R850" s="132"/>
      <c r="S850" s="52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</row>
    <row r="851" ht="14.25" customHeight="1">
      <c r="A851" s="133">
        <v>23.0</v>
      </c>
      <c r="B851" s="149" t="s">
        <v>2422</v>
      </c>
      <c r="C851" s="149" t="s">
        <v>2439</v>
      </c>
      <c r="D851" s="149" t="s">
        <v>25</v>
      </c>
      <c r="E851" s="149" t="s">
        <v>57</v>
      </c>
      <c r="F851" s="52"/>
      <c r="G851" s="132">
        <v>64.0</v>
      </c>
      <c r="H851" s="132">
        <v>3.0</v>
      </c>
      <c r="I851" s="132">
        <v>15.0</v>
      </c>
      <c r="J851" s="144" t="s">
        <v>28</v>
      </c>
      <c r="K851" s="144" t="s">
        <v>28</v>
      </c>
      <c r="L851" s="132">
        <v>1.0</v>
      </c>
      <c r="M851" s="132" t="s">
        <v>323</v>
      </c>
      <c r="N851" s="132" t="s">
        <v>323</v>
      </c>
      <c r="O851" s="144" t="s">
        <v>28</v>
      </c>
      <c r="P851" s="132" t="s">
        <v>66</v>
      </c>
      <c r="Q851" s="132">
        <v>15.0</v>
      </c>
      <c r="R851" s="132"/>
      <c r="S851" s="52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</row>
    <row r="852" ht="15.75" customHeight="1">
      <c r="A852" s="181"/>
      <c r="B852" s="182" t="s">
        <v>2442</v>
      </c>
      <c r="C852" s="182"/>
      <c r="D852" s="182"/>
      <c r="E852" s="182"/>
      <c r="F852" s="182"/>
      <c r="G852" s="183"/>
      <c r="H852" s="184"/>
      <c r="I852" s="184"/>
      <c r="J852" s="185"/>
      <c r="K852" s="185"/>
      <c r="L852" s="185"/>
      <c r="M852" s="185"/>
      <c r="N852" s="185"/>
      <c r="O852" s="185"/>
      <c r="P852" s="184"/>
      <c r="Q852" s="185"/>
      <c r="R852" s="141"/>
      <c r="S852" s="142"/>
      <c r="T852" s="142"/>
      <c r="U852" s="142"/>
      <c r="V852" s="142"/>
      <c r="W852" s="142"/>
      <c r="X852" s="142"/>
      <c r="Y852" s="142"/>
      <c r="Z852" s="142"/>
      <c r="AA852" s="142"/>
      <c r="AB852" s="142"/>
      <c r="AC852" s="142"/>
      <c r="AD852" s="142"/>
    </row>
    <row r="853" ht="14.25" customHeight="1">
      <c r="A853" s="133">
        <v>1.0</v>
      </c>
      <c r="B853" s="149" t="s">
        <v>2443</v>
      </c>
      <c r="C853" s="149" t="s">
        <v>2444</v>
      </c>
      <c r="D853" s="149" t="s">
        <v>25</v>
      </c>
      <c r="E853" s="149" t="s">
        <v>2445</v>
      </c>
      <c r="F853" s="52"/>
      <c r="G853" s="132" t="s">
        <v>2446</v>
      </c>
      <c r="H853" s="132">
        <v>100.0</v>
      </c>
      <c r="I853" s="132">
        <v>500.0</v>
      </c>
      <c r="J853" s="132" t="s">
        <v>2447</v>
      </c>
      <c r="K853" s="132" t="s">
        <v>2447</v>
      </c>
      <c r="L853" s="144" t="s">
        <v>28</v>
      </c>
      <c r="M853" s="132" t="s">
        <v>2448</v>
      </c>
      <c r="N853" s="144" t="s">
        <v>28</v>
      </c>
      <c r="O853" s="132">
        <v>200.0</v>
      </c>
      <c r="P853" s="132" t="s">
        <v>335</v>
      </c>
      <c r="Q853" s="130">
        <v>0.0</v>
      </c>
      <c r="R853" s="132"/>
      <c r="S853" s="52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</row>
    <row r="854" ht="14.25" customHeight="1">
      <c r="A854" s="133">
        <v>2.0</v>
      </c>
      <c r="B854" s="149" t="s">
        <v>2449</v>
      </c>
      <c r="C854" s="149" t="s">
        <v>2450</v>
      </c>
      <c r="D854" s="149" t="s">
        <v>25</v>
      </c>
      <c r="E854" s="149" t="s">
        <v>57</v>
      </c>
      <c r="F854" s="52"/>
      <c r="G854" s="132" t="s">
        <v>2446</v>
      </c>
      <c r="H854" s="132">
        <v>100.0</v>
      </c>
      <c r="I854" s="132">
        <v>500.0</v>
      </c>
      <c r="J854" s="132" t="s">
        <v>2447</v>
      </c>
      <c r="K854" s="132" t="s">
        <v>2447</v>
      </c>
      <c r="L854" s="144" t="s">
        <v>28</v>
      </c>
      <c r="M854" s="132" t="s">
        <v>1132</v>
      </c>
      <c r="N854" s="144" t="s">
        <v>28</v>
      </c>
      <c r="O854" s="132">
        <v>200.0</v>
      </c>
      <c r="P854" s="132" t="s">
        <v>335</v>
      </c>
      <c r="Q854" s="130">
        <v>0.0</v>
      </c>
      <c r="R854" s="132"/>
      <c r="S854" s="52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</row>
    <row r="855" ht="14.25" customHeight="1">
      <c r="A855" s="133">
        <v>3.0</v>
      </c>
      <c r="B855" s="149" t="s">
        <v>2451</v>
      </c>
      <c r="C855" s="149" t="s">
        <v>2452</v>
      </c>
      <c r="D855" s="149" t="s">
        <v>25</v>
      </c>
      <c r="E855" s="149" t="s">
        <v>2445</v>
      </c>
      <c r="F855" s="52"/>
      <c r="G855" s="132" t="s">
        <v>2446</v>
      </c>
      <c r="H855" s="132">
        <v>60.0</v>
      </c>
      <c r="I855" s="132">
        <v>300.0</v>
      </c>
      <c r="J855" s="132" t="s">
        <v>2453</v>
      </c>
      <c r="K855" s="132" t="s">
        <v>2453</v>
      </c>
      <c r="L855" s="144" t="s">
        <v>28</v>
      </c>
      <c r="M855" s="132" t="s">
        <v>2448</v>
      </c>
      <c r="N855" s="144" t="s">
        <v>28</v>
      </c>
      <c r="O855" s="132">
        <v>100.0</v>
      </c>
      <c r="P855" s="132" t="s">
        <v>335</v>
      </c>
      <c r="Q855" s="130">
        <v>0.0</v>
      </c>
      <c r="R855" s="132"/>
      <c r="S855" s="52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</row>
    <row r="856" ht="14.25" customHeight="1">
      <c r="A856" s="133">
        <v>4.0</v>
      </c>
      <c r="B856" s="149" t="s">
        <v>2454</v>
      </c>
      <c r="C856" s="149" t="s">
        <v>2455</v>
      </c>
      <c r="D856" s="149" t="s">
        <v>25</v>
      </c>
      <c r="E856" s="149" t="s">
        <v>2445</v>
      </c>
      <c r="F856" s="52"/>
      <c r="G856" s="132" t="s">
        <v>2446</v>
      </c>
      <c r="H856" s="132">
        <v>60.0</v>
      </c>
      <c r="I856" s="132">
        <v>300.0</v>
      </c>
      <c r="J856" s="132" t="s">
        <v>2453</v>
      </c>
      <c r="K856" s="132" t="s">
        <v>2453</v>
      </c>
      <c r="L856" s="144" t="s">
        <v>28</v>
      </c>
      <c r="M856" s="132" t="s">
        <v>2448</v>
      </c>
      <c r="N856" s="144" t="s">
        <v>28</v>
      </c>
      <c r="O856" s="132">
        <v>100.0</v>
      </c>
      <c r="P856" s="132" t="s">
        <v>335</v>
      </c>
      <c r="Q856" s="130">
        <v>0.0</v>
      </c>
      <c r="R856" s="132"/>
      <c r="S856" s="52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  <c r="AD856" s="129"/>
    </row>
    <row r="857" ht="14.25" customHeight="1">
      <c r="A857" s="133">
        <v>5.0</v>
      </c>
      <c r="B857" s="149" t="s">
        <v>2456</v>
      </c>
      <c r="C857" s="149" t="s">
        <v>2457</v>
      </c>
      <c r="D857" s="149" t="s">
        <v>25</v>
      </c>
      <c r="E857" s="149" t="s">
        <v>57</v>
      </c>
      <c r="F857" s="52"/>
      <c r="G857" s="132" t="s">
        <v>2446</v>
      </c>
      <c r="H857" s="132">
        <v>20.0</v>
      </c>
      <c r="I857" s="132">
        <v>100.0</v>
      </c>
      <c r="J857" s="132" t="s">
        <v>2453</v>
      </c>
      <c r="K857" s="132" t="s">
        <v>2453</v>
      </c>
      <c r="L857" s="144" t="s">
        <v>28</v>
      </c>
      <c r="M857" s="144" t="s">
        <v>28</v>
      </c>
      <c r="N857" s="132" t="s">
        <v>2458</v>
      </c>
      <c r="O857" s="132">
        <v>50.0</v>
      </c>
      <c r="P857" s="132" t="s">
        <v>335</v>
      </c>
      <c r="Q857" s="130">
        <v>0.0</v>
      </c>
      <c r="R857" s="132"/>
      <c r="S857" s="52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  <c r="AD857" s="129"/>
    </row>
    <row r="858" ht="14.25" customHeight="1">
      <c r="A858" s="133">
        <v>6.0</v>
      </c>
      <c r="B858" s="149" t="s">
        <v>2459</v>
      </c>
      <c r="C858" s="149" t="s">
        <v>2460</v>
      </c>
      <c r="D858" s="149" t="s">
        <v>25</v>
      </c>
      <c r="E858" s="149" t="s">
        <v>57</v>
      </c>
      <c r="F858" s="52"/>
      <c r="G858" s="132" t="s">
        <v>2446</v>
      </c>
      <c r="H858" s="132">
        <v>20.0</v>
      </c>
      <c r="I858" s="132">
        <v>100.0</v>
      </c>
      <c r="J858" s="132" t="s">
        <v>2453</v>
      </c>
      <c r="K858" s="132" t="s">
        <v>2453</v>
      </c>
      <c r="L858" s="144" t="s">
        <v>28</v>
      </c>
      <c r="M858" s="132" t="s">
        <v>2458</v>
      </c>
      <c r="N858" s="144" t="s">
        <v>28</v>
      </c>
      <c r="O858" s="132">
        <v>50.0</v>
      </c>
      <c r="P858" s="132" t="s">
        <v>335</v>
      </c>
      <c r="Q858" s="130">
        <v>0.0</v>
      </c>
      <c r="R858" s="132"/>
      <c r="S858" s="52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  <c r="AD858" s="129"/>
    </row>
    <row r="859" ht="14.25" customHeight="1">
      <c r="A859" s="133">
        <v>7.0</v>
      </c>
      <c r="B859" s="149" t="s">
        <v>2461</v>
      </c>
      <c r="C859" s="149" t="s">
        <v>2462</v>
      </c>
      <c r="D859" s="149" t="s">
        <v>25</v>
      </c>
      <c r="E859" s="149" t="s">
        <v>57</v>
      </c>
      <c r="F859" s="52"/>
      <c r="G859" s="132" t="s">
        <v>2446</v>
      </c>
      <c r="H859" s="132">
        <v>40.0</v>
      </c>
      <c r="I859" s="132">
        <v>200.0</v>
      </c>
      <c r="J859" s="132" t="s">
        <v>2453</v>
      </c>
      <c r="K859" s="132" t="s">
        <v>2453</v>
      </c>
      <c r="L859" s="144" t="s">
        <v>28</v>
      </c>
      <c r="M859" s="144" t="s">
        <v>28</v>
      </c>
      <c r="N859" s="132" t="s">
        <v>2458</v>
      </c>
      <c r="O859" s="132">
        <v>100.0</v>
      </c>
      <c r="P859" s="132" t="s">
        <v>335</v>
      </c>
      <c r="Q859" s="130">
        <v>0.0</v>
      </c>
      <c r="R859" s="132"/>
      <c r="S859" s="52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  <c r="AD859" s="129"/>
    </row>
    <row r="860" ht="14.25" customHeight="1">
      <c r="A860" s="133">
        <v>8.0</v>
      </c>
      <c r="B860" s="149" t="s">
        <v>2463</v>
      </c>
      <c r="C860" s="149" t="s">
        <v>2464</v>
      </c>
      <c r="D860" s="149" t="s">
        <v>25</v>
      </c>
      <c r="E860" s="149" t="s">
        <v>57</v>
      </c>
      <c r="F860" s="52"/>
      <c r="G860" s="132" t="s">
        <v>2446</v>
      </c>
      <c r="H860" s="132">
        <v>40.0</v>
      </c>
      <c r="I860" s="132">
        <v>200.0</v>
      </c>
      <c r="J860" s="132" t="s">
        <v>2453</v>
      </c>
      <c r="K860" s="132" t="s">
        <v>2453</v>
      </c>
      <c r="L860" s="144" t="s">
        <v>28</v>
      </c>
      <c r="M860" s="144" t="s">
        <v>28</v>
      </c>
      <c r="N860" s="132" t="s">
        <v>2458</v>
      </c>
      <c r="O860" s="132">
        <v>100.0</v>
      </c>
      <c r="P860" s="132" t="s">
        <v>335</v>
      </c>
      <c r="Q860" s="130">
        <v>0.0</v>
      </c>
      <c r="R860" s="132"/>
      <c r="S860" s="52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  <c r="AD860" s="129"/>
    </row>
    <row r="861" ht="14.25" customHeight="1">
      <c r="A861" s="133">
        <v>9.0</v>
      </c>
      <c r="B861" s="149" t="s">
        <v>2465</v>
      </c>
      <c r="C861" s="149" t="s">
        <v>2466</v>
      </c>
      <c r="D861" s="149" t="s">
        <v>25</v>
      </c>
      <c r="E861" s="149" t="s">
        <v>57</v>
      </c>
      <c r="F861" s="52"/>
      <c r="G861" s="132" t="s">
        <v>2446</v>
      </c>
      <c r="H861" s="132">
        <v>40.0</v>
      </c>
      <c r="I861" s="132">
        <v>200.0</v>
      </c>
      <c r="J861" s="132" t="s">
        <v>2453</v>
      </c>
      <c r="K861" s="132" t="s">
        <v>2453</v>
      </c>
      <c r="L861" s="144" t="s">
        <v>28</v>
      </c>
      <c r="M861" s="132" t="s">
        <v>2467</v>
      </c>
      <c r="N861" s="144" t="s">
        <v>28</v>
      </c>
      <c r="O861" s="132">
        <v>100.0</v>
      </c>
      <c r="P861" s="132" t="s">
        <v>335</v>
      </c>
      <c r="Q861" s="130">
        <v>0.0</v>
      </c>
      <c r="R861" s="132"/>
      <c r="S861" s="52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  <c r="AD861" s="129"/>
    </row>
    <row r="862" ht="14.25" customHeight="1">
      <c r="A862" s="133">
        <v>10.0</v>
      </c>
      <c r="B862" s="149" t="s">
        <v>2468</v>
      </c>
      <c r="C862" s="149" t="s">
        <v>2469</v>
      </c>
      <c r="D862" s="149" t="s">
        <v>25</v>
      </c>
      <c r="E862" s="149" t="s">
        <v>2470</v>
      </c>
      <c r="F862" s="52"/>
      <c r="G862" s="132" t="s">
        <v>2446</v>
      </c>
      <c r="H862" s="132">
        <v>40.0</v>
      </c>
      <c r="I862" s="132">
        <v>200.0</v>
      </c>
      <c r="J862" s="132" t="s">
        <v>2453</v>
      </c>
      <c r="K862" s="132" t="s">
        <v>2453</v>
      </c>
      <c r="L862" s="144" t="s">
        <v>28</v>
      </c>
      <c r="M862" s="144" t="s">
        <v>28</v>
      </c>
      <c r="N862" s="132" t="s">
        <v>2458</v>
      </c>
      <c r="O862" s="132">
        <v>100.0</v>
      </c>
      <c r="P862" s="132" t="s">
        <v>335</v>
      </c>
      <c r="Q862" s="130">
        <v>0.0</v>
      </c>
      <c r="R862" s="132"/>
      <c r="S862" s="52"/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  <c r="AD862" s="129"/>
    </row>
    <row r="863" ht="14.25" customHeight="1">
      <c r="A863" s="133">
        <v>11.0</v>
      </c>
      <c r="B863" s="149" t="s">
        <v>2471</v>
      </c>
      <c r="C863" s="149" t="s">
        <v>2472</v>
      </c>
      <c r="D863" s="149" t="s">
        <v>25</v>
      </c>
      <c r="E863" s="149" t="s">
        <v>2470</v>
      </c>
      <c r="F863" s="52"/>
      <c r="G863" s="132" t="s">
        <v>2446</v>
      </c>
      <c r="H863" s="132">
        <v>60.0</v>
      </c>
      <c r="I863" s="132">
        <v>300.0</v>
      </c>
      <c r="J863" s="132" t="s">
        <v>2453</v>
      </c>
      <c r="K863" s="132" t="s">
        <v>2453</v>
      </c>
      <c r="L863" s="144" t="s">
        <v>28</v>
      </c>
      <c r="M863" s="144" t="s">
        <v>28</v>
      </c>
      <c r="N863" s="132" t="s">
        <v>2458</v>
      </c>
      <c r="O863" s="132">
        <v>100.0</v>
      </c>
      <c r="P863" s="132" t="s">
        <v>335</v>
      </c>
      <c r="Q863" s="130">
        <v>0.0</v>
      </c>
      <c r="R863" s="132"/>
      <c r="S863" s="52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  <c r="AD863" s="129"/>
    </row>
    <row r="864" ht="14.25" customHeight="1">
      <c r="A864" s="133">
        <v>12.0</v>
      </c>
      <c r="B864" s="149" t="s">
        <v>2473</v>
      </c>
      <c r="C864" s="149" t="s">
        <v>2474</v>
      </c>
      <c r="D864" s="149" t="s">
        <v>25</v>
      </c>
      <c r="E864" s="149" t="s">
        <v>2475</v>
      </c>
      <c r="F864" s="52"/>
      <c r="G864" s="132" t="s">
        <v>2446</v>
      </c>
      <c r="H864" s="132">
        <v>40.0</v>
      </c>
      <c r="I864" s="132">
        <v>200.0</v>
      </c>
      <c r="J864" s="132" t="s">
        <v>2453</v>
      </c>
      <c r="K864" s="132" t="s">
        <v>2453</v>
      </c>
      <c r="L864" s="144" t="s">
        <v>28</v>
      </c>
      <c r="M864" s="144" t="s">
        <v>28</v>
      </c>
      <c r="N864" s="132" t="s">
        <v>2458</v>
      </c>
      <c r="O864" s="132">
        <v>100.0</v>
      </c>
      <c r="P864" s="132" t="s">
        <v>335</v>
      </c>
      <c r="Q864" s="130">
        <v>0.0</v>
      </c>
      <c r="R864" s="132"/>
      <c r="S864" s="52"/>
      <c r="T864" s="129"/>
      <c r="U864" s="129"/>
      <c r="V864" s="129"/>
      <c r="W864" s="129"/>
      <c r="X864" s="129"/>
      <c r="Y864" s="129"/>
      <c r="Z864" s="129"/>
      <c r="AA864" s="129"/>
      <c r="AB864" s="129"/>
      <c r="AC864" s="129"/>
      <c r="AD864" s="129"/>
    </row>
    <row r="865" ht="14.25" customHeight="1">
      <c r="A865" s="133">
        <v>13.0</v>
      </c>
      <c r="B865" s="149" t="s">
        <v>2476</v>
      </c>
      <c r="C865" s="149" t="s">
        <v>2477</v>
      </c>
      <c r="D865" s="149" t="s">
        <v>25</v>
      </c>
      <c r="E865" s="149" t="s">
        <v>57</v>
      </c>
      <c r="F865" s="52"/>
      <c r="G865" s="132" t="s">
        <v>2446</v>
      </c>
      <c r="H865" s="132">
        <v>40.0</v>
      </c>
      <c r="I865" s="132">
        <v>200.0</v>
      </c>
      <c r="J865" s="132" t="s">
        <v>2453</v>
      </c>
      <c r="K865" s="132" t="s">
        <v>2453</v>
      </c>
      <c r="L865" s="144" t="s">
        <v>28</v>
      </c>
      <c r="M865" s="144" t="s">
        <v>28</v>
      </c>
      <c r="N865" s="132" t="s">
        <v>2458</v>
      </c>
      <c r="O865" s="132">
        <v>100.0</v>
      </c>
      <c r="P865" s="132" t="s">
        <v>335</v>
      </c>
      <c r="Q865" s="130">
        <v>0.0</v>
      </c>
      <c r="R865" s="132"/>
      <c r="S865" s="52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  <c r="AD865" s="129"/>
    </row>
    <row r="866" ht="14.25" customHeight="1">
      <c r="A866" s="133">
        <v>14.0</v>
      </c>
      <c r="B866" s="149" t="s">
        <v>2478</v>
      </c>
      <c r="C866" s="149" t="s">
        <v>2479</v>
      </c>
      <c r="D866" s="149" t="s">
        <v>25</v>
      </c>
      <c r="E866" s="149" t="s">
        <v>57</v>
      </c>
      <c r="F866" s="52"/>
      <c r="G866" s="132" t="s">
        <v>2446</v>
      </c>
      <c r="H866" s="132">
        <v>40.0</v>
      </c>
      <c r="I866" s="132">
        <v>200.0</v>
      </c>
      <c r="J866" s="132" t="s">
        <v>2453</v>
      </c>
      <c r="K866" s="132" t="s">
        <v>2453</v>
      </c>
      <c r="L866" s="144" t="s">
        <v>28</v>
      </c>
      <c r="M866" s="144" t="s">
        <v>28</v>
      </c>
      <c r="N866" s="132" t="s">
        <v>2458</v>
      </c>
      <c r="O866" s="132">
        <v>100.0</v>
      </c>
      <c r="P866" s="132" t="s">
        <v>335</v>
      </c>
      <c r="Q866" s="130">
        <v>0.0</v>
      </c>
      <c r="R866" s="132"/>
      <c r="S866" s="52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  <c r="AD866" s="129"/>
    </row>
    <row r="867" ht="14.25" customHeight="1">
      <c r="A867" s="133">
        <v>15.0</v>
      </c>
      <c r="B867" s="149" t="s">
        <v>2246</v>
      </c>
      <c r="C867" s="149" t="s">
        <v>2480</v>
      </c>
      <c r="D867" s="149" t="s">
        <v>25</v>
      </c>
      <c r="E867" s="149" t="s">
        <v>2475</v>
      </c>
      <c r="F867" s="52"/>
      <c r="G867" s="132" t="s">
        <v>2446</v>
      </c>
      <c r="H867" s="132">
        <v>40.0</v>
      </c>
      <c r="I867" s="132">
        <v>200.0</v>
      </c>
      <c r="J867" s="132" t="s">
        <v>2453</v>
      </c>
      <c r="K867" s="132" t="s">
        <v>2453</v>
      </c>
      <c r="L867" s="144" t="s">
        <v>28</v>
      </c>
      <c r="M867" s="144" t="s">
        <v>28</v>
      </c>
      <c r="N867" s="132" t="s">
        <v>2458</v>
      </c>
      <c r="O867" s="132">
        <v>100.0</v>
      </c>
      <c r="P867" s="132" t="s">
        <v>335</v>
      </c>
      <c r="Q867" s="130">
        <v>0.0</v>
      </c>
      <c r="R867" s="132"/>
      <c r="S867" s="52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  <c r="AD867" s="129"/>
    </row>
    <row r="868" ht="14.25" customHeight="1">
      <c r="A868" s="133">
        <v>16.0</v>
      </c>
      <c r="B868" s="149" t="s">
        <v>2481</v>
      </c>
      <c r="C868" s="149" t="s">
        <v>2482</v>
      </c>
      <c r="D868" s="149" t="s">
        <v>25</v>
      </c>
      <c r="E868" s="149" t="s">
        <v>57</v>
      </c>
      <c r="F868" s="52"/>
      <c r="G868" s="132" t="s">
        <v>2446</v>
      </c>
      <c r="H868" s="132">
        <v>60.0</v>
      </c>
      <c r="I868" s="132">
        <v>300.0</v>
      </c>
      <c r="J868" s="132" t="s">
        <v>2453</v>
      </c>
      <c r="K868" s="132" t="s">
        <v>2453</v>
      </c>
      <c r="L868" s="144" t="s">
        <v>28</v>
      </c>
      <c r="M868" s="132" t="s">
        <v>2467</v>
      </c>
      <c r="N868" s="144" t="s">
        <v>28</v>
      </c>
      <c r="O868" s="132">
        <v>100.0</v>
      </c>
      <c r="P868" s="132" t="s">
        <v>335</v>
      </c>
      <c r="Q868" s="130">
        <v>0.0</v>
      </c>
      <c r="R868" s="132"/>
      <c r="S868" s="52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  <c r="AD868" s="129"/>
    </row>
    <row r="869" ht="14.25" customHeight="1">
      <c r="A869" s="133">
        <v>17.0</v>
      </c>
      <c r="B869" s="149" t="s">
        <v>2483</v>
      </c>
      <c r="C869" s="149" t="s">
        <v>2484</v>
      </c>
      <c r="D869" s="149" t="s">
        <v>25</v>
      </c>
      <c r="E869" s="149" t="s">
        <v>57</v>
      </c>
      <c r="F869" s="52"/>
      <c r="G869" s="132" t="s">
        <v>2446</v>
      </c>
      <c r="H869" s="132">
        <v>60.0</v>
      </c>
      <c r="I869" s="132">
        <v>300.0</v>
      </c>
      <c r="J869" s="132" t="s">
        <v>2453</v>
      </c>
      <c r="K869" s="132" t="s">
        <v>2453</v>
      </c>
      <c r="L869" s="144" t="s">
        <v>28</v>
      </c>
      <c r="M869" s="132" t="s">
        <v>2467</v>
      </c>
      <c r="N869" s="144" t="s">
        <v>28</v>
      </c>
      <c r="O869" s="132">
        <v>100.0</v>
      </c>
      <c r="P869" s="132" t="s">
        <v>335</v>
      </c>
      <c r="Q869" s="130">
        <v>0.0</v>
      </c>
      <c r="R869" s="132"/>
      <c r="S869" s="52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  <c r="AD869" s="129"/>
    </row>
    <row r="870" ht="14.25" customHeight="1">
      <c r="A870" s="133">
        <v>18.0</v>
      </c>
      <c r="B870" s="149" t="s">
        <v>2485</v>
      </c>
      <c r="C870" s="149" t="s">
        <v>2486</v>
      </c>
      <c r="D870" s="149" t="s">
        <v>25</v>
      </c>
      <c r="E870" s="149" t="s">
        <v>2470</v>
      </c>
      <c r="F870" s="52"/>
      <c r="G870" s="132" t="s">
        <v>2446</v>
      </c>
      <c r="H870" s="132">
        <v>60.0</v>
      </c>
      <c r="I870" s="132">
        <v>300.0</v>
      </c>
      <c r="J870" s="132" t="s">
        <v>2453</v>
      </c>
      <c r="K870" s="132" t="s">
        <v>2453</v>
      </c>
      <c r="L870" s="144" t="s">
        <v>28</v>
      </c>
      <c r="M870" s="144" t="s">
        <v>28</v>
      </c>
      <c r="N870" s="132" t="s">
        <v>2458</v>
      </c>
      <c r="O870" s="132">
        <v>100.0</v>
      </c>
      <c r="P870" s="132" t="s">
        <v>335</v>
      </c>
      <c r="Q870" s="130">
        <v>0.0</v>
      </c>
      <c r="R870" s="132"/>
      <c r="S870" s="52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  <c r="AD870" s="129"/>
    </row>
    <row r="871" ht="14.25" customHeight="1">
      <c r="A871" s="133">
        <v>19.0</v>
      </c>
      <c r="B871" s="149" t="s">
        <v>2487</v>
      </c>
      <c r="C871" s="149" t="s">
        <v>2452</v>
      </c>
      <c r="D871" s="149" t="s">
        <v>25</v>
      </c>
      <c r="E871" s="149" t="s">
        <v>2445</v>
      </c>
      <c r="F871" s="52"/>
      <c r="G871" s="144" t="s">
        <v>28</v>
      </c>
      <c r="H871" s="132">
        <v>40.0</v>
      </c>
      <c r="I871" s="132">
        <v>200.0</v>
      </c>
      <c r="J871" s="132" t="s">
        <v>2488</v>
      </c>
      <c r="K871" s="132" t="s">
        <v>2488</v>
      </c>
      <c r="L871" s="144" t="s">
        <v>28</v>
      </c>
      <c r="M871" s="132" t="s">
        <v>2448</v>
      </c>
      <c r="N871" s="144" t="s">
        <v>28</v>
      </c>
      <c r="O871" s="132">
        <v>1000.0</v>
      </c>
      <c r="P871" s="132" t="s">
        <v>335</v>
      </c>
      <c r="Q871" s="132">
        <v>0.0</v>
      </c>
      <c r="R871" s="132"/>
      <c r="S871" s="52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  <c r="AD871" s="129"/>
    </row>
    <row r="872" ht="14.25" customHeight="1">
      <c r="A872" s="133">
        <v>20.0</v>
      </c>
      <c r="B872" s="149" t="s">
        <v>2489</v>
      </c>
      <c r="C872" s="149" t="s">
        <v>2452</v>
      </c>
      <c r="D872" s="149" t="s">
        <v>25</v>
      </c>
      <c r="E872" s="149" t="s">
        <v>2445</v>
      </c>
      <c r="F872" s="52"/>
      <c r="G872" s="144" t="s">
        <v>28</v>
      </c>
      <c r="H872" s="132">
        <v>100.0</v>
      </c>
      <c r="I872" s="132">
        <v>500.0</v>
      </c>
      <c r="J872" s="132">
        <v>2.0</v>
      </c>
      <c r="K872" s="132">
        <v>2.0</v>
      </c>
      <c r="L872" s="144" t="s">
        <v>28</v>
      </c>
      <c r="M872" s="132" t="s">
        <v>2448</v>
      </c>
      <c r="N872" s="144" t="s">
        <v>28</v>
      </c>
      <c r="O872" s="132">
        <v>2000.0</v>
      </c>
      <c r="P872" s="132" t="s">
        <v>335</v>
      </c>
      <c r="Q872" s="132">
        <v>0.0</v>
      </c>
      <c r="R872" s="132"/>
      <c r="S872" s="52"/>
      <c r="T872" s="129"/>
      <c r="U872" s="129"/>
      <c r="V872" s="129"/>
      <c r="W872" s="129"/>
      <c r="X872" s="129"/>
      <c r="Y872" s="129"/>
      <c r="Z872" s="129"/>
      <c r="AA872" s="129"/>
      <c r="AB872" s="129"/>
      <c r="AC872" s="129"/>
      <c r="AD872" s="129"/>
    </row>
    <row r="873" ht="14.25" customHeight="1">
      <c r="A873" s="133">
        <v>21.0</v>
      </c>
      <c r="B873" s="149" t="s">
        <v>2490</v>
      </c>
      <c r="C873" s="149" t="s">
        <v>2491</v>
      </c>
      <c r="D873" s="149" t="s">
        <v>25</v>
      </c>
      <c r="E873" s="149" t="s">
        <v>2445</v>
      </c>
      <c r="F873" s="52"/>
      <c r="G873" s="132" t="s">
        <v>2492</v>
      </c>
      <c r="H873" s="132">
        <v>10.0</v>
      </c>
      <c r="I873" s="132">
        <v>50.0</v>
      </c>
      <c r="J873" s="132">
        <v>1.0</v>
      </c>
      <c r="K873" s="132">
        <v>1.0</v>
      </c>
      <c r="L873" s="144" t="s">
        <v>28</v>
      </c>
      <c r="M873" s="132" t="s">
        <v>2448</v>
      </c>
      <c r="N873" s="144" t="s">
        <v>28</v>
      </c>
      <c r="O873" s="132">
        <v>20.0</v>
      </c>
      <c r="P873" s="132" t="s">
        <v>47</v>
      </c>
      <c r="Q873" s="132">
        <v>3.0</v>
      </c>
      <c r="R873" s="132"/>
      <c r="S873" s="52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  <c r="AD873" s="129"/>
    </row>
    <row r="874" ht="14.25" customHeight="1">
      <c r="A874" s="133">
        <v>22.0</v>
      </c>
      <c r="B874" s="149" t="s">
        <v>2493</v>
      </c>
      <c r="C874" s="149" t="s">
        <v>2494</v>
      </c>
      <c r="D874" s="149" t="s">
        <v>25</v>
      </c>
      <c r="E874" s="149" t="s">
        <v>2445</v>
      </c>
      <c r="F874" s="52"/>
      <c r="G874" s="132" t="s">
        <v>2492</v>
      </c>
      <c r="H874" s="132">
        <v>10.0</v>
      </c>
      <c r="I874" s="132">
        <v>50.0</v>
      </c>
      <c r="J874" s="132">
        <v>1.0</v>
      </c>
      <c r="K874" s="132">
        <v>1.0</v>
      </c>
      <c r="L874" s="144" t="s">
        <v>28</v>
      </c>
      <c r="M874" s="132" t="s">
        <v>2448</v>
      </c>
      <c r="N874" s="144" t="s">
        <v>28</v>
      </c>
      <c r="O874" s="132">
        <v>20.0</v>
      </c>
      <c r="P874" s="132" t="s">
        <v>47</v>
      </c>
      <c r="Q874" s="132">
        <v>4.0</v>
      </c>
      <c r="R874" s="132"/>
      <c r="S874" s="52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  <c r="AD874" s="129"/>
    </row>
    <row r="875" ht="14.25" customHeight="1">
      <c r="A875" s="133">
        <v>23.0</v>
      </c>
      <c r="B875" s="149" t="s">
        <v>2495</v>
      </c>
      <c r="C875" s="149" t="s">
        <v>2462</v>
      </c>
      <c r="D875" s="149" t="s">
        <v>25</v>
      </c>
      <c r="E875" s="149" t="s">
        <v>57</v>
      </c>
      <c r="F875" s="52"/>
      <c r="G875" s="132" t="s">
        <v>2492</v>
      </c>
      <c r="H875" s="132">
        <v>10.0</v>
      </c>
      <c r="I875" s="132">
        <v>50.0</v>
      </c>
      <c r="J875" s="132">
        <v>1.0</v>
      </c>
      <c r="K875" s="132">
        <v>1.0</v>
      </c>
      <c r="L875" s="144" t="s">
        <v>28</v>
      </c>
      <c r="M875" s="144" t="s">
        <v>28</v>
      </c>
      <c r="N875" s="132" t="s">
        <v>2458</v>
      </c>
      <c r="O875" s="132">
        <v>20.0</v>
      </c>
      <c r="P875" s="132" t="s">
        <v>47</v>
      </c>
      <c r="Q875" s="132">
        <v>2.0</v>
      </c>
      <c r="R875" s="132"/>
      <c r="S875" s="52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  <c r="AD875" s="129"/>
    </row>
    <row r="876" ht="14.25" customHeight="1">
      <c r="A876" s="133">
        <v>24.0</v>
      </c>
      <c r="B876" s="149" t="s">
        <v>2496</v>
      </c>
      <c r="C876" s="149" t="s">
        <v>2460</v>
      </c>
      <c r="D876" s="149" t="s">
        <v>25</v>
      </c>
      <c r="E876" s="149" t="s">
        <v>57</v>
      </c>
      <c r="F876" s="52"/>
      <c r="G876" s="132" t="s">
        <v>2492</v>
      </c>
      <c r="H876" s="132">
        <v>10.0</v>
      </c>
      <c r="I876" s="132">
        <v>50.0</v>
      </c>
      <c r="J876" s="132">
        <v>1.0</v>
      </c>
      <c r="K876" s="132">
        <v>1.0</v>
      </c>
      <c r="L876" s="144" t="s">
        <v>28</v>
      </c>
      <c r="M876" s="132" t="s">
        <v>2467</v>
      </c>
      <c r="N876" s="144" t="s">
        <v>28</v>
      </c>
      <c r="O876" s="132">
        <v>20.0</v>
      </c>
      <c r="P876" s="132" t="s">
        <v>47</v>
      </c>
      <c r="Q876" s="132">
        <v>4.0</v>
      </c>
      <c r="R876" s="132"/>
      <c r="S876" s="52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  <c r="AD876" s="129"/>
    </row>
    <row r="877" ht="14.25" customHeight="1">
      <c r="A877" s="133">
        <v>25.0</v>
      </c>
      <c r="B877" s="149" t="s">
        <v>2497</v>
      </c>
      <c r="C877" s="149" t="s">
        <v>2498</v>
      </c>
      <c r="D877" s="149" t="s">
        <v>25</v>
      </c>
      <c r="E877" s="149" t="s">
        <v>57</v>
      </c>
      <c r="F877" s="52"/>
      <c r="G877" s="132" t="s">
        <v>2492</v>
      </c>
      <c r="H877" s="132">
        <v>10.0</v>
      </c>
      <c r="I877" s="132">
        <v>50.0</v>
      </c>
      <c r="J877" s="132">
        <v>1.0</v>
      </c>
      <c r="K877" s="132">
        <v>1.0</v>
      </c>
      <c r="L877" s="144" t="s">
        <v>28</v>
      </c>
      <c r="M877" s="132" t="s">
        <v>2467</v>
      </c>
      <c r="N877" s="144" t="s">
        <v>28</v>
      </c>
      <c r="O877" s="132">
        <v>20.0</v>
      </c>
      <c r="P877" s="132" t="s">
        <v>47</v>
      </c>
      <c r="Q877" s="132">
        <v>4.0</v>
      </c>
      <c r="R877" s="132"/>
      <c r="S877" s="52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  <c r="AD877" s="129"/>
    </row>
    <row r="878" ht="14.25" customHeight="1">
      <c r="A878" s="133">
        <v>26.0</v>
      </c>
      <c r="B878" s="149" t="s">
        <v>2499</v>
      </c>
      <c r="C878" s="149" t="s">
        <v>2450</v>
      </c>
      <c r="D878" s="149" t="s">
        <v>25</v>
      </c>
      <c r="E878" s="149" t="s">
        <v>57</v>
      </c>
      <c r="F878" s="52"/>
      <c r="G878" s="132" t="s">
        <v>2492</v>
      </c>
      <c r="H878" s="132">
        <v>10.0</v>
      </c>
      <c r="I878" s="132">
        <v>50.0</v>
      </c>
      <c r="J878" s="132">
        <v>1.0</v>
      </c>
      <c r="K878" s="132">
        <v>1.0</v>
      </c>
      <c r="L878" s="144" t="s">
        <v>28</v>
      </c>
      <c r="M878" s="144" t="s">
        <v>28</v>
      </c>
      <c r="N878" s="132" t="s">
        <v>2458</v>
      </c>
      <c r="O878" s="132">
        <v>20.0</v>
      </c>
      <c r="P878" s="132" t="s">
        <v>47</v>
      </c>
      <c r="Q878" s="132">
        <v>4.0</v>
      </c>
      <c r="R878" s="132"/>
      <c r="S878" s="52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  <c r="AD878" s="129"/>
    </row>
    <row r="879" ht="14.25" customHeight="1">
      <c r="A879" s="133">
        <v>27.0</v>
      </c>
      <c r="B879" s="149" t="s">
        <v>2500</v>
      </c>
      <c r="C879" s="149" t="s">
        <v>2464</v>
      </c>
      <c r="D879" s="149" t="s">
        <v>25</v>
      </c>
      <c r="E879" s="149" t="s">
        <v>57</v>
      </c>
      <c r="F879" s="52"/>
      <c r="G879" s="132" t="s">
        <v>2492</v>
      </c>
      <c r="H879" s="132">
        <v>10.0</v>
      </c>
      <c r="I879" s="132">
        <v>50.0</v>
      </c>
      <c r="J879" s="132">
        <v>1.0</v>
      </c>
      <c r="K879" s="132">
        <v>1.0</v>
      </c>
      <c r="L879" s="144" t="s">
        <v>28</v>
      </c>
      <c r="M879" s="144" t="s">
        <v>28</v>
      </c>
      <c r="N879" s="132" t="s">
        <v>2458</v>
      </c>
      <c r="O879" s="132">
        <v>20.0</v>
      </c>
      <c r="P879" s="132" t="s">
        <v>47</v>
      </c>
      <c r="Q879" s="132">
        <v>4.0</v>
      </c>
      <c r="R879" s="132"/>
      <c r="S879" s="52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  <c r="AD879" s="129"/>
    </row>
    <row r="880" ht="14.25" customHeight="1">
      <c r="A880" s="133">
        <v>28.0</v>
      </c>
      <c r="B880" s="149" t="s">
        <v>2501</v>
      </c>
      <c r="C880" s="149" t="s">
        <v>2502</v>
      </c>
      <c r="D880" s="149" t="s">
        <v>25</v>
      </c>
      <c r="E880" s="149" t="s">
        <v>57</v>
      </c>
      <c r="F880" s="52"/>
      <c r="G880" s="132" t="s">
        <v>2492</v>
      </c>
      <c r="H880" s="132">
        <v>10.0</v>
      </c>
      <c r="I880" s="132">
        <v>50.0</v>
      </c>
      <c r="J880" s="132">
        <v>1.0</v>
      </c>
      <c r="K880" s="132">
        <v>1.0</v>
      </c>
      <c r="L880" s="144" t="s">
        <v>28</v>
      </c>
      <c r="M880" s="144" t="s">
        <v>28</v>
      </c>
      <c r="N880" s="132" t="s">
        <v>2458</v>
      </c>
      <c r="O880" s="132">
        <v>20.0</v>
      </c>
      <c r="P880" s="132" t="s">
        <v>47</v>
      </c>
      <c r="Q880" s="132">
        <v>2.0</v>
      </c>
      <c r="R880" s="132"/>
      <c r="S880" s="52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</row>
    <row r="881" ht="14.25" customHeight="1">
      <c r="A881" s="133">
        <v>29.0</v>
      </c>
      <c r="B881" s="149" t="s">
        <v>2503</v>
      </c>
      <c r="C881" s="149" t="s">
        <v>2466</v>
      </c>
      <c r="D881" s="149" t="s">
        <v>25</v>
      </c>
      <c r="E881" s="149" t="s">
        <v>57</v>
      </c>
      <c r="F881" s="52"/>
      <c r="G881" s="132" t="s">
        <v>2492</v>
      </c>
      <c r="H881" s="132">
        <v>10.0</v>
      </c>
      <c r="I881" s="132">
        <v>50.0</v>
      </c>
      <c r="J881" s="132">
        <v>1.0</v>
      </c>
      <c r="K881" s="132">
        <v>1.0</v>
      </c>
      <c r="L881" s="144" t="s">
        <v>28</v>
      </c>
      <c r="M881" s="132" t="s">
        <v>2467</v>
      </c>
      <c r="N881" s="144" t="s">
        <v>28</v>
      </c>
      <c r="O881" s="132">
        <v>20.0</v>
      </c>
      <c r="P881" s="132" t="s">
        <v>47</v>
      </c>
      <c r="Q881" s="132">
        <v>2.0</v>
      </c>
      <c r="R881" s="132"/>
      <c r="S881" s="52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</row>
    <row r="882" ht="14.25" customHeight="1">
      <c r="A882" s="133">
        <v>30.0</v>
      </c>
      <c r="B882" s="149" t="s">
        <v>2504</v>
      </c>
      <c r="C882" s="149" t="s">
        <v>2505</v>
      </c>
      <c r="D882" s="149" t="s">
        <v>25</v>
      </c>
      <c r="E882" s="149" t="s">
        <v>2445</v>
      </c>
      <c r="F882" s="52"/>
      <c r="G882" s="132" t="s">
        <v>2492</v>
      </c>
      <c r="H882" s="132">
        <v>10.0</v>
      </c>
      <c r="I882" s="132">
        <v>50.0</v>
      </c>
      <c r="J882" s="132">
        <v>1.0</v>
      </c>
      <c r="K882" s="132">
        <v>1.0</v>
      </c>
      <c r="L882" s="144" t="s">
        <v>28</v>
      </c>
      <c r="M882" s="144" t="s">
        <v>28</v>
      </c>
      <c r="N882" s="132" t="s">
        <v>2458</v>
      </c>
      <c r="O882" s="132">
        <v>20.0</v>
      </c>
      <c r="P882" s="132" t="s">
        <v>47</v>
      </c>
      <c r="Q882" s="132">
        <v>2.0</v>
      </c>
      <c r="R882" s="132"/>
      <c r="S882" s="52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  <c r="AD882" s="129"/>
    </row>
    <row r="883" ht="14.25" customHeight="1">
      <c r="A883" s="133">
        <v>31.0</v>
      </c>
      <c r="B883" s="149" t="s">
        <v>2506</v>
      </c>
      <c r="C883" s="149" t="s">
        <v>2507</v>
      </c>
      <c r="D883" s="149" t="s">
        <v>25</v>
      </c>
      <c r="E883" s="149" t="s">
        <v>57</v>
      </c>
      <c r="F883" s="52"/>
      <c r="G883" s="132" t="s">
        <v>2492</v>
      </c>
      <c r="H883" s="132">
        <v>10.0</v>
      </c>
      <c r="I883" s="132">
        <v>50.0</v>
      </c>
      <c r="J883" s="132">
        <v>1.0</v>
      </c>
      <c r="K883" s="132">
        <v>1.0</v>
      </c>
      <c r="L883" s="144" t="s">
        <v>28</v>
      </c>
      <c r="M883" s="144" t="s">
        <v>28</v>
      </c>
      <c r="N883" s="132" t="s">
        <v>2458</v>
      </c>
      <c r="O883" s="132">
        <v>20.0</v>
      </c>
      <c r="P883" s="132" t="s">
        <v>47</v>
      </c>
      <c r="Q883" s="132">
        <v>4.0</v>
      </c>
      <c r="R883" s="132"/>
      <c r="S883" s="52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</row>
    <row r="884" ht="14.25" customHeight="1">
      <c r="A884" s="133">
        <v>32.0</v>
      </c>
      <c r="B884" s="149" t="s">
        <v>2508</v>
      </c>
      <c r="C884" s="149" t="s">
        <v>2457</v>
      </c>
      <c r="D884" s="149" t="s">
        <v>25</v>
      </c>
      <c r="E884" s="149" t="s">
        <v>57</v>
      </c>
      <c r="F884" s="52"/>
      <c r="G884" s="132" t="s">
        <v>2492</v>
      </c>
      <c r="H884" s="132">
        <v>10.0</v>
      </c>
      <c r="I884" s="132">
        <v>50.0</v>
      </c>
      <c r="J884" s="132">
        <v>1.0</v>
      </c>
      <c r="K884" s="132">
        <v>1.0</v>
      </c>
      <c r="L884" s="144" t="s">
        <v>28</v>
      </c>
      <c r="M884" s="144" t="s">
        <v>28</v>
      </c>
      <c r="N884" s="132" t="s">
        <v>2458</v>
      </c>
      <c r="O884" s="132">
        <v>20.0</v>
      </c>
      <c r="P884" s="132" t="s">
        <v>47</v>
      </c>
      <c r="Q884" s="132">
        <v>2.0</v>
      </c>
      <c r="R884" s="132"/>
      <c r="S884" s="52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</row>
    <row r="885" ht="14.25" customHeight="1">
      <c r="A885" s="133">
        <v>33.0</v>
      </c>
      <c r="B885" s="149" t="s">
        <v>2509</v>
      </c>
      <c r="C885" s="149" t="s">
        <v>2472</v>
      </c>
      <c r="D885" s="149" t="s">
        <v>25</v>
      </c>
      <c r="E885" s="149" t="s">
        <v>2470</v>
      </c>
      <c r="F885" s="52"/>
      <c r="G885" s="132" t="s">
        <v>2492</v>
      </c>
      <c r="H885" s="132">
        <v>10.0</v>
      </c>
      <c r="I885" s="132">
        <v>50.0</v>
      </c>
      <c r="J885" s="132">
        <v>1.0</v>
      </c>
      <c r="K885" s="132">
        <v>1.0</v>
      </c>
      <c r="L885" s="144" t="s">
        <v>28</v>
      </c>
      <c r="M885" s="144" t="s">
        <v>28</v>
      </c>
      <c r="N885" s="132" t="s">
        <v>2458</v>
      </c>
      <c r="O885" s="132">
        <v>20.0</v>
      </c>
      <c r="P885" s="132" t="s">
        <v>47</v>
      </c>
      <c r="Q885" s="132">
        <v>4.0</v>
      </c>
      <c r="R885" s="132"/>
      <c r="S885" s="52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</row>
    <row r="886" ht="14.25" customHeight="1">
      <c r="A886" s="133">
        <v>34.0</v>
      </c>
      <c r="B886" s="149" t="s">
        <v>2510</v>
      </c>
      <c r="C886" s="149" t="s">
        <v>2511</v>
      </c>
      <c r="D886" s="149" t="s">
        <v>25</v>
      </c>
      <c r="E886" s="149" t="s">
        <v>2470</v>
      </c>
      <c r="F886" s="52"/>
      <c r="G886" s="132" t="s">
        <v>2492</v>
      </c>
      <c r="H886" s="132">
        <v>10.0</v>
      </c>
      <c r="I886" s="132">
        <v>50.0</v>
      </c>
      <c r="J886" s="132">
        <v>1.0</v>
      </c>
      <c r="K886" s="132">
        <v>1.0</v>
      </c>
      <c r="L886" s="144" t="s">
        <v>28</v>
      </c>
      <c r="M886" s="144" t="s">
        <v>28</v>
      </c>
      <c r="N886" s="132" t="s">
        <v>2458</v>
      </c>
      <c r="O886" s="132">
        <v>20.0</v>
      </c>
      <c r="P886" s="132" t="s">
        <v>47</v>
      </c>
      <c r="Q886" s="132">
        <v>4.0</v>
      </c>
      <c r="R886" s="132"/>
      <c r="S886" s="52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</row>
    <row r="887" ht="14.25" customHeight="1">
      <c r="A887" s="133">
        <v>35.0</v>
      </c>
      <c r="B887" s="149" t="s">
        <v>2512</v>
      </c>
      <c r="C887" s="149" t="s">
        <v>2513</v>
      </c>
      <c r="D887" s="149" t="s">
        <v>25</v>
      </c>
      <c r="E887" s="149" t="s">
        <v>57</v>
      </c>
      <c r="F887" s="52"/>
      <c r="G887" s="132" t="s">
        <v>2492</v>
      </c>
      <c r="H887" s="132">
        <v>10.0</v>
      </c>
      <c r="I887" s="132">
        <v>50.0</v>
      </c>
      <c r="J887" s="132">
        <v>1.0</v>
      </c>
      <c r="K887" s="132">
        <v>1.0</v>
      </c>
      <c r="L887" s="144" t="s">
        <v>28</v>
      </c>
      <c r="M887" s="144" t="s">
        <v>28</v>
      </c>
      <c r="N887" s="132" t="s">
        <v>2458</v>
      </c>
      <c r="O887" s="132">
        <v>20.0</v>
      </c>
      <c r="P887" s="132" t="s">
        <v>47</v>
      </c>
      <c r="Q887" s="132">
        <v>2.0</v>
      </c>
      <c r="R887" s="132"/>
      <c r="S887" s="52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</row>
    <row r="888" ht="14.25" customHeight="1">
      <c r="A888" s="133">
        <v>36.0</v>
      </c>
      <c r="B888" s="149" t="s">
        <v>2514</v>
      </c>
      <c r="C888" s="149" t="s">
        <v>2515</v>
      </c>
      <c r="D888" s="149" t="s">
        <v>25</v>
      </c>
      <c r="E888" s="149" t="s">
        <v>57</v>
      </c>
      <c r="F888" s="52"/>
      <c r="G888" s="132" t="s">
        <v>2492</v>
      </c>
      <c r="H888" s="132">
        <v>10.0</v>
      </c>
      <c r="I888" s="132">
        <v>50.0</v>
      </c>
      <c r="J888" s="132">
        <v>1.0</v>
      </c>
      <c r="K888" s="132">
        <v>1.0</v>
      </c>
      <c r="L888" s="144" t="s">
        <v>28</v>
      </c>
      <c r="M888" s="144" t="s">
        <v>28</v>
      </c>
      <c r="N888" s="132" t="s">
        <v>2458</v>
      </c>
      <c r="O888" s="132">
        <v>20.0</v>
      </c>
      <c r="P888" s="132" t="s">
        <v>47</v>
      </c>
      <c r="Q888" s="132">
        <v>4.0</v>
      </c>
      <c r="R888" s="132"/>
      <c r="S888" s="52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</row>
    <row r="889" ht="14.25" customHeight="1">
      <c r="A889" s="133">
        <v>37.0</v>
      </c>
      <c r="B889" s="149" t="s">
        <v>2516</v>
      </c>
      <c r="C889" s="149" t="s">
        <v>2474</v>
      </c>
      <c r="D889" s="149" t="s">
        <v>25</v>
      </c>
      <c r="E889" s="149" t="s">
        <v>2475</v>
      </c>
      <c r="F889" s="52"/>
      <c r="G889" s="132" t="s">
        <v>2492</v>
      </c>
      <c r="H889" s="132">
        <v>10.0</v>
      </c>
      <c r="I889" s="132">
        <v>50.0</v>
      </c>
      <c r="J889" s="132">
        <v>1.0</v>
      </c>
      <c r="K889" s="132">
        <v>1.0</v>
      </c>
      <c r="L889" s="144" t="s">
        <v>28</v>
      </c>
      <c r="M889" s="144" t="s">
        <v>28</v>
      </c>
      <c r="N889" s="132" t="s">
        <v>2458</v>
      </c>
      <c r="O889" s="132">
        <v>20.0</v>
      </c>
      <c r="P889" s="132" t="s">
        <v>47</v>
      </c>
      <c r="Q889" s="132">
        <v>2.0</v>
      </c>
      <c r="R889" s="132"/>
      <c r="S889" s="52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</row>
    <row r="890" ht="14.25" customHeight="1">
      <c r="A890" s="133">
        <v>38.0</v>
      </c>
      <c r="B890" s="149" t="s">
        <v>2517</v>
      </c>
      <c r="C890" s="149" t="s">
        <v>2452</v>
      </c>
      <c r="D890" s="149" t="s">
        <v>25</v>
      </c>
      <c r="E890" s="149" t="s">
        <v>2518</v>
      </c>
      <c r="F890" s="52"/>
      <c r="G890" s="132" t="s">
        <v>2492</v>
      </c>
      <c r="H890" s="132">
        <v>10.0</v>
      </c>
      <c r="I890" s="132">
        <v>50.0</v>
      </c>
      <c r="J890" s="132">
        <v>1.0</v>
      </c>
      <c r="K890" s="132">
        <v>1.0</v>
      </c>
      <c r="L890" s="144" t="s">
        <v>28</v>
      </c>
      <c r="M890" s="132" t="s">
        <v>2448</v>
      </c>
      <c r="N890" s="144" t="s">
        <v>28</v>
      </c>
      <c r="O890" s="132">
        <v>20.0</v>
      </c>
      <c r="P890" s="132" t="s">
        <v>47</v>
      </c>
      <c r="Q890" s="132">
        <v>2.0</v>
      </c>
      <c r="R890" s="132"/>
      <c r="S890" s="52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</row>
    <row r="891" ht="14.25" customHeight="1">
      <c r="A891" s="133">
        <v>39.0</v>
      </c>
      <c r="B891" s="149" t="s">
        <v>2519</v>
      </c>
      <c r="C891" s="149" t="s">
        <v>2520</v>
      </c>
      <c r="D891" s="149" t="s">
        <v>25</v>
      </c>
      <c r="E891" s="149" t="s">
        <v>2521</v>
      </c>
      <c r="F891" s="52"/>
      <c r="G891" s="132" t="s">
        <v>2492</v>
      </c>
      <c r="H891" s="132">
        <v>10.0</v>
      </c>
      <c r="I891" s="132">
        <v>50.0</v>
      </c>
      <c r="J891" s="132">
        <v>1.0</v>
      </c>
      <c r="K891" s="132">
        <v>1.0</v>
      </c>
      <c r="L891" s="144" t="s">
        <v>28</v>
      </c>
      <c r="M891" s="144" t="s">
        <v>28</v>
      </c>
      <c r="N891" s="132" t="s">
        <v>2458</v>
      </c>
      <c r="O891" s="132">
        <v>20.0</v>
      </c>
      <c r="P891" s="132" t="s">
        <v>47</v>
      </c>
      <c r="Q891" s="132">
        <v>4.0</v>
      </c>
      <c r="R891" s="132"/>
      <c r="S891" s="52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</row>
    <row r="892" ht="14.25" customHeight="1">
      <c r="A892" s="133">
        <v>40.0</v>
      </c>
      <c r="B892" s="149" t="s">
        <v>2522</v>
      </c>
      <c r="C892" s="149" t="s">
        <v>2477</v>
      </c>
      <c r="D892" s="149" t="s">
        <v>25</v>
      </c>
      <c r="E892" s="149" t="s">
        <v>57</v>
      </c>
      <c r="F892" s="52"/>
      <c r="G892" s="132" t="s">
        <v>2492</v>
      </c>
      <c r="H892" s="132">
        <v>10.0</v>
      </c>
      <c r="I892" s="132">
        <v>50.0</v>
      </c>
      <c r="J892" s="132">
        <v>1.0</v>
      </c>
      <c r="K892" s="132">
        <v>1.0</v>
      </c>
      <c r="L892" s="144" t="s">
        <v>28</v>
      </c>
      <c r="M892" s="144" t="s">
        <v>28</v>
      </c>
      <c r="N892" s="132" t="s">
        <v>2458</v>
      </c>
      <c r="O892" s="132">
        <v>20.0</v>
      </c>
      <c r="P892" s="132" t="s">
        <v>47</v>
      </c>
      <c r="Q892" s="132">
        <v>4.0</v>
      </c>
      <c r="R892" s="132"/>
      <c r="S892" s="52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</row>
    <row r="893" ht="14.25" customHeight="1">
      <c r="A893" s="133">
        <v>41.0</v>
      </c>
      <c r="B893" s="149" t="s">
        <v>2523</v>
      </c>
      <c r="C893" s="149" t="s">
        <v>2479</v>
      </c>
      <c r="D893" s="149" t="s">
        <v>25</v>
      </c>
      <c r="E893" s="149" t="s">
        <v>57</v>
      </c>
      <c r="F893" s="52"/>
      <c r="G893" s="132" t="s">
        <v>2492</v>
      </c>
      <c r="H893" s="132">
        <v>10.0</v>
      </c>
      <c r="I893" s="132">
        <v>50.0</v>
      </c>
      <c r="J893" s="132">
        <v>1.0</v>
      </c>
      <c r="K893" s="132">
        <v>1.0</v>
      </c>
      <c r="L893" s="144" t="s">
        <v>28</v>
      </c>
      <c r="M893" s="144" t="s">
        <v>28</v>
      </c>
      <c r="N893" s="132" t="s">
        <v>2458</v>
      </c>
      <c r="O893" s="132">
        <v>20.0</v>
      </c>
      <c r="P893" s="132" t="s">
        <v>47</v>
      </c>
      <c r="Q893" s="132">
        <v>3.0</v>
      </c>
      <c r="R893" s="132"/>
      <c r="S893" s="52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</row>
    <row r="894" ht="14.25" customHeight="1">
      <c r="A894" s="133">
        <v>42.0</v>
      </c>
      <c r="B894" s="149" t="s">
        <v>2524</v>
      </c>
      <c r="C894" s="149" t="s">
        <v>2525</v>
      </c>
      <c r="D894" s="149" t="s">
        <v>25</v>
      </c>
      <c r="E894" s="149" t="s">
        <v>57</v>
      </c>
      <c r="F894" s="52"/>
      <c r="G894" s="132" t="s">
        <v>2492</v>
      </c>
      <c r="H894" s="132">
        <v>10.0</v>
      </c>
      <c r="I894" s="132">
        <v>50.0</v>
      </c>
      <c r="J894" s="132">
        <v>1.0</v>
      </c>
      <c r="K894" s="132">
        <v>1.0</v>
      </c>
      <c r="L894" s="144" t="s">
        <v>28</v>
      </c>
      <c r="M894" s="144" t="s">
        <v>28</v>
      </c>
      <c r="N894" s="132" t="s">
        <v>2458</v>
      </c>
      <c r="O894" s="132">
        <v>20.0</v>
      </c>
      <c r="P894" s="132" t="s">
        <v>47</v>
      </c>
      <c r="Q894" s="132">
        <v>2.0</v>
      </c>
      <c r="R894" s="132"/>
      <c r="S894" s="52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  <c r="AD894" s="129"/>
    </row>
    <row r="895" ht="14.25" customHeight="1">
      <c r="A895" s="133">
        <v>43.0</v>
      </c>
      <c r="B895" s="149" t="s">
        <v>2526</v>
      </c>
      <c r="C895" s="149" t="s">
        <v>2527</v>
      </c>
      <c r="D895" s="149" t="s">
        <v>25</v>
      </c>
      <c r="E895" s="149" t="s">
        <v>837</v>
      </c>
      <c r="F895" s="52"/>
      <c r="G895" s="132" t="s">
        <v>2492</v>
      </c>
      <c r="H895" s="132">
        <v>10.0</v>
      </c>
      <c r="I895" s="132">
        <v>50.0</v>
      </c>
      <c r="J895" s="132">
        <v>1.0</v>
      </c>
      <c r="K895" s="132">
        <v>1.0</v>
      </c>
      <c r="L895" s="144" t="s">
        <v>28</v>
      </c>
      <c r="M895" s="144" t="s">
        <v>28</v>
      </c>
      <c r="N895" s="132" t="s">
        <v>2458</v>
      </c>
      <c r="O895" s="132">
        <v>20.0</v>
      </c>
      <c r="P895" s="132" t="s">
        <v>47</v>
      </c>
      <c r="Q895" s="132">
        <v>2.0</v>
      </c>
      <c r="R895" s="132"/>
      <c r="S895" s="52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  <c r="AD895" s="129"/>
    </row>
    <row r="896" ht="14.25" customHeight="1">
      <c r="A896" s="133">
        <v>44.0</v>
      </c>
      <c r="B896" s="149" t="s">
        <v>2528</v>
      </c>
      <c r="C896" s="149" t="s">
        <v>2529</v>
      </c>
      <c r="D896" s="149" t="s">
        <v>25</v>
      </c>
      <c r="E896" s="149" t="s">
        <v>57</v>
      </c>
      <c r="F896" s="52"/>
      <c r="G896" s="132" t="s">
        <v>2492</v>
      </c>
      <c r="H896" s="132">
        <v>10.0</v>
      </c>
      <c r="I896" s="132">
        <v>50.0</v>
      </c>
      <c r="J896" s="132">
        <v>1.0</v>
      </c>
      <c r="K896" s="132">
        <v>1.0</v>
      </c>
      <c r="L896" s="144" t="s">
        <v>28</v>
      </c>
      <c r="M896" s="144" t="s">
        <v>28</v>
      </c>
      <c r="N896" s="132" t="s">
        <v>2458</v>
      </c>
      <c r="O896" s="132">
        <v>20.0</v>
      </c>
      <c r="P896" s="132" t="s">
        <v>47</v>
      </c>
      <c r="Q896" s="132">
        <v>4.0</v>
      </c>
      <c r="R896" s="132"/>
      <c r="S896" s="52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  <c r="AD896" s="129"/>
    </row>
    <row r="897" ht="14.25" customHeight="1">
      <c r="A897" s="133">
        <v>45.0</v>
      </c>
      <c r="B897" s="149" t="s">
        <v>2530</v>
      </c>
      <c r="C897" s="149" t="s">
        <v>2531</v>
      </c>
      <c r="D897" s="149" t="s">
        <v>25</v>
      </c>
      <c r="E897" s="149" t="s">
        <v>2518</v>
      </c>
      <c r="F897" s="52"/>
      <c r="G897" s="132" t="s">
        <v>2492</v>
      </c>
      <c r="H897" s="132">
        <v>10.0</v>
      </c>
      <c r="I897" s="132">
        <v>50.0</v>
      </c>
      <c r="J897" s="132">
        <v>1.0</v>
      </c>
      <c r="K897" s="132">
        <v>1.0</v>
      </c>
      <c r="L897" s="144" t="s">
        <v>28</v>
      </c>
      <c r="M897" s="132" t="s">
        <v>2448</v>
      </c>
      <c r="N897" s="144" t="s">
        <v>28</v>
      </c>
      <c r="O897" s="132">
        <v>20.0</v>
      </c>
      <c r="P897" s="132" t="s">
        <v>47</v>
      </c>
      <c r="Q897" s="132">
        <v>2.0</v>
      </c>
      <c r="R897" s="132"/>
      <c r="S897" s="52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  <c r="AD897" s="129"/>
    </row>
    <row r="898" ht="14.25" customHeight="1">
      <c r="A898" s="133">
        <v>46.0</v>
      </c>
      <c r="B898" s="149" t="s">
        <v>2532</v>
      </c>
      <c r="C898" s="149" t="s">
        <v>2533</v>
      </c>
      <c r="D898" s="149" t="s">
        <v>25</v>
      </c>
      <c r="E898" s="149" t="s">
        <v>57</v>
      </c>
      <c r="F898" s="52"/>
      <c r="G898" s="132" t="s">
        <v>2492</v>
      </c>
      <c r="H898" s="132">
        <v>10.0</v>
      </c>
      <c r="I898" s="132">
        <v>50.0</v>
      </c>
      <c r="J898" s="132">
        <v>1.0</v>
      </c>
      <c r="K898" s="132">
        <v>1.0</v>
      </c>
      <c r="L898" s="144" t="s">
        <v>28</v>
      </c>
      <c r="M898" s="144" t="s">
        <v>28</v>
      </c>
      <c r="N898" s="132" t="s">
        <v>2458</v>
      </c>
      <c r="O898" s="132">
        <v>20.0</v>
      </c>
      <c r="P898" s="132" t="s">
        <v>47</v>
      </c>
      <c r="Q898" s="132">
        <v>4.0</v>
      </c>
      <c r="R898" s="132"/>
      <c r="S898" s="52"/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  <c r="AD898" s="129"/>
    </row>
    <row r="899" ht="14.25" customHeight="1">
      <c r="A899" s="133">
        <v>47.0</v>
      </c>
      <c r="B899" s="149" t="s">
        <v>2534</v>
      </c>
      <c r="C899" s="149" t="s">
        <v>2535</v>
      </c>
      <c r="D899" s="149" t="s">
        <v>25</v>
      </c>
      <c r="E899" s="149" t="s">
        <v>2518</v>
      </c>
      <c r="F899" s="52"/>
      <c r="G899" s="132" t="s">
        <v>2492</v>
      </c>
      <c r="H899" s="132">
        <v>10.0</v>
      </c>
      <c r="I899" s="132">
        <v>50.0</v>
      </c>
      <c r="J899" s="132">
        <v>1.0</v>
      </c>
      <c r="K899" s="132">
        <v>1.0</v>
      </c>
      <c r="L899" s="144" t="s">
        <v>28</v>
      </c>
      <c r="M899" s="132" t="s">
        <v>2467</v>
      </c>
      <c r="N899" s="144" t="s">
        <v>28</v>
      </c>
      <c r="O899" s="132">
        <v>20.0</v>
      </c>
      <c r="P899" s="132" t="s">
        <v>47</v>
      </c>
      <c r="Q899" s="132">
        <v>4.0</v>
      </c>
      <c r="R899" s="132"/>
      <c r="S899" s="52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  <c r="AD899" s="129"/>
    </row>
    <row r="900" ht="14.25" customHeight="1">
      <c r="A900" s="133">
        <v>48.0</v>
      </c>
      <c r="B900" s="149" t="s">
        <v>2536</v>
      </c>
      <c r="C900" s="149" t="s">
        <v>2537</v>
      </c>
      <c r="D900" s="149" t="s">
        <v>25</v>
      </c>
      <c r="E900" s="149" t="s">
        <v>57</v>
      </c>
      <c r="F900" s="52"/>
      <c r="G900" s="132" t="s">
        <v>2492</v>
      </c>
      <c r="H900" s="132">
        <v>10.0</v>
      </c>
      <c r="I900" s="132">
        <v>50.0</v>
      </c>
      <c r="J900" s="132">
        <v>1.0</v>
      </c>
      <c r="K900" s="132">
        <v>1.0</v>
      </c>
      <c r="L900" s="144" t="s">
        <v>28</v>
      </c>
      <c r="M900" s="144" t="s">
        <v>28</v>
      </c>
      <c r="N900" s="132" t="s">
        <v>2458</v>
      </c>
      <c r="O900" s="132">
        <v>20.0</v>
      </c>
      <c r="P900" s="132" t="s">
        <v>47</v>
      </c>
      <c r="Q900" s="132">
        <v>2.0</v>
      </c>
      <c r="R900" s="132"/>
      <c r="S900" s="52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  <c r="AD900" s="129"/>
    </row>
    <row r="901" ht="14.25" customHeight="1">
      <c r="A901" s="133">
        <v>49.0</v>
      </c>
      <c r="B901" s="149" t="s">
        <v>2538</v>
      </c>
      <c r="C901" s="149" t="s">
        <v>2539</v>
      </c>
      <c r="D901" s="149" t="s">
        <v>25</v>
      </c>
      <c r="E901" s="149" t="s">
        <v>57</v>
      </c>
      <c r="F901" s="52"/>
      <c r="G901" s="132" t="s">
        <v>2492</v>
      </c>
      <c r="H901" s="132">
        <v>10.0</v>
      </c>
      <c r="I901" s="132">
        <v>50.0</v>
      </c>
      <c r="J901" s="132">
        <v>1.0</v>
      </c>
      <c r="K901" s="132">
        <v>1.0</v>
      </c>
      <c r="L901" s="144" t="s">
        <v>28</v>
      </c>
      <c r="M901" s="144" t="s">
        <v>28</v>
      </c>
      <c r="N901" s="132" t="s">
        <v>2458</v>
      </c>
      <c r="O901" s="132">
        <v>20.0</v>
      </c>
      <c r="P901" s="132" t="s">
        <v>47</v>
      </c>
      <c r="Q901" s="132">
        <v>2.0</v>
      </c>
      <c r="R901" s="132"/>
      <c r="S901" s="52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  <c r="AD901" s="129"/>
    </row>
    <row r="902" ht="14.25" customHeight="1">
      <c r="A902" s="133">
        <v>50.0</v>
      </c>
      <c r="B902" s="149" t="s">
        <v>2540</v>
      </c>
      <c r="C902" s="149" t="s">
        <v>2444</v>
      </c>
      <c r="D902" s="149" t="s">
        <v>25</v>
      </c>
      <c r="E902" s="149" t="s">
        <v>1671</v>
      </c>
      <c r="F902" s="52"/>
      <c r="G902" s="132" t="s">
        <v>2492</v>
      </c>
      <c r="H902" s="132">
        <v>10.0</v>
      </c>
      <c r="I902" s="132">
        <v>50.0</v>
      </c>
      <c r="J902" s="132">
        <v>1.0</v>
      </c>
      <c r="K902" s="132">
        <v>1.0</v>
      </c>
      <c r="L902" s="144" t="s">
        <v>28</v>
      </c>
      <c r="M902" s="144" t="s">
        <v>28</v>
      </c>
      <c r="N902" s="132" t="s">
        <v>2458</v>
      </c>
      <c r="O902" s="132">
        <v>20.0</v>
      </c>
      <c r="P902" s="132" t="s">
        <v>47</v>
      </c>
      <c r="Q902" s="132">
        <v>2.0</v>
      </c>
      <c r="R902" s="132"/>
      <c r="S902" s="52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  <c r="AD902" s="129"/>
    </row>
    <row r="903" ht="14.25" customHeight="1">
      <c r="A903" s="133">
        <v>51.0</v>
      </c>
      <c r="B903" s="149" t="s">
        <v>2541</v>
      </c>
      <c r="C903" s="149" t="s">
        <v>2542</v>
      </c>
      <c r="D903" s="149" t="s">
        <v>25</v>
      </c>
      <c r="E903" s="149" t="s">
        <v>57</v>
      </c>
      <c r="F903" s="52"/>
      <c r="G903" s="132" t="s">
        <v>2492</v>
      </c>
      <c r="H903" s="132">
        <v>10.0</v>
      </c>
      <c r="I903" s="132">
        <v>50.0</v>
      </c>
      <c r="J903" s="132">
        <v>1.0</v>
      </c>
      <c r="K903" s="132">
        <v>1.0</v>
      </c>
      <c r="L903" s="144" t="s">
        <v>28</v>
      </c>
      <c r="M903" s="144" t="s">
        <v>28</v>
      </c>
      <c r="N903" s="132" t="s">
        <v>2458</v>
      </c>
      <c r="O903" s="132">
        <v>20.0</v>
      </c>
      <c r="P903" s="132" t="s">
        <v>47</v>
      </c>
      <c r="Q903" s="132">
        <v>2.0</v>
      </c>
      <c r="R903" s="132"/>
      <c r="S903" s="52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  <c r="AD903" s="129"/>
    </row>
    <row r="904" ht="14.25" customHeight="1">
      <c r="A904" s="133">
        <v>52.0</v>
      </c>
      <c r="B904" s="149" t="s">
        <v>2543</v>
      </c>
      <c r="C904" s="149" t="s">
        <v>2484</v>
      </c>
      <c r="D904" s="149" t="s">
        <v>25</v>
      </c>
      <c r="E904" s="149" t="s">
        <v>57</v>
      </c>
      <c r="F904" s="52"/>
      <c r="G904" s="132" t="s">
        <v>2492</v>
      </c>
      <c r="H904" s="132">
        <v>10.0</v>
      </c>
      <c r="I904" s="132">
        <v>50.0</v>
      </c>
      <c r="J904" s="132">
        <v>1.0</v>
      </c>
      <c r="K904" s="132">
        <v>1.0</v>
      </c>
      <c r="L904" s="144" t="s">
        <v>28</v>
      </c>
      <c r="M904" s="132" t="s">
        <v>2467</v>
      </c>
      <c r="N904" s="144" t="s">
        <v>28</v>
      </c>
      <c r="O904" s="132">
        <v>20.0</v>
      </c>
      <c r="P904" s="132" t="s">
        <v>47</v>
      </c>
      <c r="Q904" s="132">
        <v>2.0</v>
      </c>
      <c r="R904" s="132"/>
      <c r="S904" s="52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  <c r="AD904" s="129"/>
    </row>
    <row r="905" ht="14.25" customHeight="1">
      <c r="A905" s="133">
        <v>53.0</v>
      </c>
      <c r="B905" s="149" t="s">
        <v>2544</v>
      </c>
      <c r="C905" s="149" t="s">
        <v>2482</v>
      </c>
      <c r="D905" s="149" t="s">
        <v>25</v>
      </c>
      <c r="E905" s="149" t="s">
        <v>57</v>
      </c>
      <c r="F905" s="52"/>
      <c r="G905" s="132" t="s">
        <v>2492</v>
      </c>
      <c r="H905" s="132">
        <v>10.0</v>
      </c>
      <c r="I905" s="132">
        <v>50.0</v>
      </c>
      <c r="J905" s="132">
        <v>1.0</v>
      </c>
      <c r="K905" s="132">
        <v>1.0</v>
      </c>
      <c r="L905" s="144" t="s">
        <v>28</v>
      </c>
      <c r="M905" s="132" t="s">
        <v>2467</v>
      </c>
      <c r="N905" s="144" t="s">
        <v>28</v>
      </c>
      <c r="O905" s="132">
        <v>20.0</v>
      </c>
      <c r="P905" s="132" t="s">
        <v>47</v>
      </c>
      <c r="Q905" s="132">
        <v>4.0</v>
      </c>
      <c r="R905" s="132"/>
      <c r="S905" s="52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  <c r="AD905" s="129"/>
    </row>
    <row r="906" ht="14.25" customHeight="1">
      <c r="A906" s="133">
        <v>54.0</v>
      </c>
      <c r="B906" s="149" t="s">
        <v>2545</v>
      </c>
      <c r="C906" s="149" t="s">
        <v>2546</v>
      </c>
      <c r="D906" s="149" t="s">
        <v>25</v>
      </c>
      <c r="E906" s="149" t="s">
        <v>57</v>
      </c>
      <c r="F906" s="52"/>
      <c r="G906" s="132" t="s">
        <v>2492</v>
      </c>
      <c r="H906" s="132">
        <v>10.0</v>
      </c>
      <c r="I906" s="132">
        <v>50.0</v>
      </c>
      <c r="J906" s="132">
        <v>1.0</v>
      </c>
      <c r="K906" s="132">
        <v>1.0</v>
      </c>
      <c r="L906" s="144" t="s">
        <v>28</v>
      </c>
      <c r="M906" s="132" t="s">
        <v>2467</v>
      </c>
      <c r="N906" s="144" t="s">
        <v>28</v>
      </c>
      <c r="O906" s="132">
        <v>20.0</v>
      </c>
      <c r="P906" s="132" t="s">
        <v>47</v>
      </c>
      <c r="Q906" s="132">
        <v>4.0</v>
      </c>
      <c r="R906" s="132"/>
      <c r="S906" s="52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  <c r="AD906" s="129"/>
    </row>
    <row r="907" ht="14.25" customHeight="1">
      <c r="A907" s="133">
        <v>55.0</v>
      </c>
      <c r="B907" s="149" t="s">
        <v>2547</v>
      </c>
      <c r="C907" s="149" t="s">
        <v>2486</v>
      </c>
      <c r="D907" s="149" t="s">
        <v>25</v>
      </c>
      <c r="E907" s="149" t="s">
        <v>2521</v>
      </c>
      <c r="F907" s="52"/>
      <c r="G907" s="132" t="s">
        <v>2492</v>
      </c>
      <c r="H907" s="132">
        <v>10.0</v>
      </c>
      <c r="I907" s="132">
        <v>50.0</v>
      </c>
      <c r="J907" s="132">
        <v>1.0</v>
      </c>
      <c r="K907" s="132">
        <v>1.0</v>
      </c>
      <c r="L907" s="144" t="s">
        <v>28</v>
      </c>
      <c r="M907" s="144" t="s">
        <v>28</v>
      </c>
      <c r="N907" s="132" t="s">
        <v>2458</v>
      </c>
      <c r="O907" s="132">
        <v>20.0</v>
      </c>
      <c r="P907" s="132" t="s">
        <v>47</v>
      </c>
      <c r="Q907" s="132">
        <v>4.0</v>
      </c>
      <c r="R907" s="132"/>
      <c r="S907" s="52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  <c r="AD907" s="129"/>
    </row>
    <row r="908" ht="14.25" customHeight="1">
      <c r="A908" s="133">
        <v>56.0</v>
      </c>
      <c r="B908" s="149" t="s">
        <v>2548</v>
      </c>
      <c r="C908" s="149" t="s">
        <v>2549</v>
      </c>
      <c r="D908" s="149" t="s">
        <v>25</v>
      </c>
      <c r="E908" s="149" t="s">
        <v>57</v>
      </c>
      <c r="F908" s="52"/>
      <c r="G908" s="132" t="s">
        <v>2492</v>
      </c>
      <c r="H908" s="132">
        <v>10.0</v>
      </c>
      <c r="I908" s="132">
        <v>50.0</v>
      </c>
      <c r="J908" s="132">
        <v>1.0</v>
      </c>
      <c r="K908" s="132">
        <v>1.0</v>
      </c>
      <c r="L908" s="144" t="s">
        <v>28</v>
      </c>
      <c r="M908" s="144" t="s">
        <v>28</v>
      </c>
      <c r="N908" s="132" t="s">
        <v>2458</v>
      </c>
      <c r="O908" s="132">
        <v>20.0</v>
      </c>
      <c r="P908" s="132" t="s">
        <v>47</v>
      </c>
      <c r="Q908" s="132">
        <v>2.0</v>
      </c>
      <c r="R908" s="132"/>
      <c r="S908" s="52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  <c r="AD908" s="129"/>
    </row>
    <row r="909" ht="14.25" customHeight="1">
      <c r="A909" s="133">
        <v>57.0</v>
      </c>
      <c r="B909" s="149" t="s">
        <v>2550</v>
      </c>
      <c r="C909" s="149" t="s">
        <v>2551</v>
      </c>
      <c r="D909" s="149" t="s">
        <v>25</v>
      </c>
      <c r="E909" s="149" t="s">
        <v>57</v>
      </c>
      <c r="F909" s="52"/>
      <c r="G909" s="132" t="s">
        <v>2492</v>
      </c>
      <c r="H909" s="132">
        <v>10.0</v>
      </c>
      <c r="I909" s="132">
        <v>50.0</v>
      </c>
      <c r="J909" s="132">
        <v>1.0</v>
      </c>
      <c r="K909" s="132">
        <v>1.0</v>
      </c>
      <c r="L909" s="144" t="s">
        <v>28</v>
      </c>
      <c r="M909" s="144" t="s">
        <v>28</v>
      </c>
      <c r="N909" s="132" t="s">
        <v>2458</v>
      </c>
      <c r="O909" s="132">
        <v>20.0</v>
      </c>
      <c r="P909" s="132" t="s">
        <v>47</v>
      </c>
      <c r="Q909" s="132">
        <v>4.0</v>
      </c>
      <c r="R909" s="132"/>
      <c r="S909" s="52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  <c r="AD909" s="129"/>
    </row>
    <row r="910" ht="14.25" customHeight="1">
      <c r="A910" s="133">
        <v>58.0</v>
      </c>
      <c r="B910" s="149" t="s">
        <v>2552</v>
      </c>
      <c r="C910" s="149" t="s">
        <v>2462</v>
      </c>
      <c r="D910" s="149" t="s">
        <v>25</v>
      </c>
      <c r="E910" s="149" t="s">
        <v>57</v>
      </c>
      <c r="F910" s="52"/>
      <c r="G910" s="132" t="s">
        <v>2553</v>
      </c>
      <c r="H910" s="132">
        <v>40.0</v>
      </c>
      <c r="I910" s="132">
        <v>200.0</v>
      </c>
      <c r="J910" s="132">
        <v>1.0</v>
      </c>
      <c r="K910" s="132">
        <v>1.0</v>
      </c>
      <c r="L910" s="144" t="s">
        <v>28</v>
      </c>
      <c r="M910" s="144" t="s">
        <v>28</v>
      </c>
      <c r="N910" s="132" t="s">
        <v>2458</v>
      </c>
      <c r="O910" s="144" t="s">
        <v>28</v>
      </c>
      <c r="P910" s="132" t="s">
        <v>335</v>
      </c>
      <c r="Q910" s="132">
        <v>0.0</v>
      </c>
      <c r="R910" s="132"/>
      <c r="S910" s="52"/>
      <c r="T910" s="129"/>
      <c r="U910" s="129"/>
      <c r="V910" s="129"/>
      <c r="W910" s="129"/>
      <c r="X910" s="129"/>
      <c r="Y910" s="129"/>
      <c r="Z910" s="129"/>
      <c r="AA910" s="129"/>
      <c r="AB910" s="129"/>
      <c r="AC910" s="129"/>
      <c r="AD910" s="129"/>
    </row>
    <row r="911" ht="14.25" customHeight="1">
      <c r="A911" s="133">
        <v>59.0</v>
      </c>
      <c r="B911" s="149" t="s">
        <v>2554</v>
      </c>
      <c r="C911" s="149" t="s">
        <v>2498</v>
      </c>
      <c r="D911" s="149" t="s">
        <v>25</v>
      </c>
      <c r="E911" s="149" t="s">
        <v>57</v>
      </c>
      <c r="F911" s="52"/>
      <c r="G911" s="132" t="s">
        <v>2553</v>
      </c>
      <c r="H911" s="132">
        <v>40.0</v>
      </c>
      <c r="I911" s="132">
        <v>200.0</v>
      </c>
      <c r="J911" s="132">
        <v>1.0</v>
      </c>
      <c r="K911" s="132">
        <v>1.0</v>
      </c>
      <c r="L911" s="144" t="s">
        <v>28</v>
      </c>
      <c r="M911" s="132" t="s">
        <v>2467</v>
      </c>
      <c r="N911" s="144" t="s">
        <v>28</v>
      </c>
      <c r="O911" s="144" t="s">
        <v>28</v>
      </c>
      <c r="P911" s="132" t="s">
        <v>335</v>
      </c>
      <c r="Q911" s="132">
        <v>0.0</v>
      </c>
      <c r="R911" s="132"/>
      <c r="S911" s="52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  <c r="AD911" s="129"/>
    </row>
    <row r="912" ht="14.25" customHeight="1">
      <c r="A912" s="133">
        <v>60.0</v>
      </c>
      <c r="B912" s="149" t="s">
        <v>2555</v>
      </c>
      <c r="C912" s="149" t="s">
        <v>2450</v>
      </c>
      <c r="D912" s="149" t="s">
        <v>25</v>
      </c>
      <c r="E912" s="149" t="s">
        <v>57</v>
      </c>
      <c r="F912" s="52"/>
      <c r="G912" s="132" t="s">
        <v>2553</v>
      </c>
      <c r="H912" s="132">
        <v>40.0</v>
      </c>
      <c r="I912" s="132">
        <v>200.0</v>
      </c>
      <c r="J912" s="132">
        <v>1.0</v>
      </c>
      <c r="K912" s="132">
        <v>1.0</v>
      </c>
      <c r="L912" s="144" t="s">
        <v>28</v>
      </c>
      <c r="M912" s="144" t="s">
        <v>28</v>
      </c>
      <c r="N912" s="132" t="s">
        <v>2458</v>
      </c>
      <c r="O912" s="144" t="s">
        <v>28</v>
      </c>
      <c r="P912" s="132" t="s">
        <v>335</v>
      </c>
      <c r="Q912" s="132">
        <v>0.0</v>
      </c>
      <c r="R912" s="132"/>
      <c r="S912" s="52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  <c r="AD912" s="129"/>
    </row>
    <row r="913" ht="14.25" customHeight="1">
      <c r="A913" s="133">
        <v>61.0</v>
      </c>
      <c r="B913" s="149" t="s">
        <v>2556</v>
      </c>
      <c r="C913" s="149" t="s">
        <v>2464</v>
      </c>
      <c r="D913" s="149" t="s">
        <v>25</v>
      </c>
      <c r="E913" s="149" t="s">
        <v>57</v>
      </c>
      <c r="F913" s="52"/>
      <c r="G913" s="132" t="s">
        <v>2553</v>
      </c>
      <c r="H913" s="132">
        <v>40.0</v>
      </c>
      <c r="I913" s="132">
        <v>200.0</v>
      </c>
      <c r="J913" s="132">
        <v>1.0</v>
      </c>
      <c r="K913" s="132">
        <v>1.0</v>
      </c>
      <c r="L913" s="144" t="s">
        <v>28</v>
      </c>
      <c r="M913" s="144" t="s">
        <v>28</v>
      </c>
      <c r="N913" s="132" t="s">
        <v>2458</v>
      </c>
      <c r="O913" s="144" t="s">
        <v>28</v>
      </c>
      <c r="P913" s="132" t="s">
        <v>335</v>
      </c>
      <c r="Q913" s="132">
        <v>0.0</v>
      </c>
      <c r="R913" s="132"/>
      <c r="S913" s="52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  <c r="AD913" s="129"/>
    </row>
    <row r="914" ht="14.25" customHeight="1">
      <c r="A914" s="133">
        <v>62.0</v>
      </c>
      <c r="B914" s="149" t="s">
        <v>2557</v>
      </c>
      <c r="C914" s="149" t="s">
        <v>2502</v>
      </c>
      <c r="D914" s="149" t="s">
        <v>25</v>
      </c>
      <c r="E914" s="149" t="s">
        <v>57</v>
      </c>
      <c r="F914" s="52"/>
      <c r="G914" s="132" t="s">
        <v>2553</v>
      </c>
      <c r="H914" s="132">
        <v>40.0</v>
      </c>
      <c r="I914" s="132">
        <v>200.0</v>
      </c>
      <c r="J914" s="132">
        <v>1.0</v>
      </c>
      <c r="K914" s="132">
        <v>1.0</v>
      </c>
      <c r="L914" s="144" t="s">
        <v>28</v>
      </c>
      <c r="M914" s="144" t="s">
        <v>28</v>
      </c>
      <c r="N914" s="132" t="s">
        <v>2458</v>
      </c>
      <c r="O914" s="144" t="s">
        <v>28</v>
      </c>
      <c r="P914" s="132" t="s">
        <v>335</v>
      </c>
      <c r="Q914" s="132">
        <v>0.0</v>
      </c>
      <c r="R914" s="132"/>
      <c r="S914" s="52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  <c r="AD914" s="129"/>
    </row>
    <row r="915" ht="14.25" customHeight="1">
      <c r="A915" s="133">
        <v>63.0</v>
      </c>
      <c r="B915" s="149" t="s">
        <v>2558</v>
      </c>
      <c r="C915" s="149" t="s">
        <v>2466</v>
      </c>
      <c r="D915" s="149" t="s">
        <v>25</v>
      </c>
      <c r="E915" s="149" t="s">
        <v>57</v>
      </c>
      <c r="F915" s="52"/>
      <c r="G915" s="132" t="s">
        <v>2553</v>
      </c>
      <c r="H915" s="132">
        <v>40.0</v>
      </c>
      <c r="I915" s="132">
        <v>200.0</v>
      </c>
      <c r="J915" s="132">
        <v>1.0</v>
      </c>
      <c r="K915" s="132">
        <v>1.0</v>
      </c>
      <c r="L915" s="144" t="s">
        <v>28</v>
      </c>
      <c r="M915" s="132" t="s">
        <v>2467</v>
      </c>
      <c r="N915" s="144" t="s">
        <v>28</v>
      </c>
      <c r="O915" s="144" t="s">
        <v>28</v>
      </c>
      <c r="P915" s="132" t="s">
        <v>335</v>
      </c>
      <c r="Q915" s="132">
        <v>0.0</v>
      </c>
      <c r="R915" s="132"/>
      <c r="S915" s="52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  <c r="AD915" s="129"/>
    </row>
    <row r="916" ht="14.25" customHeight="1">
      <c r="A916" s="133">
        <v>64.0</v>
      </c>
      <c r="B916" s="149" t="s">
        <v>2559</v>
      </c>
      <c r="C916" s="149" t="s">
        <v>2505</v>
      </c>
      <c r="D916" s="149" t="s">
        <v>25</v>
      </c>
      <c r="E916" s="149" t="s">
        <v>2445</v>
      </c>
      <c r="F916" s="52"/>
      <c r="G916" s="132" t="s">
        <v>2553</v>
      </c>
      <c r="H916" s="132">
        <v>40.0</v>
      </c>
      <c r="I916" s="132">
        <v>200.0</v>
      </c>
      <c r="J916" s="132">
        <v>1.0</v>
      </c>
      <c r="K916" s="132">
        <v>1.0</v>
      </c>
      <c r="L916" s="144" t="s">
        <v>28</v>
      </c>
      <c r="M916" s="144" t="s">
        <v>28</v>
      </c>
      <c r="N916" s="132" t="s">
        <v>2458</v>
      </c>
      <c r="O916" s="144" t="s">
        <v>28</v>
      </c>
      <c r="P916" s="132" t="s">
        <v>335</v>
      </c>
      <c r="Q916" s="132">
        <v>0.0</v>
      </c>
      <c r="R916" s="132"/>
      <c r="S916" s="52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  <c r="AD916" s="129"/>
    </row>
    <row r="917" ht="14.25" customHeight="1">
      <c r="A917" s="133">
        <v>65.0</v>
      </c>
      <c r="B917" s="149" t="s">
        <v>2560</v>
      </c>
      <c r="C917" s="149" t="s">
        <v>2472</v>
      </c>
      <c r="D917" s="149" t="s">
        <v>25</v>
      </c>
      <c r="E917" s="149" t="s">
        <v>2470</v>
      </c>
      <c r="F917" s="52"/>
      <c r="G917" s="132" t="s">
        <v>2553</v>
      </c>
      <c r="H917" s="132">
        <v>40.0</v>
      </c>
      <c r="I917" s="132">
        <v>200.0</v>
      </c>
      <c r="J917" s="132">
        <v>1.0</v>
      </c>
      <c r="K917" s="132">
        <v>1.0</v>
      </c>
      <c r="L917" s="144" t="s">
        <v>28</v>
      </c>
      <c r="M917" s="144" t="s">
        <v>28</v>
      </c>
      <c r="N917" s="132" t="s">
        <v>2458</v>
      </c>
      <c r="O917" s="144" t="s">
        <v>28</v>
      </c>
      <c r="P917" s="132" t="s">
        <v>335</v>
      </c>
      <c r="Q917" s="132">
        <v>0.0</v>
      </c>
      <c r="R917" s="132"/>
      <c r="S917" s="52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  <c r="AD917" s="129"/>
    </row>
    <row r="918" ht="14.25" customHeight="1">
      <c r="A918" s="133">
        <v>66.0</v>
      </c>
      <c r="B918" s="149" t="s">
        <v>2561</v>
      </c>
      <c r="C918" s="149" t="s">
        <v>2511</v>
      </c>
      <c r="D918" s="149" t="s">
        <v>25</v>
      </c>
      <c r="E918" s="149" t="s">
        <v>2470</v>
      </c>
      <c r="F918" s="52"/>
      <c r="G918" s="132" t="s">
        <v>2553</v>
      </c>
      <c r="H918" s="132">
        <v>40.0</v>
      </c>
      <c r="I918" s="132">
        <v>200.0</v>
      </c>
      <c r="J918" s="132">
        <v>1.0</v>
      </c>
      <c r="K918" s="132">
        <v>1.0</v>
      </c>
      <c r="L918" s="144" t="s">
        <v>28</v>
      </c>
      <c r="M918" s="144" t="s">
        <v>28</v>
      </c>
      <c r="N918" s="132" t="s">
        <v>2458</v>
      </c>
      <c r="O918" s="144" t="s">
        <v>28</v>
      </c>
      <c r="P918" s="132" t="s">
        <v>335</v>
      </c>
      <c r="Q918" s="132">
        <v>0.0</v>
      </c>
      <c r="R918" s="132"/>
      <c r="S918" s="52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</row>
    <row r="919" ht="14.25" customHeight="1">
      <c r="A919" s="133">
        <v>67.0</v>
      </c>
      <c r="B919" s="149" t="s">
        <v>2562</v>
      </c>
      <c r="C919" s="149" t="s">
        <v>2515</v>
      </c>
      <c r="D919" s="149" t="s">
        <v>25</v>
      </c>
      <c r="E919" s="149" t="s">
        <v>57</v>
      </c>
      <c r="F919" s="52"/>
      <c r="G919" s="132" t="s">
        <v>2553</v>
      </c>
      <c r="H919" s="132">
        <v>40.0</v>
      </c>
      <c r="I919" s="132">
        <v>200.0</v>
      </c>
      <c r="J919" s="132">
        <v>1.0</v>
      </c>
      <c r="K919" s="132">
        <v>1.0</v>
      </c>
      <c r="L919" s="144" t="s">
        <v>28</v>
      </c>
      <c r="M919" s="144" t="s">
        <v>28</v>
      </c>
      <c r="N919" s="132" t="s">
        <v>2458</v>
      </c>
      <c r="O919" s="144" t="s">
        <v>28</v>
      </c>
      <c r="P919" s="132" t="s">
        <v>335</v>
      </c>
      <c r="Q919" s="132">
        <v>0.0</v>
      </c>
      <c r="R919" s="132"/>
      <c r="S919" s="52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</row>
    <row r="920" ht="14.25" customHeight="1">
      <c r="A920" s="133">
        <v>68.0</v>
      </c>
      <c r="B920" s="149" t="s">
        <v>2563</v>
      </c>
      <c r="C920" s="149" t="s">
        <v>2474</v>
      </c>
      <c r="D920" s="149" t="s">
        <v>25</v>
      </c>
      <c r="E920" s="149" t="s">
        <v>2475</v>
      </c>
      <c r="F920" s="52"/>
      <c r="G920" s="132" t="s">
        <v>2553</v>
      </c>
      <c r="H920" s="132">
        <v>40.0</v>
      </c>
      <c r="I920" s="132">
        <v>200.0</v>
      </c>
      <c r="J920" s="132">
        <v>1.0</v>
      </c>
      <c r="K920" s="132">
        <v>1.0</v>
      </c>
      <c r="L920" s="144" t="s">
        <v>28</v>
      </c>
      <c r="M920" s="144" t="s">
        <v>28</v>
      </c>
      <c r="N920" s="132" t="s">
        <v>2458</v>
      </c>
      <c r="O920" s="144" t="s">
        <v>28</v>
      </c>
      <c r="P920" s="132" t="s">
        <v>335</v>
      </c>
      <c r="Q920" s="132">
        <v>0.0</v>
      </c>
      <c r="R920" s="132"/>
      <c r="S920" s="52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  <c r="AD920" s="129"/>
    </row>
    <row r="921" ht="14.25" customHeight="1">
      <c r="A921" s="133">
        <v>69.0</v>
      </c>
      <c r="B921" s="149" t="s">
        <v>2564</v>
      </c>
      <c r="C921" s="149" t="s">
        <v>2452</v>
      </c>
      <c r="D921" s="149" t="s">
        <v>25</v>
      </c>
      <c r="E921" s="149" t="s">
        <v>2518</v>
      </c>
      <c r="F921" s="52"/>
      <c r="G921" s="132" t="s">
        <v>2553</v>
      </c>
      <c r="H921" s="132">
        <v>40.0</v>
      </c>
      <c r="I921" s="132">
        <v>200.0</v>
      </c>
      <c r="J921" s="132">
        <v>1.0</v>
      </c>
      <c r="K921" s="132">
        <v>1.0</v>
      </c>
      <c r="L921" s="144" t="s">
        <v>28</v>
      </c>
      <c r="M921" s="132" t="s">
        <v>2448</v>
      </c>
      <c r="N921" s="144" t="s">
        <v>28</v>
      </c>
      <c r="O921" s="144" t="s">
        <v>28</v>
      </c>
      <c r="P921" s="132" t="s">
        <v>335</v>
      </c>
      <c r="Q921" s="132">
        <v>0.0</v>
      </c>
      <c r="R921" s="132"/>
      <c r="S921" s="52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</row>
    <row r="922" ht="14.25" customHeight="1">
      <c r="A922" s="133">
        <v>70.0</v>
      </c>
      <c r="B922" s="149" t="s">
        <v>2565</v>
      </c>
      <c r="C922" s="149" t="s">
        <v>2520</v>
      </c>
      <c r="D922" s="149" t="s">
        <v>25</v>
      </c>
      <c r="E922" s="149" t="s">
        <v>2521</v>
      </c>
      <c r="F922" s="52"/>
      <c r="G922" s="132" t="s">
        <v>2553</v>
      </c>
      <c r="H922" s="132">
        <v>40.0</v>
      </c>
      <c r="I922" s="132">
        <v>200.0</v>
      </c>
      <c r="J922" s="132">
        <v>1.0</v>
      </c>
      <c r="K922" s="132">
        <v>1.0</v>
      </c>
      <c r="L922" s="144" t="s">
        <v>28</v>
      </c>
      <c r="M922" s="144" t="s">
        <v>28</v>
      </c>
      <c r="N922" s="132" t="s">
        <v>2458</v>
      </c>
      <c r="O922" s="144" t="s">
        <v>28</v>
      </c>
      <c r="P922" s="132" t="s">
        <v>47</v>
      </c>
      <c r="Q922" s="132">
        <v>20.0</v>
      </c>
      <c r="R922" s="132"/>
      <c r="S922" s="52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</row>
    <row r="923" ht="14.25" customHeight="1">
      <c r="A923" s="133">
        <v>71.0</v>
      </c>
      <c r="B923" s="149" t="s">
        <v>2566</v>
      </c>
      <c r="C923" s="149" t="s">
        <v>2479</v>
      </c>
      <c r="D923" s="149" t="s">
        <v>25</v>
      </c>
      <c r="E923" s="149" t="s">
        <v>57</v>
      </c>
      <c r="F923" s="52"/>
      <c r="G923" s="132" t="s">
        <v>2553</v>
      </c>
      <c r="H923" s="132">
        <v>40.0</v>
      </c>
      <c r="I923" s="132">
        <v>200.0</v>
      </c>
      <c r="J923" s="132">
        <v>1.0</v>
      </c>
      <c r="K923" s="132">
        <v>1.0</v>
      </c>
      <c r="L923" s="144" t="s">
        <v>28</v>
      </c>
      <c r="M923" s="144" t="s">
        <v>28</v>
      </c>
      <c r="N923" s="132" t="s">
        <v>2458</v>
      </c>
      <c r="O923" s="144" t="s">
        <v>28</v>
      </c>
      <c r="P923" s="132" t="s">
        <v>47</v>
      </c>
      <c r="Q923" s="132">
        <v>20.0</v>
      </c>
      <c r="R923" s="132"/>
      <c r="S923" s="52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</row>
    <row r="924" ht="14.25" customHeight="1">
      <c r="A924" s="133">
        <v>72.0</v>
      </c>
      <c r="B924" s="149" t="s">
        <v>2567</v>
      </c>
      <c r="C924" s="149" t="s">
        <v>2527</v>
      </c>
      <c r="D924" s="149" t="s">
        <v>25</v>
      </c>
      <c r="E924" s="149" t="s">
        <v>837</v>
      </c>
      <c r="F924" s="52"/>
      <c r="G924" s="132" t="s">
        <v>2553</v>
      </c>
      <c r="H924" s="132">
        <v>40.0</v>
      </c>
      <c r="I924" s="132">
        <v>200.0</v>
      </c>
      <c r="J924" s="132">
        <v>1.0</v>
      </c>
      <c r="K924" s="132">
        <v>1.0</v>
      </c>
      <c r="L924" s="144" t="s">
        <v>28</v>
      </c>
      <c r="M924" s="144" t="s">
        <v>28</v>
      </c>
      <c r="N924" s="132" t="s">
        <v>2458</v>
      </c>
      <c r="O924" s="144" t="s">
        <v>28</v>
      </c>
      <c r="P924" s="132" t="s">
        <v>335</v>
      </c>
      <c r="Q924" s="132">
        <v>0.0</v>
      </c>
      <c r="R924" s="132"/>
      <c r="S924" s="52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</row>
    <row r="925" ht="14.25" customHeight="1">
      <c r="A925" s="133">
        <v>73.0</v>
      </c>
      <c r="B925" s="149" t="s">
        <v>2568</v>
      </c>
      <c r="C925" s="149" t="s">
        <v>2529</v>
      </c>
      <c r="D925" s="149" t="s">
        <v>25</v>
      </c>
      <c r="E925" s="149" t="s">
        <v>57</v>
      </c>
      <c r="F925" s="52"/>
      <c r="G925" s="132" t="s">
        <v>2553</v>
      </c>
      <c r="H925" s="132">
        <v>40.0</v>
      </c>
      <c r="I925" s="132">
        <v>200.0</v>
      </c>
      <c r="J925" s="132">
        <v>1.0</v>
      </c>
      <c r="K925" s="132">
        <v>1.0</v>
      </c>
      <c r="L925" s="144" t="s">
        <v>28</v>
      </c>
      <c r="M925" s="144" t="s">
        <v>28</v>
      </c>
      <c r="N925" s="132" t="s">
        <v>2458</v>
      </c>
      <c r="O925" s="144" t="s">
        <v>28</v>
      </c>
      <c r="P925" s="132" t="s">
        <v>335</v>
      </c>
      <c r="Q925" s="132">
        <v>0.0</v>
      </c>
      <c r="R925" s="132"/>
      <c r="S925" s="52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</row>
    <row r="926" ht="14.25" customHeight="1">
      <c r="A926" s="133">
        <v>74.0</v>
      </c>
      <c r="B926" s="149" t="s">
        <v>2569</v>
      </c>
      <c r="C926" s="149" t="s">
        <v>2535</v>
      </c>
      <c r="D926" s="149" t="s">
        <v>25</v>
      </c>
      <c r="E926" s="149" t="s">
        <v>57</v>
      </c>
      <c r="F926" s="52"/>
      <c r="G926" s="132" t="s">
        <v>2553</v>
      </c>
      <c r="H926" s="132">
        <v>40.0</v>
      </c>
      <c r="I926" s="132">
        <v>200.0</v>
      </c>
      <c r="J926" s="132">
        <v>1.0</v>
      </c>
      <c r="K926" s="132">
        <v>1.0</v>
      </c>
      <c r="L926" s="144" t="s">
        <v>28</v>
      </c>
      <c r="M926" s="132" t="s">
        <v>2467</v>
      </c>
      <c r="N926" s="144" t="s">
        <v>28</v>
      </c>
      <c r="O926" s="144" t="s">
        <v>28</v>
      </c>
      <c r="P926" s="132" t="s">
        <v>335</v>
      </c>
      <c r="Q926" s="132">
        <v>0.0</v>
      </c>
      <c r="R926" s="132"/>
      <c r="S926" s="52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</row>
    <row r="927" ht="14.25" customHeight="1">
      <c r="A927" s="133">
        <v>75.0</v>
      </c>
      <c r="B927" s="149" t="s">
        <v>2570</v>
      </c>
      <c r="C927" s="149" t="s">
        <v>2571</v>
      </c>
      <c r="D927" s="149" t="s">
        <v>25</v>
      </c>
      <c r="E927" s="149" t="s">
        <v>57</v>
      </c>
      <c r="F927" s="52"/>
      <c r="G927" s="132" t="s">
        <v>2553</v>
      </c>
      <c r="H927" s="132">
        <v>40.0</v>
      </c>
      <c r="I927" s="132">
        <v>200.0</v>
      </c>
      <c r="J927" s="132">
        <v>1.0</v>
      </c>
      <c r="K927" s="132">
        <v>1.0</v>
      </c>
      <c r="L927" s="144" t="s">
        <v>28</v>
      </c>
      <c r="M927" s="144" t="s">
        <v>28</v>
      </c>
      <c r="N927" s="132" t="s">
        <v>2458</v>
      </c>
      <c r="O927" s="144" t="s">
        <v>28</v>
      </c>
      <c r="P927" s="132" t="s">
        <v>335</v>
      </c>
      <c r="Q927" s="132">
        <v>0.0</v>
      </c>
      <c r="R927" s="132"/>
      <c r="S927" s="52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</row>
    <row r="928" ht="14.25" customHeight="1">
      <c r="A928" s="133">
        <v>76.0</v>
      </c>
      <c r="B928" s="149" t="s">
        <v>2572</v>
      </c>
      <c r="C928" s="149" t="s">
        <v>2455</v>
      </c>
      <c r="D928" s="149" t="s">
        <v>25</v>
      </c>
      <c r="E928" s="149" t="s">
        <v>57</v>
      </c>
      <c r="F928" s="52"/>
      <c r="G928" s="132" t="s">
        <v>2553</v>
      </c>
      <c r="H928" s="132">
        <v>40.0</v>
      </c>
      <c r="I928" s="132">
        <v>200.0</v>
      </c>
      <c r="J928" s="132">
        <v>1.0</v>
      </c>
      <c r="K928" s="132">
        <v>1.0</v>
      </c>
      <c r="L928" s="144" t="s">
        <v>28</v>
      </c>
      <c r="M928" s="132" t="s">
        <v>2448</v>
      </c>
      <c r="N928" s="144" t="s">
        <v>28</v>
      </c>
      <c r="O928" s="144" t="s">
        <v>28</v>
      </c>
      <c r="P928" s="132" t="s">
        <v>335</v>
      </c>
      <c r="Q928" s="132">
        <v>0.0</v>
      </c>
      <c r="R928" s="132"/>
      <c r="S928" s="52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</row>
    <row r="929" ht="14.25" customHeight="1">
      <c r="A929" s="133">
        <v>77.0</v>
      </c>
      <c r="B929" s="149" t="s">
        <v>2573</v>
      </c>
      <c r="C929" s="149" t="s">
        <v>2482</v>
      </c>
      <c r="D929" s="149" t="s">
        <v>25</v>
      </c>
      <c r="E929" s="149" t="s">
        <v>57</v>
      </c>
      <c r="F929" s="52"/>
      <c r="G929" s="132" t="s">
        <v>2553</v>
      </c>
      <c r="H929" s="132">
        <v>40.0</v>
      </c>
      <c r="I929" s="132">
        <v>200.0</v>
      </c>
      <c r="J929" s="132">
        <v>1.0</v>
      </c>
      <c r="K929" s="132">
        <v>1.0</v>
      </c>
      <c r="L929" s="144" t="s">
        <v>28</v>
      </c>
      <c r="M929" s="132" t="s">
        <v>2467</v>
      </c>
      <c r="N929" s="144" t="s">
        <v>28</v>
      </c>
      <c r="O929" s="144" t="s">
        <v>28</v>
      </c>
      <c r="P929" s="132" t="s">
        <v>335</v>
      </c>
      <c r="Q929" s="132">
        <v>0.0</v>
      </c>
      <c r="R929" s="132"/>
      <c r="S929" s="52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</row>
    <row r="930" ht="14.25" customHeight="1">
      <c r="A930" s="133">
        <v>78.0</v>
      </c>
      <c r="B930" s="149" t="s">
        <v>2574</v>
      </c>
      <c r="C930" s="149" t="s">
        <v>2546</v>
      </c>
      <c r="D930" s="149" t="s">
        <v>25</v>
      </c>
      <c r="E930" s="149" t="s">
        <v>57</v>
      </c>
      <c r="F930" s="52"/>
      <c r="G930" s="132" t="s">
        <v>2553</v>
      </c>
      <c r="H930" s="132">
        <v>40.0</v>
      </c>
      <c r="I930" s="132">
        <v>200.0</v>
      </c>
      <c r="J930" s="132">
        <v>1.0</v>
      </c>
      <c r="K930" s="132">
        <v>1.0</v>
      </c>
      <c r="L930" s="144" t="s">
        <v>28</v>
      </c>
      <c r="M930" s="132" t="s">
        <v>2467</v>
      </c>
      <c r="N930" s="144" t="s">
        <v>28</v>
      </c>
      <c r="O930" s="144" t="s">
        <v>28</v>
      </c>
      <c r="P930" s="132" t="s">
        <v>335</v>
      </c>
      <c r="Q930" s="132">
        <v>0.0</v>
      </c>
      <c r="R930" s="132"/>
      <c r="S930" s="52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</row>
    <row r="931" ht="14.25" customHeight="1">
      <c r="A931" s="133">
        <v>79.0</v>
      </c>
      <c r="B931" s="149" t="s">
        <v>2575</v>
      </c>
      <c r="C931" s="149" t="s">
        <v>2486</v>
      </c>
      <c r="D931" s="149" t="s">
        <v>25</v>
      </c>
      <c r="E931" s="149" t="s">
        <v>2521</v>
      </c>
      <c r="F931" s="52"/>
      <c r="G931" s="132" t="s">
        <v>2553</v>
      </c>
      <c r="H931" s="132">
        <v>40.0</v>
      </c>
      <c r="I931" s="132">
        <v>200.0</v>
      </c>
      <c r="J931" s="132">
        <v>1.0</v>
      </c>
      <c r="K931" s="132">
        <v>1.0</v>
      </c>
      <c r="L931" s="144" t="s">
        <v>28</v>
      </c>
      <c r="M931" s="144" t="s">
        <v>28</v>
      </c>
      <c r="N931" s="132" t="s">
        <v>2458</v>
      </c>
      <c r="O931" s="144" t="s">
        <v>28</v>
      </c>
      <c r="P931" s="132" t="s">
        <v>335</v>
      </c>
      <c r="Q931" s="132">
        <v>0.0</v>
      </c>
      <c r="R931" s="132"/>
      <c r="S931" s="52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</row>
    <row r="932" ht="14.25" customHeight="1">
      <c r="A932" s="133">
        <v>80.0</v>
      </c>
      <c r="B932" s="149" t="s">
        <v>2576</v>
      </c>
      <c r="C932" s="149" t="s">
        <v>2551</v>
      </c>
      <c r="D932" s="149" t="s">
        <v>25</v>
      </c>
      <c r="E932" s="149" t="s">
        <v>57</v>
      </c>
      <c r="F932" s="52"/>
      <c r="G932" s="132" t="s">
        <v>2553</v>
      </c>
      <c r="H932" s="132">
        <v>40.0</v>
      </c>
      <c r="I932" s="132">
        <v>200.0</v>
      </c>
      <c r="J932" s="132">
        <v>1.0</v>
      </c>
      <c r="K932" s="132">
        <v>1.0</v>
      </c>
      <c r="L932" s="144" t="s">
        <v>28</v>
      </c>
      <c r="M932" s="144" t="s">
        <v>28</v>
      </c>
      <c r="N932" s="132" t="s">
        <v>2458</v>
      </c>
      <c r="O932" s="144" t="s">
        <v>28</v>
      </c>
      <c r="P932" s="132" t="s">
        <v>335</v>
      </c>
      <c r="Q932" s="132">
        <v>0.0</v>
      </c>
      <c r="R932" s="132"/>
      <c r="S932" s="52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  <c r="AD932" s="129"/>
    </row>
    <row r="933" ht="15.75" customHeight="1">
      <c r="A933" s="181"/>
      <c r="B933" s="182" t="s">
        <v>2577</v>
      </c>
      <c r="C933" s="182"/>
      <c r="D933" s="182"/>
      <c r="E933" s="182"/>
      <c r="F933" s="182"/>
      <c r="G933" s="183"/>
      <c r="H933" s="184"/>
      <c r="I933" s="184"/>
      <c r="J933" s="185"/>
      <c r="K933" s="185"/>
      <c r="L933" s="185"/>
      <c r="M933" s="185"/>
      <c r="N933" s="185"/>
      <c r="O933" s="185"/>
      <c r="P933" s="184"/>
      <c r="Q933" s="185"/>
      <c r="R933" s="141"/>
      <c r="S933" s="142"/>
      <c r="T933" s="142"/>
      <c r="U933" s="142"/>
      <c r="V933" s="142"/>
      <c r="W933" s="142"/>
      <c r="X933" s="142"/>
      <c r="Y933" s="142"/>
      <c r="Z933" s="142"/>
      <c r="AA933" s="142"/>
      <c r="AB933" s="142"/>
      <c r="AC933" s="142"/>
      <c r="AD933" s="142"/>
    </row>
    <row r="934" ht="14.25" customHeight="1">
      <c r="A934" s="133">
        <v>1.0</v>
      </c>
      <c r="B934" s="149" t="s">
        <v>2578</v>
      </c>
      <c r="C934" s="149" t="s">
        <v>2579</v>
      </c>
      <c r="D934" s="149" t="s">
        <v>25</v>
      </c>
      <c r="E934" s="149" t="s">
        <v>57</v>
      </c>
      <c r="F934" s="52"/>
      <c r="G934" s="132">
        <v>1200.0</v>
      </c>
      <c r="H934" s="132">
        <v>150.0</v>
      </c>
      <c r="I934" s="132">
        <v>800.0</v>
      </c>
      <c r="J934" s="132">
        <v>5.0</v>
      </c>
      <c r="K934" s="132">
        <v>5.0</v>
      </c>
      <c r="L934" s="132" t="s">
        <v>1257</v>
      </c>
      <c r="M934" s="132" t="s">
        <v>335</v>
      </c>
      <c r="N934" s="132" t="s">
        <v>47</v>
      </c>
      <c r="O934" s="132" t="s">
        <v>1257</v>
      </c>
      <c r="P934" s="132" t="s">
        <v>66</v>
      </c>
      <c r="Q934" s="132">
        <v>48.0</v>
      </c>
      <c r="R934" s="132"/>
      <c r="S934" s="52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  <c r="AD934" s="129"/>
    </row>
    <row r="935" ht="14.25" customHeight="1">
      <c r="A935" s="133">
        <v>2.0</v>
      </c>
      <c r="B935" s="149" t="s">
        <v>2580</v>
      </c>
      <c r="C935" s="149" t="s">
        <v>2579</v>
      </c>
      <c r="D935" s="149" t="s">
        <v>25</v>
      </c>
      <c r="E935" s="149" t="s">
        <v>57</v>
      </c>
      <c r="F935" s="52"/>
      <c r="G935" s="132">
        <v>300.0</v>
      </c>
      <c r="H935" s="132">
        <v>20.0</v>
      </c>
      <c r="I935" s="132">
        <v>100.0</v>
      </c>
      <c r="J935" s="132">
        <v>2.0</v>
      </c>
      <c r="K935" s="132">
        <v>2.0</v>
      </c>
      <c r="L935" s="132" t="s">
        <v>1257</v>
      </c>
      <c r="M935" s="132" t="s">
        <v>335</v>
      </c>
      <c r="N935" s="132" t="s">
        <v>47</v>
      </c>
      <c r="O935" s="132" t="s">
        <v>1257</v>
      </c>
      <c r="P935" s="132" t="s">
        <v>29</v>
      </c>
      <c r="Q935" s="144" t="s">
        <v>28</v>
      </c>
      <c r="R935" s="132"/>
      <c r="S935" s="52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  <c r="AD935" s="129"/>
    </row>
    <row r="936" ht="14.25" customHeight="1">
      <c r="A936" s="133">
        <v>3.0</v>
      </c>
      <c r="B936" s="149" t="s">
        <v>2581</v>
      </c>
      <c r="C936" s="149" t="s">
        <v>2582</v>
      </c>
      <c r="D936" s="149" t="s">
        <v>25</v>
      </c>
      <c r="E936" s="149" t="s">
        <v>57</v>
      </c>
      <c r="F936" s="52"/>
      <c r="G936" s="132">
        <v>400.0</v>
      </c>
      <c r="H936" s="132">
        <v>20.0</v>
      </c>
      <c r="I936" s="132">
        <v>100.0</v>
      </c>
      <c r="J936" s="132">
        <v>2.0</v>
      </c>
      <c r="K936" s="132">
        <v>2.0</v>
      </c>
      <c r="L936" s="132" t="s">
        <v>1257</v>
      </c>
      <c r="M936" s="132" t="s">
        <v>335</v>
      </c>
      <c r="N936" s="132" t="s">
        <v>47</v>
      </c>
      <c r="O936" s="132" t="s">
        <v>1257</v>
      </c>
      <c r="P936" s="132" t="s">
        <v>29</v>
      </c>
      <c r="Q936" s="144" t="s">
        <v>28</v>
      </c>
      <c r="R936" s="132"/>
      <c r="S936" s="52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  <c r="AD936" s="129"/>
    </row>
    <row r="937" ht="14.25" customHeight="1">
      <c r="A937" s="133">
        <v>4.0</v>
      </c>
      <c r="B937" s="149" t="s">
        <v>2583</v>
      </c>
      <c r="C937" s="149" t="s">
        <v>2584</v>
      </c>
      <c r="D937" s="149" t="s">
        <v>25</v>
      </c>
      <c r="E937" s="149" t="s">
        <v>57</v>
      </c>
      <c r="F937" s="52"/>
      <c r="G937" s="132">
        <v>100.0</v>
      </c>
      <c r="H937" s="132">
        <v>10.0</v>
      </c>
      <c r="I937" s="132">
        <v>50.0</v>
      </c>
      <c r="J937" s="132">
        <v>1.0</v>
      </c>
      <c r="K937" s="132">
        <v>1.0</v>
      </c>
      <c r="L937" s="132" t="s">
        <v>1257</v>
      </c>
      <c r="M937" s="132" t="s">
        <v>335</v>
      </c>
      <c r="N937" s="132" t="s">
        <v>47</v>
      </c>
      <c r="O937" s="132" t="s">
        <v>1257</v>
      </c>
      <c r="P937" s="132" t="s">
        <v>29</v>
      </c>
      <c r="Q937" s="144" t="s">
        <v>28</v>
      </c>
      <c r="R937" s="132"/>
      <c r="S937" s="52"/>
      <c r="T937" s="129"/>
      <c r="U937" s="129"/>
      <c r="V937" s="129"/>
      <c r="W937" s="129"/>
      <c r="X937" s="129"/>
      <c r="Y937" s="129"/>
      <c r="Z937" s="129"/>
      <c r="AA937" s="129"/>
      <c r="AB937" s="129"/>
      <c r="AC937" s="129"/>
      <c r="AD937" s="129"/>
    </row>
    <row r="938" ht="14.25" customHeight="1">
      <c r="A938" s="133">
        <v>5.0</v>
      </c>
      <c r="B938" s="149" t="s">
        <v>2585</v>
      </c>
      <c r="C938" s="149" t="s">
        <v>2586</v>
      </c>
      <c r="D938" s="149" t="s">
        <v>25</v>
      </c>
      <c r="E938" s="149" t="s">
        <v>57</v>
      </c>
      <c r="F938" s="52"/>
      <c r="G938" s="132">
        <v>200.0</v>
      </c>
      <c r="H938" s="132">
        <v>20.0</v>
      </c>
      <c r="I938" s="132">
        <v>100.0</v>
      </c>
      <c r="J938" s="132">
        <v>1.0</v>
      </c>
      <c r="K938" s="132">
        <v>1.0</v>
      </c>
      <c r="L938" s="132" t="s">
        <v>1257</v>
      </c>
      <c r="M938" s="132" t="s">
        <v>335</v>
      </c>
      <c r="N938" s="132" t="s">
        <v>47</v>
      </c>
      <c r="O938" s="132" t="s">
        <v>1257</v>
      </c>
      <c r="P938" s="132" t="s">
        <v>29</v>
      </c>
      <c r="Q938" s="144" t="s">
        <v>28</v>
      </c>
      <c r="R938" s="132"/>
      <c r="S938" s="52"/>
      <c r="T938" s="129"/>
      <c r="U938" s="129"/>
      <c r="V938" s="129"/>
      <c r="W938" s="129"/>
      <c r="X938" s="129"/>
      <c r="Y938" s="129"/>
      <c r="Z938" s="129"/>
      <c r="AA938" s="129"/>
      <c r="AB938" s="129"/>
      <c r="AC938" s="129"/>
      <c r="AD938" s="129"/>
    </row>
    <row r="939" ht="15.75" customHeight="1">
      <c r="A939" s="181"/>
      <c r="B939" s="182" t="s">
        <v>2587</v>
      </c>
      <c r="C939" s="182"/>
      <c r="D939" s="182"/>
      <c r="E939" s="182"/>
      <c r="F939" s="182"/>
      <c r="G939" s="183"/>
      <c r="H939" s="184"/>
      <c r="I939" s="184"/>
      <c r="J939" s="185"/>
      <c r="K939" s="185"/>
      <c r="L939" s="185"/>
      <c r="M939" s="185"/>
      <c r="N939" s="185"/>
      <c r="O939" s="185"/>
      <c r="P939" s="184"/>
      <c r="Q939" s="185"/>
      <c r="R939" s="141"/>
      <c r="S939" s="142"/>
      <c r="T939" s="142"/>
      <c r="U939" s="142"/>
      <c r="V939" s="142"/>
      <c r="W939" s="142"/>
      <c r="X939" s="142"/>
      <c r="Y939" s="142"/>
      <c r="Z939" s="142"/>
      <c r="AA939" s="142"/>
      <c r="AB939" s="142"/>
      <c r="AC939" s="142"/>
      <c r="AD939" s="142"/>
    </row>
    <row r="940" ht="30.0" customHeight="1">
      <c r="A940" s="133">
        <v>1.0</v>
      </c>
      <c r="B940" s="131" t="s">
        <v>2588</v>
      </c>
      <c r="C940" s="131" t="s">
        <v>2589</v>
      </c>
      <c r="D940" s="149" t="s">
        <v>25</v>
      </c>
      <c r="E940" s="149" t="s">
        <v>57</v>
      </c>
      <c r="F940" s="55"/>
      <c r="G940" s="130">
        <v>240.0</v>
      </c>
      <c r="H940" s="130">
        <v>8.0</v>
      </c>
      <c r="I940" s="130">
        <v>40.0</v>
      </c>
      <c r="J940" s="130">
        <v>2.0</v>
      </c>
      <c r="K940" s="130">
        <v>2.0</v>
      </c>
      <c r="L940" s="130">
        <v>0.0</v>
      </c>
      <c r="M940" s="130" t="s">
        <v>2590</v>
      </c>
      <c r="N940" s="130" t="s">
        <v>138</v>
      </c>
      <c r="O940" s="130">
        <v>500.0</v>
      </c>
      <c r="P940" s="130" t="s">
        <v>66</v>
      </c>
      <c r="Q940" s="130">
        <v>17.0</v>
      </c>
      <c r="R940" s="132"/>
      <c r="S940" s="52"/>
      <c r="T940" s="129"/>
      <c r="U940" s="129"/>
      <c r="V940" s="129"/>
      <c r="W940" s="129"/>
      <c r="X940" s="129"/>
      <c r="Y940" s="129"/>
      <c r="Z940" s="129"/>
      <c r="AA940" s="129"/>
      <c r="AB940" s="129"/>
      <c r="AC940" s="129"/>
      <c r="AD940" s="129"/>
    </row>
    <row r="941" ht="14.25" customHeight="1">
      <c r="A941" s="133">
        <v>2.0</v>
      </c>
      <c r="B941" s="149" t="s">
        <v>2591</v>
      </c>
      <c r="C941" s="149" t="s">
        <v>2592</v>
      </c>
      <c r="D941" s="149" t="s">
        <v>25</v>
      </c>
      <c r="E941" s="149" t="s">
        <v>57</v>
      </c>
      <c r="F941" s="52"/>
      <c r="G941" s="132">
        <v>1151.47</v>
      </c>
      <c r="H941" s="144" t="s">
        <v>28</v>
      </c>
      <c r="I941" s="144" t="s">
        <v>28</v>
      </c>
      <c r="J941" s="132">
        <v>5.0</v>
      </c>
      <c r="K941" s="132">
        <v>5.0</v>
      </c>
      <c r="L941" s="130">
        <v>3.0</v>
      </c>
      <c r="M941" s="130" t="s">
        <v>2590</v>
      </c>
      <c r="N941" s="130" t="s">
        <v>27</v>
      </c>
      <c r="O941" s="130">
        <v>651.0</v>
      </c>
      <c r="P941" s="130" t="s">
        <v>29</v>
      </c>
      <c r="Q941" s="132"/>
      <c r="R941" s="132"/>
      <c r="S941" s="52"/>
      <c r="T941" s="129"/>
      <c r="U941" s="129"/>
      <c r="V941" s="129"/>
      <c r="W941" s="129"/>
      <c r="X941" s="129"/>
      <c r="Y941" s="129"/>
      <c r="Z941" s="129"/>
      <c r="AA941" s="129"/>
      <c r="AB941" s="129"/>
      <c r="AC941" s="129"/>
      <c r="AD941" s="129"/>
    </row>
    <row r="942" ht="14.25" customHeight="1">
      <c r="A942" s="133">
        <v>3.0</v>
      </c>
      <c r="B942" s="149" t="s">
        <v>1444</v>
      </c>
      <c r="C942" s="149" t="s">
        <v>2593</v>
      </c>
      <c r="D942" s="149" t="s">
        <v>25</v>
      </c>
      <c r="E942" s="149" t="s">
        <v>57</v>
      </c>
      <c r="F942" s="52"/>
      <c r="G942" s="150">
        <v>10654.0</v>
      </c>
      <c r="H942" s="144" t="s">
        <v>28</v>
      </c>
      <c r="I942" s="144" t="s">
        <v>28</v>
      </c>
      <c r="J942" s="144" t="s">
        <v>28</v>
      </c>
      <c r="K942" s="144" t="s">
        <v>28</v>
      </c>
      <c r="L942" s="130">
        <v>0.0</v>
      </c>
      <c r="M942" s="130" t="s">
        <v>2590</v>
      </c>
      <c r="N942" s="130" t="s">
        <v>138</v>
      </c>
      <c r="O942" s="144" t="s">
        <v>28</v>
      </c>
      <c r="P942" s="130" t="s">
        <v>66</v>
      </c>
      <c r="Q942" s="132">
        <v>25.0</v>
      </c>
      <c r="R942" s="132"/>
      <c r="S942" s="52"/>
      <c r="T942" s="129"/>
      <c r="U942" s="129"/>
      <c r="V942" s="129"/>
      <c r="W942" s="129"/>
      <c r="X942" s="129"/>
      <c r="Y942" s="129"/>
      <c r="Z942" s="129"/>
      <c r="AA942" s="129"/>
      <c r="AB942" s="129"/>
      <c r="AC942" s="129"/>
      <c r="AD942" s="129"/>
    </row>
    <row r="943" ht="14.25" customHeight="1">
      <c r="A943" s="133">
        <v>4.0</v>
      </c>
      <c r="B943" s="149" t="s">
        <v>2594</v>
      </c>
      <c r="C943" s="149" t="s">
        <v>2595</v>
      </c>
      <c r="D943" s="149" t="s">
        <v>25</v>
      </c>
      <c r="E943" s="149" t="s">
        <v>57</v>
      </c>
      <c r="F943" s="52"/>
      <c r="G943" s="150">
        <v>28099.0</v>
      </c>
      <c r="H943" s="144" t="s">
        <v>28</v>
      </c>
      <c r="I943" s="144" t="s">
        <v>28</v>
      </c>
      <c r="J943" s="144" t="s">
        <v>28</v>
      </c>
      <c r="K943" s="144" t="s">
        <v>28</v>
      </c>
      <c r="L943" s="130">
        <v>0.0</v>
      </c>
      <c r="M943" s="132" t="s">
        <v>2596</v>
      </c>
      <c r="N943" s="130" t="s">
        <v>138</v>
      </c>
      <c r="O943" s="144" t="s">
        <v>28</v>
      </c>
      <c r="P943" s="130" t="s">
        <v>29</v>
      </c>
      <c r="Q943" s="132" t="s">
        <v>39</v>
      </c>
      <c r="R943" s="132"/>
      <c r="S943" s="52"/>
      <c r="T943" s="129"/>
      <c r="U943" s="129"/>
      <c r="V943" s="129"/>
      <c r="W943" s="129"/>
      <c r="X943" s="129"/>
      <c r="Y943" s="129"/>
      <c r="Z943" s="129"/>
      <c r="AA943" s="129"/>
      <c r="AB943" s="129"/>
      <c r="AC943" s="129"/>
      <c r="AD943" s="129"/>
    </row>
    <row r="944" ht="14.25" customHeight="1">
      <c r="A944" s="133">
        <v>5.0</v>
      </c>
      <c r="B944" s="149" t="s">
        <v>2597</v>
      </c>
      <c r="C944" s="149" t="s">
        <v>2598</v>
      </c>
      <c r="D944" s="149" t="s">
        <v>25</v>
      </c>
      <c r="E944" s="149" t="s">
        <v>57</v>
      </c>
      <c r="F944" s="52"/>
      <c r="G944" s="150">
        <v>17453.0</v>
      </c>
      <c r="H944" s="144" t="s">
        <v>28</v>
      </c>
      <c r="I944" s="144" t="s">
        <v>28</v>
      </c>
      <c r="J944" s="144" t="s">
        <v>28</v>
      </c>
      <c r="K944" s="144" t="s">
        <v>28</v>
      </c>
      <c r="L944" s="130">
        <v>0.0</v>
      </c>
      <c r="M944" s="132" t="s">
        <v>2596</v>
      </c>
      <c r="N944" s="130" t="s">
        <v>138</v>
      </c>
      <c r="O944" s="144" t="s">
        <v>28</v>
      </c>
      <c r="P944" s="130" t="s">
        <v>66</v>
      </c>
      <c r="Q944" s="132" t="s">
        <v>39</v>
      </c>
      <c r="R944" s="132"/>
      <c r="S944" s="52"/>
      <c r="T944" s="129"/>
      <c r="U944" s="129"/>
      <c r="V944" s="129"/>
      <c r="W944" s="129"/>
      <c r="X944" s="129"/>
      <c r="Y944" s="129"/>
      <c r="Z944" s="129"/>
      <c r="AA944" s="129"/>
      <c r="AB944" s="129"/>
      <c r="AC944" s="129"/>
      <c r="AD944" s="129"/>
    </row>
    <row r="945" ht="14.25" customHeight="1">
      <c r="A945" s="133">
        <v>6.0</v>
      </c>
      <c r="B945" s="149" t="s">
        <v>2599</v>
      </c>
      <c r="C945" s="149" t="s">
        <v>2598</v>
      </c>
      <c r="D945" s="149" t="s">
        <v>25</v>
      </c>
      <c r="E945" s="149" t="s">
        <v>57</v>
      </c>
      <c r="F945" s="52"/>
      <c r="G945" s="150">
        <v>18893.0</v>
      </c>
      <c r="H945" s="144" t="s">
        <v>28</v>
      </c>
      <c r="I945" s="144" t="s">
        <v>28</v>
      </c>
      <c r="J945" s="144" t="s">
        <v>28</v>
      </c>
      <c r="K945" s="144" t="s">
        <v>28</v>
      </c>
      <c r="L945" s="130">
        <v>0.0</v>
      </c>
      <c r="M945" s="132" t="s">
        <v>2596</v>
      </c>
      <c r="N945" s="130" t="s">
        <v>138</v>
      </c>
      <c r="O945" s="144" t="s">
        <v>28</v>
      </c>
      <c r="P945" s="130" t="s">
        <v>29</v>
      </c>
      <c r="Q945" s="132" t="s">
        <v>39</v>
      </c>
      <c r="R945" s="132"/>
      <c r="S945" s="52"/>
      <c r="T945" s="129"/>
      <c r="U945" s="129"/>
      <c r="V945" s="129"/>
      <c r="W945" s="129"/>
      <c r="X945" s="129"/>
      <c r="Y945" s="129"/>
      <c r="Z945" s="129"/>
      <c r="AA945" s="129"/>
      <c r="AB945" s="129"/>
      <c r="AC945" s="129"/>
      <c r="AD945" s="129"/>
    </row>
    <row r="946" ht="14.25" customHeight="1">
      <c r="A946" s="133">
        <v>7.0</v>
      </c>
      <c r="B946" s="149" t="s">
        <v>2600</v>
      </c>
      <c r="C946" s="149" t="s">
        <v>2601</v>
      </c>
      <c r="D946" s="149" t="s">
        <v>25</v>
      </c>
      <c r="E946" s="149" t="s">
        <v>57</v>
      </c>
      <c r="F946" s="52"/>
      <c r="G946" s="150">
        <v>3329.0</v>
      </c>
      <c r="H946" s="150">
        <v>32.0</v>
      </c>
      <c r="I946" s="132">
        <v>162.0</v>
      </c>
      <c r="J946" s="132">
        <v>1.0</v>
      </c>
      <c r="K946" s="132">
        <v>1.0</v>
      </c>
      <c r="L946" s="130">
        <v>8.0</v>
      </c>
      <c r="M946" s="132" t="s">
        <v>2596</v>
      </c>
      <c r="N946" s="130" t="s">
        <v>138</v>
      </c>
      <c r="O946" s="132">
        <v>151.0</v>
      </c>
      <c r="P946" s="130" t="s">
        <v>66</v>
      </c>
      <c r="Q946" s="132" t="s">
        <v>39</v>
      </c>
      <c r="R946" s="132"/>
      <c r="S946" s="52"/>
      <c r="T946" s="129"/>
      <c r="U946" s="129"/>
      <c r="V946" s="129"/>
      <c r="W946" s="129"/>
      <c r="X946" s="129"/>
      <c r="Y946" s="129"/>
      <c r="Z946" s="129"/>
      <c r="AA946" s="129"/>
      <c r="AB946" s="129"/>
      <c r="AC946" s="129"/>
      <c r="AD946" s="129"/>
    </row>
    <row r="947" ht="14.25" customHeight="1">
      <c r="A947" s="133">
        <v>8.0</v>
      </c>
      <c r="B947" s="149" t="s">
        <v>2602</v>
      </c>
      <c r="C947" s="149" t="s">
        <v>2603</v>
      </c>
      <c r="D947" s="149" t="s">
        <v>25</v>
      </c>
      <c r="E947" s="149" t="s">
        <v>57</v>
      </c>
      <c r="F947" s="52"/>
      <c r="G947" s="150">
        <v>2695.0</v>
      </c>
      <c r="H947" s="150">
        <v>87.0</v>
      </c>
      <c r="I947" s="132">
        <v>433.0</v>
      </c>
      <c r="J947" s="132">
        <v>3.0</v>
      </c>
      <c r="K947" s="132">
        <v>3.0</v>
      </c>
      <c r="L947" s="130">
        <v>10.0</v>
      </c>
      <c r="M947" s="132" t="s">
        <v>2604</v>
      </c>
      <c r="N947" s="130" t="s">
        <v>138</v>
      </c>
      <c r="O947" s="132">
        <v>328.0</v>
      </c>
      <c r="P947" s="130" t="s">
        <v>66</v>
      </c>
      <c r="Q947" s="132" t="s">
        <v>39</v>
      </c>
      <c r="R947" s="132"/>
      <c r="S947" s="52"/>
      <c r="T947" s="129"/>
      <c r="U947" s="129"/>
      <c r="V947" s="129"/>
      <c r="W947" s="129"/>
      <c r="X947" s="129"/>
      <c r="Y947" s="129"/>
      <c r="Z947" s="129"/>
      <c r="AA947" s="129"/>
      <c r="AB947" s="129"/>
      <c r="AC947" s="129"/>
      <c r="AD947" s="129"/>
    </row>
    <row r="948" ht="14.25" customHeight="1">
      <c r="A948" s="133">
        <v>9.0</v>
      </c>
      <c r="B948" s="149" t="s">
        <v>2605</v>
      </c>
      <c r="C948" s="149" t="s">
        <v>2606</v>
      </c>
      <c r="D948" s="149" t="s">
        <v>25</v>
      </c>
      <c r="E948" s="149" t="s">
        <v>57</v>
      </c>
      <c r="F948" s="52"/>
      <c r="G948" s="150">
        <v>1538.0</v>
      </c>
      <c r="H948" s="132">
        <v>41.0</v>
      </c>
      <c r="I948" s="132">
        <v>204.0</v>
      </c>
      <c r="J948" s="132">
        <v>1.0</v>
      </c>
      <c r="K948" s="132">
        <v>2.0</v>
      </c>
      <c r="L948" s="130">
        <v>3.0</v>
      </c>
      <c r="M948" s="132" t="s">
        <v>2604</v>
      </c>
      <c r="N948" s="130" t="s">
        <v>138</v>
      </c>
      <c r="O948" s="132">
        <v>128.0</v>
      </c>
      <c r="P948" s="130" t="s">
        <v>66</v>
      </c>
      <c r="Q948" s="132" t="s">
        <v>39</v>
      </c>
      <c r="R948" s="132"/>
      <c r="S948" s="52"/>
      <c r="T948" s="129"/>
      <c r="U948" s="129"/>
      <c r="V948" s="129"/>
      <c r="W948" s="129"/>
      <c r="X948" s="129"/>
      <c r="Y948" s="129"/>
      <c r="Z948" s="129"/>
      <c r="AA948" s="129"/>
      <c r="AB948" s="129"/>
      <c r="AC948" s="129"/>
      <c r="AD948" s="129"/>
    </row>
    <row r="949" ht="14.25" customHeight="1">
      <c r="A949" s="133">
        <v>10.0</v>
      </c>
      <c r="B949" s="149" t="s">
        <v>2607</v>
      </c>
      <c r="C949" s="149" t="s">
        <v>2608</v>
      </c>
      <c r="D949" s="149" t="s">
        <v>25</v>
      </c>
      <c r="E949" s="149" t="s">
        <v>57</v>
      </c>
      <c r="F949" s="52"/>
      <c r="G949" s="150">
        <v>5846.0</v>
      </c>
      <c r="H949" s="132">
        <v>80.0</v>
      </c>
      <c r="I949" s="132">
        <v>398.0</v>
      </c>
      <c r="J949" s="132">
        <v>4.0</v>
      </c>
      <c r="K949" s="132">
        <v>4.0</v>
      </c>
      <c r="L949" s="130">
        <v>9.0</v>
      </c>
      <c r="M949" s="132" t="s">
        <v>2604</v>
      </c>
      <c r="N949" s="130" t="s">
        <v>138</v>
      </c>
      <c r="O949" s="132">
        <v>195.0</v>
      </c>
      <c r="P949" s="130" t="s">
        <v>66</v>
      </c>
      <c r="Q949" s="132" t="s">
        <v>39</v>
      </c>
      <c r="R949" s="132"/>
      <c r="S949" s="52"/>
      <c r="T949" s="129"/>
      <c r="U949" s="129"/>
      <c r="V949" s="129"/>
      <c r="W949" s="129"/>
      <c r="X949" s="129"/>
      <c r="Y949" s="129"/>
      <c r="Z949" s="129"/>
      <c r="AA949" s="129"/>
      <c r="AB949" s="129"/>
      <c r="AC949" s="129"/>
      <c r="AD949" s="129"/>
    </row>
    <row r="950" ht="14.25" customHeight="1">
      <c r="A950" s="133">
        <v>11.0</v>
      </c>
      <c r="B950" s="149" t="s">
        <v>2609</v>
      </c>
      <c r="C950" s="149" t="s">
        <v>2610</v>
      </c>
      <c r="D950" s="149" t="s">
        <v>25</v>
      </c>
      <c r="E950" s="149" t="s">
        <v>57</v>
      </c>
      <c r="F950" s="52"/>
      <c r="G950" s="150">
        <v>5000.0</v>
      </c>
      <c r="H950" s="150">
        <v>44.0</v>
      </c>
      <c r="I950" s="132">
        <v>222.0</v>
      </c>
      <c r="J950" s="132">
        <v>2.0</v>
      </c>
      <c r="K950" s="132">
        <v>2.0</v>
      </c>
      <c r="L950" s="130">
        <v>5.0</v>
      </c>
      <c r="M950" s="132" t="s">
        <v>2604</v>
      </c>
      <c r="N950" s="130" t="s">
        <v>27</v>
      </c>
      <c r="O950" s="132">
        <v>154.0</v>
      </c>
      <c r="P950" s="130" t="s">
        <v>66</v>
      </c>
      <c r="Q950" s="132" t="s">
        <v>39</v>
      </c>
      <c r="R950" s="132"/>
      <c r="S950" s="52"/>
      <c r="T950" s="129"/>
      <c r="U950" s="129"/>
      <c r="V950" s="129"/>
      <c r="W950" s="129"/>
      <c r="X950" s="129"/>
      <c r="Y950" s="129"/>
      <c r="Z950" s="129"/>
      <c r="AA950" s="129"/>
      <c r="AB950" s="129"/>
      <c r="AC950" s="129"/>
      <c r="AD950" s="129"/>
    </row>
    <row r="951" ht="14.25" customHeight="1">
      <c r="A951" s="133">
        <v>12.0</v>
      </c>
      <c r="B951" s="149" t="s">
        <v>2611</v>
      </c>
      <c r="C951" s="149" t="s">
        <v>2612</v>
      </c>
      <c r="D951" s="149" t="s">
        <v>25</v>
      </c>
      <c r="E951" s="149" t="s">
        <v>57</v>
      </c>
      <c r="F951" s="52"/>
      <c r="G951" s="132">
        <v>988.0</v>
      </c>
      <c r="H951" s="132">
        <v>47.0</v>
      </c>
      <c r="I951" s="132">
        <v>237.0</v>
      </c>
      <c r="J951" s="132">
        <v>1.0</v>
      </c>
      <c r="K951" s="132">
        <v>1.0</v>
      </c>
      <c r="L951" s="130">
        <v>4.0</v>
      </c>
      <c r="M951" s="132" t="s">
        <v>2604</v>
      </c>
      <c r="N951" s="130" t="s">
        <v>138</v>
      </c>
      <c r="O951" s="132">
        <v>161.0</v>
      </c>
      <c r="P951" s="130" t="s">
        <v>66</v>
      </c>
      <c r="Q951" s="132" t="s">
        <v>39</v>
      </c>
      <c r="R951" s="132"/>
      <c r="S951" s="52"/>
      <c r="T951" s="129"/>
      <c r="U951" s="129"/>
      <c r="V951" s="129"/>
      <c r="W951" s="129"/>
      <c r="X951" s="129"/>
      <c r="Y951" s="129"/>
      <c r="Z951" s="129"/>
      <c r="AA951" s="129"/>
      <c r="AB951" s="129"/>
      <c r="AC951" s="129"/>
      <c r="AD951" s="129"/>
    </row>
    <row r="952" ht="14.25" customHeight="1">
      <c r="A952" s="133">
        <v>13.0</v>
      </c>
      <c r="B952" s="149" t="s">
        <v>2613</v>
      </c>
      <c r="C952" s="149" t="s">
        <v>2614</v>
      </c>
      <c r="D952" s="149" t="s">
        <v>25</v>
      </c>
      <c r="E952" s="149" t="s">
        <v>57</v>
      </c>
      <c r="F952" s="52"/>
      <c r="G952" s="150">
        <v>1160.0</v>
      </c>
      <c r="H952" s="132">
        <v>56.0</v>
      </c>
      <c r="I952" s="132">
        <v>281.0</v>
      </c>
      <c r="J952" s="132">
        <v>1.0</v>
      </c>
      <c r="K952" s="132">
        <v>1.0</v>
      </c>
      <c r="L952" s="130">
        <v>1.0</v>
      </c>
      <c r="M952" s="132" t="s">
        <v>2604</v>
      </c>
      <c r="N952" s="130" t="s">
        <v>138</v>
      </c>
      <c r="O952" s="132">
        <v>150.0</v>
      </c>
      <c r="P952" s="130" t="s">
        <v>66</v>
      </c>
      <c r="Q952" s="132" t="s">
        <v>39</v>
      </c>
      <c r="R952" s="132"/>
      <c r="S952" s="52"/>
      <c r="T952" s="129"/>
      <c r="U952" s="129"/>
      <c r="V952" s="129"/>
      <c r="W952" s="129"/>
      <c r="X952" s="129"/>
      <c r="Y952" s="129"/>
      <c r="Z952" s="129"/>
      <c r="AA952" s="129"/>
      <c r="AB952" s="129"/>
      <c r="AC952" s="129"/>
      <c r="AD952" s="129"/>
    </row>
    <row r="953" ht="14.25" customHeight="1">
      <c r="A953" s="133">
        <v>14.0</v>
      </c>
      <c r="B953" s="149" t="s">
        <v>2615</v>
      </c>
      <c r="C953" s="149" t="s">
        <v>2616</v>
      </c>
      <c r="D953" s="149" t="s">
        <v>25</v>
      </c>
      <c r="E953" s="149" t="s">
        <v>57</v>
      </c>
      <c r="F953" s="52"/>
      <c r="G953" s="150">
        <v>2050.0</v>
      </c>
      <c r="H953" s="132">
        <v>48.0</v>
      </c>
      <c r="I953" s="132">
        <v>240.0</v>
      </c>
      <c r="J953" s="132">
        <v>1.0</v>
      </c>
      <c r="K953" s="132">
        <v>1.0</v>
      </c>
      <c r="L953" s="130">
        <v>7.0</v>
      </c>
      <c r="M953" s="132" t="s">
        <v>2604</v>
      </c>
      <c r="N953" s="130" t="s">
        <v>138</v>
      </c>
      <c r="O953" s="132">
        <v>234.0</v>
      </c>
      <c r="P953" s="130" t="s">
        <v>66</v>
      </c>
      <c r="Q953" s="132" t="s">
        <v>39</v>
      </c>
      <c r="R953" s="132"/>
      <c r="S953" s="52"/>
      <c r="T953" s="129"/>
      <c r="U953" s="129"/>
      <c r="V953" s="129"/>
      <c r="W953" s="129"/>
      <c r="X953" s="129"/>
      <c r="Y953" s="129"/>
      <c r="Z953" s="129"/>
      <c r="AA953" s="129"/>
      <c r="AB953" s="129"/>
      <c r="AC953" s="129"/>
      <c r="AD953" s="129"/>
    </row>
    <row r="954" ht="14.25" customHeight="1">
      <c r="A954" s="133">
        <v>15.0</v>
      </c>
      <c r="B954" s="149" t="s">
        <v>2617</v>
      </c>
      <c r="C954" s="149" t="s">
        <v>2593</v>
      </c>
      <c r="D954" s="149" t="s">
        <v>25</v>
      </c>
      <c r="E954" s="149" t="s">
        <v>57</v>
      </c>
      <c r="F954" s="52"/>
      <c r="G954" s="150">
        <v>980.0</v>
      </c>
      <c r="H954" s="132">
        <v>27.0</v>
      </c>
      <c r="I954" s="132">
        <v>113.0</v>
      </c>
      <c r="J954" s="132">
        <v>1.0</v>
      </c>
      <c r="K954" s="132">
        <v>1.0</v>
      </c>
      <c r="L954" s="130">
        <v>2.0</v>
      </c>
      <c r="M954" s="132" t="s">
        <v>2604</v>
      </c>
      <c r="N954" s="130" t="s">
        <v>138</v>
      </c>
      <c r="O954" s="132">
        <v>74.0</v>
      </c>
      <c r="P954" s="130" t="s">
        <v>66</v>
      </c>
      <c r="Q954" s="132" t="s">
        <v>39</v>
      </c>
      <c r="R954" s="132"/>
      <c r="S954" s="52"/>
      <c r="T954" s="129"/>
      <c r="U954" s="129"/>
      <c r="V954" s="129"/>
      <c r="W954" s="129"/>
      <c r="X954" s="129"/>
      <c r="Y954" s="129"/>
      <c r="Z954" s="129"/>
      <c r="AA954" s="129"/>
      <c r="AB954" s="129"/>
      <c r="AC954" s="129"/>
      <c r="AD954" s="129"/>
    </row>
    <row r="955" ht="14.25" customHeight="1">
      <c r="A955" s="133">
        <v>16.0</v>
      </c>
      <c r="B955" s="149" t="s">
        <v>2618</v>
      </c>
      <c r="C955" s="149" t="s">
        <v>2619</v>
      </c>
      <c r="D955" s="149" t="s">
        <v>25</v>
      </c>
      <c r="E955" s="149" t="s">
        <v>57</v>
      </c>
      <c r="F955" s="52"/>
      <c r="G955" s="150">
        <v>2404.0</v>
      </c>
      <c r="H955" s="132">
        <v>45.0</v>
      </c>
      <c r="I955" s="132">
        <v>223.0</v>
      </c>
      <c r="J955" s="132">
        <v>5.0</v>
      </c>
      <c r="K955" s="132">
        <v>6.0</v>
      </c>
      <c r="L955" s="130">
        <v>3.0</v>
      </c>
      <c r="M955" s="132" t="s">
        <v>2604</v>
      </c>
      <c r="N955" s="130" t="s">
        <v>138</v>
      </c>
      <c r="O955" s="132">
        <v>595.0</v>
      </c>
      <c r="P955" s="130" t="s">
        <v>66</v>
      </c>
      <c r="Q955" s="132" t="s">
        <v>39</v>
      </c>
      <c r="R955" s="132"/>
      <c r="S955" s="52"/>
      <c r="T955" s="129"/>
      <c r="U955" s="129"/>
      <c r="V955" s="129"/>
      <c r="W955" s="129"/>
      <c r="X955" s="129"/>
      <c r="Y955" s="129"/>
      <c r="Z955" s="129"/>
      <c r="AA955" s="129"/>
      <c r="AB955" s="129"/>
      <c r="AC955" s="129"/>
      <c r="AD955" s="129"/>
    </row>
    <row r="956" ht="14.25" customHeight="1">
      <c r="A956" s="133">
        <v>17.0</v>
      </c>
      <c r="B956" s="149" t="s">
        <v>2620</v>
      </c>
      <c r="C956" s="149" t="s">
        <v>2621</v>
      </c>
      <c r="D956" s="149" t="s">
        <v>25</v>
      </c>
      <c r="E956" s="149" t="s">
        <v>57</v>
      </c>
      <c r="F956" s="52"/>
      <c r="G956" s="150">
        <v>8845.0</v>
      </c>
      <c r="H956" s="132">
        <v>45.0</v>
      </c>
      <c r="I956" s="132">
        <v>226.0</v>
      </c>
      <c r="J956" s="132">
        <v>10.0</v>
      </c>
      <c r="K956" s="132">
        <v>10.0</v>
      </c>
      <c r="L956" s="130">
        <v>10.0</v>
      </c>
      <c r="M956" s="132" t="s">
        <v>2604</v>
      </c>
      <c r="N956" s="130" t="s">
        <v>27</v>
      </c>
      <c r="O956" s="132">
        <v>464.0</v>
      </c>
      <c r="P956" s="130" t="s">
        <v>66</v>
      </c>
      <c r="Q956" s="132" t="s">
        <v>39</v>
      </c>
      <c r="R956" s="132"/>
      <c r="S956" s="52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</row>
    <row r="957" ht="14.25" customHeight="1">
      <c r="A957" s="133">
        <v>18.0</v>
      </c>
      <c r="B957" s="149" t="s">
        <v>2622</v>
      </c>
      <c r="C957" s="149" t="s">
        <v>2623</v>
      </c>
      <c r="D957" s="149" t="s">
        <v>25</v>
      </c>
      <c r="E957" s="149" t="s">
        <v>57</v>
      </c>
      <c r="F957" s="52"/>
      <c r="G957" s="150">
        <v>10100.0</v>
      </c>
      <c r="H957" s="132">
        <v>116.0</v>
      </c>
      <c r="I957" s="132">
        <v>582.0</v>
      </c>
      <c r="J957" s="132">
        <v>5.0</v>
      </c>
      <c r="K957" s="132">
        <v>3.0</v>
      </c>
      <c r="L957" s="130">
        <v>21.0</v>
      </c>
      <c r="M957" s="132" t="s">
        <v>2604</v>
      </c>
      <c r="N957" s="130" t="s">
        <v>138</v>
      </c>
      <c r="O957" s="132">
        <v>569.0</v>
      </c>
      <c r="P957" s="130" t="s">
        <v>66</v>
      </c>
      <c r="Q957" s="132" t="s">
        <v>39</v>
      </c>
      <c r="R957" s="132"/>
      <c r="S957" s="52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</row>
    <row r="958" ht="14.25" customHeight="1">
      <c r="A958" s="133">
        <v>19.0</v>
      </c>
      <c r="B958" s="149" t="s">
        <v>2624</v>
      </c>
      <c r="C958" s="149" t="s">
        <v>2625</v>
      </c>
      <c r="D958" s="149" t="s">
        <v>25</v>
      </c>
      <c r="E958" s="149" t="s">
        <v>57</v>
      </c>
      <c r="F958" s="52"/>
      <c r="G958" s="150">
        <v>4088.0</v>
      </c>
      <c r="H958" s="132">
        <v>43.0</v>
      </c>
      <c r="I958" s="132">
        <v>217.0</v>
      </c>
      <c r="J958" s="132">
        <v>0.0</v>
      </c>
      <c r="K958" s="132">
        <v>0.0</v>
      </c>
      <c r="L958" s="130">
        <v>11.0</v>
      </c>
      <c r="M958" s="132" t="s">
        <v>2604</v>
      </c>
      <c r="N958" s="130" t="s">
        <v>138</v>
      </c>
      <c r="O958" s="132">
        <v>191.0</v>
      </c>
      <c r="P958" s="130" t="s">
        <v>66</v>
      </c>
      <c r="Q958" s="132" t="s">
        <v>39</v>
      </c>
      <c r="R958" s="132"/>
      <c r="S958" s="52"/>
      <c r="T958" s="129"/>
      <c r="U958" s="129"/>
      <c r="V958" s="129"/>
      <c r="W958" s="129"/>
      <c r="X958" s="129"/>
      <c r="Y958" s="129"/>
      <c r="Z958" s="129"/>
      <c r="AA958" s="129"/>
      <c r="AB958" s="129"/>
      <c r="AC958" s="129"/>
      <c r="AD958" s="129"/>
    </row>
    <row r="959" ht="14.25" customHeight="1">
      <c r="A959" s="133">
        <v>20.0</v>
      </c>
      <c r="B959" s="149" t="s">
        <v>2626</v>
      </c>
      <c r="C959" s="149" t="s">
        <v>2627</v>
      </c>
      <c r="D959" s="149" t="s">
        <v>25</v>
      </c>
      <c r="E959" s="149" t="s">
        <v>57</v>
      </c>
      <c r="F959" s="52"/>
      <c r="G959" s="132">
        <v>872.0</v>
      </c>
      <c r="H959" s="132">
        <v>44.0</v>
      </c>
      <c r="I959" s="132">
        <v>220.0</v>
      </c>
      <c r="J959" s="132">
        <v>2.0</v>
      </c>
      <c r="K959" s="132">
        <v>2.0</v>
      </c>
      <c r="L959" s="130">
        <v>3.0</v>
      </c>
      <c r="M959" s="132" t="s">
        <v>2604</v>
      </c>
      <c r="N959" s="130" t="s">
        <v>27</v>
      </c>
      <c r="O959" s="132">
        <v>129.0</v>
      </c>
      <c r="P959" s="130" t="s">
        <v>66</v>
      </c>
      <c r="Q959" s="132" t="s">
        <v>39</v>
      </c>
      <c r="R959" s="132"/>
      <c r="S959" s="52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</row>
    <row r="960" ht="14.25" customHeight="1">
      <c r="A960" s="133">
        <v>21.0</v>
      </c>
      <c r="B960" s="149" t="s">
        <v>2628</v>
      </c>
      <c r="C960" s="149" t="s">
        <v>2629</v>
      </c>
      <c r="D960" s="149" t="s">
        <v>25</v>
      </c>
      <c r="E960" s="149" t="s">
        <v>57</v>
      </c>
      <c r="F960" s="52"/>
      <c r="G960" s="150">
        <v>2849.0</v>
      </c>
      <c r="H960" s="132">
        <v>85.0</v>
      </c>
      <c r="I960" s="132">
        <v>425.0</v>
      </c>
      <c r="J960" s="132">
        <v>2.0</v>
      </c>
      <c r="K960" s="132">
        <v>2.0</v>
      </c>
      <c r="L960" s="130">
        <v>9.0</v>
      </c>
      <c r="M960" s="132" t="s">
        <v>2604</v>
      </c>
      <c r="N960" s="130" t="s">
        <v>138</v>
      </c>
      <c r="O960" s="132">
        <v>366.0</v>
      </c>
      <c r="P960" s="130" t="s">
        <v>66</v>
      </c>
      <c r="Q960" s="132" t="s">
        <v>39</v>
      </c>
      <c r="R960" s="132"/>
      <c r="S960" s="52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</row>
    <row r="961" ht="14.25" customHeight="1">
      <c r="A961" s="133">
        <v>22.0</v>
      </c>
      <c r="B961" s="149" t="s">
        <v>2630</v>
      </c>
      <c r="C961" s="149" t="s">
        <v>2631</v>
      </c>
      <c r="D961" s="149" t="s">
        <v>25</v>
      </c>
      <c r="E961" s="149" t="s">
        <v>57</v>
      </c>
      <c r="F961" s="52"/>
      <c r="G961" s="150">
        <v>5147.0</v>
      </c>
      <c r="H961" s="132">
        <v>73.0</v>
      </c>
      <c r="I961" s="132">
        <v>364.0</v>
      </c>
      <c r="J961" s="132">
        <v>1.0</v>
      </c>
      <c r="K961" s="132">
        <v>4.0</v>
      </c>
      <c r="L961" s="130">
        <v>11.0</v>
      </c>
      <c r="M961" s="132" t="s">
        <v>2604</v>
      </c>
      <c r="N961" s="130" t="s">
        <v>138</v>
      </c>
      <c r="O961" s="132">
        <v>800.0</v>
      </c>
      <c r="P961" s="130" t="s">
        <v>66</v>
      </c>
      <c r="Q961" s="132" t="s">
        <v>39</v>
      </c>
      <c r="R961" s="132"/>
      <c r="S961" s="52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</row>
    <row r="962" ht="14.25" customHeight="1">
      <c r="A962" s="133">
        <v>23.0</v>
      </c>
      <c r="B962" s="149" t="s">
        <v>2632</v>
      </c>
      <c r="C962" s="149" t="s">
        <v>2633</v>
      </c>
      <c r="D962" s="149" t="s">
        <v>25</v>
      </c>
      <c r="E962" s="149" t="s">
        <v>57</v>
      </c>
      <c r="F962" s="52"/>
      <c r="G962" s="132">
        <v>984.0</v>
      </c>
      <c r="H962" s="132">
        <v>19.0</v>
      </c>
      <c r="I962" s="132">
        <v>95.0</v>
      </c>
      <c r="J962" s="132">
        <v>0.0</v>
      </c>
      <c r="K962" s="132">
        <v>0.0</v>
      </c>
      <c r="L962" s="130">
        <v>7.0</v>
      </c>
      <c r="M962" s="132" t="s">
        <v>2604</v>
      </c>
      <c r="N962" s="130" t="s">
        <v>27</v>
      </c>
      <c r="O962" s="132">
        <v>136.0</v>
      </c>
      <c r="P962" s="130" t="s">
        <v>66</v>
      </c>
      <c r="Q962" s="132" t="s">
        <v>39</v>
      </c>
      <c r="R962" s="132"/>
      <c r="S962" s="52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</row>
    <row r="963" ht="14.25" customHeight="1">
      <c r="A963" s="133">
        <v>24.0</v>
      </c>
      <c r="B963" s="149" t="s">
        <v>2634</v>
      </c>
      <c r="C963" s="149" t="s">
        <v>2635</v>
      </c>
      <c r="D963" s="149" t="s">
        <v>25</v>
      </c>
      <c r="E963" s="149" t="s">
        <v>57</v>
      </c>
      <c r="F963" s="52"/>
      <c r="G963" s="150">
        <v>3997.0</v>
      </c>
      <c r="H963" s="132">
        <v>26.0</v>
      </c>
      <c r="I963" s="132">
        <v>131.0</v>
      </c>
      <c r="J963" s="132">
        <v>4.0</v>
      </c>
      <c r="K963" s="132">
        <v>3.0</v>
      </c>
      <c r="L963" s="130">
        <v>9.0</v>
      </c>
      <c r="M963" s="132" t="s">
        <v>2604</v>
      </c>
      <c r="N963" s="130" t="s">
        <v>27</v>
      </c>
      <c r="O963" s="132">
        <v>287.0</v>
      </c>
      <c r="P963" s="130" t="s">
        <v>66</v>
      </c>
      <c r="Q963" s="132" t="s">
        <v>39</v>
      </c>
      <c r="R963" s="132"/>
      <c r="S963" s="52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</row>
    <row r="964" ht="14.25" customHeight="1">
      <c r="A964" s="133">
        <v>25.0</v>
      </c>
      <c r="B964" s="149" t="s">
        <v>2636</v>
      </c>
      <c r="C964" s="149" t="s">
        <v>2637</v>
      </c>
      <c r="D964" s="149" t="s">
        <v>25</v>
      </c>
      <c r="E964" s="149" t="s">
        <v>57</v>
      </c>
      <c r="F964" s="52"/>
      <c r="G964" s="150">
        <v>24254.0</v>
      </c>
      <c r="H964" s="132">
        <v>54.0</v>
      </c>
      <c r="I964" s="132">
        <v>274.0</v>
      </c>
      <c r="J964" s="132">
        <v>9.0</v>
      </c>
      <c r="K964" s="132">
        <v>12.0</v>
      </c>
      <c r="L964" s="130">
        <v>26.0</v>
      </c>
      <c r="M964" s="132" t="s">
        <v>2604</v>
      </c>
      <c r="N964" s="130" t="s">
        <v>27</v>
      </c>
      <c r="O964" s="132">
        <v>698.0</v>
      </c>
      <c r="P964" s="130" t="s">
        <v>66</v>
      </c>
      <c r="Q964" s="132" t="s">
        <v>39</v>
      </c>
      <c r="R964" s="132"/>
      <c r="S964" s="52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</row>
    <row r="965" ht="14.25" customHeight="1">
      <c r="A965" s="133">
        <v>26.0</v>
      </c>
      <c r="B965" s="149" t="s">
        <v>2638</v>
      </c>
      <c r="C965" s="149" t="s">
        <v>2639</v>
      </c>
      <c r="D965" s="149" t="s">
        <v>25</v>
      </c>
      <c r="E965" s="149" t="s">
        <v>57</v>
      </c>
      <c r="F965" s="52"/>
      <c r="G965" s="150">
        <v>2400.0</v>
      </c>
      <c r="H965" s="132">
        <v>38.0</v>
      </c>
      <c r="I965" s="132">
        <v>191.0</v>
      </c>
      <c r="J965" s="132">
        <v>1.0</v>
      </c>
      <c r="K965" s="132">
        <v>1.0</v>
      </c>
      <c r="L965" s="130">
        <v>6.0</v>
      </c>
      <c r="M965" s="132" t="s">
        <v>2604</v>
      </c>
      <c r="N965" s="130" t="s">
        <v>138</v>
      </c>
      <c r="O965" s="132">
        <v>126.0</v>
      </c>
      <c r="P965" s="130" t="s">
        <v>66</v>
      </c>
      <c r="Q965" s="132" t="s">
        <v>39</v>
      </c>
      <c r="R965" s="132"/>
      <c r="S965" s="52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</row>
    <row r="966" ht="14.25" customHeight="1">
      <c r="A966" s="133">
        <v>27.0</v>
      </c>
      <c r="B966" s="149" t="s">
        <v>2640</v>
      </c>
      <c r="C966" s="149" t="s">
        <v>2641</v>
      </c>
      <c r="D966" s="149" t="s">
        <v>25</v>
      </c>
      <c r="E966" s="149" t="s">
        <v>57</v>
      </c>
      <c r="F966" s="52"/>
      <c r="G966" s="150">
        <v>2030.0</v>
      </c>
      <c r="H966" s="132">
        <v>54.0</v>
      </c>
      <c r="I966" s="132">
        <v>270.0</v>
      </c>
      <c r="J966" s="132">
        <v>1.0</v>
      </c>
      <c r="K966" s="132">
        <v>1.0</v>
      </c>
      <c r="L966" s="130">
        <v>9.0</v>
      </c>
      <c r="M966" s="132" t="s">
        <v>2604</v>
      </c>
      <c r="N966" s="130" t="s">
        <v>138</v>
      </c>
      <c r="O966" s="132">
        <v>190.0</v>
      </c>
      <c r="P966" s="130" t="s">
        <v>66</v>
      </c>
      <c r="Q966" s="132" t="s">
        <v>39</v>
      </c>
      <c r="R966" s="132"/>
      <c r="S966" s="52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</row>
    <row r="967" ht="15.75" customHeight="1">
      <c r="A967" s="181"/>
      <c r="B967" s="182" t="s">
        <v>2642</v>
      </c>
      <c r="C967" s="182"/>
      <c r="D967" s="182"/>
      <c r="E967" s="182"/>
      <c r="F967" s="182"/>
      <c r="G967" s="183"/>
      <c r="H967" s="184"/>
      <c r="I967" s="184"/>
      <c r="J967" s="185"/>
      <c r="K967" s="185"/>
      <c r="L967" s="185"/>
      <c r="M967" s="185"/>
      <c r="N967" s="185"/>
      <c r="O967" s="185"/>
      <c r="P967" s="184"/>
      <c r="Q967" s="185"/>
      <c r="R967" s="141"/>
      <c r="S967" s="142"/>
      <c r="T967" s="142"/>
      <c r="U967" s="142"/>
      <c r="V967" s="142"/>
      <c r="W967" s="142"/>
      <c r="X967" s="142"/>
      <c r="Y967" s="142"/>
      <c r="Z967" s="142"/>
      <c r="AA967" s="142"/>
      <c r="AB967" s="142"/>
      <c r="AC967" s="142"/>
      <c r="AD967" s="142"/>
    </row>
    <row r="968" ht="14.25" customHeight="1">
      <c r="A968" s="133">
        <v>1.0</v>
      </c>
      <c r="B968" s="149" t="s">
        <v>2643</v>
      </c>
      <c r="C968" s="149" t="s">
        <v>2644</v>
      </c>
      <c r="D968" s="149" t="s">
        <v>25</v>
      </c>
      <c r="E968" s="149" t="s">
        <v>57</v>
      </c>
      <c r="F968" s="132"/>
      <c r="G968" s="132">
        <v>400.0</v>
      </c>
      <c r="H968" s="132">
        <v>40.0</v>
      </c>
      <c r="I968" s="132">
        <v>200.0</v>
      </c>
      <c r="J968" s="132">
        <v>2.0</v>
      </c>
      <c r="K968" s="132">
        <v>2.0</v>
      </c>
      <c r="L968" s="132">
        <v>4.0</v>
      </c>
      <c r="M968" s="132" t="s">
        <v>2085</v>
      </c>
      <c r="N968" s="132" t="s">
        <v>2645</v>
      </c>
      <c r="O968" s="132">
        <v>5000.0</v>
      </c>
      <c r="P968" s="132" t="s">
        <v>66</v>
      </c>
      <c r="Q968" s="132">
        <v>25.0</v>
      </c>
      <c r="R968" s="132"/>
      <c r="S968" s="52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</row>
    <row r="969" ht="14.25" customHeight="1">
      <c r="A969" s="133">
        <v>2.0</v>
      </c>
      <c r="B969" s="149" t="s">
        <v>2646</v>
      </c>
      <c r="C969" s="149" t="s">
        <v>2647</v>
      </c>
      <c r="D969" s="149" t="s">
        <v>25</v>
      </c>
      <c r="E969" s="149" t="s">
        <v>57</v>
      </c>
      <c r="F969" s="132"/>
      <c r="G969" s="132">
        <v>100.0</v>
      </c>
      <c r="H969" s="132">
        <v>15.0</v>
      </c>
      <c r="I969" s="132">
        <v>75.0</v>
      </c>
      <c r="J969" s="132">
        <v>7.0</v>
      </c>
      <c r="K969" s="132">
        <v>7.0</v>
      </c>
      <c r="L969" s="132">
        <v>4.0</v>
      </c>
      <c r="M969" s="132" t="s">
        <v>2085</v>
      </c>
      <c r="N969" s="132" t="s">
        <v>2645</v>
      </c>
      <c r="O969" s="132">
        <v>500.0</v>
      </c>
      <c r="P969" s="132" t="s">
        <v>29</v>
      </c>
      <c r="Q969" s="132">
        <v>0.0</v>
      </c>
      <c r="R969" s="132"/>
      <c r="S969" s="52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</row>
    <row r="970" ht="14.25" customHeight="1">
      <c r="A970" s="133">
        <v>3.0</v>
      </c>
      <c r="B970" s="149" t="s">
        <v>2648</v>
      </c>
      <c r="C970" s="149" t="s">
        <v>2647</v>
      </c>
      <c r="D970" s="149" t="s">
        <v>25</v>
      </c>
      <c r="E970" s="149" t="s">
        <v>57</v>
      </c>
      <c r="F970" s="132"/>
      <c r="G970" s="132">
        <v>200.0</v>
      </c>
      <c r="H970" s="132">
        <v>20.0</v>
      </c>
      <c r="I970" s="132">
        <v>100.0</v>
      </c>
      <c r="J970" s="132">
        <v>1.0</v>
      </c>
      <c r="K970" s="132">
        <v>1.0</v>
      </c>
      <c r="L970" s="132">
        <v>0.0</v>
      </c>
      <c r="M970" s="132" t="s">
        <v>2085</v>
      </c>
      <c r="N970" s="132" t="s">
        <v>2645</v>
      </c>
      <c r="O970" s="132">
        <v>1000.0</v>
      </c>
      <c r="P970" s="132" t="s">
        <v>29</v>
      </c>
      <c r="Q970" s="132">
        <v>0.0</v>
      </c>
      <c r="R970" s="132"/>
      <c r="S970" s="52"/>
      <c r="T970" s="129"/>
      <c r="U970" s="129"/>
      <c r="V970" s="129"/>
      <c r="W970" s="129"/>
      <c r="X970" s="129"/>
      <c r="Y970" s="129"/>
      <c r="Z970" s="129"/>
      <c r="AA970" s="129"/>
      <c r="AB970" s="129"/>
      <c r="AC970" s="129"/>
      <c r="AD970" s="129"/>
    </row>
    <row r="971" ht="14.25" customHeight="1">
      <c r="A971" s="133">
        <v>4.0</v>
      </c>
      <c r="B971" s="149" t="s">
        <v>2649</v>
      </c>
      <c r="C971" s="149" t="s">
        <v>2650</v>
      </c>
      <c r="D971" s="149" t="s">
        <v>25</v>
      </c>
      <c r="E971" s="149" t="s">
        <v>57</v>
      </c>
      <c r="F971" s="132"/>
      <c r="G971" s="132">
        <v>1000.0</v>
      </c>
      <c r="H971" s="132">
        <v>125.0</v>
      </c>
      <c r="I971" s="132">
        <v>625.0</v>
      </c>
      <c r="J971" s="132">
        <v>3.0</v>
      </c>
      <c r="K971" s="132">
        <v>3.0</v>
      </c>
      <c r="L971" s="132">
        <v>0.0</v>
      </c>
      <c r="M971" s="132" t="s">
        <v>2085</v>
      </c>
      <c r="N971" s="132" t="s">
        <v>2645</v>
      </c>
      <c r="O971" s="132">
        <v>5000.0</v>
      </c>
      <c r="P971" s="132" t="s">
        <v>66</v>
      </c>
      <c r="Q971" s="132">
        <v>52.0</v>
      </c>
      <c r="R971" s="132"/>
      <c r="S971" s="52"/>
      <c r="T971" s="129"/>
      <c r="U971" s="129"/>
      <c r="V971" s="129"/>
      <c r="W971" s="129"/>
      <c r="X971" s="129"/>
      <c r="Y971" s="129"/>
      <c r="Z971" s="129"/>
      <c r="AA971" s="129"/>
      <c r="AB971" s="129"/>
      <c r="AC971" s="129"/>
      <c r="AD971" s="129"/>
    </row>
    <row r="972" ht="14.25" customHeight="1">
      <c r="A972" s="133">
        <v>5.0</v>
      </c>
      <c r="B972" s="149" t="s">
        <v>2651</v>
      </c>
      <c r="C972" s="149" t="s">
        <v>2652</v>
      </c>
      <c r="D972" s="149" t="s">
        <v>25</v>
      </c>
      <c r="E972" s="149" t="s">
        <v>57</v>
      </c>
      <c r="F972" s="132"/>
      <c r="G972" s="132">
        <v>400.0</v>
      </c>
      <c r="H972" s="132">
        <v>40.0</v>
      </c>
      <c r="I972" s="132">
        <v>200.0</v>
      </c>
      <c r="J972" s="132">
        <v>2.0</v>
      </c>
      <c r="K972" s="132">
        <v>2.0</v>
      </c>
      <c r="L972" s="132">
        <v>0.0</v>
      </c>
      <c r="M972" s="132" t="s">
        <v>2085</v>
      </c>
      <c r="N972" s="132" t="s">
        <v>2645</v>
      </c>
      <c r="O972" s="132">
        <v>5000.0</v>
      </c>
      <c r="P972" s="132" t="s">
        <v>29</v>
      </c>
      <c r="Q972" s="132">
        <v>0.0</v>
      </c>
      <c r="R972" s="132"/>
      <c r="S972" s="52"/>
      <c r="T972" s="129"/>
      <c r="U972" s="129"/>
      <c r="V972" s="129"/>
      <c r="W972" s="129"/>
      <c r="X972" s="129"/>
      <c r="Y972" s="129"/>
      <c r="Z972" s="129"/>
      <c r="AA972" s="129"/>
      <c r="AB972" s="129"/>
      <c r="AC972" s="129"/>
      <c r="AD972" s="129"/>
    </row>
    <row r="973" ht="14.25" customHeight="1">
      <c r="A973" s="133">
        <v>6.0</v>
      </c>
      <c r="B973" s="149" t="s">
        <v>2653</v>
      </c>
      <c r="C973" s="149" t="s">
        <v>2654</v>
      </c>
      <c r="D973" s="149" t="s">
        <v>25</v>
      </c>
      <c r="E973" s="149" t="s">
        <v>57</v>
      </c>
      <c r="F973" s="132"/>
      <c r="G973" s="132">
        <v>140.0</v>
      </c>
      <c r="H973" s="132">
        <v>20.0</v>
      </c>
      <c r="I973" s="132">
        <v>70.0</v>
      </c>
      <c r="J973" s="132">
        <v>2.0</v>
      </c>
      <c r="K973" s="132">
        <v>2.0</v>
      </c>
      <c r="L973" s="132">
        <v>0.0</v>
      </c>
      <c r="M973" s="132" t="s">
        <v>2085</v>
      </c>
      <c r="N973" s="132" t="s">
        <v>2645</v>
      </c>
      <c r="O973" s="132">
        <v>2000.0</v>
      </c>
      <c r="P973" s="132" t="s">
        <v>29</v>
      </c>
      <c r="Q973" s="132">
        <v>0.0</v>
      </c>
      <c r="R973" s="132"/>
      <c r="S973" s="52"/>
      <c r="T973" s="129"/>
      <c r="U973" s="129"/>
      <c r="V973" s="129"/>
      <c r="W973" s="129"/>
      <c r="X973" s="129"/>
      <c r="Y973" s="129"/>
      <c r="Z973" s="129"/>
      <c r="AA973" s="129"/>
      <c r="AB973" s="129"/>
      <c r="AC973" s="129"/>
      <c r="AD973" s="129"/>
    </row>
    <row r="974" ht="14.25" customHeight="1">
      <c r="A974" s="133">
        <v>7.0</v>
      </c>
      <c r="B974" s="149" t="s">
        <v>2655</v>
      </c>
      <c r="C974" s="149" t="s">
        <v>2656</v>
      </c>
      <c r="D974" s="149" t="s">
        <v>25</v>
      </c>
      <c r="E974" s="149" t="s">
        <v>57</v>
      </c>
      <c r="F974" s="132"/>
      <c r="G974" s="132">
        <v>100.0</v>
      </c>
      <c r="H974" s="132">
        <v>15.0</v>
      </c>
      <c r="I974" s="132">
        <v>50.0</v>
      </c>
      <c r="J974" s="132">
        <v>0.0</v>
      </c>
      <c r="K974" s="132">
        <v>0.0</v>
      </c>
      <c r="L974" s="132">
        <v>2.0</v>
      </c>
      <c r="M974" s="132" t="s">
        <v>2085</v>
      </c>
      <c r="N974" s="132" t="s">
        <v>2645</v>
      </c>
      <c r="O974" s="132" t="s">
        <v>2657</v>
      </c>
      <c r="P974" s="132" t="s">
        <v>29</v>
      </c>
      <c r="Q974" s="132">
        <v>0.0</v>
      </c>
      <c r="R974" s="132"/>
      <c r="S974" s="52"/>
      <c r="T974" s="129"/>
      <c r="U974" s="129"/>
      <c r="V974" s="129"/>
      <c r="W974" s="129"/>
      <c r="X974" s="129"/>
      <c r="Y974" s="129"/>
      <c r="Z974" s="129"/>
      <c r="AA974" s="129"/>
      <c r="AB974" s="129"/>
      <c r="AC974" s="129"/>
      <c r="AD974" s="129"/>
    </row>
    <row r="975" ht="14.25" customHeight="1">
      <c r="A975" s="133">
        <v>8.0</v>
      </c>
      <c r="B975" s="149" t="s">
        <v>2658</v>
      </c>
      <c r="C975" s="149" t="s">
        <v>2659</v>
      </c>
      <c r="D975" s="149" t="s">
        <v>25</v>
      </c>
      <c r="E975" s="149" t="s">
        <v>57</v>
      </c>
      <c r="F975" s="132"/>
      <c r="G975" s="132">
        <v>80.0</v>
      </c>
      <c r="H975" s="132">
        <v>20.0</v>
      </c>
      <c r="I975" s="132">
        <v>100.0</v>
      </c>
      <c r="J975" s="132" t="s">
        <v>2657</v>
      </c>
      <c r="K975" s="132" t="s">
        <v>2657</v>
      </c>
      <c r="L975" s="132">
        <v>6.0</v>
      </c>
      <c r="M975" s="132" t="s">
        <v>2085</v>
      </c>
      <c r="N975" s="132" t="s">
        <v>2645</v>
      </c>
      <c r="O975" s="132" t="s">
        <v>2657</v>
      </c>
      <c r="P975" s="132" t="s">
        <v>29</v>
      </c>
      <c r="Q975" s="132">
        <v>0.0</v>
      </c>
      <c r="R975" s="132"/>
      <c r="S975" s="52"/>
      <c r="T975" s="129"/>
      <c r="U975" s="129"/>
      <c r="V975" s="129"/>
      <c r="W975" s="129"/>
      <c r="X975" s="129"/>
      <c r="Y975" s="129"/>
      <c r="Z975" s="129"/>
      <c r="AA975" s="129"/>
      <c r="AB975" s="129"/>
      <c r="AC975" s="129"/>
      <c r="AD975" s="129"/>
    </row>
    <row r="976" ht="14.25" customHeight="1">
      <c r="A976" s="133">
        <v>9.0</v>
      </c>
      <c r="B976" s="149" t="s">
        <v>2660</v>
      </c>
      <c r="C976" s="149" t="s">
        <v>2661</v>
      </c>
      <c r="D976" s="149" t="s">
        <v>25</v>
      </c>
      <c r="E976" s="149" t="s">
        <v>57</v>
      </c>
      <c r="F976" s="132"/>
      <c r="G976" s="132">
        <v>80.0</v>
      </c>
      <c r="H976" s="132">
        <v>20.0</v>
      </c>
      <c r="I976" s="132">
        <v>100.0</v>
      </c>
      <c r="J976" s="132" t="s">
        <v>2657</v>
      </c>
      <c r="K976" s="132" t="s">
        <v>2657</v>
      </c>
      <c r="L976" s="132">
        <v>1.0</v>
      </c>
      <c r="M976" s="132" t="s">
        <v>2085</v>
      </c>
      <c r="N976" s="132" t="s">
        <v>2645</v>
      </c>
      <c r="O976" s="132" t="s">
        <v>2657</v>
      </c>
      <c r="P976" s="132" t="s">
        <v>29</v>
      </c>
      <c r="Q976" s="132">
        <v>0.0</v>
      </c>
      <c r="R976" s="132"/>
      <c r="S976" s="52"/>
      <c r="T976" s="129"/>
      <c r="U976" s="129"/>
      <c r="V976" s="129"/>
      <c r="W976" s="129"/>
      <c r="X976" s="129"/>
      <c r="Y976" s="129"/>
      <c r="Z976" s="129"/>
      <c r="AA976" s="129"/>
      <c r="AB976" s="129"/>
      <c r="AC976" s="129"/>
      <c r="AD976" s="129"/>
    </row>
    <row r="977" ht="14.25" customHeight="1">
      <c r="A977" s="133">
        <v>10.0</v>
      </c>
      <c r="B977" s="149" t="s">
        <v>2662</v>
      </c>
      <c r="C977" s="149" t="s">
        <v>2663</v>
      </c>
      <c r="D977" s="149" t="s">
        <v>25</v>
      </c>
      <c r="E977" s="149" t="s">
        <v>57</v>
      </c>
      <c r="F977" s="132"/>
      <c r="G977" s="132">
        <v>80.0</v>
      </c>
      <c r="H977" s="132">
        <v>40.0</v>
      </c>
      <c r="I977" s="132">
        <v>200.0</v>
      </c>
      <c r="J977" s="132">
        <v>2.0</v>
      </c>
      <c r="K977" s="132">
        <v>2.0</v>
      </c>
      <c r="L977" s="132">
        <v>37.0</v>
      </c>
      <c r="M977" s="132" t="s">
        <v>2085</v>
      </c>
      <c r="N977" s="132" t="s">
        <v>2645</v>
      </c>
      <c r="O977" s="132" t="s">
        <v>2657</v>
      </c>
      <c r="P977" s="132" t="s">
        <v>29</v>
      </c>
      <c r="Q977" s="132">
        <v>0.0</v>
      </c>
      <c r="R977" s="132"/>
      <c r="S977" s="52"/>
      <c r="T977" s="129"/>
      <c r="U977" s="129"/>
      <c r="V977" s="129"/>
      <c r="W977" s="129"/>
      <c r="X977" s="129"/>
      <c r="Y977" s="129"/>
      <c r="Z977" s="129"/>
      <c r="AA977" s="129"/>
      <c r="AB977" s="129"/>
      <c r="AC977" s="129"/>
      <c r="AD977" s="129"/>
    </row>
    <row r="978" ht="14.25" customHeight="1">
      <c r="A978" s="133">
        <v>11.0</v>
      </c>
      <c r="B978" s="149" t="s">
        <v>2664</v>
      </c>
      <c r="C978" s="149" t="s">
        <v>2665</v>
      </c>
      <c r="D978" s="149" t="s">
        <v>25</v>
      </c>
      <c r="E978" s="149" t="s">
        <v>57</v>
      </c>
      <c r="F978" s="132"/>
      <c r="G978" s="132">
        <v>80.0</v>
      </c>
      <c r="H978" s="132">
        <v>20.0</v>
      </c>
      <c r="I978" s="132">
        <v>100.0</v>
      </c>
      <c r="J978" s="132" t="s">
        <v>2657</v>
      </c>
      <c r="K978" s="132" t="s">
        <v>2657</v>
      </c>
      <c r="L978" s="132">
        <v>1.0</v>
      </c>
      <c r="M978" s="132" t="s">
        <v>2085</v>
      </c>
      <c r="N978" s="132" t="s">
        <v>2645</v>
      </c>
      <c r="O978" s="132" t="s">
        <v>2657</v>
      </c>
      <c r="P978" s="132" t="s">
        <v>29</v>
      </c>
      <c r="Q978" s="132">
        <v>0.0</v>
      </c>
      <c r="R978" s="132"/>
      <c r="S978" s="52"/>
      <c r="T978" s="129"/>
      <c r="U978" s="129"/>
      <c r="V978" s="129"/>
      <c r="W978" s="129"/>
      <c r="X978" s="129"/>
      <c r="Y978" s="129"/>
      <c r="Z978" s="129"/>
      <c r="AA978" s="129"/>
      <c r="AB978" s="129"/>
      <c r="AC978" s="129"/>
      <c r="AD978" s="129"/>
    </row>
    <row r="979" ht="14.25" customHeight="1">
      <c r="A979" s="133">
        <v>12.0</v>
      </c>
      <c r="B979" s="149" t="s">
        <v>2666</v>
      </c>
      <c r="C979" s="149" t="s">
        <v>2667</v>
      </c>
      <c r="D979" s="149" t="s">
        <v>25</v>
      </c>
      <c r="E979" s="149" t="s">
        <v>57</v>
      </c>
      <c r="F979" s="132"/>
      <c r="G979" s="132">
        <v>80.0</v>
      </c>
      <c r="H979" s="132">
        <v>10.0</v>
      </c>
      <c r="I979" s="132">
        <v>50.0</v>
      </c>
      <c r="J979" s="132">
        <v>1.0</v>
      </c>
      <c r="K979" s="132">
        <v>1.0</v>
      </c>
      <c r="L979" s="132">
        <v>10.0</v>
      </c>
      <c r="M979" s="132" t="s">
        <v>2085</v>
      </c>
      <c r="N979" s="132" t="s">
        <v>2645</v>
      </c>
      <c r="O979" s="132" t="s">
        <v>2657</v>
      </c>
      <c r="P979" s="132" t="s">
        <v>29</v>
      </c>
      <c r="Q979" s="132">
        <v>0.0</v>
      </c>
      <c r="R979" s="132"/>
      <c r="S979" s="52"/>
      <c r="T979" s="129"/>
      <c r="U979" s="129"/>
      <c r="V979" s="129"/>
      <c r="W979" s="129"/>
      <c r="X979" s="129"/>
      <c r="Y979" s="129"/>
      <c r="Z979" s="129"/>
      <c r="AA979" s="129"/>
      <c r="AB979" s="129"/>
      <c r="AC979" s="129"/>
      <c r="AD979" s="129"/>
    </row>
    <row r="980" ht="14.25" customHeight="1">
      <c r="A980" s="133">
        <v>13.0</v>
      </c>
      <c r="B980" s="149" t="s">
        <v>2668</v>
      </c>
      <c r="C980" s="149" t="s">
        <v>2669</v>
      </c>
      <c r="D980" s="149" t="s">
        <v>25</v>
      </c>
      <c r="E980" s="149" t="s">
        <v>57</v>
      </c>
      <c r="F980" s="132"/>
      <c r="G980" s="132">
        <v>80.0</v>
      </c>
      <c r="H980" s="132">
        <v>20.0</v>
      </c>
      <c r="I980" s="132">
        <v>100.0</v>
      </c>
      <c r="J980" s="132" t="s">
        <v>2657</v>
      </c>
      <c r="K980" s="132" t="s">
        <v>2657</v>
      </c>
      <c r="L980" s="132">
        <v>5.0</v>
      </c>
      <c r="M980" s="132" t="s">
        <v>2085</v>
      </c>
      <c r="N980" s="132" t="s">
        <v>2645</v>
      </c>
      <c r="O980" s="132" t="s">
        <v>2657</v>
      </c>
      <c r="P980" s="132" t="s">
        <v>29</v>
      </c>
      <c r="Q980" s="132">
        <v>0.0</v>
      </c>
      <c r="R980" s="132"/>
      <c r="S980" s="52"/>
      <c r="T980" s="129"/>
      <c r="U980" s="129"/>
      <c r="V980" s="129"/>
      <c r="W980" s="129"/>
      <c r="X980" s="129"/>
      <c r="Y980" s="129"/>
      <c r="Z980" s="129"/>
      <c r="AA980" s="129"/>
      <c r="AB980" s="129"/>
      <c r="AC980" s="129"/>
      <c r="AD980" s="129"/>
    </row>
    <row r="981" ht="14.25" customHeight="1">
      <c r="A981" s="133">
        <v>14.0</v>
      </c>
      <c r="B981" s="149" t="s">
        <v>2670</v>
      </c>
      <c r="C981" s="149" t="s">
        <v>2671</v>
      </c>
      <c r="D981" s="149" t="s">
        <v>25</v>
      </c>
      <c r="E981" s="149" t="s">
        <v>57</v>
      </c>
      <c r="F981" s="132"/>
      <c r="G981" s="132">
        <v>80.0</v>
      </c>
      <c r="H981" s="132">
        <v>20.0</v>
      </c>
      <c r="I981" s="132">
        <v>100.0</v>
      </c>
      <c r="J981" s="132">
        <v>1.0</v>
      </c>
      <c r="K981" s="132">
        <v>1.0</v>
      </c>
      <c r="L981" s="132">
        <v>8.0</v>
      </c>
      <c r="M981" s="132" t="s">
        <v>2085</v>
      </c>
      <c r="N981" s="132" t="s">
        <v>2645</v>
      </c>
      <c r="O981" s="132" t="s">
        <v>2657</v>
      </c>
      <c r="P981" s="132" t="s">
        <v>29</v>
      </c>
      <c r="Q981" s="132">
        <v>0.0</v>
      </c>
      <c r="R981" s="132"/>
      <c r="S981" s="52"/>
      <c r="T981" s="129"/>
      <c r="U981" s="129"/>
      <c r="V981" s="129"/>
      <c r="W981" s="129"/>
      <c r="X981" s="129"/>
      <c r="Y981" s="129"/>
      <c r="Z981" s="129"/>
      <c r="AA981" s="129"/>
      <c r="AB981" s="129"/>
      <c r="AC981" s="129"/>
      <c r="AD981" s="129"/>
    </row>
    <row r="982" ht="14.25" customHeight="1">
      <c r="A982" s="133">
        <v>15.0</v>
      </c>
      <c r="B982" s="149" t="s">
        <v>2672</v>
      </c>
      <c r="C982" s="149" t="s">
        <v>2673</v>
      </c>
      <c r="D982" s="149" t="s">
        <v>25</v>
      </c>
      <c r="E982" s="149" t="s">
        <v>57</v>
      </c>
      <c r="F982" s="132"/>
      <c r="G982" s="132">
        <v>80.0</v>
      </c>
      <c r="H982" s="132">
        <v>10.0</v>
      </c>
      <c r="I982" s="132">
        <v>50.0</v>
      </c>
      <c r="J982" s="132" t="s">
        <v>2657</v>
      </c>
      <c r="K982" s="132" t="s">
        <v>2657</v>
      </c>
      <c r="L982" s="132">
        <v>3.0</v>
      </c>
      <c r="M982" s="132" t="s">
        <v>2085</v>
      </c>
      <c r="N982" s="132" t="s">
        <v>2645</v>
      </c>
      <c r="O982" s="132" t="s">
        <v>2657</v>
      </c>
      <c r="P982" s="132" t="s">
        <v>29</v>
      </c>
      <c r="Q982" s="132">
        <v>0.0</v>
      </c>
      <c r="R982" s="132"/>
      <c r="S982" s="52"/>
      <c r="T982" s="129"/>
      <c r="U982" s="129"/>
      <c r="V982" s="129"/>
      <c r="W982" s="129"/>
      <c r="X982" s="129"/>
      <c r="Y982" s="129"/>
      <c r="Z982" s="129"/>
      <c r="AA982" s="129"/>
      <c r="AB982" s="129"/>
      <c r="AC982" s="129"/>
      <c r="AD982" s="129"/>
    </row>
    <row r="983" ht="14.25" customHeight="1">
      <c r="A983" s="133">
        <v>16.0</v>
      </c>
      <c r="B983" s="149" t="s">
        <v>2674</v>
      </c>
      <c r="C983" s="149" t="s">
        <v>2675</v>
      </c>
      <c r="D983" s="149" t="s">
        <v>25</v>
      </c>
      <c r="E983" s="149" t="s">
        <v>57</v>
      </c>
      <c r="F983" s="132"/>
      <c r="G983" s="132">
        <v>80.0</v>
      </c>
      <c r="H983" s="132">
        <v>10.0</v>
      </c>
      <c r="I983" s="132">
        <v>50.0</v>
      </c>
      <c r="J983" s="132" t="s">
        <v>2657</v>
      </c>
      <c r="K983" s="132" t="s">
        <v>2657</v>
      </c>
      <c r="L983" s="132">
        <v>7.0</v>
      </c>
      <c r="M983" s="132" t="s">
        <v>2085</v>
      </c>
      <c r="N983" s="132" t="s">
        <v>2645</v>
      </c>
      <c r="O983" s="132" t="s">
        <v>2657</v>
      </c>
      <c r="P983" s="132" t="s">
        <v>29</v>
      </c>
      <c r="Q983" s="132">
        <v>0.0</v>
      </c>
      <c r="R983" s="132"/>
      <c r="S983" s="52"/>
      <c r="T983" s="129"/>
      <c r="U983" s="129"/>
      <c r="V983" s="129"/>
      <c r="W983" s="129"/>
      <c r="X983" s="129"/>
      <c r="Y983" s="129"/>
      <c r="Z983" s="129"/>
      <c r="AA983" s="129"/>
      <c r="AB983" s="129"/>
      <c r="AC983" s="129"/>
      <c r="AD983" s="129"/>
    </row>
    <row r="984" ht="14.25" customHeight="1">
      <c r="A984" s="133">
        <v>17.0</v>
      </c>
      <c r="B984" s="149" t="s">
        <v>2676</v>
      </c>
      <c r="C984" s="149" t="s">
        <v>2677</v>
      </c>
      <c r="D984" s="149" t="s">
        <v>25</v>
      </c>
      <c r="E984" s="149" t="s">
        <v>57</v>
      </c>
      <c r="F984" s="132"/>
      <c r="G984" s="132">
        <v>80.0</v>
      </c>
      <c r="H984" s="132">
        <v>10.0</v>
      </c>
      <c r="I984" s="132">
        <v>50.0</v>
      </c>
      <c r="J984" s="132">
        <v>4.0</v>
      </c>
      <c r="K984" s="132">
        <v>4.0</v>
      </c>
      <c r="L984" s="132">
        <v>4.0</v>
      </c>
      <c r="M984" s="132" t="s">
        <v>2085</v>
      </c>
      <c r="N984" s="132" t="s">
        <v>2645</v>
      </c>
      <c r="O984" s="132" t="s">
        <v>2657</v>
      </c>
      <c r="P984" s="132" t="s">
        <v>29</v>
      </c>
      <c r="Q984" s="132">
        <v>0.0</v>
      </c>
      <c r="R984" s="132"/>
      <c r="S984" s="52"/>
      <c r="T984" s="129"/>
      <c r="U984" s="129"/>
      <c r="V984" s="129"/>
      <c r="W984" s="129"/>
      <c r="X984" s="129"/>
      <c r="Y984" s="129"/>
      <c r="Z984" s="129"/>
      <c r="AA984" s="129"/>
      <c r="AB984" s="129"/>
      <c r="AC984" s="129"/>
      <c r="AD984" s="129"/>
    </row>
    <row r="985" ht="14.25" customHeight="1">
      <c r="A985" s="133">
        <v>18.0</v>
      </c>
      <c r="B985" s="149" t="s">
        <v>2678</v>
      </c>
      <c r="C985" s="149" t="s">
        <v>2679</v>
      </c>
      <c r="D985" s="149" t="s">
        <v>25</v>
      </c>
      <c r="E985" s="149" t="s">
        <v>57</v>
      </c>
      <c r="F985" s="132"/>
      <c r="G985" s="132">
        <v>80.0</v>
      </c>
      <c r="H985" s="132">
        <v>20.0</v>
      </c>
      <c r="I985" s="132">
        <v>100.0</v>
      </c>
      <c r="J985" s="132" t="s">
        <v>2657</v>
      </c>
      <c r="K985" s="132" t="s">
        <v>2657</v>
      </c>
      <c r="L985" s="132">
        <v>4.0</v>
      </c>
      <c r="M985" s="132" t="s">
        <v>2085</v>
      </c>
      <c r="N985" s="132" t="s">
        <v>2645</v>
      </c>
      <c r="O985" s="132" t="s">
        <v>2657</v>
      </c>
      <c r="P985" s="132" t="s">
        <v>29</v>
      </c>
      <c r="Q985" s="132">
        <v>0.0</v>
      </c>
      <c r="R985" s="132"/>
      <c r="S985" s="52"/>
      <c r="T985" s="129"/>
      <c r="U985" s="129"/>
      <c r="V985" s="129"/>
      <c r="W985" s="129"/>
      <c r="X985" s="129"/>
      <c r="Y985" s="129"/>
      <c r="Z985" s="129"/>
      <c r="AA985" s="129"/>
      <c r="AB985" s="129"/>
      <c r="AC985" s="129"/>
      <c r="AD985" s="129"/>
    </row>
    <row r="986" ht="14.25" customHeight="1">
      <c r="A986" s="133">
        <v>19.0</v>
      </c>
      <c r="B986" s="149" t="s">
        <v>2680</v>
      </c>
      <c r="C986" s="149" t="s">
        <v>2681</v>
      </c>
      <c r="D986" s="149" t="s">
        <v>25</v>
      </c>
      <c r="E986" s="149" t="s">
        <v>57</v>
      </c>
      <c r="F986" s="132"/>
      <c r="G986" s="132">
        <v>80.0</v>
      </c>
      <c r="H986" s="132">
        <v>20.0</v>
      </c>
      <c r="I986" s="132">
        <v>100.0</v>
      </c>
      <c r="J986" s="132">
        <v>7.0</v>
      </c>
      <c r="K986" s="132">
        <v>7.0</v>
      </c>
      <c r="L986" s="132">
        <v>8.0</v>
      </c>
      <c r="M986" s="132" t="s">
        <v>2085</v>
      </c>
      <c r="N986" s="132" t="s">
        <v>2645</v>
      </c>
      <c r="O986" s="132" t="s">
        <v>2657</v>
      </c>
      <c r="P986" s="132" t="s">
        <v>29</v>
      </c>
      <c r="Q986" s="132">
        <v>0.0</v>
      </c>
      <c r="R986" s="132"/>
      <c r="S986" s="52"/>
      <c r="T986" s="129"/>
      <c r="U986" s="129"/>
      <c r="V986" s="129"/>
      <c r="W986" s="129"/>
      <c r="X986" s="129"/>
      <c r="Y986" s="129"/>
      <c r="Z986" s="129"/>
      <c r="AA986" s="129"/>
      <c r="AB986" s="129"/>
      <c r="AC986" s="129"/>
      <c r="AD986" s="129"/>
    </row>
    <row r="987" ht="14.25" customHeight="1">
      <c r="A987" s="133">
        <v>20.0</v>
      </c>
      <c r="B987" s="149" t="s">
        <v>2682</v>
      </c>
      <c r="C987" s="149" t="s">
        <v>2683</v>
      </c>
      <c r="D987" s="149" t="s">
        <v>25</v>
      </c>
      <c r="E987" s="149" t="s">
        <v>57</v>
      </c>
      <c r="F987" s="132"/>
      <c r="G987" s="132">
        <v>80.0</v>
      </c>
      <c r="H987" s="132">
        <v>40.0</v>
      </c>
      <c r="I987" s="132">
        <v>200.0</v>
      </c>
      <c r="J987" s="132" t="s">
        <v>2657</v>
      </c>
      <c r="K987" s="132" t="s">
        <v>2657</v>
      </c>
      <c r="L987" s="132">
        <v>18.0</v>
      </c>
      <c r="M987" s="132" t="s">
        <v>2085</v>
      </c>
      <c r="N987" s="132" t="s">
        <v>2645</v>
      </c>
      <c r="O987" s="132" t="s">
        <v>2657</v>
      </c>
      <c r="P987" s="132" t="s">
        <v>29</v>
      </c>
      <c r="Q987" s="132">
        <v>0.0</v>
      </c>
      <c r="R987" s="132"/>
      <c r="S987" s="52"/>
      <c r="T987" s="129"/>
      <c r="U987" s="129"/>
      <c r="V987" s="129"/>
      <c r="W987" s="129"/>
      <c r="X987" s="129"/>
      <c r="Y987" s="129"/>
      <c r="Z987" s="129"/>
      <c r="AA987" s="129"/>
      <c r="AB987" s="129"/>
      <c r="AC987" s="129"/>
      <c r="AD987" s="129"/>
    </row>
    <row r="988" ht="14.25" customHeight="1">
      <c r="A988" s="133">
        <v>21.0</v>
      </c>
      <c r="B988" s="149" t="s">
        <v>2684</v>
      </c>
      <c r="C988" s="149" t="s">
        <v>2685</v>
      </c>
      <c r="D988" s="149" t="s">
        <v>25</v>
      </c>
      <c r="E988" s="149" t="s">
        <v>57</v>
      </c>
      <c r="F988" s="132"/>
      <c r="G988" s="132">
        <v>80.0</v>
      </c>
      <c r="H988" s="132">
        <v>20.0</v>
      </c>
      <c r="I988" s="132">
        <v>100.0</v>
      </c>
      <c r="J988" s="132">
        <v>1.0</v>
      </c>
      <c r="K988" s="132">
        <v>1.0</v>
      </c>
      <c r="L988" s="132">
        <v>8.0</v>
      </c>
      <c r="M988" s="132" t="s">
        <v>2085</v>
      </c>
      <c r="N988" s="132" t="s">
        <v>2645</v>
      </c>
      <c r="O988" s="132" t="s">
        <v>2657</v>
      </c>
      <c r="P988" s="132" t="s">
        <v>29</v>
      </c>
      <c r="Q988" s="132">
        <v>0.0</v>
      </c>
      <c r="R988" s="132"/>
      <c r="S988" s="52"/>
      <c r="T988" s="129"/>
      <c r="U988" s="129"/>
      <c r="V988" s="129"/>
      <c r="W988" s="129"/>
      <c r="X988" s="129"/>
      <c r="Y988" s="129"/>
      <c r="Z988" s="129"/>
      <c r="AA988" s="129"/>
      <c r="AB988" s="129"/>
      <c r="AC988" s="129"/>
      <c r="AD988" s="129"/>
    </row>
    <row r="989" ht="14.25" customHeight="1">
      <c r="A989" s="133">
        <v>22.0</v>
      </c>
      <c r="B989" s="149" t="s">
        <v>2686</v>
      </c>
      <c r="C989" s="149" t="s">
        <v>2687</v>
      </c>
      <c r="D989" s="149" t="s">
        <v>25</v>
      </c>
      <c r="E989" s="149" t="s">
        <v>57</v>
      </c>
      <c r="F989" s="132"/>
      <c r="G989" s="132">
        <v>80.0</v>
      </c>
      <c r="H989" s="132">
        <v>20.0</v>
      </c>
      <c r="I989" s="132">
        <v>100.0</v>
      </c>
      <c r="J989" s="132" t="s">
        <v>2657</v>
      </c>
      <c r="K989" s="132" t="s">
        <v>2657</v>
      </c>
      <c r="L989" s="132">
        <v>3.0</v>
      </c>
      <c r="M989" s="132" t="s">
        <v>2085</v>
      </c>
      <c r="N989" s="132" t="s">
        <v>2645</v>
      </c>
      <c r="O989" s="132" t="s">
        <v>2657</v>
      </c>
      <c r="P989" s="132" t="s">
        <v>29</v>
      </c>
      <c r="Q989" s="132">
        <v>0.0</v>
      </c>
      <c r="R989" s="132"/>
      <c r="S989" s="52"/>
      <c r="T989" s="129"/>
      <c r="U989" s="129"/>
      <c r="V989" s="129"/>
      <c r="W989" s="129"/>
      <c r="X989" s="129"/>
      <c r="Y989" s="129"/>
      <c r="Z989" s="129"/>
      <c r="AA989" s="129"/>
      <c r="AB989" s="129"/>
      <c r="AC989" s="129"/>
      <c r="AD989" s="129"/>
    </row>
    <row r="990" ht="14.25" customHeight="1">
      <c r="A990" s="133">
        <v>23.0</v>
      </c>
      <c r="B990" s="149" t="s">
        <v>2688</v>
      </c>
      <c r="C990" s="149" t="s">
        <v>2689</v>
      </c>
      <c r="D990" s="149" t="s">
        <v>25</v>
      </c>
      <c r="E990" s="149" t="s">
        <v>57</v>
      </c>
      <c r="F990" s="132"/>
      <c r="G990" s="132">
        <v>80.0</v>
      </c>
      <c r="H990" s="132">
        <v>10.0</v>
      </c>
      <c r="I990" s="132">
        <v>50.0</v>
      </c>
      <c r="J990" s="132" t="s">
        <v>2657</v>
      </c>
      <c r="K990" s="132" t="s">
        <v>2657</v>
      </c>
      <c r="L990" s="132">
        <v>3.0</v>
      </c>
      <c r="M990" s="132" t="s">
        <v>2085</v>
      </c>
      <c r="N990" s="132" t="s">
        <v>2645</v>
      </c>
      <c r="O990" s="132" t="s">
        <v>2657</v>
      </c>
      <c r="P990" s="132" t="s">
        <v>29</v>
      </c>
      <c r="Q990" s="132">
        <v>0.0</v>
      </c>
      <c r="R990" s="132"/>
      <c r="S990" s="52"/>
      <c r="T990" s="129"/>
      <c r="U990" s="129"/>
      <c r="V990" s="129"/>
      <c r="W990" s="129"/>
      <c r="X990" s="129"/>
      <c r="Y990" s="129"/>
      <c r="Z990" s="129"/>
      <c r="AA990" s="129"/>
      <c r="AB990" s="129"/>
      <c r="AC990" s="129"/>
      <c r="AD990" s="129"/>
    </row>
    <row r="991" ht="14.25" customHeight="1">
      <c r="A991" s="133">
        <v>24.0</v>
      </c>
      <c r="B991" s="149" t="s">
        <v>2690</v>
      </c>
      <c r="C991" s="149" t="s">
        <v>2691</v>
      </c>
      <c r="D991" s="149" t="s">
        <v>25</v>
      </c>
      <c r="E991" s="149" t="s">
        <v>57</v>
      </c>
      <c r="F991" s="132"/>
      <c r="G991" s="132">
        <v>80.0</v>
      </c>
      <c r="H991" s="132">
        <v>10.0</v>
      </c>
      <c r="I991" s="132">
        <v>50.0</v>
      </c>
      <c r="J991" s="132">
        <v>1.0</v>
      </c>
      <c r="K991" s="132">
        <v>1.0</v>
      </c>
      <c r="L991" s="132">
        <v>8.0</v>
      </c>
      <c r="M991" s="132" t="s">
        <v>2085</v>
      </c>
      <c r="N991" s="132" t="s">
        <v>2645</v>
      </c>
      <c r="O991" s="132" t="s">
        <v>2657</v>
      </c>
      <c r="P991" s="132" t="s">
        <v>29</v>
      </c>
      <c r="Q991" s="132">
        <v>0.0</v>
      </c>
      <c r="R991" s="132"/>
      <c r="S991" s="52"/>
      <c r="T991" s="129"/>
      <c r="U991" s="129"/>
      <c r="V991" s="129"/>
      <c r="W991" s="129"/>
      <c r="X991" s="129"/>
      <c r="Y991" s="129"/>
      <c r="Z991" s="129"/>
      <c r="AA991" s="129"/>
      <c r="AB991" s="129"/>
      <c r="AC991" s="129"/>
      <c r="AD991" s="129"/>
    </row>
    <row r="992" ht="14.25" customHeight="1">
      <c r="A992" s="133">
        <v>25.0</v>
      </c>
      <c r="B992" s="149" t="s">
        <v>2692</v>
      </c>
      <c r="C992" s="149" t="s">
        <v>2683</v>
      </c>
      <c r="D992" s="149" t="s">
        <v>25</v>
      </c>
      <c r="E992" s="149" t="s">
        <v>57</v>
      </c>
      <c r="F992" s="132"/>
      <c r="G992" s="132">
        <v>400.0</v>
      </c>
      <c r="H992" s="132">
        <v>40.0</v>
      </c>
      <c r="I992" s="132">
        <v>200.0</v>
      </c>
      <c r="J992" s="132">
        <v>10.0</v>
      </c>
      <c r="K992" s="132">
        <v>10.0</v>
      </c>
      <c r="L992" s="132">
        <v>23.0</v>
      </c>
      <c r="M992" s="132" t="s">
        <v>2085</v>
      </c>
      <c r="N992" s="132" t="s">
        <v>2645</v>
      </c>
      <c r="O992" s="132" t="s">
        <v>2657</v>
      </c>
      <c r="P992" s="132" t="s">
        <v>29</v>
      </c>
      <c r="Q992" s="132">
        <v>0.0</v>
      </c>
      <c r="R992" s="132"/>
      <c r="S992" s="52"/>
      <c r="T992" s="129"/>
      <c r="U992" s="129"/>
      <c r="V992" s="129"/>
      <c r="W992" s="129"/>
      <c r="X992" s="129"/>
      <c r="Y992" s="129"/>
      <c r="Z992" s="129"/>
      <c r="AA992" s="129"/>
      <c r="AB992" s="129"/>
      <c r="AC992" s="129"/>
      <c r="AD992" s="129"/>
    </row>
    <row r="993" ht="14.25" customHeight="1">
      <c r="A993" s="133">
        <v>26.0</v>
      </c>
      <c r="B993" s="149" t="s">
        <v>2693</v>
      </c>
      <c r="C993" s="149" t="s">
        <v>2671</v>
      </c>
      <c r="D993" s="149" t="s">
        <v>25</v>
      </c>
      <c r="E993" s="149" t="s">
        <v>57</v>
      </c>
      <c r="F993" s="132"/>
      <c r="G993" s="132">
        <v>400.0</v>
      </c>
      <c r="H993" s="132">
        <v>40.0</v>
      </c>
      <c r="I993" s="132">
        <v>200.0</v>
      </c>
      <c r="J993" s="132">
        <v>1.0</v>
      </c>
      <c r="K993" s="132">
        <v>1.0</v>
      </c>
      <c r="L993" s="132">
        <v>3.0</v>
      </c>
      <c r="M993" s="132" t="s">
        <v>2085</v>
      </c>
      <c r="N993" s="132" t="s">
        <v>2645</v>
      </c>
      <c r="O993" s="132" t="s">
        <v>2657</v>
      </c>
      <c r="P993" s="132" t="s">
        <v>29</v>
      </c>
      <c r="Q993" s="132">
        <v>0.0</v>
      </c>
      <c r="R993" s="132"/>
      <c r="S993" s="52"/>
      <c r="T993" s="129"/>
      <c r="U993" s="129"/>
      <c r="V993" s="129"/>
      <c r="W993" s="129"/>
      <c r="X993" s="129"/>
      <c r="Y993" s="129"/>
      <c r="Z993" s="129"/>
      <c r="AA993" s="129"/>
      <c r="AB993" s="129"/>
      <c r="AC993" s="129"/>
      <c r="AD993" s="129"/>
    </row>
    <row r="994" ht="14.25" customHeight="1">
      <c r="A994" s="133">
        <v>27.0</v>
      </c>
      <c r="B994" s="149" t="s">
        <v>2694</v>
      </c>
      <c r="C994" s="149" t="s">
        <v>2695</v>
      </c>
      <c r="D994" s="149" t="s">
        <v>25</v>
      </c>
      <c r="E994" s="149" t="s">
        <v>57</v>
      </c>
      <c r="F994" s="132"/>
      <c r="G994" s="132">
        <v>1000.0</v>
      </c>
      <c r="H994" s="132">
        <v>125.0</v>
      </c>
      <c r="I994" s="132">
        <v>625.0</v>
      </c>
      <c r="J994" s="132">
        <v>4.0</v>
      </c>
      <c r="K994" s="132">
        <v>4.0</v>
      </c>
      <c r="L994" s="132" t="s">
        <v>2657</v>
      </c>
      <c r="M994" s="132" t="s">
        <v>2085</v>
      </c>
      <c r="N994" s="132" t="s">
        <v>2645</v>
      </c>
      <c r="O994" s="132" t="s">
        <v>2657</v>
      </c>
      <c r="P994" s="132" t="s">
        <v>29</v>
      </c>
      <c r="Q994" s="132">
        <v>0.0</v>
      </c>
      <c r="R994" s="132"/>
      <c r="S994" s="52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</row>
    <row r="995" ht="15.75" customHeight="1">
      <c r="A995" s="195"/>
      <c r="B995" s="179"/>
      <c r="C995" s="179"/>
      <c r="D995" s="179"/>
      <c r="E995" s="179"/>
      <c r="F995" s="129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</row>
    <row r="996" ht="15.75" customHeight="1">
      <c r="A996" s="195"/>
      <c r="B996" s="179"/>
      <c r="C996" s="179"/>
      <c r="D996" s="179"/>
      <c r="E996" s="179"/>
      <c r="F996" s="129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29"/>
      <c r="T996" s="129"/>
      <c r="U996" s="129"/>
      <c r="V996" s="129"/>
      <c r="W996" s="129"/>
      <c r="X996" s="129"/>
      <c r="Y996" s="129"/>
      <c r="Z996" s="129"/>
      <c r="AA996" s="129"/>
      <c r="AB996" s="129"/>
      <c r="AC996" s="129"/>
      <c r="AD996" s="129"/>
    </row>
    <row r="997" ht="15.75" customHeight="1">
      <c r="A997" s="195"/>
      <c r="B997" s="179"/>
      <c r="C997" s="179"/>
      <c r="D997" s="179"/>
      <c r="E997" s="179"/>
      <c r="F997" s="129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</row>
    <row r="998" ht="15.75" customHeight="1">
      <c r="A998" s="195"/>
      <c r="B998" s="179"/>
      <c r="C998" s="179"/>
      <c r="D998" s="179"/>
      <c r="E998" s="179"/>
      <c r="F998" s="129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</row>
    <row r="999" ht="15.75" customHeight="1">
      <c r="A999" s="195"/>
      <c r="B999" s="179"/>
      <c r="C999" s="179"/>
      <c r="D999" s="179"/>
      <c r="E999" s="179"/>
      <c r="F999" s="129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</row>
    <row r="1000" ht="15.75" customHeight="1">
      <c r="A1000" s="195"/>
      <c r="B1000" s="179"/>
      <c r="C1000" s="179"/>
      <c r="D1000" s="179"/>
      <c r="E1000" s="179"/>
      <c r="F1000" s="129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</row>
    <row r="1001" ht="15.75" customHeight="1">
      <c r="A1001" s="195"/>
      <c r="B1001" s="179"/>
      <c r="C1001" s="179"/>
      <c r="D1001" s="179"/>
      <c r="E1001" s="179"/>
      <c r="F1001" s="129"/>
      <c r="G1001" s="195"/>
      <c r="H1001" s="195"/>
      <c r="I1001" s="195"/>
      <c r="J1001" s="195"/>
      <c r="K1001" s="195"/>
      <c r="L1001" s="195"/>
      <c r="M1001" s="195"/>
      <c r="N1001" s="195"/>
      <c r="O1001" s="195"/>
      <c r="P1001" s="195"/>
      <c r="Q1001" s="195"/>
      <c r="R1001" s="195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</row>
    <row r="1002" ht="15.75" customHeight="1">
      <c r="A1002" s="195"/>
      <c r="B1002" s="179"/>
      <c r="C1002" s="179"/>
      <c r="D1002" s="179"/>
      <c r="E1002" s="179"/>
      <c r="F1002" s="129"/>
      <c r="G1002" s="195"/>
      <c r="H1002" s="195"/>
      <c r="I1002" s="195"/>
      <c r="J1002" s="195"/>
      <c r="K1002" s="195"/>
      <c r="L1002" s="195"/>
      <c r="M1002" s="195"/>
      <c r="N1002" s="195"/>
      <c r="O1002" s="195"/>
      <c r="P1002" s="195"/>
      <c r="Q1002" s="195"/>
      <c r="R1002" s="195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</row>
    <row r="1003" ht="15.75" customHeight="1">
      <c r="A1003" s="195"/>
      <c r="B1003" s="179"/>
      <c r="C1003" s="179"/>
      <c r="D1003" s="179"/>
      <c r="E1003" s="179"/>
      <c r="F1003" s="129"/>
      <c r="G1003" s="195"/>
      <c r="H1003" s="195"/>
      <c r="I1003" s="195"/>
      <c r="J1003" s="195"/>
      <c r="K1003" s="195"/>
      <c r="L1003" s="195"/>
      <c r="M1003" s="195"/>
      <c r="N1003" s="195"/>
      <c r="O1003" s="195"/>
      <c r="P1003" s="195"/>
      <c r="Q1003" s="195"/>
      <c r="R1003" s="195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</row>
    <row r="1004" ht="15.75" customHeight="1">
      <c r="A1004" s="195"/>
      <c r="B1004" s="179"/>
      <c r="C1004" s="179"/>
      <c r="D1004" s="179"/>
      <c r="E1004" s="179"/>
      <c r="F1004" s="129"/>
      <c r="G1004" s="195"/>
      <c r="H1004" s="195"/>
      <c r="I1004" s="195"/>
      <c r="J1004" s="195"/>
      <c r="K1004" s="195"/>
      <c r="L1004" s="195"/>
      <c r="M1004" s="195"/>
      <c r="N1004" s="195"/>
      <c r="O1004" s="195"/>
      <c r="P1004" s="195"/>
      <c r="Q1004" s="195"/>
      <c r="R1004" s="195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</row>
    <row r="1005" ht="15.75" customHeight="1">
      <c r="A1005" s="195"/>
      <c r="B1005" s="179"/>
      <c r="C1005" s="179"/>
      <c r="D1005" s="179"/>
      <c r="E1005" s="179"/>
      <c r="F1005" s="129"/>
      <c r="G1005" s="195"/>
      <c r="H1005" s="195"/>
      <c r="I1005" s="195"/>
      <c r="J1005" s="195"/>
      <c r="K1005" s="195"/>
      <c r="L1005" s="195"/>
      <c r="M1005" s="195"/>
      <c r="N1005" s="195"/>
      <c r="O1005" s="195"/>
      <c r="P1005" s="195"/>
      <c r="Q1005" s="195"/>
      <c r="R1005" s="195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</row>
    <row r="1006" ht="15.75" customHeight="1">
      <c r="A1006" s="195"/>
      <c r="B1006" s="179"/>
      <c r="C1006" s="179"/>
      <c r="D1006" s="179"/>
      <c r="E1006" s="179"/>
      <c r="F1006" s="129"/>
      <c r="G1006" s="195"/>
      <c r="H1006" s="195"/>
      <c r="I1006" s="195"/>
      <c r="J1006" s="195"/>
      <c r="K1006" s="195"/>
      <c r="L1006" s="195"/>
      <c r="M1006" s="195"/>
      <c r="N1006" s="195"/>
      <c r="O1006" s="195"/>
      <c r="P1006" s="195"/>
      <c r="Q1006" s="195"/>
      <c r="R1006" s="195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</row>
    <row r="1007" ht="15.75" customHeight="1">
      <c r="A1007" s="195"/>
      <c r="B1007" s="179"/>
      <c r="C1007" s="179"/>
      <c r="D1007" s="179"/>
      <c r="E1007" s="179"/>
      <c r="F1007" s="129"/>
      <c r="G1007" s="195"/>
      <c r="H1007" s="195"/>
      <c r="I1007" s="195"/>
      <c r="J1007" s="195"/>
      <c r="K1007" s="195"/>
      <c r="L1007" s="195"/>
      <c r="M1007" s="195"/>
      <c r="N1007" s="195"/>
      <c r="O1007" s="195"/>
      <c r="P1007" s="195"/>
      <c r="Q1007" s="195"/>
      <c r="R1007" s="195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</row>
    <row r="1008" ht="15.75" customHeight="1">
      <c r="A1008" s="195"/>
      <c r="B1008" s="179"/>
      <c r="C1008" s="179"/>
      <c r="D1008" s="179"/>
      <c r="E1008" s="179"/>
      <c r="F1008" s="129"/>
      <c r="G1008" s="195"/>
      <c r="H1008" s="195"/>
      <c r="I1008" s="195"/>
      <c r="J1008" s="195"/>
      <c r="K1008" s="195"/>
      <c r="L1008" s="195"/>
      <c r="M1008" s="195"/>
      <c r="N1008" s="195"/>
      <c r="O1008" s="195"/>
      <c r="P1008" s="195"/>
      <c r="Q1008" s="195"/>
      <c r="R1008" s="195"/>
      <c r="S1008" s="129"/>
      <c r="T1008" s="129"/>
      <c r="U1008" s="129"/>
      <c r="V1008" s="129"/>
      <c r="W1008" s="129"/>
      <c r="X1008" s="129"/>
      <c r="Y1008" s="129"/>
      <c r="Z1008" s="129"/>
      <c r="AA1008" s="129"/>
      <c r="AB1008" s="129"/>
      <c r="AC1008" s="129"/>
      <c r="AD1008" s="129"/>
    </row>
    <row r="1009" ht="15.75" customHeight="1">
      <c r="A1009" s="195"/>
      <c r="B1009" s="179"/>
      <c r="C1009" s="179"/>
      <c r="D1009" s="179"/>
      <c r="E1009" s="179"/>
      <c r="F1009" s="129"/>
      <c r="G1009" s="195"/>
      <c r="H1009" s="195"/>
      <c r="I1009" s="195"/>
      <c r="J1009" s="195"/>
      <c r="K1009" s="195"/>
      <c r="L1009" s="195"/>
      <c r="M1009" s="195"/>
      <c r="N1009" s="195"/>
      <c r="O1009" s="195"/>
      <c r="P1009" s="195"/>
      <c r="Q1009" s="195"/>
      <c r="R1009" s="195"/>
      <c r="S1009" s="129"/>
      <c r="T1009" s="129"/>
      <c r="U1009" s="129"/>
      <c r="V1009" s="129"/>
      <c r="W1009" s="129"/>
      <c r="X1009" s="129"/>
      <c r="Y1009" s="129"/>
      <c r="Z1009" s="129"/>
      <c r="AA1009" s="129"/>
      <c r="AB1009" s="129"/>
      <c r="AC1009" s="129"/>
      <c r="AD1009" s="129"/>
    </row>
    <row r="1010" ht="15.75" customHeight="1">
      <c r="A1010" s="195"/>
      <c r="B1010" s="179"/>
      <c r="C1010" s="179"/>
      <c r="D1010" s="179"/>
      <c r="E1010" s="179"/>
      <c r="F1010" s="129"/>
      <c r="G1010" s="195"/>
      <c r="H1010" s="195"/>
      <c r="I1010" s="195"/>
      <c r="J1010" s="195"/>
      <c r="K1010" s="195"/>
      <c r="L1010" s="195"/>
      <c r="M1010" s="195"/>
      <c r="N1010" s="195"/>
      <c r="O1010" s="195"/>
      <c r="P1010" s="195"/>
      <c r="Q1010" s="195"/>
      <c r="R1010" s="195"/>
      <c r="S1010" s="129"/>
      <c r="T1010" s="129"/>
      <c r="U1010" s="129"/>
      <c r="V1010" s="129"/>
      <c r="W1010" s="129"/>
      <c r="X1010" s="129"/>
      <c r="Y1010" s="129"/>
      <c r="Z1010" s="129"/>
      <c r="AA1010" s="129"/>
      <c r="AB1010" s="129"/>
      <c r="AC1010" s="129"/>
      <c r="AD1010" s="129"/>
    </row>
    <row r="1011" ht="15.75" customHeight="1">
      <c r="A1011" s="195"/>
      <c r="B1011" s="179"/>
      <c r="C1011" s="179"/>
      <c r="D1011" s="179"/>
      <c r="E1011" s="179"/>
      <c r="F1011" s="129"/>
      <c r="G1011" s="195"/>
      <c r="H1011" s="195"/>
      <c r="I1011" s="195"/>
      <c r="J1011" s="195"/>
      <c r="K1011" s="195"/>
      <c r="L1011" s="195"/>
      <c r="M1011" s="195"/>
      <c r="N1011" s="195"/>
      <c r="O1011" s="195"/>
      <c r="P1011" s="195"/>
      <c r="Q1011" s="195"/>
      <c r="R1011" s="195"/>
      <c r="S1011" s="129"/>
      <c r="T1011" s="129"/>
      <c r="U1011" s="129"/>
      <c r="V1011" s="129"/>
      <c r="W1011" s="129"/>
      <c r="X1011" s="129"/>
      <c r="Y1011" s="129"/>
      <c r="Z1011" s="129"/>
      <c r="AA1011" s="129"/>
      <c r="AB1011" s="129"/>
      <c r="AC1011" s="129"/>
      <c r="AD1011" s="129"/>
    </row>
    <row r="1012" ht="15.75" customHeight="1">
      <c r="A1012" s="195"/>
      <c r="B1012" s="179"/>
      <c r="C1012" s="179"/>
      <c r="D1012" s="179"/>
      <c r="E1012" s="179"/>
      <c r="F1012" s="129"/>
      <c r="G1012" s="195"/>
      <c r="H1012" s="195"/>
      <c r="I1012" s="195"/>
      <c r="J1012" s="195"/>
      <c r="K1012" s="195"/>
      <c r="L1012" s="195"/>
      <c r="M1012" s="195"/>
      <c r="N1012" s="195"/>
      <c r="O1012" s="195"/>
      <c r="P1012" s="195"/>
      <c r="Q1012" s="195"/>
      <c r="R1012" s="195"/>
      <c r="S1012" s="129"/>
      <c r="T1012" s="129"/>
      <c r="U1012" s="129"/>
      <c r="V1012" s="129"/>
      <c r="W1012" s="129"/>
      <c r="X1012" s="129"/>
      <c r="Y1012" s="129"/>
      <c r="Z1012" s="129"/>
      <c r="AA1012" s="129"/>
      <c r="AB1012" s="129"/>
      <c r="AC1012" s="129"/>
      <c r="AD1012" s="129"/>
    </row>
    <row r="1013" ht="15.75" customHeight="1">
      <c r="A1013" s="195"/>
      <c r="B1013" s="179"/>
      <c r="C1013" s="179"/>
      <c r="D1013" s="179"/>
      <c r="E1013" s="179"/>
      <c r="F1013" s="129"/>
      <c r="G1013" s="195"/>
      <c r="H1013" s="195"/>
      <c r="I1013" s="195"/>
      <c r="J1013" s="195"/>
      <c r="K1013" s="195"/>
      <c r="L1013" s="195"/>
      <c r="M1013" s="195"/>
      <c r="N1013" s="195"/>
      <c r="O1013" s="195"/>
      <c r="P1013" s="195"/>
      <c r="Q1013" s="195"/>
      <c r="R1013" s="195"/>
      <c r="S1013" s="129"/>
      <c r="T1013" s="129"/>
      <c r="U1013" s="129"/>
      <c r="V1013" s="129"/>
      <c r="W1013" s="129"/>
      <c r="X1013" s="129"/>
      <c r="Y1013" s="129"/>
      <c r="Z1013" s="129"/>
      <c r="AA1013" s="129"/>
      <c r="AB1013" s="129"/>
      <c r="AC1013" s="129"/>
      <c r="AD1013" s="129"/>
    </row>
    <row r="1014" ht="15.75" customHeight="1">
      <c r="A1014" s="195"/>
      <c r="B1014" s="179"/>
      <c r="C1014" s="179"/>
      <c r="D1014" s="179"/>
      <c r="E1014" s="179"/>
      <c r="F1014" s="129"/>
      <c r="G1014" s="195"/>
      <c r="H1014" s="195"/>
      <c r="I1014" s="195"/>
      <c r="J1014" s="195"/>
      <c r="K1014" s="195"/>
      <c r="L1014" s="195"/>
      <c r="M1014" s="195"/>
      <c r="N1014" s="195"/>
      <c r="O1014" s="195"/>
      <c r="P1014" s="195"/>
      <c r="Q1014" s="195"/>
      <c r="R1014" s="195"/>
      <c r="S1014" s="129"/>
      <c r="T1014" s="129"/>
      <c r="U1014" s="129"/>
      <c r="V1014" s="129"/>
      <c r="W1014" s="129"/>
      <c r="X1014" s="129"/>
      <c r="Y1014" s="129"/>
      <c r="Z1014" s="129"/>
      <c r="AA1014" s="129"/>
      <c r="AB1014" s="129"/>
      <c r="AC1014" s="129"/>
      <c r="AD1014" s="129"/>
    </row>
    <row r="1015" ht="15.75" customHeight="1">
      <c r="A1015" s="195"/>
      <c r="B1015" s="179"/>
      <c r="C1015" s="179"/>
      <c r="D1015" s="179"/>
      <c r="E1015" s="179"/>
      <c r="F1015" s="129"/>
      <c r="G1015" s="195"/>
      <c r="H1015" s="195"/>
      <c r="I1015" s="195"/>
      <c r="J1015" s="195"/>
      <c r="K1015" s="195"/>
      <c r="L1015" s="195"/>
      <c r="M1015" s="195"/>
      <c r="N1015" s="195"/>
      <c r="O1015" s="195"/>
      <c r="P1015" s="195"/>
      <c r="Q1015" s="195"/>
      <c r="R1015" s="195"/>
      <c r="S1015" s="129"/>
      <c r="T1015" s="129"/>
      <c r="U1015" s="129"/>
      <c r="V1015" s="129"/>
      <c r="W1015" s="129"/>
      <c r="X1015" s="129"/>
      <c r="Y1015" s="129"/>
      <c r="Z1015" s="129"/>
      <c r="AA1015" s="129"/>
      <c r="AB1015" s="129"/>
      <c r="AC1015" s="129"/>
      <c r="AD1015" s="129"/>
    </row>
    <row r="1016" ht="15.75" customHeight="1">
      <c r="A1016" s="195"/>
      <c r="B1016" s="179"/>
      <c r="C1016" s="179"/>
      <c r="D1016" s="179"/>
      <c r="E1016" s="179"/>
      <c r="F1016" s="129"/>
      <c r="G1016" s="195"/>
      <c r="H1016" s="195"/>
      <c r="I1016" s="195"/>
      <c r="J1016" s="195"/>
      <c r="K1016" s="195"/>
      <c r="L1016" s="195"/>
      <c r="M1016" s="195"/>
      <c r="N1016" s="195"/>
      <c r="O1016" s="195"/>
      <c r="P1016" s="195"/>
      <c r="Q1016" s="195"/>
      <c r="R1016" s="195"/>
      <c r="S1016" s="129"/>
      <c r="T1016" s="129"/>
      <c r="U1016" s="129"/>
      <c r="V1016" s="129"/>
      <c r="W1016" s="129"/>
      <c r="X1016" s="129"/>
      <c r="Y1016" s="129"/>
      <c r="Z1016" s="129"/>
      <c r="AA1016" s="129"/>
      <c r="AB1016" s="129"/>
      <c r="AC1016" s="129"/>
      <c r="AD1016" s="129"/>
    </row>
    <row r="1017" ht="15.75" customHeight="1">
      <c r="A1017" s="195"/>
      <c r="B1017" s="179"/>
      <c r="C1017" s="179"/>
      <c r="D1017" s="179"/>
      <c r="E1017" s="179"/>
      <c r="F1017" s="129"/>
      <c r="G1017" s="195"/>
      <c r="H1017" s="195"/>
      <c r="I1017" s="195"/>
      <c r="J1017" s="195"/>
      <c r="K1017" s="195"/>
      <c r="L1017" s="195"/>
      <c r="M1017" s="195"/>
      <c r="N1017" s="195"/>
      <c r="O1017" s="195"/>
      <c r="P1017" s="195"/>
      <c r="Q1017" s="195"/>
      <c r="R1017" s="195"/>
      <c r="S1017" s="129"/>
      <c r="T1017" s="129"/>
      <c r="U1017" s="129"/>
      <c r="V1017" s="129"/>
      <c r="W1017" s="129"/>
      <c r="X1017" s="129"/>
      <c r="Y1017" s="129"/>
      <c r="Z1017" s="129"/>
      <c r="AA1017" s="129"/>
      <c r="AB1017" s="129"/>
      <c r="AC1017" s="129"/>
      <c r="AD1017" s="129"/>
    </row>
    <row r="1018" ht="15.75" customHeight="1">
      <c r="A1018" s="195"/>
      <c r="B1018" s="179"/>
      <c r="C1018" s="179"/>
      <c r="D1018" s="179"/>
      <c r="E1018" s="179"/>
      <c r="F1018" s="129"/>
      <c r="G1018" s="195"/>
      <c r="H1018" s="195"/>
      <c r="I1018" s="195"/>
      <c r="J1018" s="195"/>
      <c r="K1018" s="195"/>
      <c r="L1018" s="195"/>
      <c r="M1018" s="195"/>
      <c r="N1018" s="195"/>
      <c r="O1018" s="195"/>
      <c r="P1018" s="195"/>
      <c r="Q1018" s="195"/>
      <c r="R1018" s="195"/>
      <c r="S1018" s="129"/>
      <c r="T1018" s="129"/>
      <c r="U1018" s="129"/>
      <c r="V1018" s="129"/>
      <c r="W1018" s="129"/>
      <c r="X1018" s="129"/>
      <c r="Y1018" s="129"/>
      <c r="Z1018" s="129"/>
      <c r="AA1018" s="129"/>
      <c r="AB1018" s="129"/>
      <c r="AC1018" s="129"/>
      <c r="AD1018" s="129"/>
    </row>
    <row r="1019" ht="15.75" customHeight="1">
      <c r="A1019" s="195"/>
      <c r="B1019" s="179"/>
      <c r="C1019" s="179"/>
      <c r="D1019" s="179"/>
      <c r="E1019" s="179"/>
      <c r="F1019" s="129"/>
      <c r="G1019" s="195"/>
      <c r="H1019" s="195"/>
      <c r="I1019" s="195"/>
      <c r="J1019" s="195"/>
      <c r="K1019" s="195"/>
      <c r="L1019" s="195"/>
      <c r="M1019" s="195"/>
      <c r="N1019" s="195"/>
      <c r="O1019" s="195"/>
      <c r="P1019" s="195"/>
      <c r="Q1019" s="195"/>
      <c r="R1019" s="195"/>
      <c r="S1019" s="129"/>
      <c r="T1019" s="129"/>
      <c r="U1019" s="129"/>
      <c r="V1019" s="129"/>
      <c r="W1019" s="129"/>
      <c r="X1019" s="129"/>
      <c r="Y1019" s="129"/>
      <c r="Z1019" s="129"/>
      <c r="AA1019" s="129"/>
      <c r="AB1019" s="129"/>
      <c r="AC1019" s="129"/>
      <c r="AD1019" s="129"/>
    </row>
    <row r="1020" ht="15.75" customHeight="1">
      <c r="A1020" s="195"/>
      <c r="B1020" s="179"/>
      <c r="C1020" s="179"/>
      <c r="D1020" s="179"/>
      <c r="E1020" s="179"/>
      <c r="F1020" s="129"/>
      <c r="G1020" s="195"/>
      <c r="H1020" s="195"/>
      <c r="I1020" s="195"/>
      <c r="J1020" s="195"/>
      <c r="K1020" s="195"/>
      <c r="L1020" s="195"/>
      <c r="M1020" s="195"/>
      <c r="N1020" s="195"/>
      <c r="O1020" s="195"/>
      <c r="P1020" s="195"/>
      <c r="Q1020" s="195"/>
      <c r="R1020" s="195"/>
      <c r="S1020" s="129"/>
      <c r="T1020" s="129"/>
      <c r="U1020" s="129"/>
      <c r="V1020" s="129"/>
      <c r="W1020" s="129"/>
      <c r="X1020" s="129"/>
      <c r="Y1020" s="129"/>
      <c r="Z1020" s="129"/>
      <c r="AA1020" s="129"/>
      <c r="AB1020" s="129"/>
      <c r="AC1020" s="129"/>
      <c r="AD1020" s="129"/>
    </row>
    <row r="1021" ht="15.75" customHeight="1">
      <c r="A1021" s="195"/>
      <c r="B1021" s="179"/>
      <c r="C1021" s="179"/>
      <c r="D1021" s="179"/>
      <c r="E1021" s="179"/>
      <c r="F1021" s="129"/>
      <c r="G1021" s="195"/>
      <c r="H1021" s="195"/>
      <c r="I1021" s="195"/>
      <c r="J1021" s="195"/>
      <c r="K1021" s="195"/>
      <c r="L1021" s="195"/>
      <c r="M1021" s="195"/>
      <c r="N1021" s="195"/>
      <c r="O1021" s="195"/>
      <c r="P1021" s="195"/>
      <c r="Q1021" s="195"/>
      <c r="R1021" s="195"/>
      <c r="S1021" s="129"/>
      <c r="T1021" s="129"/>
      <c r="U1021" s="129"/>
      <c r="V1021" s="129"/>
      <c r="W1021" s="129"/>
      <c r="X1021" s="129"/>
      <c r="Y1021" s="129"/>
      <c r="Z1021" s="129"/>
      <c r="AA1021" s="129"/>
      <c r="AB1021" s="129"/>
      <c r="AC1021" s="129"/>
      <c r="AD1021" s="129"/>
    </row>
    <row r="1022" ht="15.75" customHeight="1">
      <c r="A1022" s="195"/>
      <c r="B1022" s="179"/>
      <c r="C1022" s="179"/>
      <c r="D1022" s="179"/>
      <c r="E1022" s="179"/>
      <c r="F1022" s="129"/>
      <c r="G1022" s="195"/>
      <c r="H1022" s="195"/>
      <c r="I1022" s="195"/>
      <c r="J1022" s="195"/>
      <c r="K1022" s="195"/>
      <c r="L1022" s="195"/>
      <c r="M1022" s="195"/>
      <c r="N1022" s="195"/>
      <c r="O1022" s="195"/>
      <c r="P1022" s="195"/>
      <c r="Q1022" s="195"/>
      <c r="R1022" s="195"/>
      <c r="S1022" s="129"/>
      <c r="T1022" s="129"/>
      <c r="U1022" s="129"/>
      <c r="V1022" s="129"/>
      <c r="W1022" s="129"/>
      <c r="X1022" s="129"/>
      <c r="Y1022" s="129"/>
      <c r="Z1022" s="129"/>
      <c r="AA1022" s="129"/>
      <c r="AB1022" s="129"/>
      <c r="AC1022" s="129"/>
      <c r="AD1022" s="129"/>
    </row>
    <row r="1023" ht="15.75" customHeight="1">
      <c r="A1023" s="195"/>
      <c r="B1023" s="179"/>
      <c r="C1023" s="179"/>
      <c r="D1023" s="179"/>
      <c r="E1023" s="179"/>
      <c r="F1023" s="129"/>
      <c r="G1023" s="195"/>
      <c r="H1023" s="195"/>
      <c r="I1023" s="195"/>
      <c r="J1023" s="195"/>
      <c r="K1023" s="195"/>
      <c r="L1023" s="195"/>
      <c r="M1023" s="195"/>
      <c r="N1023" s="195"/>
      <c r="O1023" s="195"/>
      <c r="P1023" s="195"/>
      <c r="Q1023" s="195"/>
      <c r="R1023" s="195"/>
      <c r="S1023" s="129"/>
      <c r="T1023" s="129"/>
      <c r="U1023" s="129"/>
      <c r="V1023" s="129"/>
      <c r="W1023" s="129"/>
      <c r="X1023" s="129"/>
      <c r="Y1023" s="129"/>
      <c r="Z1023" s="129"/>
      <c r="AA1023" s="129"/>
      <c r="AB1023" s="129"/>
      <c r="AC1023" s="129"/>
      <c r="AD1023" s="129"/>
    </row>
    <row r="1024" ht="15.75" customHeight="1">
      <c r="A1024" s="195"/>
      <c r="B1024" s="179"/>
      <c r="C1024" s="179"/>
      <c r="D1024" s="179"/>
      <c r="E1024" s="179"/>
      <c r="F1024" s="129"/>
      <c r="G1024" s="195"/>
      <c r="H1024" s="195"/>
      <c r="I1024" s="195"/>
      <c r="J1024" s="195"/>
      <c r="K1024" s="195"/>
      <c r="L1024" s="195"/>
      <c r="M1024" s="195"/>
      <c r="N1024" s="195"/>
      <c r="O1024" s="195"/>
      <c r="P1024" s="195"/>
      <c r="Q1024" s="195"/>
      <c r="R1024" s="195"/>
      <c r="S1024" s="129"/>
      <c r="T1024" s="129"/>
      <c r="U1024" s="129"/>
      <c r="V1024" s="129"/>
      <c r="W1024" s="129"/>
      <c r="X1024" s="129"/>
      <c r="Y1024" s="129"/>
      <c r="Z1024" s="129"/>
      <c r="AA1024" s="129"/>
      <c r="AB1024" s="129"/>
      <c r="AC1024" s="129"/>
      <c r="AD1024" s="129"/>
    </row>
    <row r="1025" ht="15.75" customHeight="1">
      <c r="A1025" s="195"/>
      <c r="B1025" s="179"/>
      <c r="C1025" s="179"/>
      <c r="D1025" s="179"/>
      <c r="E1025" s="179"/>
      <c r="F1025" s="129"/>
      <c r="G1025" s="195"/>
      <c r="H1025" s="195"/>
      <c r="I1025" s="195"/>
      <c r="J1025" s="195"/>
      <c r="K1025" s="195"/>
      <c r="L1025" s="195"/>
      <c r="M1025" s="195"/>
      <c r="N1025" s="195"/>
      <c r="O1025" s="195"/>
      <c r="P1025" s="195"/>
      <c r="Q1025" s="195"/>
      <c r="R1025" s="195"/>
      <c r="S1025" s="129"/>
      <c r="T1025" s="129"/>
      <c r="U1025" s="129"/>
      <c r="V1025" s="129"/>
      <c r="W1025" s="129"/>
      <c r="X1025" s="129"/>
      <c r="Y1025" s="129"/>
      <c r="Z1025" s="129"/>
      <c r="AA1025" s="129"/>
      <c r="AB1025" s="129"/>
      <c r="AC1025" s="129"/>
      <c r="AD1025" s="129"/>
    </row>
    <row r="1026" ht="15.75" customHeight="1">
      <c r="A1026" s="195"/>
      <c r="B1026" s="179"/>
      <c r="C1026" s="179"/>
      <c r="D1026" s="179"/>
      <c r="E1026" s="179"/>
      <c r="F1026" s="129"/>
      <c r="G1026" s="195"/>
      <c r="H1026" s="195"/>
      <c r="I1026" s="195"/>
      <c r="J1026" s="195"/>
      <c r="K1026" s="195"/>
      <c r="L1026" s="195"/>
      <c r="M1026" s="195"/>
      <c r="N1026" s="195"/>
      <c r="O1026" s="195"/>
      <c r="P1026" s="195"/>
      <c r="Q1026" s="195"/>
      <c r="R1026" s="195"/>
      <c r="S1026" s="129"/>
      <c r="T1026" s="129"/>
      <c r="U1026" s="129"/>
      <c r="V1026" s="129"/>
      <c r="W1026" s="129"/>
      <c r="X1026" s="129"/>
      <c r="Y1026" s="129"/>
      <c r="Z1026" s="129"/>
      <c r="AA1026" s="129"/>
      <c r="AB1026" s="129"/>
      <c r="AC1026" s="129"/>
      <c r="AD1026" s="129"/>
    </row>
    <row r="1027" ht="15.75" customHeight="1">
      <c r="A1027" s="195"/>
      <c r="B1027" s="179"/>
      <c r="C1027" s="179"/>
      <c r="D1027" s="179"/>
      <c r="E1027" s="179"/>
      <c r="F1027" s="129"/>
      <c r="G1027" s="195"/>
      <c r="H1027" s="195"/>
      <c r="I1027" s="195"/>
      <c r="J1027" s="195"/>
      <c r="K1027" s="195"/>
      <c r="L1027" s="195"/>
      <c r="M1027" s="195"/>
      <c r="N1027" s="195"/>
      <c r="O1027" s="195"/>
      <c r="P1027" s="195"/>
      <c r="Q1027" s="195"/>
      <c r="R1027" s="195"/>
      <c r="S1027" s="129"/>
      <c r="T1027" s="129"/>
      <c r="U1027" s="129"/>
      <c r="V1027" s="129"/>
      <c r="W1027" s="129"/>
      <c r="X1027" s="129"/>
      <c r="Y1027" s="129"/>
      <c r="Z1027" s="129"/>
      <c r="AA1027" s="129"/>
      <c r="AB1027" s="129"/>
      <c r="AC1027" s="129"/>
      <c r="AD1027" s="129"/>
    </row>
    <row r="1028" ht="15.75" customHeight="1">
      <c r="A1028" s="195"/>
      <c r="B1028" s="179"/>
      <c r="C1028" s="179"/>
      <c r="D1028" s="179"/>
      <c r="E1028" s="179"/>
      <c r="F1028" s="129"/>
      <c r="G1028" s="195"/>
      <c r="H1028" s="195"/>
      <c r="I1028" s="195"/>
      <c r="J1028" s="195"/>
      <c r="K1028" s="195"/>
      <c r="L1028" s="195"/>
      <c r="M1028" s="195"/>
      <c r="N1028" s="195"/>
      <c r="O1028" s="195"/>
      <c r="P1028" s="195"/>
      <c r="Q1028" s="195"/>
      <c r="R1028" s="195"/>
      <c r="S1028" s="129"/>
      <c r="T1028" s="129"/>
      <c r="U1028" s="129"/>
      <c r="V1028" s="129"/>
      <c r="W1028" s="129"/>
      <c r="X1028" s="129"/>
      <c r="Y1028" s="129"/>
      <c r="Z1028" s="129"/>
      <c r="AA1028" s="129"/>
      <c r="AB1028" s="129"/>
      <c r="AC1028" s="129"/>
      <c r="AD1028" s="129"/>
    </row>
    <row r="1029" ht="15.75" customHeight="1">
      <c r="A1029" s="195"/>
      <c r="B1029" s="179"/>
      <c r="C1029" s="179"/>
      <c r="D1029" s="179"/>
      <c r="E1029" s="179"/>
      <c r="F1029" s="129"/>
      <c r="G1029" s="195"/>
      <c r="H1029" s="195"/>
      <c r="I1029" s="195"/>
      <c r="J1029" s="195"/>
      <c r="K1029" s="195"/>
      <c r="L1029" s="195"/>
      <c r="M1029" s="195"/>
      <c r="N1029" s="195"/>
      <c r="O1029" s="195"/>
      <c r="P1029" s="195"/>
      <c r="Q1029" s="195"/>
      <c r="R1029" s="195"/>
      <c r="S1029" s="129"/>
      <c r="T1029" s="129"/>
      <c r="U1029" s="129"/>
      <c r="V1029" s="129"/>
      <c r="W1029" s="129"/>
      <c r="X1029" s="129"/>
      <c r="Y1029" s="129"/>
      <c r="Z1029" s="129"/>
      <c r="AA1029" s="129"/>
      <c r="AB1029" s="129"/>
      <c r="AC1029" s="129"/>
      <c r="AD1029" s="129"/>
    </row>
    <row r="1030" ht="15.75" customHeight="1">
      <c r="A1030" s="195"/>
      <c r="B1030" s="179"/>
      <c r="C1030" s="179"/>
      <c r="D1030" s="179"/>
      <c r="E1030" s="179"/>
      <c r="F1030" s="129"/>
      <c r="G1030" s="195"/>
      <c r="H1030" s="195"/>
      <c r="I1030" s="195"/>
      <c r="J1030" s="195"/>
      <c r="K1030" s="195"/>
      <c r="L1030" s="195"/>
      <c r="M1030" s="195"/>
      <c r="N1030" s="195"/>
      <c r="O1030" s="195"/>
      <c r="P1030" s="195"/>
      <c r="Q1030" s="195"/>
      <c r="R1030" s="195"/>
      <c r="S1030" s="129"/>
      <c r="T1030" s="129"/>
      <c r="U1030" s="129"/>
      <c r="V1030" s="129"/>
      <c r="W1030" s="129"/>
      <c r="X1030" s="129"/>
      <c r="Y1030" s="129"/>
      <c r="Z1030" s="129"/>
      <c r="AA1030" s="129"/>
      <c r="AB1030" s="129"/>
      <c r="AC1030" s="129"/>
      <c r="AD1030" s="129"/>
    </row>
    <row r="1031" ht="15.75" customHeight="1">
      <c r="A1031" s="195"/>
      <c r="B1031" s="179"/>
      <c r="C1031" s="179"/>
      <c r="D1031" s="179"/>
      <c r="E1031" s="179"/>
      <c r="F1031" s="129"/>
      <c r="G1031" s="195"/>
      <c r="H1031" s="195"/>
      <c r="I1031" s="195"/>
      <c r="J1031" s="195"/>
      <c r="K1031" s="195"/>
      <c r="L1031" s="195"/>
      <c r="M1031" s="195"/>
      <c r="N1031" s="195"/>
      <c r="O1031" s="195"/>
      <c r="P1031" s="195"/>
      <c r="Q1031" s="195"/>
      <c r="R1031" s="195"/>
      <c r="S1031" s="129"/>
      <c r="T1031" s="129"/>
      <c r="U1031" s="129"/>
      <c r="V1031" s="129"/>
      <c r="W1031" s="129"/>
      <c r="X1031" s="129"/>
      <c r="Y1031" s="129"/>
      <c r="Z1031" s="129"/>
      <c r="AA1031" s="129"/>
      <c r="AB1031" s="129"/>
      <c r="AC1031" s="129"/>
      <c r="AD1031" s="129"/>
    </row>
    <row r="1032" ht="15.75" customHeight="1">
      <c r="A1032" s="195"/>
      <c r="B1032" s="179"/>
      <c r="C1032" s="179"/>
      <c r="D1032" s="179"/>
      <c r="E1032" s="179"/>
      <c r="F1032" s="129"/>
      <c r="G1032" s="195"/>
      <c r="H1032" s="195"/>
      <c r="I1032" s="195"/>
      <c r="J1032" s="195"/>
      <c r="K1032" s="195"/>
      <c r="L1032" s="195"/>
      <c r="M1032" s="195"/>
      <c r="N1032" s="195"/>
      <c r="O1032" s="195"/>
      <c r="P1032" s="195"/>
      <c r="Q1032" s="195"/>
      <c r="R1032" s="195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</row>
    <row r="1033" ht="15.75" customHeight="1">
      <c r="A1033" s="195"/>
      <c r="B1033" s="179"/>
      <c r="C1033" s="179"/>
      <c r="D1033" s="179"/>
      <c r="E1033" s="179"/>
      <c r="F1033" s="129"/>
      <c r="G1033" s="195"/>
      <c r="H1033" s="195"/>
      <c r="I1033" s="195"/>
      <c r="J1033" s="195"/>
      <c r="K1033" s="195"/>
      <c r="L1033" s="195"/>
      <c r="M1033" s="195"/>
      <c r="N1033" s="195"/>
      <c r="O1033" s="195"/>
      <c r="P1033" s="195"/>
      <c r="Q1033" s="195"/>
      <c r="R1033" s="195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</row>
    <row r="1034" ht="15.75" customHeight="1">
      <c r="A1034" s="195"/>
      <c r="B1034" s="179"/>
      <c r="C1034" s="179"/>
      <c r="D1034" s="179"/>
      <c r="E1034" s="179"/>
      <c r="F1034" s="129"/>
      <c r="G1034" s="195"/>
      <c r="H1034" s="195"/>
      <c r="I1034" s="195"/>
      <c r="J1034" s="195"/>
      <c r="K1034" s="195"/>
      <c r="L1034" s="195"/>
      <c r="M1034" s="195"/>
      <c r="N1034" s="195"/>
      <c r="O1034" s="195"/>
      <c r="P1034" s="195"/>
      <c r="Q1034" s="195"/>
      <c r="R1034" s="195"/>
      <c r="S1034" s="129"/>
      <c r="T1034" s="129"/>
      <c r="U1034" s="129"/>
      <c r="V1034" s="129"/>
      <c r="W1034" s="129"/>
      <c r="X1034" s="129"/>
      <c r="Y1034" s="129"/>
      <c r="Z1034" s="129"/>
      <c r="AA1034" s="129"/>
      <c r="AB1034" s="129"/>
      <c r="AC1034" s="129"/>
      <c r="AD1034" s="129"/>
    </row>
    <row r="1035" ht="15.75" customHeight="1">
      <c r="A1035" s="195"/>
      <c r="B1035" s="179"/>
      <c r="C1035" s="179"/>
      <c r="D1035" s="179"/>
      <c r="E1035" s="179"/>
      <c r="F1035" s="129"/>
      <c r="G1035" s="195"/>
      <c r="H1035" s="195"/>
      <c r="I1035" s="195"/>
      <c r="J1035" s="195"/>
      <c r="K1035" s="195"/>
      <c r="L1035" s="195"/>
      <c r="M1035" s="195"/>
      <c r="N1035" s="195"/>
      <c r="O1035" s="195"/>
      <c r="P1035" s="195"/>
      <c r="Q1035" s="195"/>
      <c r="R1035" s="195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</row>
    <row r="1036" ht="15.75" customHeight="1">
      <c r="A1036" s="195"/>
      <c r="B1036" s="179"/>
      <c r="C1036" s="179"/>
      <c r="D1036" s="179"/>
      <c r="E1036" s="179"/>
      <c r="F1036" s="129"/>
      <c r="G1036" s="195"/>
      <c r="H1036" s="195"/>
      <c r="I1036" s="195"/>
      <c r="J1036" s="195"/>
      <c r="K1036" s="195"/>
      <c r="L1036" s="195"/>
      <c r="M1036" s="195"/>
      <c r="N1036" s="195"/>
      <c r="O1036" s="195"/>
      <c r="P1036" s="195"/>
      <c r="Q1036" s="195"/>
      <c r="R1036" s="195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</row>
    <row r="1037" ht="15.75" customHeight="1">
      <c r="A1037" s="195"/>
      <c r="B1037" s="179"/>
      <c r="C1037" s="179"/>
      <c r="D1037" s="179"/>
      <c r="E1037" s="179"/>
      <c r="F1037" s="129"/>
      <c r="G1037" s="195"/>
      <c r="H1037" s="195"/>
      <c r="I1037" s="195"/>
      <c r="J1037" s="195"/>
      <c r="K1037" s="195"/>
      <c r="L1037" s="195"/>
      <c r="M1037" s="195"/>
      <c r="N1037" s="195"/>
      <c r="O1037" s="195"/>
      <c r="P1037" s="195"/>
      <c r="Q1037" s="195"/>
      <c r="R1037" s="195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</row>
    <row r="1038" ht="15.75" customHeight="1">
      <c r="A1038" s="195"/>
      <c r="B1038" s="179"/>
      <c r="C1038" s="179"/>
      <c r="D1038" s="179"/>
      <c r="E1038" s="179"/>
      <c r="F1038" s="129"/>
      <c r="G1038" s="195"/>
      <c r="H1038" s="195"/>
      <c r="I1038" s="195"/>
      <c r="J1038" s="195"/>
      <c r="K1038" s="195"/>
      <c r="L1038" s="195"/>
      <c r="M1038" s="195"/>
      <c r="N1038" s="195"/>
      <c r="O1038" s="195"/>
      <c r="P1038" s="195"/>
      <c r="Q1038" s="195"/>
      <c r="R1038" s="195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</row>
    <row r="1039" ht="15.75" customHeight="1">
      <c r="A1039" s="195"/>
      <c r="B1039" s="179"/>
      <c r="C1039" s="179"/>
      <c r="D1039" s="179"/>
      <c r="E1039" s="179"/>
      <c r="F1039" s="129"/>
      <c r="G1039" s="195"/>
      <c r="H1039" s="195"/>
      <c r="I1039" s="195"/>
      <c r="J1039" s="195"/>
      <c r="K1039" s="195"/>
      <c r="L1039" s="195"/>
      <c r="M1039" s="195"/>
      <c r="N1039" s="195"/>
      <c r="O1039" s="195"/>
      <c r="P1039" s="195"/>
      <c r="Q1039" s="195"/>
      <c r="R1039" s="195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</row>
    <row r="1040" ht="15.75" customHeight="1">
      <c r="A1040" s="195"/>
      <c r="B1040" s="179"/>
      <c r="C1040" s="179"/>
      <c r="D1040" s="179"/>
      <c r="E1040" s="179"/>
      <c r="F1040" s="129"/>
      <c r="G1040" s="195"/>
      <c r="H1040" s="195"/>
      <c r="I1040" s="195"/>
      <c r="J1040" s="195"/>
      <c r="K1040" s="195"/>
      <c r="L1040" s="195"/>
      <c r="M1040" s="195"/>
      <c r="N1040" s="195"/>
      <c r="O1040" s="195"/>
      <c r="P1040" s="195"/>
      <c r="Q1040" s="195"/>
      <c r="R1040" s="195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</row>
    <row r="1041" ht="15.75" customHeight="1">
      <c r="A1041" s="195"/>
      <c r="B1041" s="179"/>
      <c r="C1041" s="179"/>
      <c r="D1041" s="179"/>
      <c r="E1041" s="179"/>
      <c r="F1041" s="129"/>
      <c r="G1041" s="195"/>
      <c r="H1041" s="195"/>
      <c r="I1041" s="195"/>
      <c r="J1041" s="195"/>
      <c r="K1041" s="195"/>
      <c r="L1041" s="195"/>
      <c r="M1041" s="195"/>
      <c r="N1041" s="195"/>
      <c r="O1041" s="195"/>
      <c r="P1041" s="195"/>
      <c r="Q1041" s="195"/>
      <c r="R1041" s="195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</row>
    <row r="1042" ht="15.75" customHeight="1">
      <c r="A1042" s="195"/>
      <c r="B1042" s="179"/>
      <c r="C1042" s="179"/>
      <c r="D1042" s="179"/>
      <c r="E1042" s="179"/>
      <c r="F1042" s="129"/>
      <c r="G1042" s="195"/>
      <c r="H1042" s="195"/>
      <c r="I1042" s="195"/>
      <c r="J1042" s="195"/>
      <c r="K1042" s="195"/>
      <c r="L1042" s="195"/>
      <c r="M1042" s="195"/>
      <c r="N1042" s="195"/>
      <c r="O1042" s="195"/>
      <c r="P1042" s="195"/>
      <c r="Q1042" s="195"/>
      <c r="R1042" s="195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</row>
    <row r="1043" ht="15.75" customHeight="1">
      <c r="A1043" s="195"/>
      <c r="B1043" s="179"/>
      <c r="C1043" s="179"/>
      <c r="D1043" s="179"/>
      <c r="E1043" s="179"/>
      <c r="F1043" s="129"/>
      <c r="G1043" s="195"/>
      <c r="H1043" s="195"/>
      <c r="I1043" s="195"/>
      <c r="J1043" s="195"/>
      <c r="K1043" s="195"/>
      <c r="L1043" s="195"/>
      <c r="M1043" s="195"/>
      <c r="N1043" s="195"/>
      <c r="O1043" s="195"/>
      <c r="P1043" s="195"/>
      <c r="Q1043" s="195"/>
      <c r="R1043" s="195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</row>
    <row r="1044" ht="15.75" customHeight="1">
      <c r="A1044" s="195"/>
      <c r="B1044" s="179"/>
      <c r="C1044" s="179"/>
      <c r="D1044" s="179"/>
      <c r="E1044" s="179"/>
      <c r="F1044" s="129"/>
      <c r="G1044" s="195"/>
      <c r="H1044" s="195"/>
      <c r="I1044" s="195"/>
      <c r="J1044" s="195"/>
      <c r="K1044" s="195"/>
      <c r="L1044" s="195"/>
      <c r="M1044" s="195"/>
      <c r="N1044" s="195"/>
      <c r="O1044" s="195"/>
      <c r="P1044" s="195"/>
      <c r="Q1044" s="195"/>
      <c r="R1044" s="195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</row>
    <row r="1045" ht="15.75" customHeight="1">
      <c r="A1045" s="195"/>
      <c r="B1045" s="179"/>
      <c r="C1045" s="179"/>
      <c r="D1045" s="179"/>
      <c r="E1045" s="179"/>
      <c r="F1045" s="129"/>
      <c r="G1045" s="195"/>
      <c r="H1045" s="195"/>
      <c r="I1045" s="195"/>
      <c r="J1045" s="195"/>
      <c r="K1045" s="195"/>
      <c r="L1045" s="195"/>
      <c r="M1045" s="195"/>
      <c r="N1045" s="195"/>
      <c r="O1045" s="195"/>
      <c r="P1045" s="195"/>
      <c r="Q1045" s="195"/>
      <c r="R1045" s="195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</row>
    <row r="1046" ht="15.75" customHeight="1">
      <c r="A1046" s="195"/>
      <c r="B1046" s="179"/>
      <c r="C1046" s="179"/>
      <c r="D1046" s="179"/>
      <c r="E1046" s="179"/>
      <c r="F1046" s="129"/>
      <c r="G1046" s="195"/>
      <c r="H1046" s="195"/>
      <c r="I1046" s="195"/>
      <c r="J1046" s="195"/>
      <c r="K1046" s="195"/>
      <c r="L1046" s="195"/>
      <c r="M1046" s="195"/>
      <c r="N1046" s="195"/>
      <c r="O1046" s="195"/>
      <c r="P1046" s="195"/>
      <c r="Q1046" s="195"/>
      <c r="R1046" s="195"/>
      <c r="S1046" s="129"/>
      <c r="T1046" s="129"/>
      <c r="U1046" s="129"/>
      <c r="V1046" s="129"/>
      <c r="W1046" s="129"/>
      <c r="X1046" s="129"/>
      <c r="Y1046" s="129"/>
      <c r="Z1046" s="129"/>
      <c r="AA1046" s="129"/>
      <c r="AB1046" s="129"/>
      <c r="AC1046" s="129"/>
      <c r="AD1046" s="129"/>
    </row>
    <row r="1047" ht="15.75" customHeight="1">
      <c r="A1047" s="195"/>
      <c r="B1047" s="179"/>
      <c r="C1047" s="179"/>
      <c r="D1047" s="179"/>
      <c r="E1047" s="179"/>
      <c r="F1047" s="129"/>
      <c r="G1047" s="195"/>
      <c r="H1047" s="195"/>
      <c r="I1047" s="195"/>
      <c r="J1047" s="195"/>
      <c r="K1047" s="195"/>
      <c r="L1047" s="195"/>
      <c r="M1047" s="195"/>
      <c r="N1047" s="195"/>
      <c r="O1047" s="195"/>
      <c r="P1047" s="195"/>
      <c r="Q1047" s="195"/>
      <c r="R1047" s="195"/>
      <c r="S1047" s="129"/>
      <c r="T1047" s="129"/>
      <c r="U1047" s="129"/>
      <c r="V1047" s="129"/>
      <c r="W1047" s="129"/>
      <c r="X1047" s="129"/>
      <c r="Y1047" s="129"/>
      <c r="Z1047" s="129"/>
      <c r="AA1047" s="129"/>
      <c r="AB1047" s="129"/>
      <c r="AC1047" s="129"/>
      <c r="AD1047" s="129"/>
    </row>
    <row r="1048" ht="15.75" customHeight="1">
      <c r="A1048" s="195"/>
      <c r="B1048" s="179"/>
      <c r="C1048" s="179"/>
      <c r="D1048" s="179"/>
      <c r="E1048" s="179"/>
      <c r="F1048" s="129"/>
      <c r="G1048" s="195"/>
      <c r="H1048" s="195"/>
      <c r="I1048" s="195"/>
      <c r="J1048" s="195"/>
      <c r="K1048" s="195"/>
      <c r="L1048" s="195"/>
      <c r="M1048" s="195"/>
      <c r="N1048" s="195"/>
      <c r="O1048" s="195"/>
      <c r="P1048" s="195"/>
      <c r="Q1048" s="195"/>
      <c r="R1048" s="195"/>
      <c r="S1048" s="129"/>
      <c r="T1048" s="129"/>
      <c r="U1048" s="129"/>
      <c r="V1048" s="129"/>
      <c r="W1048" s="129"/>
      <c r="X1048" s="129"/>
      <c r="Y1048" s="129"/>
      <c r="Z1048" s="129"/>
      <c r="AA1048" s="129"/>
      <c r="AB1048" s="129"/>
      <c r="AC1048" s="129"/>
      <c r="AD1048" s="129"/>
    </row>
    <row r="1049" ht="15.75" customHeight="1">
      <c r="A1049" s="195"/>
      <c r="B1049" s="179"/>
      <c r="C1049" s="179"/>
      <c r="D1049" s="179"/>
      <c r="E1049" s="179"/>
      <c r="F1049" s="129"/>
      <c r="G1049" s="195"/>
      <c r="H1049" s="195"/>
      <c r="I1049" s="195"/>
      <c r="J1049" s="195"/>
      <c r="K1049" s="195"/>
      <c r="L1049" s="195"/>
      <c r="M1049" s="195"/>
      <c r="N1049" s="195"/>
      <c r="O1049" s="195"/>
      <c r="P1049" s="195"/>
      <c r="Q1049" s="195"/>
      <c r="R1049" s="195"/>
      <c r="S1049" s="129"/>
      <c r="T1049" s="129"/>
      <c r="U1049" s="129"/>
      <c r="V1049" s="129"/>
      <c r="W1049" s="129"/>
      <c r="X1049" s="129"/>
      <c r="Y1049" s="129"/>
      <c r="Z1049" s="129"/>
      <c r="AA1049" s="129"/>
      <c r="AB1049" s="129"/>
      <c r="AC1049" s="129"/>
      <c r="AD1049" s="129"/>
    </row>
    <row r="1050" ht="15.75" customHeight="1">
      <c r="A1050" s="195"/>
      <c r="B1050" s="179"/>
      <c r="C1050" s="179"/>
      <c r="D1050" s="179"/>
      <c r="E1050" s="179"/>
      <c r="F1050" s="129"/>
      <c r="G1050" s="195"/>
      <c r="H1050" s="195"/>
      <c r="I1050" s="195"/>
      <c r="J1050" s="195"/>
      <c r="K1050" s="195"/>
      <c r="L1050" s="195"/>
      <c r="M1050" s="195"/>
      <c r="N1050" s="195"/>
      <c r="O1050" s="195"/>
      <c r="P1050" s="195"/>
      <c r="Q1050" s="195"/>
      <c r="R1050" s="195"/>
      <c r="S1050" s="129"/>
      <c r="T1050" s="129"/>
      <c r="U1050" s="129"/>
      <c r="V1050" s="129"/>
      <c r="W1050" s="129"/>
      <c r="X1050" s="129"/>
      <c r="Y1050" s="129"/>
      <c r="Z1050" s="129"/>
      <c r="AA1050" s="129"/>
      <c r="AB1050" s="129"/>
      <c r="AC1050" s="129"/>
      <c r="AD1050" s="129"/>
    </row>
    <row r="1051" ht="15.75" customHeight="1">
      <c r="A1051" s="195"/>
      <c r="B1051" s="179"/>
      <c r="C1051" s="179"/>
      <c r="D1051" s="179"/>
      <c r="E1051" s="179"/>
      <c r="F1051" s="129"/>
      <c r="G1051" s="195"/>
      <c r="H1051" s="195"/>
      <c r="I1051" s="195"/>
      <c r="J1051" s="195"/>
      <c r="K1051" s="195"/>
      <c r="L1051" s="195"/>
      <c r="M1051" s="195"/>
      <c r="N1051" s="195"/>
      <c r="O1051" s="195"/>
      <c r="P1051" s="195"/>
      <c r="Q1051" s="195"/>
      <c r="R1051" s="195"/>
      <c r="S1051" s="129"/>
      <c r="T1051" s="129"/>
      <c r="U1051" s="129"/>
      <c r="V1051" s="129"/>
      <c r="W1051" s="129"/>
      <c r="X1051" s="129"/>
      <c r="Y1051" s="129"/>
      <c r="Z1051" s="129"/>
      <c r="AA1051" s="129"/>
      <c r="AB1051" s="129"/>
      <c r="AC1051" s="129"/>
      <c r="AD1051" s="129"/>
    </row>
    <row r="1052" ht="15.75" customHeight="1">
      <c r="A1052" s="195"/>
      <c r="B1052" s="179"/>
      <c r="C1052" s="179"/>
      <c r="D1052" s="179"/>
      <c r="E1052" s="179"/>
      <c r="F1052" s="129"/>
      <c r="G1052" s="195"/>
      <c r="H1052" s="195"/>
      <c r="I1052" s="195"/>
      <c r="J1052" s="195"/>
      <c r="K1052" s="195"/>
      <c r="L1052" s="195"/>
      <c r="M1052" s="195"/>
      <c r="N1052" s="195"/>
      <c r="O1052" s="195"/>
      <c r="P1052" s="195"/>
      <c r="Q1052" s="195"/>
      <c r="R1052" s="195"/>
      <c r="S1052" s="129"/>
      <c r="T1052" s="129"/>
      <c r="U1052" s="129"/>
      <c r="V1052" s="129"/>
      <c r="W1052" s="129"/>
      <c r="X1052" s="129"/>
      <c r="Y1052" s="129"/>
      <c r="Z1052" s="129"/>
      <c r="AA1052" s="129"/>
      <c r="AB1052" s="129"/>
      <c r="AC1052" s="129"/>
      <c r="AD1052" s="129"/>
    </row>
    <row r="1053" ht="15.75" customHeight="1">
      <c r="A1053" s="195"/>
      <c r="B1053" s="179"/>
      <c r="C1053" s="179"/>
      <c r="D1053" s="179"/>
      <c r="E1053" s="179"/>
      <c r="F1053" s="129"/>
      <c r="G1053" s="195"/>
      <c r="H1053" s="195"/>
      <c r="I1053" s="195"/>
      <c r="J1053" s="195"/>
      <c r="K1053" s="195"/>
      <c r="L1053" s="195"/>
      <c r="M1053" s="195"/>
      <c r="N1053" s="195"/>
      <c r="O1053" s="195"/>
      <c r="P1053" s="195"/>
      <c r="Q1053" s="195"/>
      <c r="R1053" s="195"/>
      <c r="S1053" s="129"/>
      <c r="T1053" s="129"/>
      <c r="U1053" s="129"/>
      <c r="V1053" s="129"/>
      <c r="W1053" s="129"/>
      <c r="X1053" s="129"/>
      <c r="Y1053" s="129"/>
      <c r="Z1053" s="129"/>
      <c r="AA1053" s="129"/>
      <c r="AB1053" s="129"/>
      <c r="AC1053" s="129"/>
      <c r="AD1053" s="129"/>
    </row>
    <row r="1054" ht="15.75" customHeight="1">
      <c r="A1054" s="195"/>
      <c r="B1054" s="179"/>
      <c r="C1054" s="179"/>
      <c r="D1054" s="179"/>
      <c r="E1054" s="179"/>
      <c r="F1054" s="129"/>
      <c r="G1054" s="195"/>
      <c r="H1054" s="195"/>
      <c r="I1054" s="195"/>
      <c r="J1054" s="195"/>
      <c r="K1054" s="195"/>
      <c r="L1054" s="195"/>
      <c r="M1054" s="195"/>
      <c r="N1054" s="195"/>
      <c r="O1054" s="195"/>
      <c r="P1054" s="195"/>
      <c r="Q1054" s="195"/>
      <c r="R1054" s="195"/>
      <c r="S1054" s="129"/>
      <c r="T1054" s="129"/>
      <c r="U1054" s="129"/>
      <c r="V1054" s="129"/>
      <c r="W1054" s="129"/>
      <c r="X1054" s="129"/>
      <c r="Y1054" s="129"/>
      <c r="Z1054" s="129"/>
      <c r="AA1054" s="129"/>
      <c r="AB1054" s="129"/>
      <c r="AC1054" s="129"/>
      <c r="AD1054" s="129"/>
    </row>
    <row r="1055" ht="15.75" customHeight="1">
      <c r="A1055" s="195"/>
      <c r="B1055" s="179"/>
      <c r="C1055" s="179"/>
      <c r="D1055" s="179"/>
      <c r="E1055" s="179"/>
      <c r="F1055" s="129"/>
      <c r="G1055" s="195"/>
      <c r="H1055" s="195"/>
      <c r="I1055" s="195"/>
      <c r="J1055" s="195"/>
      <c r="K1055" s="195"/>
      <c r="L1055" s="195"/>
      <c r="M1055" s="195"/>
      <c r="N1055" s="195"/>
      <c r="O1055" s="195"/>
      <c r="P1055" s="195"/>
      <c r="Q1055" s="195"/>
      <c r="R1055" s="195"/>
      <c r="S1055" s="129"/>
      <c r="T1055" s="129"/>
      <c r="U1055" s="129"/>
      <c r="V1055" s="129"/>
      <c r="W1055" s="129"/>
      <c r="X1055" s="129"/>
      <c r="Y1055" s="129"/>
      <c r="Z1055" s="129"/>
      <c r="AA1055" s="129"/>
      <c r="AB1055" s="129"/>
      <c r="AC1055" s="129"/>
      <c r="AD1055" s="129"/>
    </row>
    <row r="1056" ht="15.75" customHeight="1">
      <c r="A1056" s="195"/>
      <c r="B1056" s="179"/>
      <c r="C1056" s="179"/>
      <c r="D1056" s="179"/>
      <c r="E1056" s="179"/>
      <c r="F1056" s="129"/>
      <c r="G1056" s="195"/>
      <c r="H1056" s="195"/>
      <c r="I1056" s="195"/>
      <c r="J1056" s="195"/>
      <c r="K1056" s="195"/>
      <c r="L1056" s="195"/>
      <c r="M1056" s="195"/>
      <c r="N1056" s="195"/>
      <c r="O1056" s="195"/>
      <c r="P1056" s="195"/>
      <c r="Q1056" s="195"/>
      <c r="R1056" s="195"/>
      <c r="S1056" s="129"/>
      <c r="T1056" s="129"/>
      <c r="U1056" s="129"/>
      <c r="V1056" s="129"/>
      <c r="W1056" s="129"/>
      <c r="X1056" s="129"/>
      <c r="Y1056" s="129"/>
      <c r="Z1056" s="129"/>
      <c r="AA1056" s="129"/>
      <c r="AB1056" s="129"/>
      <c r="AC1056" s="129"/>
      <c r="AD1056" s="129"/>
    </row>
    <row r="1057" ht="15.75" customHeight="1">
      <c r="A1057" s="195"/>
      <c r="B1057" s="179"/>
      <c r="C1057" s="179"/>
      <c r="D1057" s="179"/>
      <c r="E1057" s="179"/>
      <c r="F1057" s="129"/>
      <c r="G1057" s="195"/>
      <c r="H1057" s="195"/>
      <c r="I1057" s="195"/>
      <c r="J1057" s="195"/>
      <c r="K1057" s="195"/>
      <c r="L1057" s="195"/>
      <c r="M1057" s="195"/>
      <c r="N1057" s="195"/>
      <c r="O1057" s="195"/>
      <c r="P1057" s="195"/>
      <c r="Q1057" s="195"/>
      <c r="R1057" s="195"/>
      <c r="S1057" s="129"/>
      <c r="T1057" s="129"/>
      <c r="U1057" s="129"/>
      <c r="V1057" s="129"/>
      <c r="W1057" s="129"/>
      <c r="X1057" s="129"/>
      <c r="Y1057" s="129"/>
      <c r="Z1057" s="129"/>
      <c r="AA1057" s="129"/>
      <c r="AB1057" s="129"/>
      <c r="AC1057" s="129"/>
      <c r="AD1057" s="129"/>
    </row>
    <row r="1058" ht="15.75" customHeight="1">
      <c r="A1058" s="195"/>
      <c r="B1058" s="179"/>
      <c r="C1058" s="179"/>
      <c r="D1058" s="179"/>
      <c r="E1058" s="179"/>
      <c r="F1058" s="129"/>
      <c r="G1058" s="195"/>
      <c r="H1058" s="195"/>
      <c r="I1058" s="195"/>
      <c r="J1058" s="195"/>
      <c r="K1058" s="195"/>
      <c r="L1058" s="195"/>
      <c r="M1058" s="195"/>
      <c r="N1058" s="195"/>
      <c r="O1058" s="195"/>
      <c r="P1058" s="195"/>
      <c r="Q1058" s="195"/>
      <c r="R1058" s="195"/>
      <c r="S1058" s="129"/>
      <c r="T1058" s="129"/>
      <c r="U1058" s="129"/>
      <c r="V1058" s="129"/>
      <c r="W1058" s="129"/>
      <c r="X1058" s="129"/>
      <c r="Y1058" s="129"/>
      <c r="Z1058" s="129"/>
      <c r="AA1058" s="129"/>
      <c r="AB1058" s="129"/>
      <c r="AC1058" s="129"/>
      <c r="AD1058" s="129"/>
    </row>
    <row r="1059" ht="15.75" customHeight="1">
      <c r="A1059" s="195"/>
      <c r="B1059" s="179"/>
      <c r="C1059" s="179"/>
      <c r="D1059" s="179"/>
      <c r="E1059" s="179"/>
      <c r="F1059" s="129"/>
      <c r="G1059" s="195"/>
      <c r="H1059" s="195"/>
      <c r="I1059" s="195"/>
      <c r="J1059" s="195"/>
      <c r="K1059" s="195"/>
      <c r="L1059" s="195"/>
      <c r="M1059" s="195"/>
      <c r="N1059" s="195"/>
      <c r="O1059" s="195"/>
      <c r="P1059" s="195"/>
      <c r="Q1059" s="195"/>
      <c r="R1059" s="195"/>
      <c r="S1059" s="129"/>
      <c r="T1059" s="129"/>
      <c r="U1059" s="129"/>
      <c r="V1059" s="129"/>
      <c r="W1059" s="129"/>
      <c r="X1059" s="129"/>
      <c r="Y1059" s="129"/>
      <c r="Z1059" s="129"/>
      <c r="AA1059" s="129"/>
      <c r="AB1059" s="129"/>
      <c r="AC1059" s="129"/>
      <c r="AD1059" s="129"/>
    </row>
    <row r="1060" ht="15.75" customHeight="1">
      <c r="A1060" s="195"/>
      <c r="B1060" s="179"/>
      <c r="C1060" s="179"/>
      <c r="D1060" s="179"/>
      <c r="E1060" s="179"/>
      <c r="F1060" s="129"/>
      <c r="G1060" s="195"/>
      <c r="H1060" s="195"/>
      <c r="I1060" s="195"/>
      <c r="J1060" s="195"/>
      <c r="K1060" s="195"/>
      <c r="L1060" s="195"/>
      <c r="M1060" s="195"/>
      <c r="N1060" s="195"/>
      <c r="O1060" s="195"/>
      <c r="P1060" s="195"/>
      <c r="Q1060" s="195"/>
      <c r="R1060" s="195"/>
      <c r="S1060" s="129"/>
      <c r="T1060" s="129"/>
      <c r="U1060" s="129"/>
      <c r="V1060" s="129"/>
      <c r="W1060" s="129"/>
      <c r="X1060" s="129"/>
      <c r="Y1060" s="129"/>
      <c r="Z1060" s="129"/>
      <c r="AA1060" s="129"/>
      <c r="AB1060" s="129"/>
      <c r="AC1060" s="129"/>
      <c r="AD1060" s="129"/>
    </row>
    <row r="1061" ht="15.75" customHeight="1">
      <c r="A1061" s="195"/>
      <c r="B1061" s="179"/>
      <c r="C1061" s="179"/>
      <c r="D1061" s="179"/>
      <c r="E1061" s="179"/>
      <c r="F1061" s="129"/>
      <c r="G1061" s="195"/>
      <c r="H1061" s="195"/>
      <c r="I1061" s="195"/>
      <c r="J1061" s="195"/>
      <c r="K1061" s="195"/>
      <c r="L1061" s="195"/>
      <c r="M1061" s="195"/>
      <c r="N1061" s="195"/>
      <c r="O1061" s="195"/>
      <c r="P1061" s="195"/>
      <c r="Q1061" s="195"/>
      <c r="R1061" s="195"/>
      <c r="S1061" s="129"/>
      <c r="T1061" s="129"/>
      <c r="U1061" s="129"/>
      <c r="V1061" s="129"/>
      <c r="W1061" s="129"/>
      <c r="X1061" s="129"/>
      <c r="Y1061" s="129"/>
      <c r="Z1061" s="129"/>
      <c r="AA1061" s="129"/>
      <c r="AB1061" s="129"/>
      <c r="AC1061" s="129"/>
      <c r="AD1061" s="129"/>
    </row>
    <row r="1062" ht="15.75" customHeight="1">
      <c r="A1062" s="195"/>
      <c r="B1062" s="179"/>
      <c r="C1062" s="179"/>
      <c r="D1062" s="179"/>
      <c r="E1062" s="179"/>
      <c r="F1062" s="129"/>
      <c r="G1062" s="195"/>
      <c r="H1062" s="195"/>
      <c r="I1062" s="195"/>
      <c r="J1062" s="195"/>
      <c r="K1062" s="195"/>
      <c r="L1062" s="195"/>
      <c r="M1062" s="195"/>
      <c r="N1062" s="195"/>
      <c r="O1062" s="195"/>
      <c r="P1062" s="195"/>
      <c r="Q1062" s="195"/>
      <c r="R1062" s="195"/>
      <c r="S1062" s="129"/>
      <c r="T1062" s="129"/>
      <c r="U1062" s="129"/>
      <c r="V1062" s="129"/>
      <c r="W1062" s="129"/>
      <c r="X1062" s="129"/>
      <c r="Y1062" s="129"/>
      <c r="Z1062" s="129"/>
      <c r="AA1062" s="129"/>
      <c r="AB1062" s="129"/>
      <c r="AC1062" s="129"/>
      <c r="AD1062" s="129"/>
    </row>
    <row r="1063" ht="15.75" customHeight="1">
      <c r="A1063" s="195"/>
      <c r="B1063" s="179"/>
      <c r="C1063" s="179"/>
      <c r="D1063" s="179"/>
      <c r="E1063" s="179"/>
      <c r="F1063" s="129"/>
      <c r="G1063" s="195"/>
      <c r="H1063" s="195"/>
      <c r="I1063" s="195"/>
      <c r="J1063" s="195"/>
      <c r="K1063" s="195"/>
      <c r="L1063" s="195"/>
      <c r="M1063" s="195"/>
      <c r="N1063" s="195"/>
      <c r="O1063" s="195"/>
      <c r="P1063" s="195"/>
      <c r="Q1063" s="195"/>
      <c r="R1063" s="195"/>
      <c r="S1063" s="129"/>
      <c r="T1063" s="129"/>
      <c r="U1063" s="129"/>
      <c r="V1063" s="129"/>
      <c r="W1063" s="129"/>
      <c r="X1063" s="129"/>
      <c r="Y1063" s="129"/>
      <c r="Z1063" s="129"/>
      <c r="AA1063" s="129"/>
      <c r="AB1063" s="129"/>
      <c r="AC1063" s="129"/>
      <c r="AD1063" s="129"/>
    </row>
    <row r="1064" ht="15.75" customHeight="1">
      <c r="A1064" s="195"/>
      <c r="B1064" s="179"/>
      <c r="C1064" s="179"/>
      <c r="D1064" s="179"/>
      <c r="E1064" s="179"/>
      <c r="F1064" s="129"/>
      <c r="G1064" s="195"/>
      <c r="H1064" s="195"/>
      <c r="I1064" s="195"/>
      <c r="J1064" s="195"/>
      <c r="K1064" s="195"/>
      <c r="L1064" s="195"/>
      <c r="M1064" s="195"/>
      <c r="N1064" s="195"/>
      <c r="O1064" s="195"/>
      <c r="P1064" s="195"/>
      <c r="Q1064" s="195"/>
      <c r="R1064" s="195"/>
      <c r="S1064" s="129"/>
      <c r="T1064" s="129"/>
      <c r="U1064" s="129"/>
      <c r="V1064" s="129"/>
      <c r="W1064" s="129"/>
      <c r="X1064" s="129"/>
      <c r="Y1064" s="129"/>
      <c r="Z1064" s="129"/>
      <c r="AA1064" s="129"/>
      <c r="AB1064" s="129"/>
      <c r="AC1064" s="129"/>
      <c r="AD1064" s="129"/>
    </row>
    <row r="1065" ht="15.75" customHeight="1">
      <c r="A1065" s="195"/>
      <c r="B1065" s="179"/>
      <c r="C1065" s="179"/>
      <c r="D1065" s="179"/>
      <c r="E1065" s="179"/>
      <c r="F1065" s="129"/>
      <c r="G1065" s="195"/>
      <c r="H1065" s="195"/>
      <c r="I1065" s="195"/>
      <c r="J1065" s="195"/>
      <c r="K1065" s="195"/>
      <c r="L1065" s="195"/>
      <c r="M1065" s="195"/>
      <c r="N1065" s="195"/>
      <c r="O1065" s="195"/>
      <c r="P1065" s="195"/>
      <c r="Q1065" s="195"/>
      <c r="R1065" s="195"/>
      <c r="S1065" s="129"/>
      <c r="T1065" s="129"/>
      <c r="U1065" s="129"/>
      <c r="V1065" s="129"/>
      <c r="W1065" s="129"/>
      <c r="X1065" s="129"/>
      <c r="Y1065" s="129"/>
      <c r="Z1065" s="129"/>
      <c r="AA1065" s="129"/>
      <c r="AB1065" s="129"/>
      <c r="AC1065" s="129"/>
      <c r="AD1065" s="129"/>
    </row>
    <row r="1066" ht="15.75" customHeight="1">
      <c r="A1066" s="195"/>
      <c r="B1066" s="179"/>
      <c r="C1066" s="179"/>
      <c r="D1066" s="179"/>
      <c r="E1066" s="179"/>
      <c r="F1066" s="129"/>
      <c r="G1066" s="195"/>
      <c r="H1066" s="195"/>
      <c r="I1066" s="195"/>
      <c r="J1066" s="195"/>
      <c r="K1066" s="195"/>
      <c r="L1066" s="195"/>
      <c r="M1066" s="195"/>
      <c r="N1066" s="195"/>
      <c r="O1066" s="195"/>
      <c r="P1066" s="195"/>
      <c r="Q1066" s="195"/>
      <c r="R1066" s="195"/>
      <c r="S1066" s="129"/>
      <c r="T1066" s="129"/>
      <c r="U1066" s="129"/>
      <c r="V1066" s="129"/>
      <c r="W1066" s="129"/>
      <c r="X1066" s="129"/>
      <c r="Y1066" s="129"/>
      <c r="Z1066" s="129"/>
      <c r="AA1066" s="129"/>
      <c r="AB1066" s="129"/>
      <c r="AC1066" s="129"/>
      <c r="AD1066" s="129"/>
    </row>
    <row r="1067" ht="15.75" customHeight="1">
      <c r="A1067" s="195"/>
      <c r="B1067" s="179"/>
      <c r="C1067" s="179"/>
      <c r="D1067" s="179"/>
      <c r="E1067" s="179"/>
      <c r="F1067" s="129"/>
      <c r="G1067" s="195"/>
      <c r="H1067" s="195"/>
      <c r="I1067" s="195"/>
      <c r="J1067" s="195"/>
      <c r="K1067" s="195"/>
      <c r="L1067" s="195"/>
      <c r="M1067" s="195"/>
      <c r="N1067" s="195"/>
      <c r="O1067" s="195"/>
      <c r="P1067" s="195"/>
      <c r="Q1067" s="195"/>
      <c r="R1067" s="195"/>
      <c r="S1067" s="129"/>
      <c r="T1067" s="129"/>
      <c r="U1067" s="129"/>
      <c r="V1067" s="129"/>
      <c r="W1067" s="129"/>
      <c r="X1067" s="129"/>
      <c r="Y1067" s="129"/>
      <c r="Z1067" s="129"/>
      <c r="AA1067" s="129"/>
      <c r="AB1067" s="129"/>
      <c r="AC1067" s="129"/>
      <c r="AD1067" s="129"/>
    </row>
    <row r="1068" ht="15.75" customHeight="1">
      <c r="A1068" s="195"/>
      <c r="B1068" s="179"/>
      <c r="C1068" s="179"/>
      <c r="D1068" s="179"/>
      <c r="E1068" s="179"/>
      <c r="F1068" s="129"/>
      <c r="G1068" s="195"/>
      <c r="H1068" s="195"/>
      <c r="I1068" s="195"/>
      <c r="J1068" s="195"/>
      <c r="K1068" s="195"/>
      <c r="L1068" s="195"/>
      <c r="M1068" s="195"/>
      <c r="N1068" s="195"/>
      <c r="O1068" s="195"/>
      <c r="P1068" s="195"/>
      <c r="Q1068" s="195"/>
      <c r="R1068" s="195"/>
      <c r="S1068" s="129"/>
      <c r="T1068" s="129"/>
      <c r="U1068" s="129"/>
      <c r="V1068" s="129"/>
      <c r="W1068" s="129"/>
      <c r="X1068" s="129"/>
      <c r="Y1068" s="129"/>
      <c r="Z1068" s="129"/>
      <c r="AA1068" s="129"/>
      <c r="AB1068" s="129"/>
      <c r="AC1068" s="129"/>
      <c r="AD1068" s="129"/>
    </row>
    <row r="1069" ht="15.75" customHeight="1">
      <c r="A1069" s="195"/>
      <c r="B1069" s="179"/>
      <c r="C1069" s="179"/>
      <c r="D1069" s="179"/>
      <c r="E1069" s="179"/>
      <c r="F1069" s="129"/>
      <c r="G1069" s="195"/>
      <c r="H1069" s="195"/>
      <c r="I1069" s="195"/>
      <c r="J1069" s="195"/>
      <c r="K1069" s="195"/>
      <c r="L1069" s="195"/>
      <c r="M1069" s="195"/>
      <c r="N1069" s="195"/>
      <c r="O1069" s="195"/>
      <c r="P1069" s="195"/>
      <c r="Q1069" s="195"/>
      <c r="R1069" s="195"/>
      <c r="S1069" s="129"/>
      <c r="T1069" s="129"/>
      <c r="U1069" s="129"/>
      <c r="V1069" s="129"/>
      <c r="W1069" s="129"/>
      <c r="X1069" s="129"/>
      <c r="Y1069" s="129"/>
      <c r="Z1069" s="129"/>
      <c r="AA1069" s="129"/>
      <c r="AB1069" s="129"/>
      <c r="AC1069" s="129"/>
      <c r="AD1069" s="129"/>
    </row>
    <row r="1070" ht="15.75" customHeight="1">
      <c r="A1070" s="195"/>
      <c r="B1070" s="179"/>
      <c r="C1070" s="179"/>
      <c r="D1070" s="179"/>
      <c r="E1070" s="179"/>
      <c r="F1070" s="129"/>
      <c r="G1070" s="195"/>
      <c r="H1070" s="195"/>
      <c r="I1070" s="195"/>
      <c r="J1070" s="195"/>
      <c r="K1070" s="195"/>
      <c r="L1070" s="195"/>
      <c r="M1070" s="195"/>
      <c r="N1070" s="195"/>
      <c r="O1070" s="195"/>
      <c r="P1070" s="195"/>
      <c r="Q1070" s="195"/>
      <c r="R1070" s="195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</row>
    <row r="1071" ht="15.75" customHeight="1">
      <c r="A1071" s="195"/>
      <c r="B1071" s="179"/>
      <c r="C1071" s="179"/>
      <c r="D1071" s="179"/>
      <c r="E1071" s="179"/>
      <c r="F1071" s="129"/>
      <c r="G1071" s="195"/>
      <c r="H1071" s="195"/>
      <c r="I1071" s="195"/>
      <c r="J1071" s="195"/>
      <c r="K1071" s="195"/>
      <c r="L1071" s="195"/>
      <c r="M1071" s="195"/>
      <c r="N1071" s="195"/>
      <c r="O1071" s="195"/>
      <c r="P1071" s="195"/>
      <c r="Q1071" s="195"/>
      <c r="R1071" s="195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</row>
    <row r="1072" ht="15.75" customHeight="1">
      <c r="A1072" s="195"/>
      <c r="B1072" s="179"/>
      <c r="C1072" s="179"/>
      <c r="D1072" s="179"/>
      <c r="E1072" s="179"/>
      <c r="F1072" s="129"/>
      <c r="G1072" s="195"/>
      <c r="H1072" s="195"/>
      <c r="I1072" s="195"/>
      <c r="J1072" s="195"/>
      <c r="K1072" s="195"/>
      <c r="L1072" s="195"/>
      <c r="M1072" s="195"/>
      <c r="N1072" s="195"/>
      <c r="O1072" s="195"/>
      <c r="P1072" s="195"/>
      <c r="Q1072" s="195"/>
      <c r="R1072" s="195"/>
      <c r="S1072" s="129"/>
      <c r="T1072" s="129"/>
      <c r="U1072" s="129"/>
      <c r="V1072" s="129"/>
      <c r="W1072" s="129"/>
      <c r="X1072" s="129"/>
      <c r="Y1072" s="129"/>
      <c r="Z1072" s="129"/>
      <c r="AA1072" s="129"/>
      <c r="AB1072" s="129"/>
      <c r="AC1072" s="129"/>
      <c r="AD1072" s="129"/>
    </row>
    <row r="1073" ht="15.75" customHeight="1">
      <c r="A1073" s="195"/>
      <c r="B1073" s="179"/>
      <c r="C1073" s="179"/>
      <c r="D1073" s="179"/>
      <c r="E1073" s="179"/>
      <c r="F1073" s="129"/>
      <c r="G1073" s="195"/>
      <c r="H1073" s="195"/>
      <c r="I1073" s="195"/>
      <c r="J1073" s="195"/>
      <c r="K1073" s="195"/>
      <c r="L1073" s="195"/>
      <c r="M1073" s="195"/>
      <c r="N1073" s="195"/>
      <c r="O1073" s="195"/>
      <c r="P1073" s="195"/>
      <c r="Q1073" s="195"/>
      <c r="R1073" s="195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</row>
    <row r="1074" ht="15.75" customHeight="1">
      <c r="A1074" s="195"/>
      <c r="B1074" s="179"/>
      <c r="C1074" s="179"/>
      <c r="D1074" s="179"/>
      <c r="E1074" s="179"/>
      <c r="F1074" s="129"/>
      <c r="G1074" s="195"/>
      <c r="H1074" s="195"/>
      <c r="I1074" s="195"/>
      <c r="J1074" s="195"/>
      <c r="K1074" s="195"/>
      <c r="L1074" s="195"/>
      <c r="M1074" s="195"/>
      <c r="N1074" s="195"/>
      <c r="O1074" s="195"/>
      <c r="P1074" s="195"/>
      <c r="Q1074" s="195"/>
      <c r="R1074" s="195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</row>
    <row r="1075" ht="15.75" customHeight="1">
      <c r="A1075" s="195"/>
      <c r="B1075" s="179"/>
      <c r="C1075" s="179"/>
      <c r="D1075" s="179"/>
      <c r="E1075" s="179"/>
      <c r="F1075" s="129"/>
      <c r="G1075" s="195"/>
      <c r="H1075" s="195"/>
      <c r="I1075" s="195"/>
      <c r="J1075" s="195"/>
      <c r="K1075" s="195"/>
      <c r="L1075" s="195"/>
      <c r="M1075" s="195"/>
      <c r="N1075" s="195"/>
      <c r="O1075" s="195"/>
      <c r="P1075" s="195"/>
      <c r="Q1075" s="195"/>
      <c r="R1075" s="195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</row>
    <row r="1076" ht="15.75" customHeight="1">
      <c r="A1076" s="195"/>
      <c r="B1076" s="179"/>
      <c r="C1076" s="179"/>
      <c r="D1076" s="179"/>
      <c r="E1076" s="179"/>
      <c r="F1076" s="129"/>
      <c r="G1076" s="195"/>
      <c r="H1076" s="195"/>
      <c r="I1076" s="195"/>
      <c r="J1076" s="195"/>
      <c r="K1076" s="195"/>
      <c r="L1076" s="195"/>
      <c r="M1076" s="195"/>
      <c r="N1076" s="195"/>
      <c r="O1076" s="195"/>
      <c r="P1076" s="195"/>
      <c r="Q1076" s="195"/>
      <c r="R1076" s="195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</row>
    <row r="1077" ht="15.75" customHeight="1">
      <c r="A1077" s="195"/>
      <c r="B1077" s="179"/>
      <c r="C1077" s="179"/>
      <c r="D1077" s="179"/>
      <c r="E1077" s="179"/>
      <c r="F1077" s="129"/>
      <c r="G1077" s="195"/>
      <c r="H1077" s="195"/>
      <c r="I1077" s="195"/>
      <c r="J1077" s="195"/>
      <c r="K1077" s="195"/>
      <c r="L1077" s="195"/>
      <c r="M1077" s="195"/>
      <c r="N1077" s="195"/>
      <c r="O1077" s="195"/>
      <c r="P1077" s="195"/>
      <c r="Q1077" s="195"/>
      <c r="R1077" s="195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</row>
    <row r="1078" ht="15.75" customHeight="1">
      <c r="A1078" s="195"/>
      <c r="B1078" s="179"/>
      <c r="C1078" s="179"/>
      <c r="D1078" s="179"/>
      <c r="E1078" s="179"/>
      <c r="F1078" s="129"/>
      <c r="G1078" s="195"/>
      <c r="H1078" s="195"/>
      <c r="I1078" s="195"/>
      <c r="J1078" s="195"/>
      <c r="K1078" s="195"/>
      <c r="L1078" s="195"/>
      <c r="M1078" s="195"/>
      <c r="N1078" s="195"/>
      <c r="O1078" s="195"/>
      <c r="P1078" s="195"/>
      <c r="Q1078" s="195"/>
      <c r="R1078" s="195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</row>
    <row r="1079" ht="15.75" customHeight="1">
      <c r="A1079" s="195"/>
      <c r="B1079" s="179"/>
      <c r="C1079" s="179"/>
      <c r="D1079" s="179"/>
      <c r="E1079" s="179"/>
      <c r="F1079" s="129"/>
      <c r="G1079" s="195"/>
      <c r="H1079" s="195"/>
      <c r="I1079" s="195"/>
      <c r="J1079" s="195"/>
      <c r="K1079" s="195"/>
      <c r="L1079" s="195"/>
      <c r="M1079" s="195"/>
      <c r="N1079" s="195"/>
      <c r="O1079" s="195"/>
      <c r="P1079" s="195"/>
      <c r="Q1079" s="195"/>
      <c r="R1079" s="195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</row>
    <row r="1080" ht="15.75" customHeight="1">
      <c r="A1080" s="195"/>
      <c r="B1080" s="179"/>
      <c r="C1080" s="179"/>
      <c r="D1080" s="179"/>
      <c r="E1080" s="179"/>
      <c r="F1080" s="129"/>
      <c r="G1080" s="195"/>
      <c r="H1080" s="195"/>
      <c r="I1080" s="195"/>
      <c r="J1080" s="195"/>
      <c r="K1080" s="195"/>
      <c r="L1080" s="195"/>
      <c r="M1080" s="195"/>
      <c r="N1080" s="195"/>
      <c r="O1080" s="195"/>
      <c r="P1080" s="195"/>
      <c r="Q1080" s="195"/>
      <c r="R1080" s="195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</row>
    <row r="1081" ht="15.75" customHeight="1">
      <c r="A1081" s="195"/>
      <c r="B1081" s="179"/>
      <c r="C1081" s="179"/>
      <c r="D1081" s="179"/>
      <c r="E1081" s="179"/>
      <c r="F1081" s="129"/>
      <c r="G1081" s="195"/>
      <c r="H1081" s="195"/>
      <c r="I1081" s="195"/>
      <c r="J1081" s="195"/>
      <c r="K1081" s="195"/>
      <c r="L1081" s="195"/>
      <c r="M1081" s="195"/>
      <c r="N1081" s="195"/>
      <c r="O1081" s="195"/>
      <c r="P1081" s="195"/>
      <c r="Q1081" s="195"/>
      <c r="R1081" s="195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</row>
    <row r="1082" ht="15.75" customHeight="1">
      <c r="A1082" s="195"/>
      <c r="B1082" s="179"/>
      <c r="C1082" s="179"/>
      <c r="D1082" s="179"/>
      <c r="E1082" s="179"/>
      <c r="F1082" s="129"/>
      <c r="G1082" s="195"/>
      <c r="H1082" s="195"/>
      <c r="I1082" s="195"/>
      <c r="J1082" s="195"/>
      <c r="K1082" s="195"/>
      <c r="L1082" s="195"/>
      <c r="M1082" s="195"/>
      <c r="N1082" s="195"/>
      <c r="O1082" s="195"/>
      <c r="P1082" s="195"/>
      <c r="Q1082" s="195"/>
      <c r="R1082" s="195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</row>
    <row r="1083" ht="15.75" customHeight="1">
      <c r="A1083" s="195"/>
      <c r="B1083" s="179"/>
      <c r="C1083" s="179"/>
      <c r="D1083" s="179"/>
      <c r="E1083" s="179"/>
      <c r="F1083" s="129"/>
      <c r="G1083" s="195"/>
      <c r="H1083" s="195"/>
      <c r="I1083" s="195"/>
      <c r="J1083" s="195"/>
      <c r="K1083" s="195"/>
      <c r="L1083" s="195"/>
      <c r="M1083" s="195"/>
      <c r="N1083" s="195"/>
      <c r="O1083" s="195"/>
      <c r="P1083" s="195"/>
      <c r="Q1083" s="195"/>
      <c r="R1083" s="195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</row>
    <row r="1084" ht="15.75" customHeight="1">
      <c r="A1084" s="195"/>
      <c r="B1084" s="179"/>
      <c r="C1084" s="179"/>
      <c r="D1084" s="179"/>
      <c r="E1084" s="179"/>
      <c r="F1084" s="129"/>
      <c r="G1084" s="195"/>
      <c r="H1084" s="195"/>
      <c r="I1084" s="195"/>
      <c r="J1084" s="195"/>
      <c r="K1084" s="195"/>
      <c r="L1084" s="195"/>
      <c r="M1084" s="195"/>
      <c r="N1084" s="195"/>
      <c r="O1084" s="195"/>
      <c r="P1084" s="195"/>
      <c r="Q1084" s="195"/>
      <c r="R1084" s="195"/>
      <c r="S1084" s="129"/>
      <c r="T1084" s="129"/>
      <c r="U1084" s="129"/>
      <c r="V1084" s="129"/>
      <c r="W1084" s="129"/>
      <c r="X1084" s="129"/>
      <c r="Y1084" s="129"/>
      <c r="Z1084" s="129"/>
      <c r="AA1084" s="129"/>
      <c r="AB1084" s="129"/>
      <c r="AC1084" s="129"/>
      <c r="AD1084" s="129"/>
    </row>
    <row r="1085" ht="15.75" customHeight="1">
      <c r="A1085" s="195"/>
      <c r="B1085" s="179"/>
      <c r="C1085" s="179"/>
      <c r="D1085" s="179"/>
      <c r="E1085" s="179"/>
      <c r="F1085" s="129"/>
      <c r="G1085" s="195"/>
      <c r="H1085" s="195"/>
      <c r="I1085" s="195"/>
      <c r="J1085" s="195"/>
      <c r="K1085" s="195"/>
      <c r="L1085" s="195"/>
      <c r="M1085" s="195"/>
      <c r="N1085" s="195"/>
      <c r="O1085" s="195"/>
      <c r="P1085" s="195"/>
      <c r="Q1085" s="195"/>
      <c r="R1085" s="195"/>
      <c r="S1085" s="129"/>
      <c r="T1085" s="129"/>
      <c r="U1085" s="129"/>
      <c r="V1085" s="129"/>
      <c r="W1085" s="129"/>
      <c r="X1085" s="129"/>
      <c r="Y1085" s="129"/>
      <c r="Z1085" s="129"/>
      <c r="AA1085" s="129"/>
      <c r="AB1085" s="129"/>
      <c r="AC1085" s="129"/>
      <c r="AD1085" s="129"/>
    </row>
    <row r="1086" ht="15.75" customHeight="1">
      <c r="A1086" s="195"/>
      <c r="B1086" s="179"/>
      <c r="C1086" s="179"/>
      <c r="D1086" s="179"/>
      <c r="E1086" s="179"/>
      <c r="F1086" s="129"/>
      <c r="G1086" s="195"/>
      <c r="H1086" s="195"/>
      <c r="I1086" s="195"/>
      <c r="J1086" s="195"/>
      <c r="K1086" s="195"/>
      <c r="L1086" s="195"/>
      <c r="M1086" s="195"/>
      <c r="N1086" s="195"/>
      <c r="O1086" s="195"/>
      <c r="P1086" s="195"/>
      <c r="Q1086" s="195"/>
      <c r="R1086" s="195"/>
      <c r="S1086" s="129"/>
      <c r="T1086" s="129"/>
      <c r="U1086" s="129"/>
      <c r="V1086" s="129"/>
      <c r="W1086" s="129"/>
      <c r="X1086" s="129"/>
      <c r="Y1086" s="129"/>
      <c r="Z1086" s="129"/>
      <c r="AA1086" s="129"/>
      <c r="AB1086" s="129"/>
      <c r="AC1086" s="129"/>
      <c r="AD1086" s="129"/>
    </row>
    <row r="1087" ht="15.75" customHeight="1">
      <c r="A1087" s="195"/>
      <c r="B1087" s="179"/>
      <c r="C1087" s="179"/>
      <c r="D1087" s="179"/>
      <c r="E1087" s="179"/>
      <c r="F1087" s="129"/>
      <c r="G1087" s="195"/>
      <c r="H1087" s="195"/>
      <c r="I1087" s="195"/>
      <c r="J1087" s="195"/>
      <c r="K1087" s="195"/>
      <c r="L1087" s="195"/>
      <c r="M1087" s="195"/>
      <c r="N1087" s="195"/>
      <c r="O1087" s="195"/>
      <c r="P1087" s="195"/>
      <c r="Q1087" s="195"/>
      <c r="R1087" s="195"/>
      <c r="S1087" s="129"/>
      <c r="T1087" s="129"/>
      <c r="U1087" s="129"/>
      <c r="V1087" s="129"/>
      <c r="W1087" s="129"/>
      <c r="X1087" s="129"/>
      <c r="Y1087" s="129"/>
      <c r="Z1087" s="129"/>
      <c r="AA1087" s="129"/>
      <c r="AB1087" s="129"/>
      <c r="AC1087" s="129"/>
      <c r="AD1087" s="129"/>
    </row>
    <row r="1088" ht="15.75" customHeight="1">
      <c r="A1088" s="195"/>
      <c r="B1088" s="179"/>
      <c r="C1088" s="179"/>
      <c r="D1088" s="179"/>
      <c r="E1088" s="179"/>
      <c r="F1088" s="129"/>
      <c r="G1088" s="195"/>
      <c r="H1088" s="195"/>
      <c r="I1088" s="195"/>
      <c r="J1088" s="195"/>
      <c r="K1088" s="195"/>
      <c r="L1088" s="195"/>
      <c r="M1088" s="195"/>
      <c r="N1088" s="195"/>
      <c r="O1088" s="195"/>
      <c r="P1088" s="195"/>
      <c r="Q1088" s="195"/>
      <c r="R1088" s="195"/>
      <c r="S1088" s="129"/>
      <c r="T1088" s="129"/>
      <c r="U1088" s="129"/>
      <c r="V1088" s="129"/>
      <c r="W1088" s="129"/>
      <c r="X1088" s="129"/>
      <c r="Y1088" s="129"/>
      <c r="Z1088" s="129"/>
      <c r="AA1088" s="129"/>
      <c r="AB1088" s="129"/>
      <c r="AC1088" s="129"/>
      <c r="AD1088" s="129"/>
    </row>
    <row r="1089" ht="15.75" customHeight="1">
      <c r="A1089" s="195"/>
      <c r="B1089" s="179"/>
      <c r="C1089" s="179"/>
      <c r="D1089" s="179"/>
      <c r="E1089" s="179"/>
      <c r="F1089" s="129"/>
      <c r="G1089" s="195"/>
      <c r="H1089" s="195"/>
      <c r="I1089" s="195"/>
      <c r="J1089" s="195"/>
      <c r="K1089" s="195"/>
      <c r="L1089" s="195"/>
      <c r="M1089" s="195"/>
      <c r="N1089" s="195"/>
      <c r="O1089" s="195"/>
      <c r="P1089" s="195"/>
      <c r="Q1089" s="195"/>
      <c r="R1089" s="195"/>
      <c r="S1089" s="129"/>
      <c r="T1089" s="129"/>
      <c r="U1089" s="129"/>
      <c r="V1089" s="129"/>
      <c r="W1089" s="129"/>
      <c r="X1089" s="129"/>
      <c r="Y1089" s="129"/>
      <c r="Z1089" s="129"/>
      <c r="AA1089" s="129"/>
      <c r="AB1089" s="129"/>
      <c r="AC1089" s="129"/>
      <c r="AD1089" s="129"/>
    </row>
    <row r="1090" ht="15.75" customHeight="1">
      <c r="A1090" s="195"/>
      <c r="B1090" s="179"/>
      <c r="C1090" s="179"/>
      <c r="D1090" s="179"/>
      <c r="E1090" s="179"/>
      <c r="F1090" s="129"/>
      <c r="G1090" s="195"/>
      <c r="H1090" s="195"/>
      <c r="I1090" s="195"/>
      <c r="J1090" s="195"/>
      <c r="K1090" s="195"/>
      <c r="L1090" s="195"/>
      <c r="M1090" s="195"/>
      <c r="N1090" s="195"/>
      <c r="O1090" s="195"/>
      <c r="P1090" s="195"/>
      <c r="Q1090" s="195"/>
      <c r="R1090" s="195"/>
      <c r="S1090" s="129"/>
      <c r="T1090" s="129"/>
      <c r="U1090" s="129"/>
      <c r="V1090" s="129"/>
      <c r="W1090" s="129"/>
      <c r="X1090" s="129"/>
      <c r="Y1090" s="129"/>
      <c r="Z1090" s="129"/>
      <c r="AA1090" s="129"/>
      <c r="AB1090" s="129"/>
      <c r="AC1090" s="129"/>
      <c r="AD1090" s="129"/>
    </row>
    <row r="1091" ht="15.75" customHeight="1">
      <c r="A1091" s="195"/>
      <c r="B1091" s="179"/>
      <c r="C1091" s="179"/>
      <c r="D1091" s="179"/>
      <c r="E1091" s="179"/>
      <c r="F1091" s="129"/>
      <c r="G1091" s="195"/>
      <c r="H1091" s="195"/>
      <c r="I1091" s="195"/>
      <c r="J1091" s="195"/>
      <c r="K1091" s="195"/>
      <c r="L1091" s="195"/>
      <c r="M1091" s="195"/>
      <c r="N1091" s="195"/>
      <c r="O1091" s="195"/>
      <c r="P1091" s="195"/>
      <c r="Q1091" s="195"/>
      <c r="R1091" s="195"/>
      <c r="S1091" s="129"/>
      <c r="T1091" s="129"/>
      <c r="U1091" s="129"/>
      <c r="V1091" s="129"/>
      <c r="W1091" s="129"/>
      <c r="X1091" s="129"/>
      <c r="Y1091" s="129"/>
      <c r="Z1091" s="129"/>
      <c r="AA1091" s="129"/>
      <c r="AB1091" s="129"/>
      <c r="AC1091" s="129"/>
      <c r="AD1091" s="129"/>
    </row>
    <row r="1092" ht="15.75" customHeight="1">
      <c r="A1092" s="195"/>
      <c r="B1092" s="179"/>
      <c r="C1092" s="179"/>
      <c r="D1092" s="179"/>
      <c r="E1092" s="179"/>
      <c r="F1092" s="129"/>
      <c r="G1092" s="195"/>
      <c r="H1092" s="195"/>
      <c r="I1092" s="195"/>
      <c r="J1092" s="195"/>
      <c r="K1092" s="195"/>
      <c r="L1092" s="195"/>
      <c r="M1092" s="195"/>
      <c r="N1092" s="195"/>
      <c r="O1092" s="195"/>
      <c r="P1092" s="195"/>
      <c r="Q1092" s="195"/>
      <c r="R1092" s="195"/>
      <c r="S1092" s="129"/>
      <c r="T1092" s="129"/>
      <c r="U1092" s="129"/>
      <c r="V1092" s="129"/>
      <c r="W1092" s="129"/>
      <c r="X1092" s="129"/>
      <c r="Y1092" s="129"/>
      <c r="Z1092" s="129"/>
      <c r="AA1092" s="129"/>
      <c r="AB1092" s="129"/>
      <c r="AC1092" s="129"/>
      <c r="AD1092" s="129"/>
    </row>
    <row r="1093" ht="15.75" customHeight="1">
      <c r="A1093" s="195"/>
      <c r="B1093" s="179"/>
      <c r="C1093" s="179"/>
      <c r="D1093" s="179"/>
      <c r="E1093" s="179"/>
      <c r="F1093" s="129"/>
      <c r="G1093" s="195"/>
      <c r="H1093" s="195"/>
      <c r="I1093" s="195"/>
      <c r="J1093" s="195"/>
      <c r="K1093" s="195"/>
      <c r="L1093" s="195"/>
      <c r="M1093" s="195"/>
      <c r="N1093" s="195"/>
      <c r="O1093" s="195"/>
      <c r="P1093" s="195"/>
      <c r="Q1093" s="195"/>
      <c r="R1093" s="195"/>
      <c r="S1093" s="129"/>
      <c r="T1093" s="129"/>
      <c r="U1093" s="129"/>
      <c r="V1093" s="129"/>
      <c r="W1093" s="129"/>
      <c r="X1093" s="129"/>
      <c r="Y1093" s="129"/>
      <c r="Z1093" s="129"/>
      <c r="AA1093" s="129"/>
      <c r="AB1093" s="129"/>
      <c r="AC1093" s="129"/>
      <c r="AD1093" s="129"/>
    </row>
    <row r="1094" ht="15.75" customHeight="1">
      <c r="A1094" s="195"/>
      <c r="B1094" s="179"/>
      <c r="C1094" s="179"/>
      <c r="D1094" s="179"/>
      <c r="E1094" s="179"/>
      <c r="F1094" s="129"/>
      <c r="G1094" s="195"/>
      <c r="H1094" s="195"/>
      <c r="I1094" s="195"/>
      <c r="J1094" s="195"/>
      <c r="K1094" s="195"/>
      <c r="L1094" s="195"/>
      <c r="M1094" s="195"/>
      <c r="N1094" s="195"/>
      <c r="O1094" s="195"/>
      <c r="P1094" s="195"/>
      <c r="Q1094" s="195"/>
      <c r="R1094" s="195"/>
      <c r="S1094" s="129"/>
      <c r="T1094" s="129"/>
      <c r="U1094" s="129"/>
      <c r="V1094" s="129"/>
      <c r="W1094" s="129"/>
      <c r="X1094" s="129"/>
      <c r="Y1094" s="129"/>
      <c r="Z1094" s="129"/>
      <c r="AA1094" s="129"/>
      <c r="AB1094" s="129"/>
      <c r="AC1094" s="129"/>
      <c r="AD1094" s="129"/>
    </row>
    <row r="1095" ht="15.75" customHeight="1">
      <c r="A1095" s="195"/>
      <c r="B1095" s="179"/>
      <c r="C1095" s="179"/>
      <c r="D1095" s="179"/>
      <c r="E1095" s="179"/>
      <c r="F1095" s="129"/>
      <c r="G1095" s="195"/>
      <c r="H1095" s="195"/>
      <c r="I1095" s="195"/>
      <c r="J1095" s="195"/>
      <c r="K1095" s="195"/>
      <c r="L1095" s="195"/>
      <c r="M1095" s="195"/>
      <c r="N1095" s="195"/>
      <c r="O1095" s="195"/>
      <c r="P1095" s="195"/>
      <c r="Q1095" s="195"/>
      <c r="R1095" s="195"/>
      <c r="S1095" s="129"/>
      <c r="T1095" s="129"/>
      <c r="U1095" s="129"/>
      <c r="V1095" s="129"/>
      <c r="W1095" s="129"/>
      <c r="X1095" s="129"/>
      <c r="Y1095" s="129"/>
      <c r="Z1095" s="129"/>
      <c r="AA1095" s="129"/>
      <c r="AB1095" s="129"/>
      <c r="AC1095" s="129"/>
      <c r="AD1095" s="129"/>
    </row>
    <row r="1096" ht="15.75" customHeight="1">
      <c r="A1096" s="195"/>
      <c r="B1096" s="179"/>
      <c r="C1096" s="179"/>
      <c r="D1096" s="179"/>
      <c r="E1096" s="179"/>
      <c r="F1096" s="129"/>
      <c r="G1096" s="195"/>
      <c r="H1096" s="195"/>
      <c r="I1096" s="195"/>
      <c r="J1096" s="195"/>
      <c r="K1096" s="195"/>
      <c r="L1096" s="195"/>
      <c r="M1096" s="195"/>
      <c r="N1096" s="195"/>
      <c r="O1096" s="195"/>
      <c r="P1096" s="195"/>
      <c r="Q1096" s="195"/>
      <c r="R1096" s="195"/>
      <c r="S1096" s="129"/>
      <c r="T1096" s="129"/>
      <c r="U1096" s="129"/>
      <c r="V1096" s="129"/>
      <c r="W1096" s="129"/>
      <c r="X1096" s="129"/>
      <c r="Y1096" s="129"/>
      <c r="Z1096" s="129"/>
      <c r="AA1096" s="129"/>
      <c r="AB1096" s="129"/>
      <c r="AC1096" s="129"/>
      <c r="AD1096" s="129"/>
    </row>
    <row r="1097" ht="15.75" customHeight="1">
      <c r="A1097" s="195"/>
      <c r="B1097" s="179"/>
      <c r="C1097" s="179"/>
      <c r="D1097" s="179"/>
      <c r="E1097" s="179"/>
      <c r="F1097" s="129"/>
      <c r="G1097" s="195"/>
      <c r="H1097" s="195"/>
      <c r="I1097" s="195"/>
      <c r="J1097" s="195"/>
      <c r="K1097" s="195"/>
      <c r="L1097" s="195"/>
      <c r="M1097" s="195"/>
      <c r="N1097" s="195"/>
      <c r="O1097" s="195"/>
      <c r="P1097" s="195"/>
      <c r="Q1097" s="195"/>
      <c r="R1097" s="195"/>
      <c r="S1097" s="129"/>
      <c r="T1097" s="129"/>
      <c r="U1097" s="129"/>
      <c r="V1097" s="129"/>
      <c r="W1097" s="129"/>
      <c r="X1097" s="129"/>
      <c r="Y1097" s="129"/>
      <c r="Z1097" s="129"/>
      <c r="AA1097" s="129"/>
      <c r="AB1097" s="129"/>
      <c r="AC1097" s="129"/>
      <c r="AD1097" s="129"/>
    </row>
    <row r="1098" ht="15.75" customHeight="1">
      <c r="A1098" s="195"/>
      <c r="B1098" s="179"/>
      <c r="C1098" s="179"/>
      <c r="D1098" s="179"/>
      <c r="E1098" s="179"/>
      <c r="F1098" s="129"/>
      <c r="G1098" s="195"/>
      <c r="H1098" s="195"/>
      <c r="I1098" s="195"/>
      <c r="J1098" s="195"/>
      <c r="K1098" s="195"/>
      <c r="L1098" s="195"/>
      <c r="M1098" s="195"/>
      <c r="N1098" s="195"/>
      <c r="O1098" s="195"/>
      <c r="P1098" s="195"/>
      <c r="Q1098" s="195"/>
      <c r="R1098" s="195"/>
      <c r="S1098" s="129"/>
      <c r="T1098" s="129"/>
      <c r="U1098" s="129"/>
      <c r="V1098" s="129"/>
      <c r="W1098" s="129"/>
      <c r="X1098" s="129"/>
      <c r="Y1098" s="129"/>
      <c r="Z1098" s="129"/>
      <c r="AA1098" s="129"/>
      <c r="AB1098" s="129"/>
      <c r="AC1098" s="129"/>
      <c r="AD1098" s="129"/>
    </row>
    <row r="1099" ht="15.75" customHeight="1">
      <c r="A1099" s="195"/>
      <c r="B1099" s="179"/>
      <c r="C1099" s="179"/>
      <c r="D1099" s="179"/>
      <c r="E1099" s="179"/>
      <c r="F1099" s="129"/>
      <c r="G1099" s="195"/>
      <c r="H1099" s="195"/>
      <c r="I1099" s="195"/>
      <c r="J1099" s="195"/>
      <c r="K1099" s="195"/>
      <c r="L1099" s="195"/>
      <c r="M1099" s="195"/>
      <c r="N1099" s="195"/>
      <c r="O1099" s="195"/>
      <c r="P1099" s="195"/>
      <c r="Q1099" s="195"/>
      <c r="R1099" s="195"/>
      <c r="S1099" s="129"/>
      <c r="T1099" s="129"/>
      <c r="U1099" s="129"/>
      <c r="V1099" s="129"/>
      <c r="W1099" s="129"/>
      <c r="X1099" s="129"/>
      <c r="Y1099" s="129"/>
      <c r="Z1099" s="129"/>
      <c r="AA1099" s="129"/>
      <c r="AB1099" s="129"/>
      <c r="AC1099" s="129"/>
      <c r="AD1099" s="129"/>
    </row>
    <row r="1100" ht="15.75" customHeight="1">
      <c r="A1100" s="195"/>
      <c r="B1100" s="179"/>
      <c r="C1100" s="179"/>
      <c r="D1100" s="179"/>
      <c r="E1100" s="179"/>
      <c r="F1100" s="129"/>
      <c r="G1100" s="195"/>
      <c r="H1100" s="195"/>
      <c r="I1100" s="195"/>
      <c r="J1100" s="195"/>
      <c r="K1100" s="195"/>
      <c r="L1100" s="195"/>
      <c r="M1100" s="195"/>
      <c r="N1100" s="195"/>
      <c r="O1100" s="195"/>
      <c r="P1100" s="195"/>
      <c r="Q1100" s="195"/>
      <c r="R1100" s="195"/>
      <c r="S1100" s="129"/>
      <c r="T1100" s="129"/>
      <c r="U1100" s="129"/>
      <c r="V1100" s="129"/>
      <c r="W1100" s="129"/>
      <c r="X1100" s="129"/>
      <c r="Y1100" s="129"/>
      <c r="Z1100" s="129"/>
      <c r="AA1100" s="129"/>
      <c r="AB1100" s="129"/>
      <c r="AC1100" s="129"/>
      <c r="AD1100" s="129"/>
    </row>
    <row r="1101" ht="15.75" customHeight="1">
      <c r="A1101" s="195"/>
      <c r="B1101" s="179"/>
      <c r="C1101" s="179"/>
      <c r="D1101" s="179"/>
      <c r="E1101" s="179"/>
      <c r="F1101" s="129"/>
      <c r="G1101" s="195"/>
      <c r="H1101" s="195"/>
      <c r="I1101" s="195"/>
      <c r="J1101" s="195"/>
      <c r="K1101" s="195"/>
      <c r="L1101" s="195"/>
      <c r="M1101" s="195"/>
      <c r="N1101" s="195"/>
      <c r="O1101" s="195"/>
      <c r="P1101" s="195"/>
      <c r="Q1101" s="195"/>
      <c r="R1101" s="195"/>
      <c r="S1101" s="129"/>
      <c r="T1101" s="129"/>
      <c r="U1101" s="129"/>
      <c r="V1101" s="129"/>
      <c r="W1101" s="129"/>
      <c r="X1101" s="129"/>
      <c r="Y1101" s="129"/>
      <c r="Z1101" s="129"/>
      <c r="AA1101" s="129"/>
      <c r="AB1101" s="129"/>
      <c r="AC1101" s="129"/>
      <c r="AD1101" s="129"/>
    </row>
    <row r="1102" ht="15.75" customHeight="1">
      <c r="A1102" s="195"/>
      <c r="B1102" s="179"/>
      <c r="C1102" s="179"/>
      <c r="D1102" s="179"/>
      <c r="E1102" s="179"/>
      <c r="F1102" s="129"/>
      <c r="G1102" s="195"/>
      <c r="H1102" s="195"/>
      <c r="I1102" s="195"/>
      <c r="J1102" s="195"/>
      <c r="K1102" s="195"/>
      <c r="L1102" s="195"/>
      <c r="M1102" s="195"/>
      <c r="N1102" s="195"/>
      <c r="O1102" s="195"/>
      <c r="P1102" s="195"/>
      <c r="Q1102" s="195"/>
      <c r="R1102" s="195"/>
      <c r="S1102" s="129"/>
      <c r="T1102" s="129"/>
      <c r="U1102" s="129"/>
      <c r="V1102" s="129"/>
      <c r="W1102" s="129"/>
      <c r="X1102" s="129"/>
      <c r="Y1102" s="129"/>
      <c r="Z1102" s="129"/>
      <c r="AA1102" s="129"/>
      <c r="AB1102" s="129"/>
      <c r="AC1102" s="129"/>
      <c r="AD1102" s="129"/>
    </row>
    <row r="1103" ht="15.75" customHeight="1">
      <c r="A1103" s="195"/>
      <c r="B1103" s="179"/>
      <c r="C1103" s="179"/>
      <c r="D1103" s="179"/>
      <c r="E1103" s="179"/>
      <c r="F1103" s="129"/>
      <c r="G1103" s="195"/>
      <c r="H1103" s="195"/>
      <c r="I1103" s="195"/>
      <c r="J1103" s="195"/>
      <c r="K1103" s="195"/>
      <c r="L1103" s="195"/>
      <c r="M1103" s="195"/>
      <c r="N1103" s="195"/>
      <c r="O1103" s="195"/>
      <c r="P1103" s="195"/>
      <c r="Q1103" s="195"/>
      <c r="R1103" s="195"/>
      <c r="S1103" s="129"/>
      <c r="T1103" s="129"/>
      <c r="U1103" s="129"/>
      <c r="V1103" s="129"/>
      <c r="W1103" s="129"/>
      <c r="X1103" s="129"/>
      <c r="Y1103" s="129"/>
      <c r="Z1103" s="129"/>
      <c r="AA1103" s="129"/>
      <c r="AB1103" s="129"/>
      <c r="AC1103" s="129"/>
      <c r="AD1103" s="129"/>
    </row>
    <row r="1104" ht="15.75" customHeight="1">
      <c r="A1104" s="195"/>
      <c r="B1104" s="179"/>
      <c r="C1104" s="179"/>
      <c r="D1104" s="179"/>
      <c r="E1104" s="179"/>
      <c r="F1104" s="129"/>
      <c r="G1104" s="195"/>
      <c r="H1104" s="195"/>
      <c r="I1104" s="195"/>
      <c r="J1104" s="195"/>
      <c r="K1104" s="195"/>
      <c r="L1104" s="195"/>
      <c r="M1104" s="195"/>
      <c r="N1104" s="195"/>
      <c r="O1104" s="195"/>
      <c r="P1104" s="195"/>
      <c r="Q1104" s="195"/>
      <c r="R1104" s="195"/>
      <c r="S1104" s="129"/>
      <c r="T1104" s="129"/>
      <c r="U1104" s="129"/>
      <c r="V1104" s="129"/>
      <c r="W1104" s="129"/>
      <c r="X1104" s="129"/>
      <c r="Y1104" s="129"/>
      <c r="Z1104" s="129"/>
      <c r="AA1104" s="129"/>
      <c r="AB1104" s="129"/>
      <c r="AC1104" s="129"/>
      <c r="AD1104" s="129"/>
    </row>
    <row r="1105" ht="15.75" customHeight="1">
      <c r="A1105" s="195"/>
      <c r="B1105" s="179"/>
      <c r="C1105" s="179"/>
      <c r="D1105" s="179"/>
      <c r="E1105" s="179"/>
      <c r="F1105" s="129"/>
      <c r="G1105" s="195"/>
      <c r="H1105" s="195"/>
      <c r="I1105" s="195"/>
      <c r="J1105" s="195"/>
      <c r="K1105" s="195"/>
      <c r="L1105" s="195"/>
      <c r="M1105" s="195"/>
      <c r="N1105" s="195"/>
      <c r="O1105" s="195"/>
      <c r="P1105" s="195"/>
      <c r="Q1105" s="195"/>
      <c r="R1105" s="195"/>
      <c r="S1105" s="129"/>
      <c r="T1105" s="129"/>
      <c r="U1105" s="129"/>
      <c r="V1105" s="129"/>
      <c r="W1105" s="129"/>
      <c r="X1105" s="129"/>
      <c r="Y1105" s="129"/>
      <c r="Z1105" s="129"/>
      <c r="AA1105" s="129"/>
      <c r="AB1105" s="129"/>
      <c r="AC1105" s="129"/>
      <c r="AD1105" s="129"/>
    </row>
    <row r="1106" ht="15.75" customHeight="1">
      <c r="A1106" s="195"/>
      <c r="B1106" s="179"/>
      <c r="C1106" s="179"/>
      <c r="D1106" s="179"/>
      <c r="E1106" s="179"/>
      <c r="F1106" s="129"/>
      <c r="G1106" s="195"/>
      <c r="H1106" s="195"/>
      <c r="I1106" s="195"/>
      <c r="J1106" s="195"/>
      <c r="K1106" s="195"/>
      <c r="L1106" s="195"/>
      <c r="M1106" s="195"/>
      <c r="N1106" s="195"/>
      <c r="O1106" s="195"/>
      <c r="P1106" s="195"/>
      <c r="Q1106" s="195"/>
      <c r="R1106" s="195"/>
      <c r="S1106" s="129"/>
      <c r="T1106" s="129"/>
      <c r="U1106" s="129"/>
      <c r="V1106" s="129"/>
      <c r="W1106" s="129"/>
      <c r="X1106" s="129"/>
      <c r="Y1106" s="129"/>
      <c r="Z1106" s="129"/>
      <c r="AA1106" s="129"/>
      <c r="AB1106" s="129"/>
      <c r="AC1106" s="129"/>
      <c r="AD1106" s="129"/>
    </row>
    <row r="1107" ht="15.75" customHeight="1">
      <c r="A1107" s="195"/>
      <c r="B1107" s="179"/>
      <c r="C1107" s="179"/>
      <c r="D1107" s="179"/>
      <c r="E1107" s="179"/>
      <c r="F1107" s="129"/>
      <c r="G1107" s="195"/>
      <c r="H1107" s="195"/>
      <c r="I1107" s="195"/>
      <c r="J1107" s="195"/>
      <c r="K1107" s="195"/>
      <c r="L1107" s="195"/>
      <c r="M1107" s="195"/>
      <c r="N1107" s="195"/>
      <c r="O1107" s="195"/>
      <c r="P1107" s="195"/>
      <c r="Q1107" s="195"/>
      <c r="R1107" s="195"/>
      <c r="S1107" s="129"/>
      <c r="T1107" s="129"/>
      <c r="U1107" s="129"/>
      <c r="V1107" s="129"/>
      <c r="W1107" s="129"/>
      <c r="X1107" s="129"/>
      <c r="Y1107" s="129"/>
      <c r="Z1107" s="129"/>
      <c r="AA1107" s="129"/>
      <c r="AB1107" s="129"/>
      <c r="AC1107" s="129"/>
      <c r="AD1107" s="129"/>
    </row>
    <row r="1108" ht="15.75" customHeight="1">
      <c r="A1108" s="195"/>
      <c r="B1108" s="179"/>
      <c r="C1108" s="179"/>
      <c r="D1108" s="179"/>
      <c r="E1108" s="179"/>
      <c r="F1108" s="129"/>
      <c r="G1108" s="195"/>
      <c r="H1108" s="195"/>
      <c r="I1108" s="195"/>
      <c r="J1108" s="195"/>
      <c r="K1108" s="195"/>
      <c r="L1108" s="195"/>
      <c r="M1108" s="195"/>
      <c r="N1108" s="195"/>
      <c r="O1108" s="195"/>
      <c r="P1108" s="195"/>
      <c r="Q1108" s="195"/>
      <c r="R1108" s="195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</row>
    <row r="1109" ht="15.75" customHeight="1">
      <c r="A1109" s="195"/>
      <c r="B1109" s="179"/>
      <c r="C1109" s="179"/>
      <c r="D1109" s="179"/>
      <c r="E1109" s="179"/>
      <c r="F1109" s="129"/>
      <c r="G1109" s="195"/>
      <c r="H1109" s="195"/>
      <c r="I1109" s="195"/>
      <c r="J1109" s="195"/>
      <c r="K1109" s="195"/>
      <c r="L1109" s="195"/>
      <c r="M1109" s="195"/>
      <c r="N1109" s="195"/>
      <c r="O1109" s="195"/>
      <c r="P1109" s="195"/>
      <c r="Q1109" s="195"/>
      <c r="R1109" s="195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</row>
    <row r="1110" ht="15.75" customHeight="1">
      <c r="A1110" s="195"/>
      <c r="B1110" s="179"/>
      <c r="C1110" s="179"/>
      <c r="D1110" s="179"/>
      <c r="E1110" s="179"/>
      <c r="F1110" s="129"/>
      <c r="G1110" s="195"/>
      <c r="H1110" s="195"/>
      <c r="I1110" s="195"/>
      <c r="J1110" s="195"/>
      <c r="K1110" s="195"/>
      <c r="L1110" s="195"/>
      <c r="M1110" s="195"/>
      <c r="N1110" s="195"/>
      <c r="O1110" s="195"/>
      <c r="P1110" s="195"/>
      <c r="Q1110" s="195"/>
      <c r="R1110" s="195"/>
      <c r="S1110" s="129"/>
      <c r="T1110" s="129"/>
      <c r="U1110" s="129"/>
      <c r="V1110" s="129"/>
      <c r="W1110" s="129"/>
      <c r="X1110" s="129"/>
      <c r="Y1110" s="129"/>
      <c r="Z1110" s="129"/>
      <c r="AA1110" s="129"/>
      <c r="AB1110" s="129"/>
      <c r="AC1110" s="129"/>
      <c r="AD1110" s="129"/>
    </row>
    <row r="1111" ht="15.75" customHeight="1">
      <c r="A1111" s="195"/>
      <c r="B1111" s="179"/>
      <c r="C1111" s="179"/>
      <c r="D1111" s="179"/>
      <c r="E1111" s="179"/>
      <c r="F1111" s="129"/>
      <c r="G1111" s="195"/>
      <c r="H1111" s="195"/>
      <c r="I1111" s="195"/>
      <c r="J1111" s="195"/>
      <c r="K1111" s="195"/>
      <c r="L1111" s="195"/>
      <c r="M1111" s="195"/>
      <c r="N1111" s="195"/>
      <c r="O1111" s="195"/>
      <c r="P1111" s="195"/>
      <c r="Q1111" s="195"/>
      <c r="R1111" s="195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</row>
    <row r="1112" ht="15.75" customHeight="1">
      <c r="A1112" s="195"/>
      <c r="B1112" s="179"/>
      <c r="C1112" s="179"/>
      <c r="D1112" s="179"/>
      <c r="E1112" s="179"/>
      <c r="F1112" s="129"/>
      <c r="G1112" s="195"/>
      <c r="H1112" s="195"/>
      <c r="I1112" s="195"/>
      <c r="J1112" s="195"/>
      <c r="K1112" s="195"/>
      <c r="L1112" s="195"/>
      <c r="M1112" s="195"/>
      <c r="N1112" s="195"/>
      <c r="O1112" s="195"/>
      <c r="P1112" s="195"/>
      <c r="Q1112" s="195"/>
      <c r="R1112" s="195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</row>
    <row r="1113" ht="15.75" customHeight="1">
      <c r="A1113" s="195"/>
      <c r="B1113" s="179"/>
      <c r="C1113" s="179"/>
      <c r="D1113" s="179"/>
      <c r="E1113" s="179"/>
      <c r="F1113" s="129"/>
      <c r="G1113" s="195"/>
      <c r="H1113" s="195"/>
      <c r="I1113" s="195"/>
      <c r="J1113" s="195"/>
      <c r="K1113" s="195"/>
      <c r="L1113" s="195"/>
      <c r="M1113" s="195"/>
      <c r="N1113" s="195"/>
      <c r="O1113" s="195"/>
      <c r="P1113" s="195"/>
      <c r="Q1113" s="195"/>
      <c r="R1113" s="195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</row>
    <row r="1114" ht="15.75" customHeight="1">
      <c r="A1114" s="195"/>
      <c r="B1114" s="179"/>
      <c r="C1114" s="179"/>
      <c r="D1114" s="179"/>
      <c r="E1114" s="179"/>
      <c r="F1114" s="129"/>
      <c r="G1114" s="195"/>
      <c r="H1114" s="195"/>
      <c r="I1114" s="195"/>
      <c r="J1114" s="195"/>
      <c r="K1114" s="195"/>
      <c r="L1114" s="195"/>
      <c r="M1114" s="195"/>
      <c r="N1114" s="195"/>
      <c r="O1114" s="195"/>
      <c r="P1114" s="195"/>
      <c r="Q1114" s="195"/>
      <c r="R1114" s="195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</row>
    <row r="1115" ht="15.75" customHeight="1">
      <c r="A1115" s="195"/>
      <c r="B1115" s="179"/>
      <c r="C1115" s="179"/>
      <c r="D1115" s="179"/>
      <c r="E1115" s="179"/>
      <c r="F1115" s="129"/>
      <c r="G1115" s="195"/>
      <c r="H1115" s="195"/>
      <c r="I1115" s="195"/>
      <c r="J1115" s="195"/>
      <c r="K1115" s="195"/>
      <c r="L1115" s="195"/>
      <c r="M1115" s="195"/>
      <c r="N1115" s="195"/>
      <c r="O1115" s="195"/>
      <c r="P1115" s="195"/>
      <c r="Q1115" s="195"/>
      <c r="R1115" s="195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</row>
    <row r="1116" ht="15.75" customHeight="1">
      <c r="A1116" s="195"/>
      <c r="B1116" s="179"/>
      <c r="C1116" s="179"/>
      <c r="D1116" s="179"/>
      <c r="E1116" s="179"/>
      <c r="F1116" s="129"/>
      <c r="G1116" s="195"/>
      <c r="H1116" s="195"/>
      <c r="I1116" s="195"/>
      <c r="J1116" s="195"/>
      <c r="K1116" s="195"/>
      <c r="L1116" s="195"/>
      <c r="M1116" s="195"/>
      <c r="N1116" s="195"/>
      <c r="O1116" s="195"/>
      <c r="P1116" s="195"/>
      <c r="Q1116" s="195"/>
      <c r="R1116" s="195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</row>
    <row r="1117" ht="15.75" customHeight="1">
      <c r="A1117" s="195"/>
      <c r="B1117" s="179"/>
      <c r="C1117" s="179"/>
      <c r="D1117" s="179"/>
      <c r="E1117" s="179"/>
      <c r="F1117" s="129"/>
      <c r="G1117" s="195"/>
      <c r="H1117" s="195"/>
      <c r="I1117" s="195"/>
      <c r="J1117" s="195"/>
      <c r="K1117" s="195"/>
      <c r="L1117" s="195"/>
      <c r="M1117" s="195"/>
      <c r="N1117" s="195"/>
      <c r="O1117" s="195"/>
      <c r="P1117" s="195"/>
      <c r="Q1117" s="195"/>
      <c r="R1117" s="195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</row>
    <row r="1118" ht="15.75" customHeight="1">
      <c r="A1118" s="195"/>
      <c r="B1118" s="179"/>
      <c r="C1118" s="179"/>
      <c r="D1118" s="179"/>
      <c r="E1118" s="179"/>
      <c r="F1118" s="129"/>
      <c r="G1118" s="195"/>
      <c r="H1118" s="195"/>
      <c r="I1118" s="195"/>
      <c r="J1118" s="195"/>
      <c r="K1118" s="195"/>
      <c r="L1118" s="195"/>
      <c r="M1118" s="195"/>
      <c r="N1118" s="195"/>
      <c r="O1118" s="195"/>
      <c r="P1118" s="195"/>
      <c r="Q1118" s="195"/>
      <c r="R1118" s="195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</row>
    <row r="1119" ht="15.75" customHeight="1">
      <c r="A1119" s="195"/>
      <c r="B1119" s="179"/>
      <c r="C1119" s="179"/>
      <c r="D1119" s="179"/>
      <c r="E1119" s="179"/>
      <c r="F1119" s="129"/>
      <c r="G1119" s="195"/>
      <c r="H1119" s="195"/>
      <c r="I1119" s="195"/>
      <c r="J1119" s="195"/>
      <c r="K1119" s="195"/>
      <c r="L1119" s="195"/>
      <c r="M1119" s="195"/>
      <c r="N1119" s="195"/>
      <c r="O1119" s="195"/>
      <c r="P1119" s="195"/>
      <c r="Q1119" s="195"/>
      <c r="R1119" s="195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</row>
    <row r="1120" ht="15.75" customHeight="1">
      <c r="A1120" s="195"/>
      <c r="B1120" s="179"/>
      <c r="C1120" s="179"/>
      <c r="D1120" s="179"/>
      <c r="E1120" s="179"/>
      <c r="F1120" s="129"/>
      <c r="G1120" s="195"/>
      <c r="H1120" s="195"/>
      <c r="I1120" s="195"/>
      <c r="J1120" s="195"/>
      <c r="K1120" s="195"/>
      <c r="L1120" s="195"/>
      <c r="M1120" s="195"/>
      <c r="N1120" s="195"/>
      <c r="O1120" s="195"/>
      <c r="P1120" s="195"/>
      <c r="Q1120" s="195"/>
      <c r="R1120" s="195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</row>
    <row r="1121" ht="15.75" customHeight="1">
      <c r="A1121" s="195"/>
      <c r="B1121" s="179"/>
      <c r="C1121" s="179"/>
      <c r="D1121" s="179"/>
      <c r="E1121" s="179"/>
      <c r="F1121" s="129"/>
      <c r="G1121" s="195"/>
      <c r="H1121" s="195"/>
      <c r="I1121" s="195"/>
      <c r="J1121" s="195"/>
      <c r="K1121" s="195"/>
      <c r="L1121" s="195"/>
      <c r="M1121" s="195"/>
      <c r="N1121" s="195"/>
      <c r="O1121" s="195"/>
      <c r="P1121" s="195"/>
      <c r="Q1121" s="195"/>
      <c r="R1121" s="195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</row>
    <row r="1122" ht="15.75" customHeight="1">
      <c r="A1122" s="195"/>
      <c r="B1122" s="179"/>
      <c r="C1122" s="179"/>
      <c r="D1122" s="179"/>
      <c r="E1122" s="179"/>
      <c r="F1122" s="129"/>
      <c r="G1122" s="195"/>
      <c r="H1122" s="195"/>
      <c r="I1122" s="195"/>
      <c r="J1122" s="195"/>
      <c r="K1122" s="195"/>
      <c r="L1122" s="195"/>
      <c r="M1122" s="195"/>
      <c r="N1122" s="195"/>
      <c r="O1122" s="195"/>
      <c r="P1122" s="195"/>
      <c r="Q1122" s="195"/>
      <c r="R1122" s="195"/>
      <c r="S1122" s="129"/>
      <c r="T1122" s="129"/>
      <c r="U1122" s="129"/>
      <c r="V1122" s="129"/>
      <c r="W1122" s="129"/>
      <c r="X1122" s="129"/>
      <c r="Y1122" s="129"/>
      <c r="Z1122" s="129"/>
      <c r="AA1122" s="129"/>
      <c r="AB1122" s="129"/>
      <c r="AC1122" s="129"/>
      <c r="AD1122" s="129"/>
    </row>
    <row r="1123" ht="15.75" customHeight="1">
      <c r="A1123" s="195"/>
      <c r="B1123" s="179"/>
      <c r="C1123" s="179"/>
      <c r="D1123" s="179"/>
      <c r="E1123" s="179"/>
      <c r="F1123" s="129"/>
      <c r="G1123" s="195"/>
      <c r="H1123" s="195"/>
      <c r="I1123" s="195"/>
      <c r="J1123" s="195"/>
      <c r="K1123" s="195"/>
      <c r="L1123" s="195"/>
      <c r="M1123" s="195"/>
      <c r="N1123" s="195"/>
      <c r="O1123" s="195"/>
      <c r="P1123" s="195"/>
      <c r="Q1123" s="195"/>
      <c r="R1123" s="195"/>
      <c r="S1123" s="129"/>
      <c r="T1123" s="129"/>
      <c r="U1123" s="129"/>
      <c r="V1123" s="129"/>
      <c r="W1123" s="129"/>
      <c r="X1123" s="129"/>
      <c r="Y1123" s="129"/>
      <c r="Z1123" s="129"/>
      <c r="AA1123" s="129"/>
      <c r="AB1123" s="129"/>
      <c r="AC1123" s="129"/>
      <c r="AD1123" s="129"/>
    </row>
    <row r="1124" ht="15.75" customHeight="1">
      <c r="A1124" s="195"/>
      <c r="B1124" s="179"/>
      <c r="C1124" s="179"/>
      <c r="D1124" s="179"/>
      <c r="E1124" s="179"/>
      <c r="F1124" s="129"/>
      <c r="G1124" s="195"/>
      <c r="H1124" s="195"/>
      <c r="I1124" s="195"/>
      <c r="J1124" s="195"/>
      <c r="K1124" s="195"/>
      <c r="L1124" s="195"/>
      <c r="M1124" s="195"/>
      <c r="N1124" s="195"/>
      <c r="O1124" s="195"/>
      <c r="P1124" s="195"/>
      <c r="Q1124" s="195"/>
      <c r="R1124" s="195"/>
      <c r="S1124" s="129"/>
      <c r="T1124" s="129"/>
      <c r="U1124" s="129"/>
      <c r="V1124" s="129"/>
      <c r="W1124" s="129"/>
      <c r="X1124" s="129"/>
      <c r="Y1124" s="129"/>
      <c r="Z1124" s="129"/>
      <c r="AA1124" s="129"/>
      <c r="AB1124" s="129"/>
      <c r="AC1124" s="129"/>
      <c r="AD1124" s="129"/>
    </row>
    <row r="1125" ht="15.75" customHeight="1">
      <c r="A1125" s="195"/>
      <c r="B1125" s="179"/>
      <c r="C1125" s="179"/>
      <c r="D1125" s="179"/>
      <c r="E1125" s="179"/>
      <c r="F1125" s="129"/>
      <c r="G1125" s="195"/>
      <c r="H1125" s="195"/>
      <c r="I1125" s="195"/>
      <c r="J1125" s="195"/>
      <c r="K1125" s="195"/>
      <c r="L1125" s="195"/>
      <c r="M1125" s="195"/>
      <c r="N1125" s="195"/>
      <c r="O1125" s="195"/>
      <c r="P1125" s="195"/>
      <c r="Q1125" s="195"/>
      <c r="R1125" s="195"/>
      <c r="S1125" s="129"/>
      <c r="T1125" s="129"/>
      <c r="U1125" s="129"/>
      <c r="V1125" s="129"/>
      <c r="W1125" s="129"/>
      <c r="X1125" s="129"/>
      <c r="Y1125" s="129"/>
      <c r="Z1125" s="129"/>
      <c r="AA1125" s="129"/>
      <c r="AB1125" s="129"/>
      <c r="AC1125" s="129"/>
      <c r="AD1125" s="129"/>
    </row>
  </sheetData>
  <mergeCells count="52">
    <mergeCell ref="C124:C125"/>
    <mergeCell ref="C126:C128"/>
    <mergeCell ref="C129:C131"/>
    <mergeCell ref="C102:C104"/>
    <mergeCell ref="C105:C107"/>
    <mergeCell ref="C108:C111"/>
    <mergeCell ref="C112:C113"/>
    <mergeCell ref="C114:C116"/>
    <mergeCell ref="C117:C119"/>
    <mergeCell ref="C120:C122"/>
    <mergeCell ref="M1:N1"/>
    <mergeCell ref="O1:O2"/>
    <mergeCell ref="P1:Q1"/>
    <mergeCell ref="A1:A2"/>
    <mergeCell ref="B1:B2"/>
    <mergeCell ref="C1:C2"/>
    <mergeCell ref="D1:F1"/>
    <mergeCell ref="G1:G2"/>
    <mergeCell ref="H1:I1"/>
    <mergeCell ref="J1:L1"/>
    <mergeCell ref="C69:C71"/>
    <mergeCell ref="G69:G70"/>
    <mergeCell ref="H69:H70"/>
    <mergeCell ref="I69:I70"/>
    <mergeCell ref="J69:J70"/>
    <mergeCell ref="K69:K70"/>
    <mergeCell ref="L69:L70"/>
    <mergeCell ref="M69:M70"/>
    <mergeCell ref="C51:C53"/>
    <mergeCell ref="C54:C55"/>
    <mergeCell ref="C56:C58"/>
    <mergeCell ref="C59:C60"/>
    <mergeCell ref="C63:C64"/>
    <mergeCell ref="C65:C66"/>
    <mergeCell ref="C67:C68"/>
    <mergeCell ref="K99:K101"/>
    <mergeCell ref="L99:L101"/>
    <mergeCell ref="M99:M101"/>
    <mergeCell ref="C92:C94"/>
    <mergeCell ref="C96:C98"/>
    <mergeCell ref="C99:C101"/>
    <mergeCell ref="G99:G101"/>
    <mergeCell ref="H99:H101"/>
    <mergeCell ref="I99:I101"/>
    <mergeCell ref="J99:J101"/>
    <mergeCell ref="C73:C76"/>
    <mergeCell ref="C77:C78"/>
    <mergeCell ref="C79:C80"/>
    <mergeCell ref="C81:C82"/>
    <mergeCell ref="C83:C85"/>
    <mergeCell ref="C86:C88"/>
    <mergeCell ref="C89:C91"/>
  </mergeCells>
  <conditionalFormatting sqref="A1:E2 G1:P2 A4:E5 G4:P5 A7:E16 G7:P16 A18:E47 G18:P47 A49:E131 G49:P131 A133:A137 B133:B138 C133:E137 G133:P137 A140:E163 G140:P163 A165:E210 G165:P210 A212:E217 G212:P217 A219:E234 G219:P234 A236:E293 G236:P293 A295:E319 G295:P319 A321:E330 G321:P330 A332:E332 G332:P332 A334:E396 G334:P396 A398:E402 G398:P402 A404:E440 G404:P440 A442:E482 G442:P482 A484:E487 G484:P487 A489:E514 G489:P514 A516:E518 G516:P518 A520:E547 G520:P547 A549:E550 G549:P550 A552:E577 G552:P577 A579:E590 G579:P590 A592:E605 G592:P605 A607:E626 G607:P626 A628:E664 G628:P664 A666:E701 G666:P701 A703:E740 G703:P740 A742:E764 G742:P764 A766:E827 G766:P827 A829:E851 G829:P851 A853:E932 G853:P932 A934:E938 G934:P938 Q935:Q938 A940:E966 G940:P966 A968:E1125 G968:P1125">
    <cfRule type="containsBlanks" dxfId="0" priority="1">
      <formula>LEN(TRIM(A1))=0</formula>
    </cfRule>
  </conditionalFormatting>
  <dataValidations>
    <dataValidation type="list" allowBlank="1" showErrorMessage="1" sqref="P3:P319 P321:P330 P332 P334:P396 P398:P402 P404:P440 P442:P482 P484:P487 P489:P514 P516:P518 P520:P547 P549:P550 P552:P577 P579:P590 P592:P605 P607:P626 P628:P630 P632:P664 P666:P668 P703:P740 P742:P764 P766:P827 P829:P851 P934:P938 P940:P966 P968:P994">
      <formula1>"YES,NO"</formula1>
    </dataValidation>
  </dataValidations>
  <printOptions/>
  <pageMargins bottom="0.75" footer="0.0" header="0.0" left="0.7" right="0.7" top="0.75"/>
  <pageSetup paperSize="9" scale="6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4.57"/>
    <col customWidth="1" min="2" max="2" width="56.43"/>
    <col customWidth="1" min="3" max="3" width="57.0"/>
    <col customWidth="1" min="4" max="4" width="19.71"/>
    <col customWidth="1" min="5" max="5" width="81.29"/>
    <col customWidth="1" min="6" max="6" width="13.29"/>
    <col customWidth="1" min="7" max="7" width="19.57"/>
    <col customWidth="1" min="8" max="8" width="13.71"/>
    <col customWidth="1" min="9" max="9" width="20.71"/>
    <col customWidth="1" min="10" max="11" width="16.29"/>
    <col customWidth="1" min="12" max="12" width="12.29"/>
    <col customWidth="1" min="13" max="13" width="29.71"/>
    <col customWidth="1" min="14" max="14" width="18.29"/>
    <col customWidth="1" min="15" max="15" width="29.0"/>
    <col customWidth="1" min="16" max="16" width="15.43"/>
    <col customWidth="1" min="17" max="17" width="24.43"/>
    <col customWidth="1" min="18" max="18" width="26.43"/>
  </cols>
  <sheetData>
    <row r="1" ht="14.25" customHeight="1">
      <c r="A1" s="199" t="s">
        <v>2696</v>
      </c>
      <c r="B1" s="200" t="s">
        <v>2697</v>
      </c>
      <c r="C1" s="200" t="s">
        <v>2698</v>
      </c>
      <c r="D1" s="201" t="s">
        <v>3</v>
      </c>
      <c r="E1" s="5"/>
      <c r="F1" s="6"/>
      <c r="G1" s="202" t="s">
        <v>2699</v>
      </c>
      <c r="H1" s="203" t="s">
        <v>5</v>
      </c>
      <c r="I1" s="9"/>
      <c r="J1" s="203" t="s">
        <v>6</v>
      </c>
      <c r="K1" s="10"/>
      <c r="L1" s="9"/>
      <c r="M1" s="203" t="s">
        <v>7</v>
      </c>
      <c r="N1" s="9"/>
      <c r="O1" s="204" t="s">
        <v>2700</v>
      </c>
      <c r="P1" s="203" t="s">
        <v>9</v>
      </c>
      <c r="Q1" s="9"/>
      <c r="R1" s="205"/>
    </row>
    <row r="2" ht="86.25" customHeight="1">
      <c r="A2" s="12"/>
      <c r="B2" s="13"/>
      <c r="C2" s="13"/>
      <c r="D2" s="206" t="s">
        <v>10</v>
      </c>
      <c r="E2" s="206" t="s">
        <v>11</v>
      </c>
      <c r="F2" s="207" t="s">
        <v>12</v>
      </c>
      <c r="G2" s="16"/>
      <c r="H2" s="208" t="s">
        <v>2701</v>
      </c>
      <c r="I2" s="208" t="s">
        <v>2702</v>
      </c>
      <c r="J2" s="208" t="s">
        <v>2703</v>
      </c>
      <c r="K2" s="208" t="s">
        <v>2704</v>
      </c>
      <c r="L2" s="208" t="s">
        <v>2705</v>
      </c>
      <c r="M2" s="208" t="s">
        <v>2706</v>
      </c>
      <c r="N2" s="208" t="s">
        <v>2707</v>
      </c>
      <c r="O2" s="13"/>
      <c r="P2" s="208" t="s">
        <v>2708</v>
      </c>
      <c r="Q2" s="208" t="s">
        <v>2709</v>
      </c>
    </row>
    <row r="3">
      <c r="A3" s="181"/>
      <c r="B3" s="182" t="s">
        <v>2710</v>
      </c>
      <c r="C3" s="182"/>
      <c r="D3" s="22"/>
      <c r="E3" s="22"/>
      <c r="F3" s="209"/>
      <c r="G3" s="210"/>
      <c r="H3" s="22"/>
      <c r="I3" s="22"/>
      <c r="J3" s="22"/>
      <c r="K3" s="22"/>
      <c r="L3" s="22"/>
      <c r="M3" s="22"/>
      <c r="N3" s="22"/>
      <c r="O3" s="22"/>
      <c r="P3" s="22"/>
      <c r="Q3" s="209"/>
      <c r="R3" s="22"/>
    </row>
    <row r="4" ht="15.75" customHeight="1">
      <c r="A4" s="211">
        <v>1.0</v>
      </c>
      <c r="B4" s="145" t="s">
        <v>2711</v>
      </c>
      <c r="C4" s="145" t="s">
        <v>2712</v>
      </c>
      <c r="D4" s="145" t="s">
        <v>25</v>
      </c>
      <c r="E4" s="212" t="s">
        <v>189</v>
      </c>
      <c r="F4" s="213"/>
      <c r="G4" s="214" t="s">
        <v>2713</v>
      </c>
      <c r="H4" s="215">
        <v>40.0</v>
      </c>
      <c r="I4" s="215">
        <v>300.0</v>
      </c>
      <c r="J4" s="215">
        <v>2.0</v>
      </c>
      <c r="K4" s="215">
        <v>2.0</v>
      </c>
      <c r="L4" s="215">
        <v>0.0</v>
      </c>
      <c r="M4" s="215" t="s">
        <v>2714</v>
      </c>
      <c r="N4" s="215" t="s">
        <v>1046</v>
      </c>
      <c r="O4" s="215">
        <v>4000.0</v>
      </c>
      <c r="P4" s="215" t="s">
        <v>29</v>
      </c>
      <c r="Q4" s="216"/>
      <c r="R4" s="215"/>
    </row>
    <row r="5">
      <c r="A5" s="181"/>
      <c r="B5" s="182" t="s">
        <v>2715</v>
      </c>
      <c r="C5" s="182"/>
      <c r="D5" s="182"/>
      <c r="E5" s="182"/>
      <c r="F5" s="184"/>
      <c r="G5" s="217"/>
      <c r="H5" s="182"/>
      <c r="I5" s="182"/>
      <c r="J5" s="91"/>
      <c r="K5" s="91"/>
      <c r="L5" s="91"/>
      <c r="M5" s="91"/>
      <c r="N5" s="91"/>
      <c r="O5" s="91"/>
      <c r="P5" s="182"/>
      <c r="Q5" s="185"/>
      <c r="R5" s="218"/>
    </row>
    <row r="6" ht="15.75" customHeight="1">
      <c r="A6" s="211">
        <v>1.0</v>
      </c>
      <c r="B6" s="46" t="s">
        <v>2716</v>
      </c>
      <c r="C6" s="46" t="s">
        <v>2717</v>
      </c>
      <c r="D6" s="46" t="s">
        <v>2718</v>
      </c>
      <c r="E6" s="46" t="s">
        <v>2719</v>
      </c>
      <c r="F6" s="213"/>
      <c r="G6" s="219">
        <v>375.0</v>
      </c>
      <c r="H6" s="46">
        <v>45.0</v>
      </c>
      <c r="I6" s="46">
        <v>180.0</v>
      </c>
      <c r="J6" s="46">
        <v>1.0</v>
      </c>
      <c r="K6" s="46">
        <v>1.0</v>
      </c>
      <c r="L6" s="46">
        <v>0.0</v>
      </c>
      <c r="M6" s="46" t="s">
        <v>396</v>
      </c>
      <c r="N6" s="46" t="s">
        <v>449</v>
      </c>
      <c r="O6" s="46">
        <v>540.0</v>
      </c>
      <c r="P6" s="46" t="s">
        <v>66</v>
      </c>
      <c r="Q6" s="81">
        <v>1.0</v>
      </c>
      <c r="R6" s="46"/>
    </row>
    <row r="7">
      <c r="A7" s="181"/>
      <c r="B7" s="182" t="s">
        <v>2720</v>
      </c>
      <c r="C7" s="182"/>
      <c r="D7" s="182"/>
      <c r="E7" s="182"/>
      <c r="F7" s="184"/>
      <c r="G7" s="217"/>
      <c r="H7" s="182"/>
      <c r="I7" s="182"/>
      <c r="J7" s="91"/>
      <c r="K7" s="91"/>
      <c r="L7" s="91"/>
      <c r="M7" s="91"/>
      <c r="N7" s="91"/>
      <c r="O7" s="91"/>
      <c r="P7" s="182"/>
      <c r="Q7" s="185"/>
      <c r="R7" s="218"/>
    </row>
    <row r="8" ht="15.75" customHeight="1">
      <c r="A8" s="211">
        <v>1.0</v>
      </c>
      <c r="B8" s="46" t="s">
        <v>2721</v>
      </c>
      <c r="C8" s="52" t="s">
        <v>2722</v>
      </c>
      <c r="D8" s="46" t="s">
        <v>25</v>
      </c>
      <c r="E8" s="46" t="s">
        <v>189</v>
      </c>
      <c r="F8" s="213"/>
      <c r="G8" s="219" t="s">
        <v>2723</v>
      </c>
      <c r="H8" s="46">
        <v>60.0</v>
      </c>
      <c r="I8" s="46">
        <v>300.0</v>
      </c>
      <c r="J8" s="46">
        <v>1.0</v>
      </c>
      <c r="K8" s="46">
        <v>1.0</v>
      </c>
      <c r="L8" s="46">
        <v>1.0</v>
      </c>
      <c r="M8" s="46" t="s">
        <v>82</v>
      </c>
      <c r="N8" s="220" t="s">
        <v>59</v>
      </c>
      <c r="O8" s="46">
        <v>500.0</v>
      </c>
      <c r="P8" s="46" t="s">
        <v>29</v>
      </c>
      <c r="Q8" s="81"/>
      <c r="R8" s="46"/>
    </row>
    <row r="9">
      <c r="A9" s="181"/>
      <c r="B9" s="182" t="s">
        <v>2724</v>
      </c>
      <c r="C9" s="182"/>
      <c r="D9" s="22"/>
      <c r="E9" s="22"/>
      <c r="F9" s="209"/>
      <c r="G9" s="210"/>
      <c r="H9" s="22"/>
      <c r="I9" s="22"/>
      <c r="J9" s="22"/>
      <c r="K9" s="22"/>
      <c r="L9" s="22"/>
      <c r="M9" s="22"/>
      <c r="N9" s="22"/>
      <c r="O9" s="22"/>
      <c r="P9" s="22"/>
      <c r="Q9" s="209"/>
      <c r="R9" s="22"/>
    </row>
    <row r="10" ht="15.75" customHeight="1">
      <c r="A10" s="211">
        <v>1.0</v>
      </c>
      <c r="B10" s="46" t="s">
        <v>2725</v>
      </c>
      <c r="C10" s="46" t="s">
        <v>2726</v>
      </c>
      <c r="D10" s="212" t="s">
        <v>2727</v>
      </c>
      <c r="E10" s="212" t="s">
        <v>2728</v>
      </c>
      <c r="F10" s="213" t="s">
        <v>138</v>
      </c>
      <c r="G10" s="221" t="s">
        <v>2729</v>
      </c>
      <c r="H10" s="81">
        <v>200.0</v>
      </c>
      <c r="I10" s="81">
        <v>800.0</v>
      </c>
      <c r="J10" s="81">
        <v>5.0</v>
      </c>
      <c r="K10" s="81">
        <v>10.0</v>
      </c>
      <c r="L10" s="81">
        <v>0.0</v>
      </c>
      <c r="M10" s="81" t="s">
        <v>2714</v>
      </c>
      <c r="N10" s="81" t="s">
        <v>1046</v>
      </c>
      <c r="O10" s="81">
        <v>1000.0</v>
      </c>
      <c r="P10" s="81" t="s">
        <v>29</v>
      </c>
      <c r="Q10" s="81">
        <v>0.0</v>
      </c>
      <c r="R10" s="46"/>
    </row>
    <row r="11" ht="15.75" customHeight="1">
      <c r="A11" s="211">
        <v>2.0</v>
      </c>
      <c r="B11" s="46" t="s">
        <v>2730</v>
      </c>
      <c r="C11" s="46" t="s">
        <v>2731</v>
      </c>
      <c r="D11" s="212" t="s">
        <v>2727</v>
      </c>
      <c r="E11" s="212" t="s">
        <v>2728</v>
      </c>
      <c r="F11" s="213" t="s">
        <v>138</v>
      </c>
      <c r="G11" s="221" t="s">
        <v>2732</v>
      </c>
      <c r="H11" s="81">
        <v>125.0</v>
      </c>
      <c r="I11" s="81">
        <v>250.0</v>
      </c>
      <c r="J11" s="81">
        <v>6.0</v>
      </c>
      <c r="K11" s="81">
        <v>6.0</v>
      </c>
      <c r="L11" s="81">
        <v>0.0</v>
      </c>
      <c r="M11" s="81" t="s">
        <v>2714</v>
      </c>
      <c r="N11" s="81" t="s">
        <v>1046</v>
      </c>
      <c r="O11" s="81">
        <v>300.0</v>
      </c>
      <c r="P11" s="81" t="s">
        <v>66</v>
      </c>
      <c r="Q11" s="81">
        <v>7.0</v>
      </c>
      <c r="R11" s="46"/>
    </row>
    <row r="12" ht="15.75" customHeight="1">
      <c r="A12" s="211">
        <v>3.0</v>
      </c>
      <c r="B12" s="46" t="s">
        <v>2733</v>
      </c>
      <c r="C12" s="46" t="s">
        <v>2734</v>
      </c>
      <c r="D12" s="212" t="s">
        <v>2727</v>
      </c>
      <c r="E12" s="212" t="s">
        <v>2728</v>
      </c>
      <c r="F12" s="213" t="s">
        <v>138</v>
      </c>
      <c r="G12" s="221" t="s">
        <v>2735</v>
      </c>
      <c r="H12" s="81">
        <v>5.0</v>
      </c>
      <c r="I12" s="81">
        <v>24.0</v>
      </c>
      <c r="J12" s="81">
        <v>2.0</v>
      </c>
      <c r="K12" s="81">
        <v>4.0</v>
      </c>
      <c r="L12" s="81">
        <v>0.0</v>
      </c>
      <c r="M12" s="81" t="s">
        <v>2714</v>
      </c>
      <c r="N12" s="81" t="s">
        <v>1046</v>
      </c>
      <c r="O12" s="80">
        <v>100.0</v>
      </c>
      <c r="P12" s="81" t="s">
        <v>66</v>
      </c>
      <c r="Q12" s="81">
        <v>24.0</v>
      </c>
      <c r="R12" s="46"/>
    </row>
    <row r="13" ht="15.75" customHeight="1">
      <c r="A13" s="211">
        <v>4.0</v>
      </c>
      <c r="B13" s="46" t="s">
        <v>2736</v>
      </c>
      <c r="C13" s="46" t="s">
        <v>2737</v>
      </c>
      <c r="D13" s="212" t="s">
        <v>2727</v>
      </c>
      <c r="E13" s="212" t="s">
        <v>2728</v>
      </c>
      <c r="F13" s="213" t="s">
        <v>138</v>
      </c>
      <c r="G13" s="221" t="s">
        <v>2738</v>
      </c>
      <c r="H13" s="81">
        <v>90.0</v>
      </c>
      <c r="I13" s="81">
        <v>450.0</v>
      </c>
      <c r="J13" s="81">
        <v>2.0</v>
      </c>
      <c r="K13" s="81">
        <v>5.0</v>
      </c>
      <c r="L13" s="81">
        <v>0.0</v>
      </c>
      <c r="M13" s="81" t="s">
        <v>2714</v>
      </c>
      <c r="N13" s="81" t="s">
        <v>1046</v>
      </c>
      <c r="O13" s="81">
        <v>400.0</v>
      </c>
      <c r="P13" s="81" t="s">
        <v>29</v>
      </c>
      <c r="Q13" s="81">
        <v>0.0</v>
      </c>
      <c r="R13" s="46"/>
    </row>
    <row r="14" ht="15.75" customHeight="1">
      <c r="A14" s="211">
        <v>5.0</v>
      </c>
      <c r="B14" s="46" t="s">
        <v>2739</v>
      </c>
      <c r="C14" s="46" t="s">
        <v>2737</v>
      </c>
      <c r="D14" s="212" t="s">
        <v>2727</v>
      </c>
      <c r="E14" s="212" t="s">
        <v>2728</v>
      </c>
      <c r="F14" s="213" t="s">
        <v>138</v>
      </c>
      <c r="G14" s="221" t="s">
        <v>2738</v>
      </c>
      <c r="H14" s="81">
        <v>50.0</v>
      </c>
      <c r="I14" s="81">
        <v>300.0</v>
      </c>
      <c r="J14" s="81">
        <v>4.0</v>
      </c>
      <c r="K14" s="81">
        <v>4.0</v>
      </c>
      <c r="L14" s="81">
        <v>0.0</v>
      </c>
      <c r="M14" s="81" t="s">
        <v>2714</v>
      </c>
      <c r="N14" s="81" t="s">
        <v>1046</v>
      </c>
      <c r="O14" s="81">
        <v>500.0</v>
      </c>
      <c r="P14" s="81" t="s">
        <v>29</v>
      </c>
      <c r="Q14" s="81">
        <v>0.0</v>
      </c>
      <c r="R14" s="46"/>
    </row>
    <row r="15" ht="15.75" customHeight="1">
      <c r="A15" s="211">
        <v>6.0</v>
      </c>
      <c r="B15" s="46" t="s">
        <v>63</v>
      </c>
      <c r="C15" s="46" t="s">
        <v>2740</v>
      </c>
      <c r="D15" s="212" t="s">
        <v>25</v>
      </c>
      <c r="E15" s="212" t="s">
        <v>2741</v>
      </c>
      <c r="F15" s="213" t="s">
        <v>138</v>
      </c>
      <c r="G15" s="221" t="s">
        <v>2742</v>
      </c>
      <c r="H15" s="81">
        <v>200.0</v>
      </c>
      <c r="I15" s="81">
        <v>1000.0</v>
      </c>
      <c r="J15" s="81">
        <v>16.0</v>
      </c>
      <c r="K15" s="81">
        <v>22.0</v>
      </c>
      <c r="L15" s="81">
        <v>5.0</v>
      </c>
      <c r="M15" s="81" t="s">
        <v>2714</v>
      </c>
      <c r="N15" s="81" t="s">
        <v>1046</v>
      </c>
      <c r="O15" s="81">
        <v>500.0</v>
      </c>
      <c r="P15" s="81" t="s">
        <v>66</v>
      </c>
      <c r="Q15" s="81">
        <v>41.0</v>
      </c>
      <c r="R15" s="46"/>
    </row>
    <row r="16" ht="15.75" customHeight="1">
      <c r="A16" s="211">
        <v>7.0</v>
      </c>
      <c r="B16" s="46" t="s">
        <v>2743</v>
      </c>
      <c r="C16" s="46" t="s">
        <v>2737</v>
      </c>
      <c r="D16" s="212" t="s">
        <v>2727</v>
      </c>
      <c r="E16" s="212" t="s">
        <v>2728</v>
      </c>
      <c r="F16" s="213" t="s">
        <v>138</v>
      </c>
      <c r="G16" s="221" t="s">
        <v>2744</v>
      </c>
      <c r="H16" s="81">
        <v>250.0</v>
      </c>
      <c r="I16" s="81">
        <v>1250.0</v>
      </c>
      <c r="J16" s="81">
        <v>3.0</v>
      </c>
      <c r="K16" s="81">
        <v>5.0</v>
      </c>
      <c r="L16" s="80">
        <v>0.0</v>
      </c>
      <c r="M16" s="81" t="s">
        <v>2714</v>
      </c>
      <c r="N16" s="81" t="s">
        <v>1046</v>
      </c>
      <c r="O16" s="81">
        <v>200.0</v>
      </c>
      <c r="P16" s="81" t="s">
        <v>29</v>
      </c>
      <c r="Q16" s="81">
        <v>0.0</v>
      </c>
      <c r="R16" s="46"/>
    </row>
    <row r="17" ht="15.75" customHeight="1">
      <c r="A17" s="211">
        <v>8.0</v>
      </c>
      <c r="B17" s="46" t="s">
        <v>2745</v>
      </c>
      <c r="C17" s="46" t="s">
        <v>2746</v>
      </c>
      <c r="D17" s="212" t="s">
        <v>25</v>
      </c>
      <c r="E17" s="212" t="s">
        <v>2747</v>
      </c>
      <c r="F17" s="213" t="s">
        <v>138</v>
      </c>
      <c r="G17" s="222" t="s">
        <v>2748</v>
      </c>
      <c r="H17" s="48">
        <v>24.0</v>
      </c>
      <c r="I17" s="81">
        <v>120.0</v>
      </c>
      <c r="J17" s="81">
        <v>0.0</v>
      </c>
      <c r="K17" s="81">
        <v>0.0</v>
      </c>
      <c r="L17" s="81">
        <v>2.0</v>
      </c>
      <c r="M17" s="81" t="s">
        <v>2714</v>
      </c>
      <c r="N17" s="81" t="s">
        <v>1046</v>
      </c>
      <c r="O17" s="81">
        <v>500.0</v>
      </c>
      <c r="P17" s="81" t="s">
        <v>29</v>
      </c>
      <c r="Q17" s="81">
        <v>0.0</v>
      </c>
      <c r="R17" s="46"/>
    </row>
    <row r="18" ht="15.75" customHeight="1">
      <c r="A18" s="211">
        <v>9.0</v>
      </c>
      <c r="B18" s="46" t="s">
        <v>2745</v>
      </c>
      <c r="C18" s="46" t="s">
        <v>2746</v>
      </c>
      <c r="D18" s="212" t="s">
        <v>25</v>
      </c>
      <c r="E18" s="212" t="s">
        <v>2747</v>
      </c>
      <c r="F18" s="213" t="s">
        <v>138</v>
      </c>
      <c r="G18" s="222" t="s">
        <v>2749</v>
      </c>
      <c r="H18" s="48">
        <v>10.0</v>
      </c>
      <c r="I18" s="81">
        <v>50.0</v>
      </c>
      <c r="J18" s="81">
        <v>0.0</v>
      </c>
      <c r="K18" s="81">
        <v>0.0</v>
      </c>
      <c r="L18" s="81">
        <v>1.0</v>
      </c>
      <c r="M18" s="81" t="s">
        <v>2714</v>
      </c>
      <c r="N18" s="81" t="s">
        <v>1046</v>
      </c>
      <c r="O18" s="81">
        <v>300.0</v>
      </c>
      <c r="P18" s="81" t="s">
        <v>29</v>
      </c>
      <c r="Q18" s="81">
        <v>0.0</v>
      </c>
      <c r="R18" s="46"/>
    </row>
    <row r="19" ht="15.75" customHeight="1">
      <c r="A19" s="211">
        <v>10.0</v>
      </c>
      <c r="B19" s="46" t="s">
        <v>2750</v>
      </c>
      <c r="C19" s="46" t="s">
        <v>2746</v>
      </c>
      <c r="D19" s="212" t="s">
        <v>25</v>
      </c>
      <c r="E19" s="212" t="s">
        <v>2747</v>
      </c>
      <c r="F19" s="213" t="s">
        <v>138</v>
      </c>
      <c r="G19" s="222" t="s">
        <v>2751</v>
      </c>
      <c r="H19" s="48">
        <v>80.0</v>
      </c>
      <c r="I19" s="81">
        <v>400.0</v>
      </c>
      <c r="J19" s="81">
        <v>0.0</v>
      </c>
      <c r="K19" s="81">
        <v>0.0</v>
      </c>
      <c r="L19" s="81">
        <v>15.0</v>
      </c>
      <c r="M19" s="81" t="s">
        <v>2714</v>
      </c>
      <c r="N19" s="81" t="s">
        <v>1046</v>
      </c>
      <c r="O19" s="81">
        <v>300.0</v>
      </c>
      <c r="P19" s="81" t="s">
        <v>29</v>
      </c>
      <c r="Q19" s="81">
        <v>0.0</v>
      </c>
      <c r="R19" s="46"/>
    </row>
    <row r="20" ht="15.75" customHeight="1">
      <c r="A20" s="211">
        <v>11.0</v>
      </c>
      <c r="B20" s="46" t="s">
        <v>2752</v>
      </c>
      <c r="C20" s="46" t="s">
        <v>2753</v>
      </c>
      <c r="D20" s="212" t="s">
        <v>25</v>
      </c>
      <c r="E20" s="212" t="s">
        <v>2754</v>
      </c>
      <c r="F20" s="213" t="s">
        <v>138</v>
      </c>
      <c r="G20" s="222" t="s">
        <v>2748</v>
      </c>
      <c r="H20" s="48">
        <v>20.0</v>
      </c>
      <c r="I20" s="81">
        <v>100.0</v>
      </c>
      <c r="J20" s="81">
        <v>0.0</v>
      </c>
      <c r="K20" s="81">
        <v>0.0</v>
      </c>
      <c r="L20" s="81">
        <v>6.0</v>
      </c>
      <c r="M20" s="81" t="s">
        <v>2714</v>
      </c>
      <c r="N20" s="81" t="s">
        <v>1046</v>
      </c>
      <c r="O20" s="81">
        <v>400.0</v>
      </c>
      <c r="P20" s="81" t="s">
        <v>29</v>
      </c>
      <c r="Q20" s="81">
        <v>0.0</v>
      </c>
      <c r="R20" s="46"/>
    </row>
    <row r="21" ht="15.75" customHeight="1">
      <c r="A21" s="211">
        <v>12.0</v>
      </c>
      <c r="B21" s="46" t="s">
        <v>2755</v>
      </c>
      <c r="C21" s="46" t="s">
        <v>2753</v>
      </c>
      <c r="D21" s="212" t="s">
        <v>25</v>
      </c>
      <c r="E21" s="212" t="s">
        <v>2754</v>
      </c>
      <c r="F21" s="213" t="s">
        <v>138</v>
      </c>
      <c r="G21" s="222" t="s">
        <v>2749</v>
      </c>
      <c r="H21" s="48">
        <v>20.0</v>
      </c>
      <c r="I21" s="81">
        <v>100.0</v>
      </c>
      <c r="J21" s="81">
        <v>0.0</v>
      </c>
      <c r="K21" s="81">
        <v>0.0</v>
      </c>
      <c r="L21" s="81">
        <v>6.0</v>
      </c>
      <c r="M21" s="81" t="s">
        <v>2714</v>
      </c>
      <c r="N21" s="81" t="s">
        <v>1046</v>
      </c>
      <c r="O21" s="81">
        <v>300.0</v>
      </c>
      <c r="P21" s="81" t="s">
        <v>29</v>
      </c>
      <c r="Q21" s="81">
        <v>0.0</v>
      </c>
      <c r="R21" s="46"/>
    </row>
    <row r="22" ht="15.75" customHeight="1">
      <c r="A22" s="211">
        <v>13.0</v>
      </c>
      <c r="B22" s="46" t="s">
        <v>878</v>
      </c>
      <c r="C22" s="46" t="s">
        <v>2753</v>
      </c>
      <c r="D22" s="212" t="s">
        <v>25</v>
      </c>
      <c r="E22" s="212" t="s">
        <v>2754</v>
      </c>
      <c r="F22" s="213" t="s">
        <v>138</v>
      </c>
      <c r="G22" s="222" t="s">
        <v>2756</v>
      </c>
      <c r="H22" s="48">
        <v>20.0</v>
      </c>
      <c r="I22" s="81">
        <v>100.0</v>
      </c>
      <c r="J22" s="81">
        <v>0.0</v>
      </c>
      <c r="K22" s="81">
        <v>0.0</v>
      </c>
      <c r="L22" s="81">
        <v>2.0</v>
      </c>
      <c r="M22" s="81" t="s">
        <v>2714</v>
      </c>
      <c r="N22" s="81" t="s">
        <v>1046</v>
      </c>
      <c r="O22" s="81">
        <v>100.0</v>
      </c>
      <c r="P22" s="81" t="s">
        <v>29</v>
      </c>
      <c r="Q22" s="81">
        <v>0.0</v>
      </c>
      <c r="R22" s="46"/>
    </row>
    <row r="23" ht="15.75" customHeight="1">
      <c r="A23" s="211">
        <v>14.0</v>
      </c>
      <c r="B23" s="46" t="s">
        <v>2757</v>
      </c>
      <c r="C23" s="46" t="s">
        <v>2753</v>
      </c>
      <c r="D23" s="212" t="s">
        <v>25</v>
      </c>
      <c r="E23" s="212" t="s">
        <v>2754</v>
      </c>
      <c r="F23" s="213" t="s">
        <v>138</v>
      </c>
      <c r="G23" s="222" t="s">
        <v>2758</v>
      </c>
      <c r="H23" s="48">
        <v>4.0</v>
      </c>
      <c r="I23" s="81">
        <v>20.0</v>
      </c>
      <c r="J23" s="81">
        <v>0.0</v>
      </c>
      <c r="K23" s="81">
        <v>0.0</v>
      </c>
      <c r="L23" s="81">
        <v>10.0</v>
      </c>
      <c r="M23" s="81" t="s">
        <v>2714</v>
      </c>
      <c r="N23" s="81" t="s">
        <v>1046</v>
      </c>
      <c r="O23" s="81">
        <v>300.0</v>
      </c>
      <c r="P23" s="81" t="s">
        <v>29</v>
      </c>
      <c r="Q23" s="81">
        <v>0.0</v>
      </c>
      <c r="R23" s="46"/>
    </row>
    <row r="24" ht="15.75" customHeight="1">
      <c r="A24" s="211">
        <v>15.0</v>
      </c>
      <c r="B24" s="46" t="s">
        <v>2759</v>
      </c>
      <c r="C24" s="46" t="s">
        <v>2753</v>
      </c>
      <c r="D24" s="212" t="s">
        <v>25</v>
      </c>
      <c r="E24" s="212" t="s">
        <v>2754</v>
      </c>
      <c r="F24" s="213" t="s">
        <v>138</v>
      </c>
      <c r="G24" s="222" t="s">
        <v>2760</v>
      </c>
      <c r="H24" s="48">
        <v>40.0</v>
      </c>
      <c r="I24" s="81">
        <v>200.0</v>
      </c>
      <c r="J24" s="81">
        <v>0.0</v>
      </c>
      <c r="K24" s="81">
        <v>0.0</v>
      </c>
      <c r="L24" s="81">
        <v>20.0</v>
      </c>
      <c r="M24" s="81" t="s">
        <v>2714</v>
      </c>
      <c r="N24" s="81" t="s">
        <v>1046</v>
      </c>
      <c r="O24" s="81">
        <v>300.0</v>
      </c>
      <c r="P24" s="81" t="s">
        <v>29</v>
      </c>
      <c r="Q24" s="81">
        <v>0.0</v>
      </c>
      <c r="R24" s="46"/>
    </row>
    <row r="25" ht="15.75" customHeight="1">
      <c r="A25" s="211">
        <v>16.0</v>
      </c>
      <c r="B25" s="46" t="s">
        <v>2761</v>
      </c>
      <c r="C25" s="46" t="s">
        <v>2762</v>
      </c>
      <c r="D25" s="212" t="s">
        <v>25</v>
      </c>
      <c r="E25" s="212" t="s">
        <v>2763</v>
      </c>
      <c r="F25" s="213" t="s">
        <v>138</v>
      </c>
      <c r="G25" s="222" t="s">
        <v>2749</v>
      </c>
      <c r="H25" s="48">
        <v>11.0</v>
      </c>
      <c r="I25" s="81">
        <v>60.0</v>
      </c>
      <c r="J25" s="81">
        <v>0.0</v>
      </c>
      <c r="K25" s="81">
        <v>0.0</v>
      </c>
      <c r="L25" s="81">
        <v>18.0</v>
      </c>
      <c r="M25" s="81" t="s">
        <v>2714</v>
      </c>
      <c r="N25" s="81" t="s">
        <v>1046</v>
      </c>
      <c r="O25" s="81">
        <v>300.0</v>
      </c>
      <c r="P25" s="81" t="s">
        <v>29</v>
      </c>
      <c r="Q25" s="81">
        <v>0.0</v>
      </c>
      <c r="R25" s="46"/>
    </row>
    <row r="26" ht="15.75" customHeight="1">
      <c r="A26" s="211">
        <v>17.0</v>
      </c>
      <c r="B26" s="46" t="s">
        <v>1171</v>
      </c>
      <c r="C26" s="46" t="s">
        <v>2764</v>
      </c>
      <c r="D26" s="212" t="s">
        <v>25</v>
      </c>
      <c r="E26" s="212" t="s">
        <v>2763</v>
      </c>
      <c r="F26" s="213" t="s">
        <v>138</v>
      </c>
      <c r="G26" s="222" t="s">
        <v>2765</v>
      </c>
      <c r="H26" s="48">
        <v>6.0</v>
      </c>
      <c r="I26" s="81">
        <v>30.0</v>
      </c>
      <c r="J26" s="81">
        <v>0.0</v>
      </c>
      <c r="K26" s="81">
        <v>0.0</v>
      </c>
      <c r="L26" s="81">
        <v>2.0</v>
      </c>
      <c r="M26" s="81" t="s">
        <v>2714</v>
      </c>
      <c r="N26" s="81" t="s">
        <v>1046</v>
      </c>
      <c r="O26" s="81">
        <v>200.0</v>
      </c>
      <c r="P26" s="81" t="s">
        <v>29</v>
      </c>
      <c r="Q26" s="81">
        <v>0.0</v>
      </c>
      <c r="R26" s="46"/>
    </row>
    <row r="27" ht="15.75" customHeight="1">
      <c r="A27" s="211">
        <v>18.0</v>
      </c>
      <c r="B27" s="46" t="s">
        <v>2766</v>
      </c>
      <c r="C27" s="46" t="s">
        <v>2767</v>
      </c>
      <c r="D27" s="212" t="s">
        <v>25</v>
      </c>
      <c r="E27" s="212" t="s">
        <v>2763</v>
      </c>
      <c r="F27" s="213" t="s">
        <v>138</v>
      </c>
      <c r="G27" s="222" t="s">
        <v>2756</v>
      </c>
      <c r="H27" s="48">
        <v>4.0</v>
      </c>
      <c r="I27" s="81">
        <v>20.0</v>
      </c>
      <c r="J27" s="81">
        <v>0.0</v>
      </c>
      <c r="K27" s="81">
        <v>0.0</v>
      </c>
      <c r="L27" s="81">
        <v>1.0</v>
      </c>
      <c r="M27" s="81" t="s">
        <v>2714</v>
      </c>
      <c r="N27" s="81" t="s">
        <v>1046</v>
      </c>
      <c r="O27" s="81">
        <v>100.0</v>
      </c>
      <c r="P27" s="81" t="s">
        <v>29</v>
      </c>
      <c r="Q27" s="81">
        <v>0.0</v>
      </c>
      <c r="R27" s="46"/>
    </row>
    <row r="28" ht="15.75" customHeight="1">
      <c r="A28" s="211">
        <v>19.0</v>
      </c>
      <c r="B28" s="46" t="s">
        <v>2755</v>
      </c>
      <c r="C28" s="46" t="s">
        <v>2762</v>
      </c>
      <c r="D28" s="212" t="s">
        <v>25</v>
      </c>
      <c r="E28" s="212" t="s">
        <v>2763</v>
      </c>
      <c r="F28" s="213" t="s">
        <v>138</v>
      </c>
      <c r="G28" s="222" t="s">
        <v>2749</v>
      </c>
      <c r="H28" s="48">
        <v>11.0</v>
      </c>
      <c r="I28" s="81">
        <v>60.0</v>
      </c>
      <c r="J28" s="81">
        <v>0.0</v>
      </c>
      <c r="K28" s="81">
        <v>0.0</v>
      </c>
      <c r="L28" s="81">
        <v>1.0</v>
      </c>
      <c r="M28" s="81" t="s">
        <v>2714</v>
      </c>
      <c r="N28" s="81" t="s">
        <v>1046</v>
      </c>
      <c r="O28" s="81">
        <v>300.0</v>
      </c>
      <c r="P28" s="81" t="s">
        <v>29</v>
      </c>
      <c r="Q28" s="81">
        <v>0.0</v>
      </c>
      <c r="R28" s="46"/>
    </row>
    <row r="29" ht="15.75" customHeight="1">
      <c r="A29" s="211">
        <v>20.0</v>
      </c>
      <c r="B29" s="46" t="s">
        <v>2768</v>
      </c>
      <c r="C29" s="46" t="s">
        <v>2769</v>
      </c>
      <c r="D29" s="212" t="s">
        <v>25</v>
      </c>
      <c r="E29" s="212" t="s">
        <v>2770</v>
      </c>
      <c r="F29" s="213" t="s">
        <v>138</v>
      </c>
      <c r="G29" s="222" t="s">
        <v>2749</v>
      </c>
      <c r="H29" s="48">
        <v>26.0</v>
      </c>
      <c r="I29" s="81">
        <v>130.0</v>
      </c>
      <c r="J29" s="81">
        <v>0.0</v>
      </c>
      <c r="K29" s="81">
        <v>0.0</v>
      </c>
      <c r="L29" s="81">
        <v>7.0</v>
      </c>
      <c r="M29" s="81" t="s">
        <v>2714</v>
      </c>
      <c r="N29" s="81" t="s">
        <v>1046</v>
      </c>
      <c r="O29" s="81">
        <v>300.0</v>
      </c>
      <c r="P29" s="81" t="s">
        <v>29</v>
      </c>
      <c r="Q29" s="81">
        <v>0.0</v>
      </c>
      <c r="R29" s="46"/>
    </row>
    <row r="30" ht="15.75" customHeight="1">
      <c r="A30" s="211">
        <v>21.0</v>
      </c>
      <c r="B30" s="46" t="s">
        <v>2771</v>
      </c>
      <c r="C30" s="46" t="s">
        <v>2769</v>
      </c>
      <c r="D30" s="212" t="s">
        <v>25</v>
      </c>
      <c r="E30" s="212" t="s">
        <v>2770</v>
      </c>
      <c r="F30" s="213" t="s">
        <v>138</v>
      </c>
      <c r="G30" s="222" t="s">
        <v>2748</v>
      </c>
      <c r="H30" s="48">
        <v>10.0</v>
      </c>
      <c r="I30" s="81">
        <v>50.0</v>
      </c>
      <c r="J30" s="81">
        <v>0.0</v>
      </c>
      <c r="K30" s="81">
        <v>0.0</v>
      </c>
      <c r="L30" s="81">
        <v>1.0</v>
      </c>
      <c r="M30" s="81" t="s">
        <v>2714</v>
      </c>
      <c r="N30" s="81" t="s">
        <v>1046</v>
      </c>
      <c r="O30" s="81">
        <v>500.0</v>
      </c>
      <c r="P30" s="81" t="s">
        <v>29</v>
      </c>
      <c r="Q30" s="81">
        <v>0.0</v>
      </c>
      <c r="R30" s="46"/>
    </row>
    <row r="31" ht="15.75" customHeight="1">
      <c r="A31" s="211">
        <v>22.0</v>
      </c>
      <c r="B31" s="46" t="s">
        <v>2772</v>
      </c>
      <c r="C31" s="46" t="s">
        <v>2773</v>
      </c>
      <c r="D31" s="212" t="s">
        <v>25</v>
      </c>
      <c r="E31" s="212" t="s">
        <v>2770</v>
      </c>
      <c r="F31" s="213" t="s">
        <v>138</v>
      </c>
      <c r="G31" s="222" t="s">
        <v>2774</v>
      </c>
      <c r="H31" s="48">
        <v>6.0</v>
      </c>
      <c r="I31" s="81">
        <v>30.0</v>
      </c>
      <c r="J31" s="81">
        <v>0.0</v>
      </c>
      <c r="K31" s="81">
        <v>0.0</v>
      </c>
      <c r="L31" s="81">
        <v>1.0</v>
      </c>
      <c r="M31" s="81" t="s">
        <v>2714</v>
      </c>
      <c r="N31" s="81" t="s">
        <v>1046</v>
      </c>
      <c r="O31" s="81">
        <v>300.0</v>
      </c>
      <c r="P31" s="81" t="s">
        <v>29</v>
      </c>
      <c r="Q31" s="81">
        <v>0.0</v>
      </c>
      <c r="R31" s="46"/>
    </row>
    <row r="32" ht="15.75" customHeight="1">
      <c r="A32" s="211">
        <v>23.0</v>
      </c>
      <c r="B32" s="46" t="s">
        <v>878</v>
      </c>
      <c r="C32" s="46" t="s">
        <v>2773</v>
      </c>
      <c r="D32" s="212" t="s">
        <v>25</v>
      </c>
      <c r="E32" s="212" t="s">
        <v>2770</v>
      </c>
      <c r="F32" s="213" t="s">
        <v>138</v>
      </c>
      <c r="G32" s="222" t="s">
        <v>2775</v>
      </c>
      <c r="H32" s="48">
        <v>3.0</v>
      </c>
      <c r="I32" s="81">
        <v>15.0</v>
      </c>
      <c r="J32" s="81">
        <v>0.0</v>
      </c>
      <c r="K32" s="81">
        <v>0.0</v>
      </c>
      <c r="L32" s="81">
        <v>1.0</v>
      </c>
      <c r="M32" s="81" t="s">
        <v>2714</v>
      </c>
      <c r="N32" s="81" t="s">
        <v>1046</v>
      </c>
      <c r="O32" s="81">
        <v>100.0</v>
      </c>
      <c r="P32" s="81" t="s">
        <v>29</v>
      </c>
      <c r="Q32" s="81">
        <v>0.0</v>
      </c>
      <c r="R32" s="46"/>
    </row>
    <row r="33" ht="15.75" customHeight="1">
      <c r="A33" s="211">
        <v>24.0</v>
      </c>
      <c r="B33" s="46" t="s">
        <v>2776</v>
      </c>
      <c r="C33" s="46" t="s">
        <v>2773</v>
      </c>
      <c r="D33" s="212" t="s">
        <v>25</v>
      </c>
      <c r="E33" s="212" t="s">
        <v>2770</v>
      </c>
      <c r="F33" s="213" t="s">
        <v>138</v>
      </c>
      <c r="G33" s="222" t="s">
        <v>2775</v>
      </c>
      <c r="H33" s="48">
        <v>3.0</v>
      </c>
      <c r="I33" s="81">
        <v>15.0</v>
      </c>
      <c r="J33" s="81">
        <v>0.0</v>
      </c>
      <c r="K33" s="81">
        <v>0.0</v>
      </c>
      <c r="L33" s="81">
        <v>1.0</v>
      </c>
      <c r="M33" s="81" t="s">
        <v>2714</v>
      </c>
      <c r="N33" s="81" t="s">
        <v>1046</v>
      </c>
      <c r="O33" s="81">
        <v>100.0</v>
      </c>
      <c r="P33" s="81" t="s">
        <v>29</v>
      </c>
      <c r="Q33" s="81">
        <v>0.0</v>
      </c>
      <c r="R33" s="46"/>
    </row>
    <row r="34" ht="15.75" customHeight="1">
      <c r="A34" s="211">
        <v>25.0</v>
      </c>
      <c r="B34" s="46" t="s">
        <v>1139</v>
      </c>
      <c r="C34" s="46" t="s">
        <v>2773</v>
      </c>
      <c r="D34" s="212" t="s">
        <v>25</v>
      </c>
      <c r="E34" s="212" t="s">
        <v>2770</v>
      </c>
      <c r="F34" s="213" t="s">
        <v>138</v>
      </c>
      <c r="G34" s="222" t="s">
        <v>2748</v>
      </c>
      <c r="H34" s="48">
        <v>4.0</v>
      </c>
      <c r="I34" s="81">
        <v>20.0</v>
      </c>
      <c r="J34" s="81">
        <v>0.0</v>
      </c>
      <c r="K34" s="81">
        <v>0.0</v>
      </c>
      <c r="L34" s="81">
        <v>1.0</v>
      </c>
      <c r="M34" s="81" t="s">
        <v>2714</v>
      </c>
      <c r="N34" s="81" t="s">
        <v>1046</v>
      </c>
      <c r="O34" s="81">
        <v>200.0</v>
      </c>
      <c r="P34" s="81" t="s">
        <v>29</v>
      </c>
      <c r="Q34" s="81">
        <v>0.0</v>
      </c>
      <c r="R34" s="46"/>
    </row>
    <row r="35" ht="15.75" customHeight="1">
      <c r="A35" s="211">
        <v>26.0</v>
      </c>
      <c r="B35" s="46" t="s">
        <v>1171</v>
      </c>
      <c r="C35" s="46" t="s">
        <v>2777</v>
      </c>
      <c r="D35" s="212" t="s">
        <v>25</v>
      </c>
      <c r="E35" s="212" t="s">
        <v>2778</v>
      </c>
      <c r="F35" s="213" t="s">
        <v>138</v>
      </c>
      <c r="G35" s="222" t="s">
        <v>2756</v>
      </c>
      <c r="H35" s="48">
        <v>8.0</v>
      </c>
      <c r="I35" s="81">
        <v>40.0</v>
      </c>
      <c r="J35" s="81">
        <v>0.0</v>
      </c>
      <c r="K35" s="81">
        <v>0.0</v>
      </c>
      <c r="L35" s="81">
        <v>2.0</v>
      </c>
      <c r="M35" s="81" t="s">
        <v>2714</v>
      </c>
      <c r="N35" s="81" t="s">
        <v>1046</v>
      </c>
      <c r="O35" s="81">
        <v>200.0</v>
      </c>
      <c r="P35" s="81" t="s">
        <v>29</v>
      </c>
      <c r="Q35" s="81">
        <v>0.0</v>
      </c>
      <c r="R35" s="46"/>
    </row>
    <row r="36" ht="15.75" customHeight="1">
      <c r="A36" s="211">
        <v>27.0</v>
      </c>
      <c r="B36" s="46" t="s">
        <v>2779</v>
      </c>
      <c r="C36" s="46" t="s">
        <v>2777</v>
      </c>
      <c r="D36" s="212" t="s">
        <v>25</v>
      </c>
      <c r="E36" s="212" t="s">
        <v>2778</v>
      </c>
      <c r="F36" s="213" t="s">
        <v>138</v>
      </c>
      <c r="G36" s="222" t="s">
        <v>2758</v>
      </c>
      <c r="H36" s="48">
        <v>40.0</v>
      </c>
      <c r="I36" s="81">
        <v>200.0</v>
      </c>
      <c r="J36" s="81">
        <v>0.0</v>
      </c>
      <c r="K36" s="81">
        <v>0.0</v>
      </c>
      <c r="L36" s="81">
        <v>7.0</v>
      </c>
      <c r="M36" s="81" t="s">
        <v>2714</v>
      </c>
      <c r="N36" s="81" t="s">
        <v>1046</v>
      </c>
      <c r="O36" s="81">
        <v>300.0</v>
      </c>
      <c r="P36" s="81" t="s">
        <v>29</v>
      </c>
      <c r="Q36" s="81">
        <v>0.0</v>
      </c>
      <c r="R36" s="46"/>
    </row>
    <row r="37" ht="15.75" customHeight="1">
      <c r="A37" s="211">
        <v>28.0</v>
      </c>
      <c r="B37" s="46" t="s">
        <v>2780</v>
      </c>
      <c r="C37" s="46" t="s">
        <v>2777</v>
      </c>
      <c r="D37" s="212" t="s">
        <v>25</v>
      </c>
      <c r="E37" s="212" t="s">
        <v>2778</v>
      </c>
      <c r="F37" s="213" t="s">
        <v>138</v>
      </c>
      <c r="G37" s="222" t="s">
        <v>2756</v>
      </c>
      <c r="H37" s="48">
        <v>4.0</v>
      </c>
      <c r="I37" s="81">
        <v>20.0</v>
      </c>
      <c r="J37" s="81">
        <v>0.0</v>
      </c>
      <c r="K37" s="81">
        <v>0.0</v>
      </c>
      <c r="L37" s="81">
        <v>1.0</v>
      </c>
      <c r="M37" s="81" t="s">
        <v>2714</v>
      </c>
      <c r="N37" s="81" t="s">
        <v>1046</v>
      </c>
      <c r="O37" s="81">
        <v>300.0</v>
      </c>
      <c r="P37" s="81" t="s">
        <v>29</v>
      </c>
      <c r="Q37" s="81">
        <v>0.0</v>
      </c>
      <c r="R37" s="46"/>
    </row>
    <row r="38" ht="15.75" customHeight="1">
      <c r="A38" s="211">
        <v>29.0</v>
      </c>
      <c r="B38" s="46" t="s">
        <v>2781</v>
      </c>
      <c r="C38" s="46" t="s">
        <v>2777</v>
      </c>
      <c r="D38" s="212" t="s">
        <v>25</v>
      </c>
      <c r="E38" s="212" t="s">
        <v>2778</v>
      </c>
      <c r="F38" s="213" t="s">
        <v>138</v>
      </c>
      <c r="G38" s="222" t="s">
        <v>2782</v>
      </c>
      <c r="H38" s="48">
        <v>20.0</v>
      </c>
      <c r="I38" s="81">
        <v>100.0</v>
      </c>
      <c r="J38" s="81">
        <v>0.0</v>
      </c>
      <c r="K38" s="81">
        <v>0.0</v>
      </c>
      <c r="L38" s="81">
        <v>1.0</v>
      </c>
      <c r="M38" s="81" t="s">
        <v>2714</v>
      </c>
      <c r="N38" s="81" t="s">
        <v>1046</v>
      </c>
      <c r="O38" s="81">
        <v>500.0</v>
      </c>
      <c r="P38" s="81" t="s">
        <v>29</v>
      </c>
      <c r="Q38" s="81">
        <v>0.0</v>
      </c>
      <c r="R38" s="46"/>
    </row>
    <row r="39" ht="15.75" customHeight="1">
      <c r="A39" s="211">
        <v>30.0</v>
      </c>
      <c r="B39" s="46" t="s">
        <v>2783</v>
      </c>
      <c r="C39" s="46" t="s">
        <v>2777</v>
      </c>
      <c r="D39" s="212" t="s">
        <v>25</v>
      </c>
      <c r="E39" s="212" t="s">
        <v>2778</v>
      </c>
      <c r="F39" s="213" t="s">
        <v>138</v>
      </c>
      <c r="G39" s="222" t="s">
        <v>2784</v>
      </c>
      <c r="H39" s="48">
        <v>4.0</v>
      </c>
      <c r="I39" s="81">
        <v>20.0</v>
      </c>
      <c r="J39" s="81">
        <v>0.0</v>
      </c>
      <c r="K39" s="81">
        <v>0.0</v>
      </c>
      <c r="L39" s="81">
        <v>1.0</v>
      </c>
      <c r="M39" s="81" t="s">
        <v>2714</v>
      </c>
      <c r="N39" s="81" t="s">
        <v>1046</v>
      </c>
      <c r="O39" s="81">
        <v>300.0</v>
      </c>
      <c r="P39" s="81" t="s">
        <v>29</v>
      </c>
      <c r="Q39" s="81">
        <v>0.0</v>
      </c>
      <c r="R39" s="46"/>
    </row>
    <row r="40" ht="15.75" customHeight="1">
      <c r="A40" s="211">
        <v>31.0</v>
      </c>
      <c r="B40" s="46" t="s">
        <v>2785</v>
      </c>
      <c r="C40" s="46" t="s">
        <v>2786</v>
      </c>
      <c r="D40" s="212" t="s">
        <v>25</v>
      </c>
      <c r="E40" s="212" t="s">
        <v>2778</v>
      </c>
      <c r="F40" s="213" t="s">
        <v>138</v>
      </c>
      <c r="G40" s="222" t="s">
        <v>2774</v>
      </c>
      <c r="H40" s="48">
        <v>4.0</v>
      </c>
      <c r="I40" s="81">
        <v>20.0</v>
      </c>
      <c r="J40" s="81">
        <v>0.0</v>
      </c>
      <c r="K40" s="81">
        <v>0.0</v>
      </c>
      <c r="L40" s="81">
        <v>3.0</v>
      </c>
      <c r="M40" s="81" t="s">
        <v>2714</v>
      </c>
      <c r="N40" s="81" t="s">
        <v>1046</v>
      </c>
      <c r="O40" s="81">
        <v>100.0</v>
      </c>
      <c r="P40" s="81" t="s">
        <v>29</v>
      </c>
      <c r="Q40" s="81">
        <v>0.0</v>
      </c>
      <c r="R40" s="46"/>
    </row>
    <row r="41" ht="15.75" customHeight="1">
      <c r="A41" s="211">
        <v>32.0</v>
      </c>
      <c r="B41" s="46" t="s">
        <v>1171</v>
      </c>
      <c r="C41" s="46" t="s">
        <v>2787</v>
      </c>
      <c r="D41" s="212" t="s">
        <v>25</v>
      </c>
      <c r="E41" s="212" t="s">
        <v>2788</v>
      </c>
      <c r="F41" s="213" t="s">
        <v>138</v>
      </c>
      <c r="G41" s="222" t="s">
        <v>2789</v>
      </c>
      <c r="H41" s="48">
        <v>4.0</v>
      </c>
      <c r="I41" s="81">
        <v>20.0</v>
      </c>
      <c r="J41" s="81">
        <v>0.0</v>
      </c>
      <c r="K41" s="81">
        <v>0.0</v>
      </c>
      <c r="L41" s="81">
        <v>1.0</v>
      </c>
      <c r="M41" s="81" t="s">
        <v>2714</v>
      </c>
      <c r="N41" s="81" t="s">
        <v>1046</v>
      </c>
      <c r="O41" s="81">
        <v>200.0</v>
      </c>
      <c r="P41" s="81" t="s">
        <v>29</v>
      </c>
      <c r="Q41" s="81">
        <v>0.0</v>
      </c>
      <c r="R41" s="46"/>
    </row>
    <row r="42" ht="15.75" customHeight="1">
      <c r="A42" s="211">
        <v>33.0</v>
      </c>
      <c r="B42" s="46" t="s">
        <v>2790</v>
      </c>
      <c r="C42" s="46" t="s">
        <v>2787</v>
      </c>
      <c r="D42" s="212" t="s">
        <v>25</v>
      </c>
      <c r="E42" s="212" t="s">
        <v>2788</v>
      </c>
      <c r="F42" s="213" t="s">
        <v>138</v>
      </c>
      <c r="G42" s="222" t="s">
        <v>2748</v>
      </c>
      <c r="H42" s="48">
        <v>16.0</v>
      </c>
      <c r="I42" s="81">
        <v>80.0</v>
      </c>
      <c r="J42" s="81">
        <v>0.0</v>
      </c>
      <c r="K42" s="81">
        <v>0.0</v>
      </c>
      <c r="L42" s="81">
        <v>2.0</v>
      </c>
      <c r="M42" s="81" t="s">
        <v>2714</v>
      </c>
      <c r="N42" s="81" t="s">
        <v>1046</v>
      </c>
      <c r="O42" s="81">
        <v>500.0</v>
      </c>
      <c r="P42" s="81" t="s">
        <v>29</v>
      </c>
      <c r="Q42" s="81">
        <v>0.0</v>
      </c>
      <c r="R42" s="46"/>
    </row>
    <row r="43" ht="15.75" customHeight="1">
      <c r="A43" s="211">
        <v>34.0</v>
      </c>
      <c r="B43" s="46" t="s">
        <v>2755</v>
      </c>
      <c r="C43" s="46" t="s">
        <v>2787</v>
      </c>
      <c r="D43" s="212" t="s">
        <v>25</v>
      </c>
      <c r="E43" s="212" t="s">
        <v>2788</v>
      </c>
      <c r="F43" s="213" t="s">
        <v>138</v>
      </c>
      <c r="G43" s="222" t="s">
        <v>2791</v>
      </c>
      <c r="H43" s="48">
        <v>4.0</v>
      </c>
      <c r="I43" s="81">
        <v>20.0</v>
      </c>
      <c r="J43" s="81">
        <v>0.0</v>
      </c>
      <c r="K43" s="81">
        <v>0.0</v>
      </c>
      <c r="L43" s="81">
        <v>1.0</v>
      </c>
      <c r="M43" s="81" t="s">
        <v>2714</v>
      </c>
      <c r="N43" s="81" t="s">
        <v>1046</v>
      </c>
      <c r="O43" s="81">
        <v>300.0</v>
      </c>
      <c r="P43" s="81" t="s">
        <v>29</v>
      </c>
      <c r="Q43" s="81">
        <v>0.0</v>
      </c>
      <c r="R43" s="46"/>
    </row>
    <row r="44" ht="15.75" customHeight="1">
      <c r="A44" s="211">
        <v>35.0</v>
      </c>
      <c r="B44" s="46" t="s">
        <v>2792</v>
      </c>
      <c r="C44" s="46" t="s">
        <v>2793</v>
      </c>
      <c r="D44" s="212" t="s">
        <v>25</v>
      </c>
      <c r="E44" s="212" t="s">
        <v>2788</v>
      </c>
      <c r="F44" s="213" t="s">
        <v>138</v>
      </c>
      <c r="G44" s="222" t="s">
        <v>2758</v>
      </c>
      <c r="H44" s="48">
        <v>80.0</v>
      </c>
      <c r="I44" s="81">
        <v>400.0</v>
      </c>
      <c r="J44" s="81">
        <v>0.0</v>
      </c>
      <c r="K44" s="81">
        <v>0.0</v>
      </c>
      <c r="L44" s="81">
        <v>11.0</v>
      </c>
      <c r="M44" s="81" t="s">
        <v>2714</v>
      </c>
      <c r="N44" s="81" t="s">
        <v>1046</v>
      </c>
      <c r="O44" s="81">
        <v>300.0</v>
      </c>
      <c r="P44" s="81" t="s">
        <v>29</v>
      </c>
      <c r="Q44" s="81">
        <v>0.0</v>
      </c>
      <c r="R44" s="46"/>
    </row>
    <row r="45" ht="15.75" customHeight="1">
      <c r="A45" s="211">
        <v>36.0</v>
      </c>
      <c r="B45" s="46" t="s">
        <v>2794</v>
      </c>
      <c r="C45" s="46" t="s">
        <v>2795</v>
      </c>
      <c r="D45" s="212" t="s">
        <v>25</v>
      </c>
      <c r="E45" s="212" t="s">
        <v>2796</v>
      </c>
      <c r="F45" s="213" t="s">
        <v>138</v>
      </c>
      <c r="G45" s="222" t="s">
        <v>2758</v>
      </c>
      <c r="H45" s="48">
        <v>60.0</v>
      </c>
      <c r="I45" s="81">
        <v>300.0</v>
      </c>
      <c r="J45" s="81">
        <v>0.0</v>
      </c>
      <c r="K45" s="81">
        <v>0.0</v>
      </c>
      <c r="L45" s="81">
        <v>14.0</v>
      </c>
      <c r="M45" s="81" t="s">
        <v>2714</v>
      </c>
      <c r="N45" s="81" t="s">
        <v>1046</v>
      </c>
      <c r="O45" s="81">
        <v>300.0</v>
      </c>
      <c r="P45" s="81" t="s">
        <v>29</v>
      </c>
      <c r="Q45" s="81">
        <v>0.0</v>
      </c>
      <c r="R45" s="46"/>
    </row>
    <row r="46" ht="15.75" customHeight="1">
      <c r="A46" s="211">
        <v>37.0</v>
      </c>
      <c r="B46" s="46" t="s">
        <v>1171</v>
      </c>
      <c r="C46" s="46" t="s">
        <v>2797</v>
      </c>
      <c r="D46" s="212" t="s">
        <v>25</v>
      </c>
      <c r="E46" s="212" t="s">
        <v>2796</v>
      </c>
      <c r="F46" s="213" t="s">
        <v>138</v>
      </c>
      <c r="G46" s="222" t="s">
        <v>2789</v>
      </c>
      <c r="H46" s="48">
        <v>2.0</v>
      </c>
      <c r="I46" s="81">
        <v>10.0</v>
      </c>
      <c r="J46" s="81">
        <v>0.0</v>
      </c>
      <c r="K46" s="81">
        <v>0.0</v>
      </c>
      <c r="L46" s="81">
        <v>1.0</v>
      </c>
      <c r="M46" s="81" t="s">
        <v>2714</v>
      </c>
      <c r="N46" s="81" t="s">
        <v>1046</v>
      </c>
      <c r="O46" s="81">
        <v>200.0</v>
      </c>
      <c r="P46" s="81" t="s">
        <v>29</v>
      </c>
      <c r="Q46" s="81">
        <v>0.0</v>
      </c>
      <c r="R46" s="46"/>
    </row>
    <row r="47" ht="15.75" customHeight="1">
      <c r="A47" s="211">
        <v>38.0</v>
      </c>
      <c r="B47" s="46" t="s">
        <v>2781</v>
      </c>
      <c r="C47" s="46" t="s">
        <v>2797</v>
      </c>
      <c r="D47" s="212" t="s">
        <v>25</v>
      </c>
      <c r="E47" s="212" t="s">
        <v>2796</v>
      </c>
      <c r="F47" s="213" t="s">
        <v>138</v>
      </c>
      <c r="G47" s="222" t="s">
        <v>2748</v>
      </c>
      <c r="H47" s="48">
        <v>26.0</v>
      </c>
      <c r="I47" s="81">
        <v>130.0</v>
      </c>
      <c r="J47" s="81">
        <v>0.0</v>
      </c>
      <c r="K47" s="81">
        <v>0.0</v>
      </c>
      <c r="L47" s="81">
        <v>4.0</v>
      </c>
      <c r="M47" s="81" t="s">
        <v>2714</v>
      </c>
      <c r="N47" s="81" t="s">
        <v>1046</v>
      </c>
      <c r="O47" s="81">
        <v>500.0</v>
      </c>
      <c r="P47" s="81" t="s">
        <v>29</v>
      </c>
      <c r="Q47" s="81">
        <v>0.0</v>
      </c>
      <c r="R47" s="46"/>
    </row>
    <row r="48" ht="15.75" customHeight="1">
      <c r="A48" s="211">
        <v>39.0</v>
      </c>
      <c r="B48" s="46" t="s">
        <v>1171</v>
      </c>
      <c r="C48" s="46" t="s">
        <v>2798</v>
      </c>
      <c r="D48" s="212" t="s">
        <v>25</v>
      </c>
      <c r="E48" s="212" t="s">
        <v>2796</v>
      </c>
      <c r="F48" s="213" t="s">
        <v>138</v>
      </c>
      <c r="G48" s="222" t="s">
        <v>2789</v>
      </c>
      <c r="H48" s="48">
        <v>20.0</v>
      </c>
      <c r="I48" s="81">
        <v>100.0</v>
      </c>
      <c r="J48" s="81">
        <v>0.0</v>
      </c>
      <c r="K48" s="81">
        <v>0.0</v>
      </c>
      <c r="L48" s="81">
        <v>2.0</v>
      </c>
      <c r="M48" s="81" t="s">
        <v>2714</v>
      </c>
      <c r="N48" s="81" t="s">
        <v>1046</v>
      </c>
      <c r="O48" s="81">
        <v>200.0</v>
      </c>
      <c r="P48" s="81" t="s">
        <v>29</v>
      </c>
      <c r="Q48" s="81">
        <v>0.0</v>
      </c>
      <c r="R48" s="46"/>
    </row>
    <row r="49" ht="15.75" customHeight="1">
      <c r="A49" s="211">
        <v>40.0</v>
      </c>
      <c r="B49" s="46" t="s">
        <v>2772</v>
      </c>
      <c r="C49" s="46" t="s">
        <v>2798</v>
      </c>
      <c r="D49" s="212" t="s">
        <v>25</v>
      </c>
      <c r="E49" s="212" t="s">
        <v>2796</v>
      </c>
      <c r="F49" s="213" t="s">
        <v>138</v>
      </c>
      <c r="G49" s="222" t="s">
        <v>2774</v>
      </c>
      <c r="H49" s="48">
        <v>20.0</v>
      </c>
      <c r="I49" s="81">
        <v>100.0</v>
      </c>
      <c r="J49" s="81">
        <v>0.0</v>
      </c>
      <c r="K49" s="81">
        <v>0.0</v>
      </c>
      <c r="L49" s="81">
        <v>1.0</v>
      </c>
      <c r="M49" s="81" t="s">
        <v>2714</v>
      </c>
      <c r="N49" s="81" t="s">
        <v>1046</v>
      </c>
      <c r="O49" s="81">
        <v>300.0</v>
      </c>
      <c r="P49" s="81" t="s">
        <v>29</v>
      </c>
      <c r="Q49" s="81">
        <v>0.0</v>
      </c>
      <c r="R49" s="46"/>
    </row>
    <row r="50" ht="15.75" customHeight="1">
      <c r="A50" s="211">
        <v>41.0</v>
      </c>
      <c r="B50" s="46" t="s">
        <v>2799</v>
      </c>
      <c r="C50" s="46" t="s">
        <v>2798</v>
      </c>
      <c r="D50" s="212" t="s">
        <v>25</v>
      </c>
      <c r="E50" s="212" t="s">
        <v>2796</v>
      </c>
      <c r="F50" s="213" t="s">
        <v>138</v>
      </c>
      <c r="G50" s="222" t="s">
        <v>2758</v>
      </c>
      <c r="H50" s="48">
        <v>60.0</v>
      </c>
      <c r="I50" s="81">
        <v>300.0</v>
      </c>
      <c r="J50" s="81">
        <v>0.0</v>
      </c>
      <c r="K50" s="81">
        <v>0.0</v>
      </c>
      <c r="L50" s="81">
        <v>8.0</v>
      </c>
      <c r="M50" s="81" t="s">
        <v>2714</v>
      </c>
      <c r="N50" s="81" t="s">
        <v>1046</v>
      </c>
      <c r="O50" s="81">
        <v>300.0</v>
      </c>
      <c r="P50" s="81" t="s">
        <v>29</v>
      </c>
      <c r="Q50" s="81">
        <v>0.0</v>
      </c>
      <c r="R50" s="46"/>
    </row>
    <row r="51" ht="15.75" customHeight="1">
      <c r="A51" s="211">
        <v>42.0</v>
      </c>
      <c r="B51" s="46" t="s">
        <v>2800</v>
      </c>
      <c r="C51" s="46" t="s">
        <v>2798</v>
      </c>
      <c r="D51" s="212" t="s">
        <v>25</v>
      </c>
      <c r="E51" s="212" t="s">
        <v>2796</v>
      </c>
      <c r="F51" s="213" t="s">
        <v>138</v>
      </c>
      <c r="G51" s="222" t="s">
        <v>2784</v>
      </c>
      <c r="H51" s="48">
        <v>60.0</v>
      </c>
      <c r="I51" s="81">
        <v>300.0</v>
      </c>
      <c r="J51" s="81">
        <v>0.0</v>
      </c>
      <c r="K51" s="81">
        <v>0.0</v>
      </c>
      <c r="L51" s="81">
        <v>2.0</v>
      </c>
      <c r="M51" s="81" t="s">
        <v>2714</v>
      </c>
      <c r="N51" s="81" t="s">
        <v>1046</v>
      </c>
      <c r="O51" s="81">
        <v>150.0</v>
      </c>
      <c r="P51" s="81" t="s">
        <v>29</v>
      </c>
      <c r="Q51" s="81">
        <v>0.0</v>
      </c>
      <c r="R51" s="46"/>
    </row>
    <row r="52" ht="15.75" customHeight="1">
      <c r="A52" s="211">
        <v>43.0</v>
      </c>
      <c r="B52" s="46" t="s">
        <v>2801</v>
      </c>
      <c r="C52" s="46" t="s">
        <v>2802</v>
      </c>
      <c r="D52" s="212" t="s">
        <v>25</v>
      </c>
      <c r="E52" s="212" t="s">
        <v>2803</v>
      </c>
      <c r="F52" s="213" t="s">
        <v>138</v>
      </c>
      <c r="G52" s="222" t="s">
        <v>2748</v>
      </c>
      <c r="H52" s="48">
        <v>40.0</v>
      </c>
      <c r="I52" s="81">
        <v>200.0</v>
      </c>
      <c r="J52" s="81">
        <v>0.0</v>
      </c>
      <c r="K52" s="81">
        <v>0.0</v>
      </c>
      <c r="L52" s="81">
        <v>6.0</v>
      </c>
      <c r="M52" s="81" t="s">
        <v>2714</v>
      </c>
      <c r="N52" s="81" t="s">
        <v>1046</v>
      </c>
      <c r="O52" s="81">
        <v>500.0</v>
      </c>
      <c r="P52" s="81" t="s">
        <v>29</v>
      </c>
      <c r="Q52" s="81">
        <v>0.0</v>
      </c>
      <c r="R52" s="46"/>
    </row>
    <row r="53" ht="15.75" customHeight="1">
      <c r="A53" s="211">
        <v>44.0</v>
      </c>
      <c r="B53" s="46" t="s">
        <v>2804</v>
      </c>
      <c r="C53" s="46" t="s">
        <v>2805</v>
      </c>
      <c r="D53" s="212" t="s">
        <v>25</v>
      </c>
      <c r="E53" s="212" t="s">
        <v>2803</v>
      </c>
      <c r="F53" s="213" t="s">
        <v>138</v>
      </c>
      <c r="G53" s="222" t="s">
        <v>2758</v>
      </c>
      <c r="H53" s="48">
        <v>140.0</v>
      </c>
      <c r="I53" s="81">
        <v>700.0</v>
      </c>
      <c r="J53" s="81">
        <v>0.0</v>
      </c>
      <c r="K53" s="81">
        <v>0.0</v>
      </c>
      <c r="L53" s="81">
        <v>21.0</v>
      </c>
      <c r="M53" s="81" t="s">
        <v>2714</v>
      </c>
      <c r="N53" s="81" t="s">
        <v>1046</v>
      </c>
      <c r="O53" s="81">
        <v>300.0</v>
      </c>
      <c r="P53" s="81" t="s">
        <v>29</v>
      </c>
      <c r="Q53" s="81">
        <v>0.0</v>
      </c>
      <c r="R53" s="46"/>
    </row>
    <row r="54" ht="15.75" customHeight="1">
      <c r="A54" s="211">
        <v>45.0</v>
      </c>
      <c r="B54" s="46" t="s">
        <v>1171</v>
      </c>
      <c r="C54" s="46" t="s">
        <v>2806</v>
      </c>
      <c r="D54" s="212" t="s">
        <v>25</v>
      </c>
      <c r="E54" s="212" t="s">
        <v>2770</v>
      </c>
      <c r="F54" s="213" t="s">
        <v>138</v>
      </c>
      <c r="G54" s="222" t="s">
        <v>2789</v>
      </c>
      <c r="H54" s="48">
        <v>6.0</v>
      </c>
      <c r="I54" s="81">
        <v>30.0</v>
      </c>
      <c r="J54" s="81">
        <v>0.0</v>
      </c>
      <c r="K54" s="81">
        <v>0.0</v>
      </c>
      <c r="L54" s="81">
        <v>2.0</v>
      </c>
      <c r="M54" s="81" t="s">
        <v>2714</v>
      </c>
      <c r="N54" s="81" t="s">
        <v>1046</v>
      </c>
      <c r="O54" s="81">
        <v>200.0</v>
      </c>
      <c r="P54" s="81" t="s">
        <v>29</v>
      </c>
      <c r="Q54" s="81">
        <v>0.0</v>
      </c>
      <c r="R54" s="46"/>
    </row>
    <row r="55" ht="15.75" customHeight="1">
      <c r="A55" s="211">
        <v>46.0</v>
      </c>
      <c r="B55" s="46" t="s">
        <v>2807</v>
      </c>
      <c r="C55" s="46" t="s">
        <v>2806</v>
      </c>
      <c r="D55" s="212" t="s">
        <v>25</v>
      </c>
      <c r="E55" s="212" t="s">
        <v>2770</v>
      </c>
      <c r="F55" s="213" t="s">
        <v>138</v>
      </c>
      <c r="G55" s="222" t="s">
        <v>2758</v>
      </c>
      <c r="H55" s="48">
        <v>50.0</v>
      </c>
      <c r="I55" s="81">
        <v>250.0</v>
      </c>
      <c r="J55" s="81">
        <v>0.0</v>
      </c>
      <c r="K55" s="81">
        <v>0.0</v>
      </c>
      <c r="L55" s="81">
        <v>9.0</v>
      </c>
      <c r="M55" s="81" t="s">
        <v>2714</v>
      </c>
      <c r="N55" s="81" t="s">
        <v>1046</v>
      </c>
      <c r="O55" s="81">
        <v>300.0</v>
      </c>
      <c r="P55" s="81" t="s">
        <v>29</v>
      </c>
      <c r="Q55" s="81">
        <v>0.0</v>
      </c>
      <c r="R55" s="46"/>
    </row>
    <row r="56" ht="15.75" customHeight="1">
      <c r="A56" s="211">
        <v>47.0</v>
      </c>
      <c r="B56" s="46" t="s">
        <v>2781</v>
      </c>
      <c r="C56" s="46" t="s">
        <v>2808</v>
      </c>
      <c r="D56" s="212" t="s">
        <v>25</v>
      </c>
      <c r="E56" s="212" t="s">
        <v>2770</v>
      </c>
      <c r="F56" s="213" t="s">
        <v>138</v>
      </c>
      <c r="G56" s="222" t="s">
        <v>2748</v>
      </c>
      <c r="H56" s="48">
        <v>10.0</v>
      </c>
      <c r="I56" s="81">
        <v>50.0</v>
      </c>
      <c r="J56" s="81">
        <v>0.0</v>
      </c>
      <c r="K56" s="81">
        <v>0.0</v>
      </c>
      <c r="L56" s="81">
        <v>1.0</v>
      </c>
      <c r="M56" s="81" t="s">
        <v>2714</v>
      </c>
      <c r="N56" s="81" t="s">
        <v>1046</v>
      </c>
      <c r="O56" s="81">
        <v>500.0</v>
      </c>
      <c r="P56" s="81" t="s">
        <v>29</v>
      </c>
      <c r="Q56" s="81">
        <v>0.0</v>
      </c>
      <c r="R56" s="46"/>
    </row>
    <row r="57" ht="15.75" customHeight="1">
      <c r="A57" s="211">
        <v>48.0</v>
      </c>
      <c r="B57" s="46" t="s">
        <v>2766</v>
      </c>
      <c r="C57" s="46" t="s">
        <v>2808</v>
      </c>
      <c r="D57" s="212" t="s">
        <v>25</v>
      </c>
      <c r="E57" s="212" t="s">
        <v>2770</v>
      </c>
      <c r="F57" s="213" t="s">
        <v>138</v>
      </c>
      <c r="G57" s="222" t="s">
        <v>2784</v>
      </c>
      <c r="H57" s="48">
        <v>3.0</v>
      </c>
      <c r="I57" s="81">
        <v>15.0</v>
      </c>
      <c r="J57" s="81">
        <v>0.0</v>
      </c>
      <c r="K57" s="81">
        <v>0.0</v>
      </c>
      <c r="L57" s="81">
        <v>1.0</v>
      </c>
      <c r="M57" s="81" t="s">
        <v>2714</v>
      </c>
      <c r="N57" s="81" t="s">
        <v>1046</v>
      </c>
      <c r="O57" s="81">
        <v>100.0</v>
      </c>
      <c r="P57" s="81" t="s">
        <v>29</v>
      </c>
      <c r="Q57" s="81">
        <v>0.0</v>
      </c>
      <c r="R57" s="46"/>
    </row>
    <row r="58" ht="15.75" customHeight="1">
      <c r="A58" s="211">
        <v>49.0</v>
      </c>
      <c r="B58" s="46" t="s">
        <v>2772</v>
      </c>
      <c r="C58" s="46" t="s">
        <v>2809</v>
      </c>
      <c r="D58" s="212" t="s">
        <v>25</v>
      </c>
      <c r="E58" s="212" t="s">
        <v>2770</v>
      </c>
      <c r="F58" s="213" t="s">
        <v>138</v>
      </c>
      <c r="G58" s="222" t="s">
        <v>2810</v>
      </c>
      <c r="H58" s="48">
        <v>5.0</v>
      </c>
      <c r="I58" s="81">
        <v>25.0</v>
      </c>
      <c r="J58" s="81">
        <v>0.0</v>
      </c>
      <c r="K58" s="81">
        <v>0.0</v>
      </c>
      <c r="L58" s="81">
        <v>2.0</v>
      </c>
      <c r="M58" s="81" t="s">
        <v>2714</v>
      </c>
      <c r="N58" s="81" t="s">
        <v>1046</v>
      </c>
      <c r="O58" s="81">
        <v>300.0</v>
      </c>
      <c r="P58" s="81" t="s">
        <v>29</v>
      </c>
      <c r="Q58" s="81">
        <v>0.0</v>
      </c>
      <c r="R58" s="46"/>
    </row>
    <row r="59" ht="15.75" customHeight="1">
      <c r="A59" s="211">
        <v>50.0</v>
      </c>
      <c r="B59" s="46" t="s">
        <v>1171</v>
      </c>
      <c r="C59" s="46" t="s">
        <v>2811</v>
      </c>
      <c r="D59" s="212" t="s">
        <v>25</v>
      </c>
      <c r="E59" s="212" t="s">
        <v>2812</v>
      </c>
      <c r="F59" s="213" t="s">
        <v>138</v>
      </c>
      <c r="G59" s="222" t="s">
        <v>2789</v>
      </c>
      <c r="H59" s="48">
        <v>3.0</v>
      </c>
      <c r="I59" s="81">
        <v>15.0</v>
      </c>
      <c r="J59" s="81">
        <v>0.0</v>
      </c>
      <c r="K59" s="81">
        <v>0.0</v>
      </c>
      <c r="L59" s="81">
        <v>4.0</v>
      </c>
      <c r="M59" s="81" t="s">
        <v>2714</v>
      </c>
      <c r="N59" s="81" t="s">
        <v>1046</v>
      </c>
      <c r="O59" s="81">
        <v>200.0</v>
      </c>
      <c r="P59" s="81" t="s">
        <v>29</v>
      </c>
      <c r="Q59" s="81">
        <v>0.0</v>
      </c>
      <c r="R59" s="46"/>
    </row>
    <row r="60" ht="15.75" customHeight="1">
      <c r="A60" s="211">
        <v>51.0</v>
      </c>
      <c r="B60" s="46" t="s">
        <v>2813</v>
      </c>
      <c r="C60" s="46" t="s">
        <v>2811</v>
      </c>
      <c r="D60" s="212" t="s">
        <v>25</v>
      </c>
      <c r="E60" s="212" t="s">
        <v>2812</v>
      </c>
      <c r="F60" s="213" t="s">
        <v>138</v>
      </c>
      <c r="G60" s="222" t="s">
        <v>2758</v>
      </c>
      <c r="H60" s="48">
        <v>4.0</v>
      </c>
      <c r="I60" s="81">
        <v>20.0</v>
      </c>
      <c r="J60" s="81">
        <v>0.0</v>
      </c>
      <c r="K60" s="81">
        <v>0.0</v>
      </c>
      <c r="L60" s="81">
        <v>12.0</v>
      </c>
      <c r="M60" s="81" t="s">
        <v>2714</v>
      </c>
      <c r="N60" s="81" t="s">
        <v>1046</v>
      </c>
      <c r="O60" s="81">
        <v>300.0</v>
      </c>
      <c r="P60" s="81" t="s">
        <v>29</v>
      </c>
      <c r="Q60" s="81">
        <v>0.0</v>
      </c>
      <c r="R60" s="46"/>
    </row>
    <row r="61" ht="15.75" customHeight="1">
      <c r="A61" s="211">
        <v>52.0</v>
      </c>
      <c r="B61" s="46" t="s">
        <v>2814</v>
      </c>
      <c r="C61" s="46" t="s">
        <v>2811</v>
      </c>
      <c r="D61" s="212" t="s">
        <v>25</v>
      </c>
      <c r="E61" s="212" t="s">
        <v>2812</v>
      </c>
      <c r="F61" s="213" t="s">
        <v>138</v>
      </c>
      <c r="G61" s="222" t="s">
        <v>2760</v>
      </c>
      <c r="H61" s="48">
        <v>4.0</v>
      </c>
      <c r="I61" s="81">
        <v>20.0</v>
      </c>
      <c r="J61" s="81">
        <v>0.0</v>
      </c>
      <c r="K61" s="81">
        <v>0.0</v>
      </c>
      <c r="L61" s="81">
        <v>7.0</v>
      </c>
      <c r="M61" s="81" t="s">
        <v>2714</v>
      </c>
      <c r="N61" s="81" t="s">
        <v>1046</v>
      </c>
      <c r="O61" s="81">
        <v>300.0</v>
      </c>
      <c r="P61" s="81" t="s">
        <v>29</v>
      </c>
      <c r="Q61" s="81">
        <v>0.0</v>
      </c>
      <c r="R61" s="46"/>
    </row>
    <row r="62" ht="15.75" customHeight="1">
      <c r="A62" s="211">
        <v>53.0</v>
      </c>
      <c r="B62" s="46" t="s">
        <v>2755</v>
      </c>
      <c r="C62" s="46" t="s">
        <v>2815</v>
      </c>
      <c r="D62" s="212" t="s">
        <v>25</v>
      </c>
      <c r="E62" s="212" t="s">
        <v>2816</v>
      </c>
      <c r="F62" s="213" t="s">
        <v>138</v>
      </c>
      <c r="G62" s="222" t="s">
        <v>2784</v>
      </c>
      <c r="H62" s="48">
        <v>20.0</v>
      </c>
      <c r="I62" s="81">
        <v>100.0</v>
      </c>
      <c r="J62" s="81">
        <v>0.0</v>
      </c>
      <c r="K62" s="81">
        <v>0.0</v>
      </c>
      <c r="L62" s="81">
        <v>1.0</v>
      </c>
      <c r="M62" s="81" t="s">
        <v>2714</v>
      </c>
      <c r="N62" s="81" t="s">
        <v>1046</v>
      </c>
      <c r="O62" s="81">
        <v>300.0</v>
      </c>
      <c r="P62" s="81" t="s">
        <v>29</v>
      </c>
      <c r="Q62" s="81">
        <v>0.0</v>
      </c>
      <c r="R62" s="46"/>
    </row>
    <row r="63" ht="15.75" customHeight="1">
      <c r="A63" s="211">
        <v>54.0</v>
      </c>
      <c r="B63" s="46" t="s">
        <v>2817</v>
      </c>
      <c r="C63" s="46" t="s">
        <v>2815</v>
      </c>
      <c r="D63" s="212" t="s">
        <v>25</v>
      </c>
      <c r="E63" s="212" t="s">
        <v>2816</v>
      </c>
      <c r="F63" s="213" t="s">
        <v>138</v>
      </c>
      <c r="G63" s="222" t="s">
        <v>2758</v>
      </c>
      <c r="H63" s="48">
        <v>20.0</v>
      </c>
      <c r="I63" s="81">
        <v>100.0</v>
      </c>
      <c r="J63" s="81">
        <v>0.0</v>
      </c>
      <c r="K63" s="81">
        <v>0.0</v>
      </c>
      <c r="L63" s="81">
        <v>8.0</v>
      </c>
      <c r="M63" s="81" t="s">
        <v>2714</v>
      </c>
      <c r="N63" s="81" t="s">
        <v>1046</v>
      </c>
      <c r="O63" s="81">
        <v>300.0</v>
      </c>
      <c r="P63" s="81" t="s">
        <v>29</v>
      </c>
      <c r="Q63" s="81">
        <v>0.0</v>
      </c>
      <c r="R63" s="46"/>
    </row>
    <row r="64" ht="15.75" customHeight="1">
      <c r="A64" s="211">
        <v>55.0</v>
      </c>
      <c r="B64" s="46" t="s">
        <v>2818</v>
      </c>
      <c r="C64" s="46" t="s">
        <v>2815</v>
      </c>
      <c r="D64" s="212" t="s">
        <v>25</v>
      </c>
      <c r="E64" s="212" t="s">
        <v>2816</v>
      </c>
      <c r="F64" s="213" t="s">
        <v>138</v>
      </c>
      <c r="G64" s="222" t="s">
        <v>2789</v>
      </c>
      <c r="H64" s="48">
        <v>4.0</v>
      </c>
      <c r="I64" s="81">
        <v>20.0</v>
      </c>
      <c r="J64" s="81">
        <v>0.0</v>
      </c>
      <c r="K64" s="81">
        <v>0.0</v>
      </c>
      <c r="L64" s="81">
        <v>3.0</v>
      </c>
      <c r="M64" s="81" t="s">
        <v>2714</v>
      </c>
      <c r="N64" s="81" t="s">
        <v>1046</v>
      </c>
      <c r="O64" s="81">
        <v>200.0</v>
      </c>
      <c r="P64" s="81" t="s">
        <v>29</v>
      </c>
      <c r="Q64" s="81">
        <v>0.0</v>
      </c>
      <c r="R64" s="46"/>
    </row>
    <row r="65" ht="15.75" customHeight="1">
      <c r="A65" s="211">
        <v>56.0</v>
      </c>
      <c r="B65" s="46" t="s">
        <v>2781</v>
      </c>
      <c r="C65" s="46" t="s">
        <v>2815</v>
      </c>
      <c r="D65" s="212" t="s">
        <v>25</v>
      </c>
      <c r="E65" s="212" t="s">
        <v>2816</v>
      </c>
      <c r="F65" s="213" t="s">
        <v>138</v>
      </c>
      <c r="G65" s="222" t="s">
        <v>2748</v>
      </c>
      <c r="H65" s="48">
        <v>40.0</v>
      </c>
      <c r="I65" s="81">
        <v>200.0</v>
      </c>
      <c r="J65" s="81">
        <v>0.0</v>
      </c>
      <c r="K65" s="81">
        <v>0.0</v>
      </c>
      <c r="L65" s="81">
        <v>2.0</v>
      </c>
      <c r="M65" s="81" t="s">
        <v>2714</v>
      </c>
      <c r="N65" s="81" t="s">
        <v>1046</v>
      </c>
      <c r="O65" s="81">
        <v>500.0</v>
      </c>
      <c r="P65" s="81" t="s">
        <v>29</v>
      </c>
      <c r="Q65" s="81">
        <v>0.0</v>
      </c>
      <c r="R65" s="46"/>
    </row>
    <row r="66" ht="15.75" customHeight="1">
      <c r="A66" s="211">
        <v>57.0</v>
      </c>
      <c r="B66" s="46" t="s">
        <v>2801</v>
      </c>
      <c r="C66" s="46" t="s">
        <v>2819</v>
      </c>
      <c r="D66" s="212" t="s">
        <v>25</v>
      </c>
      <c r="E66" s="212" t="s">
        <v>2820</v>
      </c>
      <c r="F66" s="213" t="s">
        <v>138</v>
      </c>
      <c r="G66" s="222" t="s">
        <v>2748</v>
      </c>
      <c r="H66" s="48">
        <v>30.0</v>
      </c>
      <c r="I66" s="81">
        <v>150.0</v>
      </c>
      <c r="J66" s="81">
        <v>0.0</v>
      </c>
      <c r="K66" s="81">
        <v>0.0</v>
      </c>
      <c r="L66" s="81">
        <v>7.0</v>
      </c>
      <c r="M66" s="81" t="s">
        <v>2714</v>
      </c>
      <c r="N66" s="81" t="s">
        <v>1046</v>
      </c>
      <c r="O66" s="81">
        <v>500.0</v>
      </c>
      <c r="P66" s="81" t="s">
        <v>29</v>
      </c>
      <c r="Q66" s="81">
        <v>0.0</v>
      </c>
      <c r="R66" s="46"/>
    </row>
    <row r="67" ht="15.75" customHeight="1">
      <c r="A67" s="211">
        <v>58.0</v>
      </c>
      <c r="B67" s="46" t="s">
        <v>2821</v>
      </c>
      <c r="C67" s="46" t="s">
        <v>2819</v>
      </c>
      <c r="D67" s="212" t="s">
        <v>25</v>
      </c>
      <c r="E67" s="212" t="s">
        <v>2820</v>
      </c>
      <c r="F67" s="213" t="s">
        <v>138</v>
      </c>
      <c r="G67" s="222" t="s">
        <v>2758</v>
      </c>
      <c r="H67" s="48">
        <v>100.0</v>
      </c>
      <c r="I67" s="81">
        <v>500.0</v>
      </c>
      <c r="J67" s="81">
        <v>0.0</v>
      </c>
      <c r="K67" s="81">
        <v>0.0</v>
      </c>
      <c r="L67" s="81">
        <v>23.0</v>
      </c>
      <c r="M67" s="81" t="s">
        <v>2714</v>
      </c>
      <c r="N67" s="81" t="s">
        <v>1046</v>
      </c>
      <c r="O67" s="81">
        <v>300.0</v>
      </c>
      <c r="P67" s="81" t="s">
        <v>29</v>
      </c>
      <c r="Q67" s="81">
        <v>0.0</v>
      </c>
      <c r="R67" s="46"/>
    </row>
    <row r="68" ht="15.75" customHeight="1">
      <c r="A68" s="211">
        <v>59.0</v>
      </c>
      <c r="B68" s="46" t="s">
        <v>2822</v>
      </c>
      <c r="C68" s="46" t="s">
        <v>2823</v>
      </c>
      <c r="D68" s="212" t="s">
        <v>25</v>
      </c>
      <c r="E68" s="212" t="s">
        <v>2820</v>
      </c>
      <c r="F68" s="213" t="s">
        <v>138</v>
      </c>
      <c r="G68" s="222" t="s">
        <v>2760</v>
      </c>
      <c r="H68" s="48">
        <v>100.0</v>
      </c>
      <c r="I68" s="81">
        <v>500.0</v>
      </c>
      <c r="J68" s="81">
        <v>0.0</v>
      </c>
      <c r="K68" s="81">
        <v>0.0</v>
      </c>
      <c r="L68" s="81">
        <v>29.0</v>
      </c>
      <c r="M68" s="81" t="s">
        <v>2714</v>
      </c>
      <c r="N68" s="81" t="s">
        <v>1046</v>
      </c>
      <c r="O68" s="81">
        <v>300.0</v>
      </c>
      <c r="P68" s="81" t="s">
        <v>29</v>
      </c>
      <c r="Q68" s="81">
        <v>0.0</v>
      </c>
      <c r="R68" s="46"/>
    </row>
    <row r="69" ht="15.75" customHeight="1">
      <c r="A69" s="211">
        <v>60.0</v>
      </c>
      <c r="B69" s="46" t="s">
        <v>2801</v>
      </c>
      <c r="C69" s="46" t="s">
        <v>2824</v>
      </c>
      <c r="D69" s="212" t="s">
        <v>25</v>
      </c>
      <c r="E69" s="212" t="s">
        <v>2754</v>
      </c>
      <c r="F69" s="213" t="s">
        <v>138</v>
      </c>
      <c r="G69" s="222" t="s">
        <v>2748</v>
      </c>
      <c r="H69" s="48">
        <v>40.0</v>
      </c>
      <c r="I69" s="81">
        <v>200.0</v>
      </c>
      <c r="J69" s="81">
        <v>0.0</v>
      </c>
      <c r="K69" s="81">
        <v>0.0</v>
      </c>
      <c r="L69" s="81">
        <v>2.0</v>
      </c>
      <c r="M69" s="81" t="s">
        <v>2714</v>
      </c>
      <c r="N69" s="81" t="s">
        <v>1046</v>
      </c>
      <c r="O69" s="81">
        <v>500.0</v>
      </c>
      <c r="P69" s="81" t="s">
        <v>29</v>
      </c>
      <c r="Q69" s="81">
        <v>0.0</v>
      </c>
      <c r="R69" s="46"/>
    </row>
    <row r="70" ht="15.75" customHeight="1">
      <c r="A70" s="211">
        <v>61.0</v>
      </c>
      <c r="B70" s="46" t="s">
        <v>2772</v>
      </c>
      <c r="C70" s="46" t="s">
        <v>2824</v>
      </c>
      <c r="D70" s="212" t="s">
        <v>25</v>
      </c>
      <c r="E70" s="212" t="s">
        <v>2754</v>
      </c>
      <c r="F70" s="213" t="s">
        <v>138</v>
      </c>
      <c r="G70" s="222" t="s">
        <v>2810</v>
      </c>
      <c r="H70" s="48">
        <v>4.0</v>
      </c>
      <c r="I70" s="81">
        <v>20.0</v>
      </c>
      <c r="J70" s="81">
        <v>0.0</v>
      </c>
      <c r="K70" s="81">
        <v>0.0</v>
      </c>
      <c r="L70" s="81">
        <v>1.0</v>
      </c>
      <c r="M70" s="81" t="s">
        <v>2714</v>
      </c>
      <c r="N70" s="81" t="s">
        <v>1046</v>
      </c>
      <c r="O70" s="81">
        <v>300.0</v>
      </c>
      <c r="P70" s="81" t="s">
        <v>29</v>
      </c>
      <c r="Q70" s="81">
        <v>0.0</v>
      </c>
      <c r="R70" s="46"/>
    </row>
    <row r="71" ht="15.75" customHeight="1">
      <c r="A71" s="211">
        <v>62.0</v>
      </c>
      <c r="B71" s="46" t="s">
        <v>2825</v>
      </c>
      <c r="C71" s="46" t="s">
        <v>2824</v>
      </c>
      <c r="D71" s="212" t="s">
        <v>25</v>
      </c>
      <c r="E71" s="212" t="s">
        <v>2754</v>
      </c>
      <c r="F71" s="213" t="s">
        <v>138</v>
      </c>
      <c r="G71" s="222" t="s">
        <v>2758</v>
      </c>
      <c r="H71" s="48">
        <v>38.0</v>
      </c>
      <c r="I71" s="81">
        <v>150.0</v>
      </c>
      <c r="J71" s="81">
        <v>0.0</v>
      </c>
      <c r="K71" s="81">
        <v>0.0</v>
      </c>
      <c r="L71" s="81">
        <v>10.0</v>
      </c>
      <c r="M71" s="81" t="s">
        <v>2714</v>
      </c>
      <c r="N71" s="81" t="s">
        <v>1046</v>
      </c>
      <c r="O71" s="81">
        <v>250.0</v>
      </c>
      <c r="P71" s="81" t="s">
        <v>29</v>
      </c>
      <c r="Q71" s="81">
        <v>0.0</v>
      </c>
      <c r="R71" s="46"/>
    </row>
    <row r="72" ht="15.75" customHeight="1">
      <c r="A72" s="211">
        <v>63.0</v>
      </c>
      <c r="B72" s="46" t="s">
        <v>1134</v>
      </c>
      <c r="C72" s="46" t="s">
        <v>2824</v>
      </c>
      <c r="D72" s="212" t="s">
        <v>25</v>
      </c>
      <c r="E72" s="212" t="s">
        <v>2754</v>
      </c>
      <c r="F72" s="213" t="s">
        <v>138</v>
      </c>
      <c r="G72" s="222" t="s">
        <v>2775</v>
      </c>
      <c r="H72" s="48">
        <v>10.0</v>
      </c>
      <c r="I72" s="81">
        <v>50.0</v>
      </c>
      <c r="J72" s="81">
        <v>0.0</v>
      </c>
      <c r="K72" s="81">
        <v>0.0</v>
      </c>
      <c r="L72" s="81">
        <v>1.0</v>
      </c>
      <c r="M72" s="81" t="s">
        <v>2714</v>
      </c>
      <c r="N72" s="81" t="s">
        <v>1046</v>
      </c>
      <c r="O72" s="81">
        <v>100.0</v>
      </c>
      <c r="P72" s="81" t="s">
        <v>29</v>
      </c>
      <c r="Q72" s="81">
        <v>0.0</v>
      </c>
      <c r="R72" s="46"/>
    </row>
    <row r="73" ht="15.75" customHeight="1">
      <c r="A73" s="211">
        <v>64.0</v>
      </c>
      <c r="B73" s="46" t="s">
        <v>2755</v>
      </c>
      <c r="C73" s="46" t="s">
        <v>2826</v>
      </c>
      <c r="D73" s="212" t="s">
        <v>25</v>
      </c>
      <c r="E73" s="212" t="s">
        <v>2827</v>
      </c>
      <c r="F73" s="213" t="s">
        <v>138</v>
      </c>
      <c r="G73" s="222" t="s">
        <v>2789</v>
      </c>
      <c r="H73" s="48">
        <v>36.0</v>
      </c>
      <c r="I73" s="81">
        <v>18.0</v>
      </c>
      <c r="J73" s="81">
        <v>0.0</v>
      </c>
      <c r="K73" s="81">
        <v>0.0</v>
      </c>
      <c r="L73" s="81">
        <v>1.0</v>
      </c>
      <c r="M73" s="81" t="s">
        <v>2714</v>
      </c>
      <c r="N73" s="81" t="s">
        <v>1046</v>
      </c>
      <c r="O73" s="81">
        <v>300.0</v>
      </c>
      <c r="P73" s="81" t="s">
        <v>29</v>
      </c>
      <c r="Q73" s="81">
        <v>0.0</v>
      </c>
      <c r="R73" s="46"/>
    </row>
    <row r="74" ht="15.75" customHeight="1">
      <c r="A74" s="211">
        <v>65.0</v>
      </c>
      <c r="B74" s="46" t="s">
        <v>2828</v>
      </c>
      <c r="C74" s="46" t="s">
        <v>2826</v>
      </c>
      <c r="D74" s="212" t="s">
        <v>25</v>
      </c>
      <c r="E74" s="212" t="s">
        <v>2827</v>
      </c>
      <c r="F74" s="213" t="s">
        <v>138</v>
      </c>
      <c r="G74" s="222" t="s">
        <v>2758</v>
      </c>
      <c r="H74" s="48">
        <v>42.0</v>
      </c>
      <c r="I74" s="81">
        <v>210.0</v>
      </c>
      <c r="J74" s="81">
        <v>0.0</v>
      </c>
      <c r="K74" s="81">
        <v>0.0</v>
      </c>
      <c r="L74" s="81">
        <v>3.0</v>
      </c>
      <c r="M74" s="81" t="s">
        <v>2714</v>
      </c>
      <c r="N74" s="81" t="s">
        <v>1046</v>
      </c>
      <c r="O74" s="81">
        <v>300.0</v>
      </c>
      <c r="P74" s="81" t="s">
        <v>29</v>
      </c>
      <c r="Q74" s="81">
        <v>0.0</v>
      </c>
      <c r="R74" s="46"/>
    </row>
    <row r="75" ht="15.75" customHeight="1">
      <c r="A75" s="211">
        <v>66.0</v>
      </c>
      <c r="B75" s="46" t="s">
        <v>1171</v>
      </c>
      <c r="C75" s="46" t="s">
        <v>2826</v>
      </c>
      <c r="D75" s="212" t="s">
        <v>25</v>
      </c>
      <c r="E75" s="212" t="s">
        <v>2827</v>
      </c>
      <c r="F75" s="213" t="s">
        <v>138</v>
      </c>
      <c r="G75" s="222" t="s">
        <v>2789</v>
      </c>
      <c r="H75" s="48">
        <v>2.0</v>
      </c>
      <c r="I75" s="81">
        <v>10.0</v>
      </c>
      <c r="J75" s="81">
        <v>0.0</v>
      </c>
      <c r="K75" s="81">
        <v>0.0</v>
      </c>
      <c r="L75" s="81">
        <v>1.0</v>
      </c>
      <c r="M75" s="81" t="s">
        <v>2714</v>
      </c>
      <c r="N75" s="81" t="s">
        <v>1046</v>
      </c>
      <c r="O75" s="81">
        <v>200.0</v>
      </c>
      <c r="P75" s="81" t="s">
        <v>29</v>
      </c>
      <c r="Q75" s="81">
        <v>0.0</v>
      </c>
      <c r="R75" s="46"/>
    </row>
    <row r="76" ht="15.75" customHeight="1">
      <c r="A76" s="211">
        <v>67.0</v>
      </c>
      <c r="B76" s="46" t="s">
        <v>2829</v>
      </c>
      <c r="C76" s="46" t="s">
        <v>2826</v>
      </c>
      <c r="D76" s="212" t="s">
        <v>25</v>
      </c>
      <c r="E76" s="212" t="s">
        <v>2827</v>
      </c>
      <c r="F76" s="213" t="s">
        <v>138</v>
      </c>
      <c r="G76" s="222" t="s">
        <v>2784</v>
      </c>
      <c r="H76" s="48">
        <v>1.0</v>
      </c>
      <c r="I76" s="81">
        <v>5.0</v>
      </c>
      <c r="J76" s="81">
        <v>0.0</v>
      </c>
      <c r="K76" s="81">
        <v>0.0</v>
      </c>
      <c r="L76" s="81">
        <v>1.0</v>
      </c>
      <c r="M76" s="81" t="s">
        <v>2714</v>
      </c>
      <c r="N76" s="81" t="s">
        <v>1046</v>
      </c>
      <c r="O76" s="81">
        <v>100.0</v>
      </c>
      <c r="P76" s="81" t="s">
        <v>29</v>
      </c>
      <c r="Q76" s="81">
        <v>0.0</v>
      </c>
      <c r="R76" s="46"/>
    </row>
    <row r="77" ht="15.75" customHeight="1">
      <c r="A77" s="211">
        <v>68.0</v>
      </c>
      <c r="B77" s="46" t="s">
        <v>878</v>
      </c>
      <c r="C77" s="46" t="s">
        <v>2830</v>
      </c>
      <c r="D77" s="212" t="s">
        <v>25</v>
      </c>
      <c r="E77" s="212" t="s">
        <v>2827</v>
      </c>
      <c r="F77" s="213" t="s">
        <v>138</v>
      </c>
      <c r="G77" s="222" t="s">
        <v>2775</v>
      </c>
      <c r="H77" s="48">
        <v>4.0</v>
      </c>
      <c r="I77" s="81">
        <v>20.0</v>
      </c>
      <c r="J77" s="81">
        <v>0.0</v>
      </c>
      <c r="K77" s="81">
        <v>0.0</v>
      </c>
      <c r="L77" s="81">
        <v>1.0</v>
      </c>
      <c r="M77" s="81" t="s">
        <v>2714</v>
      </c>
      <c r="N77" s="81" t="s">
        <v>1046</v>
      </c>
      <c r="O77" s="81">
        <v>100.0</v>
      </c>
      <c r="P77" s="81" t="s">
        <v>29</v>
      </c>
      <c r="Q77" s="81">
        <v>0.0</v>
      </c>
      <c r="R77" s="46"/>
    </row>
    <row r="78" ht="15.75" customHeight="1">
      <c r="A78" s="211">
        <v>69.0</v>
      </c>
      <c r="B78" s="46" t="s">
        <v>1134</v>
      </c>
      <c r="C78" s="46" t="s">
        <v>2830</v>
      </c>
      <c r="D78" s="212" t="s">
        <v>25</v>
      </c>
      <c r="E78" s="212" t="s">
        <v>2827</v>
      </c>
      <c r="F78" s="213" t="s">
        <v>138</v>
      </c>
      <c r="G78" s="222" t="s">
        <v>2784</v>
      </c>
      <c r="H78" s="48">
        <v>3.0</v>
      </c>
      <c r="I78" s="81">
        <v>15.0</v>
      </c>
      <c r="J78" s="81">
        <v>0.0</v>
      </c>
      <c r="K78" s="81">
        <v>0.0</v>
      </c>
      <c r="L78" s="81">
        <v>1.0</v>
      </c>
      <c r="M78" s="81" t="s">
        <v>2714</v>
      </c>
      <c r="N78" s="81" t="s">
        <v>1046</v>
      </c>
      <c r="O78" s="81">
        <v>100.0</v>
      </c>
      <c r="P78" s="81" t="s">
        <v>29</v>
      </c>
      <c r="Q78" s="81">
        <v>0.0</v>
      </c>
      <c r="R78" s="46"/>
    </row>
    <row r="79" ht="15.75" customHeight="1">
      <c r="A79" s="211">
        <v>70.0</v>
      </c>
      <c r="B79" s="46" t="s">
        <v>2766</v>
      </c>
      <c r="C79" s="46" t="s">
        <v>2830</v>
      </c>
      <c r="D79" s="212" t="s">
        <v>25</v>
      </c>
      <c r="E79" s="212" t="s">
        <v>2827</v>
      </c>
      <c r="F79" s="213" t="s">
        <v>138</v>
      </c>
      <c r="G79" s="222" t="s">
        <v>2784</v>
      </c>
      <c r="H79" s="48">
        <v>3.0</v>
      </c>
      <c r="I79" s="81">
        <v>15.0</v>
      </c>
      <c r="J79" s="81">
        <v>0.0</v>
      </c>
      <c r="K79" s="81">
        <v>0.0</v>
      </c>
      <c r="L79" s="81">
        <v>1.0</v>
      </c>
      <c r="M79" s="81" t="s">
        <v>2714</v>
      </c>
      <c r="N79" s="81" t="s">
        <v>1046</v>
      </c>
      <c r="O79" s="81">
        <v>100.0</v>
      </c>
      <c r="P79" s="81" t="s">
        <v>29</v>
      </c>
      <c r="Q79" s="81">
        <v>0.0</v>
      </c>
      <c r="R79" s="46"/>
    </row>
    <row r="80" ht="15.75" customHeight="1">
      <c r="A80" s="211">
        <v>71.0</v>
      </c>
      <c r="B80" s="46" t="s">
        <v>2831</v>
      </c>
      <c r="C80" s="46" t="s">
        <v>2832</v>
      </c>
      <c r="D80" s="212" t="s">
        <v>2833</v>
      </c>
      <c r="E80" s="212" t="s">
        <v>2812</v>
      </c>
      <c r="F80" s="213" t="s">
        <v>138</v>
      </c>
      <c r="G80" s="222" t="s">
        <v>2758</v>
      </c>
      <c r="H80" s="48">
        <v>100.0</v>
      </c>
      <c r="I80" s="81">
        <v>500.0</v>
      </c>
      <c r="J80" s="81">
        <v>0.0</v>
      </c>
      <c r="K80" s="81">
        <v>0.0</v>
      </c>
      <c r="L80" s="81">
        <v>1.0</v>
      </c>
      <c r="M80" s="81" t="s">
        <v>2714</v>
      </c>
      <c r="N80" s="81" t="s">
        <v>1046</v>
      </c>
      <c r="O80" s="81">
        <v>300.0</v>
      </c>
      <c r="P80" s="81" t="s">
        <v>29</v>
      </c>
      <c r="Q80" s="81">
        <v>0.0</v>
      </c>
      <c r="R80" s="46"/>
    </row>
    <row r="81" ht="15.75" customHeight="1">
      <c r="A81" s="211">
        <v>72.0</v>
      </c>
      <c r="B81" s="46" t="s">
        <v>2755</v>
      </c>
      <c r="C81" s="46" t="s">
        <v>2834</v>
      </c>
      <c r="D81" s="212" t="s">
        <v>2833</v>
      </c>
      <c r="E81" s="212" t="s">
        <v>2812</v>
      </c>
      <c r="F81" s="213" t="s">
        <v>138</v>
      </c>
      <c r="G81" s="222" t="s">
        <v>2789</v>
      </c>
      <c r="H81" s="48">
        <v>10.0</v>
      </c>
      <c r="I81" s="81">
        <v>50.0</v>
      </c>
      <c r="J81" s="81">
        <v>0.0</v>
      </c>
      <c r="K81" s="81">
        <v>0.0</v>
      </c>
      <c r="L81" s="81">
        <v>1.0</v>
      </c>
      <c r="M81" s="81" t="s">
        <v>2714</v>
      </c>
      <c r="N81" s="81" t="s">
        <v>1046</v>
      </c>
      <c r="O81" s="81">
        <v>300.0</v>
      </c>
      <c r="P81" s="81" t="s">
        <v>29</v>
      </c>
      <c r="Q81" s="81">
        <v>0.0</v>
      </c>
      <c r="R81" s="46"/>
    </row>
    <row r="82" ht="15.75" customHeight="1">
      <c r="A82" s="211">
        <v>73.0</v>
      </c>
      <c r="B82" s="46" t="s">
        <v>2781</v>
      </c>
      <c r="C82" s="46" t="s">
        <v>2834</v>
      </c>
      <c r="D82" s="212" t="s">
        <v>2833</v>
      </c>
      <c r="E82" s="212" t="s">
        <v>2812</v>
      </c>
      <c r="F82" s="213" t="s">
        <v>138</v>
      </c>
      <c r="G82" s="222" t="s">
        <v>2748</v>
      </c>
      <c r="H82" s="48">
        <v>20.0</v>
      </c>
      <c r="I82" s="81">
        <v>100.0</v>
      </c>
      <c r="J82" s="81">
        <v>0.0</v>
      </c>
      <c r="K82" s="81">
        <v>0.0</v>
      </c>
      <c r="L82" s="81">
        <v>4.0</v>
      </c>
      <c r="M82" s="81" t="s">
        <v>2714</v>
      </c>
      <c r="N82" s="81" t="s">
        <v>1046</v>
      </c>
      <c r="O82" s="81">
        <v>200.0</v>
      </c>
      <c r="P82" s="81" t="s">
        <v>29</v>
      </c>
      <c r="Q82" s="81">
        <v>0.0</v>
      </c>
      <c r="R82" s="46"/>
    </row>
    <row r="83" ht="15.75" customHeight="1">
      <c r="A83" s="211">
        <v>74.0</v>
      </c>
      <c r="B83" s="46" t="s">
        <v>1171</v>
      </c>
      <c r="C83" s="46" t="s">
        <v>2834</v>
      </c>
      <c r="D83" s="212" t="s">
        <v>2833</v>
      </c>
      <c r="E83" s="212" t="s">
        <v>2812</v>
      </c>
      <c r="F83" s="213" t="s">
        <v>138</v>
      </c>
      <c r="G83" s="222" t="s">
        <v>2789</v>
      </c>
      <c r="H83" s="48">
        <v>6.0</v>
      </c>
      <c r="I83" s="81">
        <v>30.0</v>
      </c>
      <c r="J83" s="81">
        <v>0.0</v>
      </c>
      <c r="K83" s="81">
        <v>0.0</v>
      </c>
      <c r="L83" s="81">
        <v>11.0</v>
      </c>
      <c r="M83" s="81" t="s">
        <v>2714</v>
      </c>
      <c r="N83" s="81" t="s">
        <v>1046</v>
      </c>
      <c r="O83" s="81">
        <v>200.0</v>
      </c>
      <c r="P83" s="81" t="s">
        <v>29</v>
      </c>
      <c r="Q83" s="81">
        <v>0.0</v>
      </c>
      <c r="R83" s="46"/>
    </row>
    <row r="84" ht="15.75" customHeight="1">
      <c r="A84" s="211">
        <v>75.0</v>
      </c>
      <c r="B84" s="46" t="s">
        <v>2835</v>
      </c>
      <c r="C84" s="46" t="s">
        <v>2836</v>
      </c>
      <c r="D84" s="212" t="s">
        <v>25</v>
      </c>
      <c r="E84" s="212" t="s">
        <v>2837</v>
      </c>
      <c r="F84" s="213" t="s">
        <v>138</v>
      </c>
      <c r="G84" s="222" t="s">
        <v>2758</v>
      </c>
      <c r="H84" s="48">
        <v>84.0</v>
      </c>
      <c r="I84" s="81">
        <v>320.0</v>
      </c>
      <c r="J84" s="81">
        <v>0.0</v>
      </c>
      <c r="K84" s="81">
        <v>0.0</v>
      </c>
      <c r="L84" s="81">
        <v>11.0</v>
      </c>
      <c r="M84" s="81" t="s">
        <v>2714</v>
      </c>
      <c r="N84" s="81" t="s">
        <v>1046</v>
      </c>
      <c r="O84" s="81">
        <v>300.0</v>
      </c>
      <c r="P84" s="81" t="s">
        <v>29</v>
      </c>
      <c r="Q84" s="81">
        <v>0.0</v>
      </c>
      <c r="R84" s="46"/>
    </row>
    <row r="85" ht="15.75" customHeight="1">
      <c r="A85" s="211">
        <v>76.0</v>
      </c>
      <c r="B85" s="46" t="s">
        <v>2801</v>
      </c>
      <c r="C85" s="46" t="s">
        <v>2836</v>
      </c>
      <c r="D85" s="212" t="s">
        <v>25</v>
      </c>
      <c r="E85" s="212" t="s">
        <v>2837</v>
      </c>
      <c r="F85" s="213" t="s">
        <v>138</v>
      </c>
      <c r="G85" s="222" t="s">
        <v>2748</v>
      </c>
      <c r="H85" s="48">
        <v>100.0</v>
      </c>
      <c r="I85" s="81">
        <v>500.0</v>
      </c>
      <c r="J85" s="81">
        <v>0.0</v>
      </c>
      <c r="K85" s="81">
        <v>0.0</v>
      </c>
      <c r="L85" s="81">
        <v>3.0</v>
      </c>
      <c r="M85" s="81" t="s">
        <v>2714</v>
      </c>
      <c r="N85" s="81" t="s">
        <v>1046</v>
      </c>
      <c r="O85" s="81">
        <v>200.0</v>
      </c>
      <c r="P85" s="81" t="s">
        <v>29</v>
      </c>
      <c r="Q85" s="81">
        <v>0.0</v>
      </c>
      <c r="R85" s="46"/>
    </row>
    <row r="86" ht="15.75" customHeight="1">
      <c r="A86" s="211">
        <v>77.0</v>
      </c>
      <c r="B86" s="46" t="s">
        <v>2772</v>
      </c>
      <c r="C86" s="46" t="s">
        <v>2836</v>
      </c>
      <c r="D86" s="212" t="s">
        <v>25</v>
      </c>
      <c r="E86" s="212" t="s">
        <v>2837</v>
      </c>
      <c r="F86" s="213" t="s">
        <v>138</v>
      </c>
      <c r="G86" s="222" t="s">
        <v>2789</v>
      </c>
      <c r="H86" s="48">
        <v>10.0</v>
      </c>
      <c r="I86" s="81">
        <v>50.0</v>
      </c>
      <c r="J86" s="81">
        <v>0.0</v>
      </c>
      <c r="K86" s="81">
        <v>0.0</v>
      </c>
      <c r="L86" s="81">
        <v>1.0</v>
      </c>
      <c r="M86" s="81" t="s">
        <v>2714</v>
      </c>
      <c r="N86" s="81" t="s">
        <v>1046</v>
      </c>
      <c r="O86" s="81">
        <v>300.0</v>
      </c>
      <c r="P86" s="81" t="s">
        <v>29</v>
      </c>
      <c r="Q86" s="81">
        <v>0.0</v>
      </c>
      <c r="R86" s="46"/>
    </row>
    <row r="87" ht="15.75" customHeight="1">
      <c r="A87" s="211">
        <v>78.0</v>
      </c>
      <c r="B87" s="46" t="s">
        <v>2801</v>
      </c>
      <c r="C87" s="46" t="s">
        <v>2838</v>
      </c>
      <c r="D87" s="212" t="s">
        <v>25</v>
      </c>
      <c r="E87" s="212" t="s">
        <v>2837</v>
      </c>
      <c r="F87" s="213" t="s">
        <v>138</v>
      </c>
      <c r="G87" s="222" t="s">
        <v>2748</v>
      </c>
      <c r="H87" s="48">
        <v>20.0</v>
      </c>
      <c r="I87" s="81">
        <v>100.0</v>
      </c>
      <c r="J87" s="81">
        <v>0.0</v>
      </c>
      <c r="K87" s="81">
        <v>0.0</v>
      </c>
      <c r="L87" s="81">
        <v>3.0</v>
      </c>
      <c r="M87" s="81" t="s">
        <v>2714</v>
      </c>
      <c r="N87" s="81" t="s">
        <v>1046</v>
      </c>
      <c r="O87" s="81">
        <v>500.0</v>
      </c>
      <c r="P87" s="81" t="s">
        <v>29</v>
      </c>
      <c r="Q87" s="81">
        <v>0.0</v>
      </c>
      <c r="R87" s="46"/>
    </row>
    <row r="88" ht="15.75" customHeight="1">
      <c r="A88" s="211">
        <v>79.0</v>
      </c>
      <c r="B88" s="46" t="s">
        <v>2839</v>
      </c>
      <c r="C88" s="46" t="s">
        <v>2840</v>
      </c>
      <c r="D88" s="212" t="s">
        <v>25</v>
      </c>
      <c r="E88" s="212" t="s">
        <v>2837</v>
      </c>
      <c r="F88" s="213" t="s">
        <v>138</v>
      </c>
      <c r="G88" s="222" t="s">
        <v>2758</v>
      </c>
      <c r="H88" s="48">
        <v>50.0</v>
      </c>
      <c r="I88" s="81">
        <v>250.0</v>
      </c>
      <c r="J88" s="81">
        <v>0.0</v>
      </c>
      <c r="K88" s="81">
        <v>0.0</v>
      </c>
      <c r="L88" s="81">
        <v>8.0</v>
      </c>
      <c r="M88" s="81" t="s">
        <v>2714</v>
      </c>
      <c r="N88" s="81" t="s">
        <v>1046</v>
      </c>
      <c r="O88" s="81">
        <v>300.0</v>
      </c>
      <c r="P88" s="81" t="s">
        <v>29</v>
      </c>
      <c r="Q88" s="81">
        <v>0.0</v>
      </c>
      <c r="R88" s="46"/>
    </row>
    <row r="89" ht="15.75" customHeight="1">
      <c r="A89" s="211">
        <v>80.0</v>
      </c>
      <c r="B89" s="46" t="s">
        <v>1171</v>
      </c>
      <c r="C89" s="46" t="s">
        <v>2841</v>
      </c>
      <c r="D89" s="212" t="s">
        <v>25</v>
      </c>
      <c r="E89" s="212" t="s">
        <v>2842</v>
      </c>
      <c r="F89" s="213" t="s">
        <v>138</v>
      </c>
      <c r="G89" s="222" t="s">
        <v>2789</v>
      </c>
      <c r="H89" s="48">
        <v>4.0</v>
      </c>
      <c r="I89" s="81">
        <v>20.0</v>
      </c>
      <c r="J89" s="81">
        <v>0.0</v>
      </c>
      <c r="K89" s="81">
        <v>0.0</v>
      </c>
      <c r="L89" s="81">
        <v>2.0</v>
      </c>
      <c r="M89" s="81" t="s">
        <v>2714</v>
      </c>
      <c r="N89" s="81" t="s">
        <v>1046</v>
      </c>
      <c r="O89" s="81">
        <v>200.0</v>
      </c>
      <c r="P89" s="81" t="s">
        <v>29</v>
      </c>
      <c r="Q89" s="81">
        <v>0.0</v>
      </c>
      <c r="R89" s="46"/>
    </row>
    <row r="90" ht="15.75" customHeight="1">
      <c r="A90" s="211">
        <v>81.0</v>
      </c>
      <c r="B90" s="46" t="s">
        <v>2843</v>
      </c>
      <c r="C90" s="46" t="s">
        <v>2841</v>
      </c>
      <c r="D90" s="212" t="s">
        <v>25</v>
      </c>
      <c r="E90" s="212" t="s">
        <v>2842</v>
      </c>
      <c r="F90" s="213" t="s">
        <v>138</v>
      </c>
      <c r="G90" s="222" t="s">
        <v>2758</v>
      </c>
      <c r="H90" s="48">
        <v>20.0</v>
      </c>
      <c r="I90" s="81">
        <v>100.0</v>
      </c>
      <c r="J90" s="81">
        <v>0.0</v>
      </c>
      <c r="K90" s="81">
        <v>0.0</v>
      </c>
      <c r="L90" s="81">
        <v>9.0</v>
      </c>
      <c r="M90" s="81" t="s">
        <v>2714</v>
      </c>
      <c r="N90" s="81" t="s">
        <v>1046</v>
      </c>
      <c r="O90" s="81">
        <v>300.0</v>
      </c>
      <c r="P90" s="81" t="s">
        <v>29</v>
      </c>
      <c r="Q90" s="81">
        <v>0.0</v>
      </c>
      <c r="R90" s="46"/>
    </row>
    <row r="91" ht="15.75" customHeight="1">
      <c r="A91" s="211">
        <v>82.0</v>
      </c>
      <c r="B91" s="46" t="s">
        <v>2772</v>
      </c>
      <c r="C91" s="46" t="s">
        <v>2841</v>
      </c>
      <c r="D91" s="212" t="s">
        <v>25</v>
      </c>
      <c r="E91" s="212" t="s">
        <v>2842</v>
      </c>
      <c r="F91" s="213" t="s">
        <v>138</v>
      </c>
      <c r="G91" s="222" t="s">
        <v>2789</v>
      </c>
      <c r="H91" s="48">
        <v>4.0</v>
      </c>
      <c r="I91" s="81">
        <v>20.0</v>
      </c>
      <c r="J91" s="81">
        <v>0.0</v>
      </c>
      <c r="K91" s="81">
        <v>0.0</v>
      </c>
      <c r="L91" s="81">
        <v>2.0</v>
      </c>
      <c r="M91" s="81" t="s">
        <v>2714</v>
      </c>
      <c r="N91" s="81" t="s">
        <v>1046</v>
      </c>
      <c r="O91" s="81">
        <v>300.0</v>
      </c>
      <c r="P91" s="81" t="s">
        <v>29</v>
      </c>
      <c r="Q91" s="81">
        <v>0.0</v>
      </c>
      <c r="R91" s="46"/>
    </row>
    <row r="92" ht="15.75" customHeight="1">
      <c r="A92" s="211">
        <v>83.0</v>
      </c>
      <c r="B92" s="46" t="s">
        <v>1171</v>
      </c>
      <c r="C92" s="46" t="s">
        <v>2844</v>
      </c>
      <c r="D92" s="212" t="s">
        <v>25</v>
      </c>
      <c r="E92" s="212" t="s">
        <v>2845</v>
      </c>
      <c r="F92" s="213" t="s">
        <v>138</v>
      </c>
      <c r="G92" s="222" t="s">
        <v>2749</v>
      </c>
      <c r="H92" s="48">
        <v>20.0</v>
      </c>
      <c r="I92" s="81">
        <v>100.0</v>
      </c>
      <c r="J92" s="81">
        <v>0.0</v>
      </c>
      <c r="K92" s="81">
        <v>0.0</v>
      </c>
      <c r="L92" s="81">
        <v>3.0</v>
      </c>
      <c r="M92" s="81" t="s">
        <v>2714</v>
      </c>
      <c r="N92" s="81" t="s">
        <v>1046</v>
      </c>
      <c r="O92" s="81">
        <v>200.0</v>
      </c>
      <c r="P92" s="81" t="s">
        <v>29</v>
      </c>
      <c r="Q92" s="81">
        <v>0.0</v>
      </c>
      <c r="R92" s="46"/>
    </row>
    <row r="93" ht="15.75" customHeight="1">
      <c r="A93" s="211">
        <v>84.0</v>
      </c>
      <c r="B93" s="46" t="s">
        <v>1134</v>
      </c>
      <c r="C93" s="46" t="s">
        <v>2844</v>
      </c>
      <c r="D93" s="212" t="s">
        <v>25</v>
      </c>
      <c r="E93" s="212" t="s">
        <v>2845</v>
      </c>
      <c r="F93" s="213" t="s">
        <v>138</v>
      </c>
      <c r="G93" s="222" t="s">
        <v>2846</v>
      </c>
      <c r="H93" s="48">
        <v>10.0</v>
      </c>
      <c r="I93" s="81">
        <v>50.0</v>
      </c>
      <c r="J93" s="81">
        <v>0.0</v>
      </c>
      <c r="K93" s="81">
        <v>0.0</v>
      </c>
      <c r="L93" s="81">
        <v>1.0</v>
      </c>
      <c r="M93" s="81" t="s">
        <v>2714</v>
      </c>
      <c r="N93" s="81" t="s">
        <v>1046</v>
      </c>
      <c r="O93" s="81">
        <v>150.0</v>
      </c>
      <c r="P93" s="81" t="s">
        <v>29</v>
      </c>
      <c r="Q93" s="81">
        <v>0.0</v>
      </c>
      <c r="R93" s="46"/>
    </row>
    <row r="94" ht="15.75" customHeight="1">
      <c r="A94" s="211">
        <v>85.0</v>
      </c>
      <c r="B94" s="46" t="s">
        <v>2847</v>
      </c>
      <c r="C94" s="46" t="s">
        <v>2844</v>
      </c>
      <c r="D94" s="212" t="s">
        <v>25</v>
      </c>
      <c r="E94" s="212" t="s">
        <v>2845</v>
      </c>
      <c r="F94" s="213" t="s">
        <v>138</v>
      </c>
      <c r="G94" s="222" t="s">
        <v>2758</v>
      </c>
      <c r="H94" s="48">
        <v>100.0</v>
      </c>
      <c r="I94" s="81">
        <v>500.0</v>
      </c>
      <c r="J94" s="81">
        <v>0.0</v>
      </c>
      <c r="K94" s="81">
        <v>0.0</v>
      </c>
      <c r="L94" s="81">
        <v>21.0</v>
      </c>
      <c r="M94" s="81" t="s">
        <v>2714</v>
      </c>
      <c r="N94" s="81" t="s">
        <v>1046</v>
      </c>
      <c r="O94" s="81">
        <v>300.0</v>
      </c>
      <c r="P94" s="81" t="s">
        <v>29</v>
      </c>
      <c r="Q94" s="81">
        <v>0.0</v>
      </c>
      <c r="R94" s="46"/>
    </row>
    <row r="95" ht="15.75" customHeight="1">
      <c r="A95" s="211">
        <v>86.0</v>
      </c>
      <c r="B95" s="46" t="s">
        <v>2801</v>
      </c>
      <c r="C95" s="46" t="s">
        <v>2848</v>
      </c>
      <c r="D95" s="212" t="s">
        <v>2833</v>
      </c>
      <c r="E95" s="212" t="s">
        <v>2849</v>
      </c>
      <c r="F95" s="213" t="s">
        <v>138</v>
      </c>
      <c r="G95" s="222" t="s">
        <v>2789</v>
      </c>
      <c r="H95" s="48">
        <v>20.0</v>
      </c>
      <c r="I95" s="81">
        <v>100.0</v>
      </c>
      <c r="J95" s="81">
        <v>0.0</v>
      </c>
      <c r="K95" s="81">
        <v>0.0</v>
      </c>
      <c r="L95" s="81">
        <v>7.0</v>
      </c>
      <c r="M95" s="81" t="s">
        <v>2714</v>
      </c>
      <c r="N95" s="81" t="s">
        <v>1046</v>
      </c>
      <c r="O95" s="81">
        <v>500.0</v>
      </c>
      <c r="P95" s="81" t="s">
        <v>29</v>
      </c>
      <c r="Q95" s="81">
        <v>0.0</v>
      </c>
      <c r="R95" s="46"/>
    </row>
    <row r="96" ht="15.75" customHeight="1">
      <c r="A96" s="211">
        <v>87.0</v>
      </c>
      <c r="B96" s="46" t="s">
        <v>2850</v>
      </c>
      <c r="C96" s="46" t="s">
        <v>2851</v>
      </c>
      <c r="D96" s="212" t="s">
        <v>2833</v>
      </c>
      <c r="E96" s="212" t="s">
        <v>2849</v>
      </c>
      <c r="F96" s="213" t="s">
        <v>138</v>
      </c>
      <c r="G96" s="222" t="s">
        <v>2758</v>
      </c>
      <c r="H96" s="48">
        <v>50.0</v>
      </c>
      <c r="I96" s="81">
        <v>250.0</v>
      </c>
      <c r="J96" s="81">
        <v>0.0</v>
      </c>
      <c r="K96" s="81">
        <v>0.0</v>
      </c>
      <c r="L96" s="81">
        <v>17.0</v>
      </c>
      <c r="M96" s="81" t="s">
        <v>2714</v>
      </c>
      <c r="N96" s="81" t="s">
        <v>1046</v>
      </c>
      <c r="O96" s="81">
        <v>300.0</v>
      </c>
      <c r="P96" s="81" t="s">
        <v>29</v>
      </c>
      <c r="Q96" s="81">
        <v>0.0</v>
      </c>
      <c r="R96" s="46"/>
    </row>
    <row r="97" ht="15.75" customHeight="1">
      <c r="A97" s="211">
        <v>88.0</v>
      </c>
      <c r="B97" s="46" t="s">
        <v>2801</v>
      </c>
      <c r="C97" s="46" t="s">
        <v>2852</v>
      </c>
      <c r="D97" s="212" t="s">
        <v>25</v>
      </c>
      <c r="E97" s="212" t="s">
        <v>2853</v>
      </c>
      <c r="F97" s="213" t="s">
        <v>138</v>
      </c>
      <c r="G97" s="222" t="s">
        <v>2748</v>
      </c>
      <c r="H97" s="48">
        <v>30.0</v>
      </c>
      <c r="I97" s="81">
        <v>300.0</v>
      </c>
      <c r="J97" s="81">
        <v>0.0</v>
      </c>
      <c r="K97" s="81">
        <v>0.0</v>
      </c>
      <c r="L97" s="81">
        <v>7.0</v>
      </c>
      <c r="M97" s="81" t="s">
        <v>2714</v>
      </c>
      <c r="N97" s="81" t="s">
        <v>1046</v>
      </c>
      <c r="O97" s="81">
        <v>200.0</v>
      </c>
      <c r="P97" s="81" t="s">
        <v>29</v>
      </c>
      <c r="Q97" s="81">
        <v>0.0</v>
      </c>
      <c r="R97" s="46"/>
    </row>
    <row r="98" ht="15.75" customHeight="1">
      <c r="A98" s="211">
        <v>89.0</v>
      </c>
      <c r="B98" s="46" t="s">
        <v>2772</v>
      </c>
      <c r="C98" s="46" t="s">
        <v>2852</v>
      </c>
      <c r="D98" s="212" t="s">
        <v>25</v>
      </c>
      <c r="E98" s="212" t="s">
        <v>2853</v>
      </c>
      <c r="F98" s="213" t="s">
        <v>138</v>
      </c>
      <c r="G98" s="222" t="s">
        <v>2784</v>
      </c>
      <c r="H98" s="48">
        <v>20.0</v>
      </c>
      <c r="I98" s="81">
        <v>200.0</v>
      </c>
      <c r="J98" s="81">
        <v>0.0</v>
      </c>
      <c r="K98" s="81">
        <v>0.0</v>
      </c>
      <c r="L98" s="81">
        <v>1.0</v>
      </c>
      <c r="M98" s="81" t="s">
        <v>2714</v>
      </c>
      <c r="N98" s="81" t="s">
        <v>1046</v>
      </c>
      <c r="O98" s="81">
        <v>300.0</v>
      </c>
      <c r="P98" s="81" t="s">
        <v>29</v>
      </c>
      <c r="Q98" s="81">
        <v>0.0</v>
      </c>
      <c r="R98" s="46"/>
    </row>
    <row r="99" ht="15.75" customHeight="1">
      <c r="A99" s="211">
        <v>90.0</v>
      </c>
      <c r="B99" s="46" t="s">
        <v>2854</v>
      </c>
      <c r="C99" s="46" t="s">
        <v>2852</v>
      </c>
      <c r="D99" s="212" t="s">
        <v>25</v>
      </c>
      <c r="E99" s="212" t="s">
        <v>2853</v>
      </c>
      <c r="F99" s="213" t="s">
        <v>138</v>
      </c>
      <c r="G99" s="222" t="s">
        <v>2748</v>
      </c>
      <c r="H99" s="48">
        <v>200.0</v>
      </c>
      <c r="I99" s="81">
        <v>1000.0</v>
      </c>
      <c r="J99" s="81">
        <v>0.0</v>
      </c>
      <c r="K99" s="81">
        <v>0.0</v>
      </c>
      <c r="L99" s="81">
        <v>10.0</v>
      </c>
      <c r="M99" s="81" t="s">
        <v>2714</v>
      </c>
      <c r="N99" s="81" t="s">
        <v>1046</v>
      </c>
      <c r="O99" s="81">
        <v>300.0</v>
      </c>
      <c r="P99" s="81" t="s">
        <v>29</v>
      </c>
      <c r="Q99" s="81">
        <v>0.0</v>
      </c>
      <c r="R99" s="46"/>
    </row>
    <row r="100" ht="15.75" customHeight="1">
      <c r="A100" s="211">
        <v>91.0</v>
      </c>
      <c r="B100" s="46" t="s">
        <v>2801</v>
      </c>
      <c r="C100" s="46" t="s">
        <v>2855</v>
      </c>
      <c r="D100" s="212" t="s">
        <v>25</v>
      </c>
      <c r="E100" s="212" t="s">
        <v>2853</v>
      </c>
      <c r="F100" s="213" t="s">
        <v>138</v>
      </c>
      <c r="G100" s="222" t="s">
        <v>2748</v>
      </c>
      <c r="H100" s="48">
        <v>10.0</v>
      </c>
      <c r="I100" s="81">
        <v>50.0</v>
      </c>
      <c r="J100" s="81">
        <v>0.0</v>
      </c>
      <c r="K100" s="81">
        <v>0.0</v>
      </c>
      <c r="L100" s="81">
        <v>2.0</v>
      </c>
      <c r="M100" s="81" t="s">
        <v>2714</v>
      </c>
      <c r="N100" s="81" t="s">
        <v>1046</v>
      </c>
      <c r="O100" s="81">
        <v>200.0</v>
      </c>
      <c r="P100" s="81" t="s">
        <v>29</v>
      </c>
      <c r="Q100" s="81">
        <v>0.0</v>
      </c>
      <c r="R100" s="46"/>
    </row>
    <row r="101" ht="15.75" customHeight="1">
      <c r="A101" s="211">
        <v>92.0</v>
      </c>
      <c r="B101" s="46" t="s">
        <v>2772</v>
      </c>
      <c r="C101" s="46" t="s">
        <v>2855</v>
      </c>
      <c r="D101" s="212" t="s">
        <v>25</v>
      </c>
      <c r="E101" s="212" t="s">
        <v>2853</v>
      </c>
      <c r="F101" s="213" t="s">
        <v>138</v>
      </c>
      <c r="G101" s="222" t="s">
        <v>2784</v>
      </c>
      <c r="H101" s="48">
        <v>20.0</v>
      </c>
      <c r="I101" s="81">
        <v>100.0</v>
      </c>
      <c r="J101" s="81">
        <v>0.0</v>
      </c>
      <c r="K101" s="81">
        <v>0.0</v>
      </c>
      <c r="L101" s="81">
        <v>1.0</v>
      </c>
      <c r="M101" s="81" t="s">
        <v>2714</v>
      </c>
      <c r="N101" s="81" t="s">
        <v>1046</v>
      </c>
      <c r="O101" s="81">
        <v>300.0</v>
      </c>
      <c r="P101" s="81" t="s">
        <v>29</v>
      </c>
      <c r="Q101" s="81">
        <v>0.0</v>
      </c>
      <c r="R101" s="46"/>
    </row>
    <row r="102" ht="15.75" customHeight="1">
      <c r="A102" s="211">
        <v>93.0</v>
      </c>
      <c r="B102" s="46" t="s">
        <v>1142</v>
      </c>
      <c r="C102" s="46" t="s">
        <v>2855</v>
      </c>
      <c r="D102" s="212" t="s">
        <v>25</v>
      </c>
      <c r="E102" s="212" t="s">
        <v>2853</v>
      </c>
      <c r="F102" s="213" t="s">
        <v>138</v>
      </c>
      <c r="G102" s="222" t="s">
        <v>2775</v>
      </c>
      <c r="H102" s="48">
        <v>4.0</v>
      </c>
      <c r="I102" s="81">
        <v>20.0</v>
      </c>
      <c r="J102" s="81">
        <v>0.0</v>
      </c>
      <c r="K102" s="81">
        <v>0.0</v>
      </c>
      <c r="L102" s="81">
        <v>1.0</v>
      </c>
      <c r="M102" s="81" t="s">
        <v>2714</v>
      </c>
      <c r="N102" s="81" t="s">
        <v>1046</v>
      </c>
      <c r="O102" s="81">
        <v>150.0</v>
      </c>
      <c r="P102" s="81" t="s">
        <v>29</v>
      </c>
      <c r="Q102" s="81">
        <v>0.0</v>
      </c>
      <c r="R102" s="46"/>
    </row>
    <row r="103" ht="15.75" customHeight="1">
      <c r="A103" s="211">
        <v>94.0</v>
      </c>
      <c r="B103" s="46" t="s">
        <v>2856</v>
      </c>
      <c r="C103" s="46" t="s">
        <v>2857</v>
      </c>
      <c r="D103" s="212" t="s">
        <v>25</v>
      </c>
      <c r="E103" s="212" t="s">
        <v>2853</v>
      </c>
      <c r="F103" s="213" t="s">
        <v>138</v>
      </c>
      <c r="G103" s="222" t="s">
        <v>2758</v>
      </c>
      <c r="H103" s="48">
        <v>140.0</v>
      </c>
      <c r="I103" s="81">
        <v>700.0</v>
      </c>
      <c r="J103" s="81">
        <v>0.0</v>
      </c>
      <c r="K103" s="81">
        <v>0.0</v>
      </c>
      <c r="L103" s="81">
        <v>16.0</v>
      </c>
      <c r="M103" s="81" t="s">
        <v>2714</v>
      </c>
      <c r="N103" s="81" t="s">
        <v>1046</v>
      </c>
      <c r="O103" s="81">
        <v>300.0</v>
      </c>
      <c r="P103" s="81" t="s">
        <v>29</v>
      </c>
      <c r="Q103" s="81">
        <v>0.0</v>
      </c>
      <c r="R103" s="46"/>
    </row>
    <row r="104" ht="15.75" customHeight="1">
      <c r="A104" s="211">
        <v>95.0</v>
      </c>
      <c r="B104" s="46" t="s">
        <v>2858</v>
      </c>
      <c r="C104" s="46" t="s">
        <v>2859</v>
      </c>
      <c r="D104" s="212" t="s">
        <v>2833</v>
      </c>
      <c r="E104" s="212" t="s">
        <v>2728</v>
      </c>
      <c r="F104" s="213" t="s">
        <v>138</v>
      </c>
      <c r="G104" s="222" t="s">
        <v>2860</v>
      </c>
      <c r="H104" s="48">
        <v>380.0</v>
      </c>
      <c r="I104" s="81">
        <v>1900.0</v>
      </c>
      <c r="J104" s="81">
        <v>0.0</v>
      </c>
      <c r="K104" s="81">
        <v>0.0</v>
      </c>
      <c r="L104" s="81">
        <v>52.0</v>
      </c>
      <c r="M104" s="81" t="s">
        <v>2714</v>
      </c>
      <c r="N104" s="81" t="s">
        <v>1046</v>
      </c>
      <c r="O104" s="81">
        <v>500.0</v>
      </c>
      <c r="P104" s="81" t="s">
        <v>29</v>
      </c>
      <c r="Q104" s="81">
        <v>0.0</v>
      </c>
      <c r="R104" s="46"/>
    </row>
    <row r="105" ht="15.75" customHeight="1">
      <c r="A105" s="211">
        <v>96.0</v>
      </c>
      <c r="B105" s="46" t="s">
        <v>1171</v>
      </c>
      <c r="C105" s="46" t="s">
        <v>2861</v>
      </c>
      <c r="D105" s="212" t="s">
        <v>2833</v>
      </c>
      <c r="E105" s="212" t="s">
        <v>2728</v>
      </c>
      <c r="F105" s="213" t="s">
        <v>138</v>
      </c>
      <c r="G105" s="222" t="s">
        <v>2749</v>
      </c>
      <c r="H105" s="48">
        <v>8.0</v>
      </c>
      <c r="I105" s="81">
        <v>40.0</v>
      </c>
      <c r="J105" s="81">
        <v>0.0</v>
      </c>
      <c r="K105" s="81">
        <v>0.0</v>
      </c>
      <c r="L105" s="81">
        <v>4.0</v>
      </c>
      <c r="M105" s="81" t="s">
        <v>2714</v>
      </c>
      <c r="N105" s="81" t="s">
        <v>1046</v>
      </c>
      <c r="O105" s="81">
        <v>200.0</v>
      </c>
      <c r="P105" s="81" t="s">
        <v>29</v>
      </c>
      <c r="Q105" s="81">
        <v>0.0</v>
      </c>
      <c r="R105" s="46"/>
    </row>
    <row r="106" ht="15.75" customHeight="1">
      <c r="A106" s="211">
        <v>97.0</v>
      </c>
      <c r="B106" s="46" t="s">
        <v>1134</v>
      </c>
      <c r="C106" s="46" t="s">
        <v>2861</v>
      </c>
      <c r="D106" s="212" t="s">
        <v>2833</v>
      </c>
      <c r="E106" s="212" t="s">
        <v>2728</v>
      </c>
      <c r="F106" s="213" t="s">
        <v>138</v>
      </c>
      <c r="G106" s="222" t="s">
        <v>2775</v>
      </c>
      <c r="H106" s="48">
        <v>4.0</v>
      </c>
      <c r="I106" s="81">
        <v>20.0</v>
      </c>
      <c r="J106" s="81">
        <v>0.0</v>
      </c>
      <c r="K106" s="81">
        <v>0.0</v>
      </c>
      <c r="L106" s="81">
        <v>2.0</v>
      </c>
      <c r="M106" s="81" t="s">
        <v>2714</v>
      </c>
      <c r="N106" s="81" t="s">
        <v>1046</v>
      </c>
      <c r="O106" s="81">
        <v>150.0</v>
      </c>
      <c r="P106" s="81" t="s">
        <v>29</v>
      </c>
      <c r="Q106" s="81">
        <v>0.0</v>
      </c>
      <c r="R106" s="46"/>
    </row>
    <row r="107" ht="15.75" customHeight="1">
      <c r="A107" s="211">
        <v>98.0</v>
      </c>
      <c r="B107" s="46" t="s">
        <v>1171</v>
      </c>
      <c r="C107" s="46" t="s">
        <v>2862</v>
      </c>
      <c r="D107" s="212" t="s">
        <v>25</v>
      </c>
      <c r="E107" s="212" t="s">
        <v>2863</v>
      </c>
      <c r="F107" s="213" t="s">
        <v>138</v>
      </c>
      <c r="G107" s="222" t="s">
        <v>2749</v>
      </c>
      <c r="H107" s="48">
        <v>6.0</v>
      </c>
      <c r="I107" s="81">
        <v>30.0</v>
      </c>
      <c r="J107" s="81">
        <v>0.0</v>
      </c>
      <c r="K107" s="81">
        <v>0.0</v>
      </c>
      <c r="L107" s="81">
        <v>1.0</v>
      </c>
      <c r="M107" s="81" t="s">
        <v>2714</v>
      </c>
      <c r="N107" s="81" t="s">
        <v>1046</v>
      </c>
      <c r="O107" s="81">
        <v>200.0</v>
      </c>
      <c r="P107" s="81" t="s">
        <v>29</v>
      </c>
      <c r="Q107" s="81">
        <v>0.0</v>
      </c>
      <c r="R107" s="46"/>
    </row>
    <row r="108" ht="15.75" customHeight="1">
      <c r="A108" s="211">
        <v>99.0</v>
      </c>
      <c r="B108" s="46" t="s">
        <v>2772</v>
      </c>
      <c r="C108" s="46" t="s">
        <v>2862</v>
      </c>
      <c r="D108" s="212" t="s">
        <v>25</v>
      </c>
      <c r="E108" s="212" t="s">
        <v>2863</v>
      </c>
      <c r="F108" s="213" t="s">
        <v>138</v>
      </c>
      <c r="G108" s="222" t="s">
        <v>2789</v>
      </c>
      <c r="H108" s="48">
        <v>8.0</v>
      </c>
      <c r="I108" s="81">
        <v>40.0</v>
      </c>
      <c r="J108" s="81">
        <v>0.0</v>
      </c>
      <c r="K108" s="81">
        <v>0.0</v>
      </c>
      <c r="L108" s="81">
        <v>1.0</v>
      </c>
      <c r="M108" s="81" t="s">
        <v>2714</v>
      </c>
      <c r="N108" s="81" t="s">
        <v>1046</v>
      </c>
      <c r="O108" s="81">
        <v>300.0</v>
      </c>
      <c r="P108" s="81" t="s">
        <v>29</v>
      </c>
      <c r="Q108" s="81">
        <v>0.0</v>
      </c>
      <c r="R108" s="46"/>
    </row>
    <row r="109" ht="15.75" customHeight="1">
      <c r="A109" s="211">
        <v>100.0</v>
      </c>
      <c r="B109" s="46" t="s">
        <v>2864</v>
      </c>
      <c r="C109" s="46" t="s">
        <v>2865</v>
      </c>
      <c r="D109" s="212" t="s">
        <v>25</v>
      </c>
      <c r="E109" s="212" t="s">
        <v>2863</v>
      </c>
      <c r="F109" s="213" t="s">
        <v>138</v>
      </c>
      <c r="G109" s="222" t="s">
        <v>2758</v>
      </c>
      <c r="H109" s="48">
        <v>200.0</v>
      </c>
      <c r="I109" s="81">
        <v>1000.0</v>
      </c>
      <c r="J109" s="81">
        <v>0.0</v>
      </c>
      <c r="K109" s="81">
        <v>0.0</v>
      </c>
      <c r="L109" s="81">
        <v>24.0</v>
      </c>
      <c r="M109" s="81" t="s">
        <v>2714</v>
      </c>
      <c r="N109" s="81" t="s">
        <v>1046</v>
      </c>
      <c r="O109" s="81">
        <v>300.0</v>
      </c>
      <c r="P109" s="81" t="s">
        <v>29</v>
      </c>
      <c r="Q109" s="81">
        <v>0.0</v>
      </c>
      <c r="R109" s="46"/>
    </row>
    <row r="110" ht="15.75" customHeight="1">
      <c r="A110" s="211">
        <v>101.0</v>
      </c>
      <c r="B110" s="46" t="s">
        <v>2866</v>
      </c>
      <c r="C110" s="46" t="s">
        <v>2867</v>
      </c>
      <c r="D110" s="212" t="s">
        <v>25</v>
      </c>
      <c r="E110" s="212" t="s">
        <v>2868</v>
      </c>
      <c r="F110" s="213" t="s">
        <v>138</v>
      </c>
      <c r="G110" s="222" t="s">
        <v>2749</v>
      </c>
      <c r="H110" s="48">
        <v>6.0</v>
      </c>
      <c r="I110" s="81">
        <v>30.0</v>
      </c>
      <c r="J110" s="81">
        <v>0.0</v>
      </c>
      <c r="K110" s="81">
        <v>0.0</v>
      </c>
      <c r="L110" s="81">
        <v>1.0</v>
      </c>
      <c r="M110" s="81" t="s">
        <v>2714</v>
      </c>
      <c r="N110" s="81" t="s">
        <v>1046</v>
      </c>
      <c r="O110" s="81">
        <v>200.0</v>
      </c>
      <c r="P110" s="81" t="s">
        <v>29</v>
      </c>
      <c r="Q110" s="81">
        <v>0.0</v>
      </c>
      <c r="R110" s="46"/>
    </row>
    <row r="111" ht="15.75" customHeight="1">
      <c r="A111" s="211">
        <v>102.0</v>
      </c>
      <c r="B111" s="46" t="s">
        <v>2772</v>
      </c>
      <c r="C111" s="46" t="s">
        <v>2867</v>
      </c>
      <c r="D111" s="212" t="s">
        <v>25</v>
      </c>
      <c r="E111" s="212" t="s">
        <v>2869</v>
      </c>
      <c r="F111" s="213" t="s">
        <v>138</v>
      </c>
      <c r="G111" s="222" t="s">
        <v>2756</v>
      </c>
      <c r="H111" s="48">
        <v>20.0</v>
      </c>
      <c r="I111" s="81">
        <v>100.0</v>
      </c>
      <c r="J111" s="81">
        <v>0.0</v>
      </c>
      <c r="K111" s="81">
        <v>0.0</v>
      </c>
      <c r="L111" s="81">
        <v>1.0</v>
      </c>
      <c r="M111" s="81" t="s">
        <v>2714</v>
      </c>
      <c r="N111" s="81" t="s">
        <v>1046</v>
      </c>
      <c r="O111" s="81">
        <v>300.0</v>
      </c>
      <c r="P111" s="81" t="s">
        <v>29</v>
      </c>
      <c r="Q111" s="81">
        <v>0.0</v>
      </c>
      <c r="R111" s="46"/>
    </row>
    <row r="112" ht="15.75" customHeight="1">
      <c r="A112" s="211">
        <v>103.0</v>
      </c>
      <c r="B112" s="46" t="s">
        <v>2870</v>
      </c>
      <c r="C112" s="46" t="s">
        <v>2871</v>
      </c>
      <c r="D112" s="212" t="s">
        <v>25</v>
      </c>
      <c r="E112" s="212" t="s">
        <v>2869</v>
      </c>
      <c r="F112" s="213" t="s">
        <v>138</v>
      </c>
      <c r="G112" s="222" t="s">
        <v>2756</v>
      </c>
      <c r="H112" s="48">
        <v>3.0</v>
      </c>
      <c r="I112" s="81">
        <v>15.0</v>
      </c>
      <c r="J112" s="81">
        <v>0.0</v>
      </c>
      <c r="K112" s="81">
        <v>0.0</v>
      </c>
      <c r="L112" s="81">
        <v>1.0</v>
      </c>
      <c r="M112" s="81" t="s">
        <v>2714</v>
      </c>
      <c r="N112" s="81" t="s">
        <v>1046</v>
      </c>
      <c r="O112" s="81">
        <v>300.0</v>
      </c>
      <c r="P112" s="81" t="s">
        <v>29</v>
      </c>
      <c r="Q112" s="81">
        <v>0.0</v>
      </c>
      <c r="R112" s="46"/>
    </row>
    <row r="113" ht="15.75" customHeight="1">
      <c r="A113" s="211">
        <v>104.0</v>
      </c>
      <c r="B113" s="46" t="s">
        <v>2872</v>
      </c>
      <c r="C113" s="46" t="s">
        <v>2867</v>
      </c>
      <c r="D113" s="212" t="s">
        <v>25</v>
      </c>
      <c r="E113" s="212" t="s">
        <v>2869</v>
      </c>
      <c r="F113" s="213" t="s">
        <v>138</v>
      </c>
      <c r="G113" s="222" t="s">
        <v>2758</v>
      </c>
      <c r="H113" s="48">
        <v>30.0</v>
      </c>
      <c r="I113" s="81">
        <v>150.0</v>
      </c>
      <c r="J113" s="81">
        <v>0.0</v>
      </c>
      <c r="K113" s="81">
        <v>0.0</v>
      </c>
      <c r="L113" s="81">
        <v>18.0</v>
      </c>
      <c r="M113" s="81" t="s">
        <v>2714</v>
      </c>
      <c r="N113" s="81" t="s">
        <v>1046</v>
      </c>
      <c r="O113" s="81">
        <v>300.0</v>
      </c>
      <c r="P113" s="81" t="s">
        <v>29</v>
      </c>
      <c r="Q113" s="81">
        <v>0.0</v>
      </c>
      <c r="R113" s="46"/>
    </row>
    <row r="114" ht="15.75" customHeight="1">
      <c r="A114" s="211">
        <v>105.0</v>
      </c>
      <c r="B114" s="46" t="s">
        <v>2873</v>
      </c>
      <c r="C114" s="46" t="s">
        <v>2874</v>
      </c>
      <c r="D114" s="212" t="s">
        <v>25</v>
      </c>
      <c r="E114" s="212" t="s">
        <v>2869</v>
      </c>
      <c r="F114" s="213" t="s">
        <v>138</v>
      </c>
      <c r="G114" s="222" t="s">
        <v>2860</v>
      </c>
      <c r="H114" s="48">
        <v>40.0</v>
      </c>
      <c r="I114" s="81">
        <v>200.0</v>
      </c>
      <c r="J114" s="81">
        <v>0.0</v>
      </c>
      <c r="K114" s="81">
        <v>0.0</v>
      </c>
      <c r="L114" s="81">
        <v>14.0</v>
      </c>
      <c r="M114" s="81" t="s">
        <v>2714</v>
      </c>
      <c r="N114" s="81" t="s">
        <v>1046</v>
      </c>
      <c r="O114" s="81">
        <v>300.0</v>
      </c>
      <c r="P114" s="81" t="s">
        <v>29</v>
      </c>
      <c r="Q114" s="81">
        <v>0.0</v>
      </c>
      <c r="R114" s="46"/>
    </row>
    <row r="115" ht="15.75" customHeight="1">
      <c r="A115" s="211">
        <v>106.0</v>
      </c>
      <c r="B115" s="46" t="s">
        <v>2875</v>
      </c>
      <c r="C115" s="46" t="s">
        <v>2867</v>
      </c>
      <c r="D115" s="212" t="s">
        <v>25</v>
      </c>
      <c r="E115" s="212" t="s">
        <v>2869</v>
      </c>
      <c r="F115" s="213" t="s">
        <v>138</v>
      </c>
      <c r="G115" s="222" t="s">
        <v>2748</v>
      </c>
      <c r="H115" s="48">
        <v>10.0</v>
      </c>
      <c r="I115" s="81">
        <v>50.0</v>
      </c>
      <c r="J115" s="81">
        <v>0.0</v>
      </c>
      <c r="K115" s="81">
        <v>0.0</v>
      </c>
      <c r="L115" s="81">
        <v>3.0</v>
      </c>
      <c r="M115" s="81" t="s">
        <v>2714</v>
      </c>
      <c r="N115" s="81" t="s">
        <v>1046</v>
      </c>
      <c r="O115" s="81">
        <v>500.0</v>
      </c>
      <c r="P115" s="81" t="s">
        <v>29</v>
      </c>
      <c r="Q115" s="81">
        <v>0.0</v>
      </c>
      <c r="R115" s="46"/>
    </row>
    <row r="116" ht="15.75" customHeight="1">
      <c r="A116" s="211">
        <v>107.0</v>
      </c>
      <c r="B116" s="46" t="s">
        <v>2781</v>
      </c>
      <c r="C116" s="46" t="s">
        <v>2867</v>
      </c>
      <c r="D116" s="212" t="s">
        <v>25</v>
      </c>
      <c r="E116" s="212" t="s">
        <v>2869</v>
      </c>
      <c r="F116" s="213" t="s">
        <v>138</v>
      </c>
      <c r="G116" s="222" t="s">
        <v>2748</v>
      </c>
      <c r="H116" s="48">
        <v>40.0</v>
      </c>
      <c r="I116" s="81">
        <v>200.0</v>
      </c>
      <c r="J116" s="81">
        <v>0.0</v>
      </c>
      <c r="K116" s="81">
        <v>0.0</v>
      </c>
      <c r="L116" s="81">
        <v>2.0</v>
      </c>
      <c r="M116" s="81" t="s">
        <v>2714</v>
      </c>
      <c r="N116" s="81" t="s">
        <v>1046</v>
      </c>
      <c r="O116" s="81">
        <v>500.0</v>
      </c>
      <c r="P116" s="81" t="s">
        <v>29</v>
      </c>
      <c r="Q116" s="81">
        <v>0.0</v>
      </c>
      <c r="R116" s="46"/>
    </row>
    <row r="117" ht="15.75" customHeight="1">
      <c r="A117" s="211">
        <v>108.0</v>
      </c>
      <c r="B117" s="46" t="s">
        <v>1139</v>
      </c>
      <c r="C117" s="46" t="s">
        <v>2876</v>
      </c>
      <c r="D117" s="212" t="s">
        <v>25</v>
      </c>
      <c r="E117" s="212" t="s">
        <v>2877</v>
      </c>
      <c r="F117" s="213" t="s">
        <v>138</v>
      </c>
      <c r="G117" s="222" t="s">
        <v>2749</v>
      </c>
      <c r="H117" s="48">
        <v>20.0</v>
      </c>
      <c r="I117" s="81">
        <v>100.0</v>
      </c>
      <c r="J117" s="81">
        <v>0.0</v>
      </c>
      <c r="K117" s="81">
        <v>0.0</v>
      </c>
      <c r="L117" s="81">
        <v>3.0</v>
      </c>
      <c r="M117" s="81" t="s">
        <v>2714</v>
      </c>
      <c r="N117" s="81" t="s">
        <v>1046</v>
      </c>
      <c r="O117" s="81">
        <v>500.0</v>
      </c>
      <c r="P117" s="81" t="s">
        <v>29</v>
      </c>
      <c r="Q117" s="81">
        <v>0.0</v>
      </c>
      <c r="R117" s="46"/>
    </row>
    <row r="118" ht="15.75" customHeight="1">
      <c r="A118" s="211">
        <v>109.0</v>
      </c>
      <c r="B118" s="46" t="s">
        <v>1171</v>
      </c>
      <c r="C118" s="46" t="s">
        <v>2878</v>
      </c>
      <c r="D118" s="212" t="s">
        <v>25</v>
      </c>
      <c r="E118" s="212" t="s">
        <v>2863</v>
      </c>
      <c r="F118" s="213" t="s">
        <v>138</v>
      </c>
      <c r="G118" s="222" t="s">
        <v>2749</v>
      </c>
      <c r="H118" s="48">
        <v>12.0</v>
      </c>
      <c r="I118" s="81">
        <v>70.0</v>
      </c>
      <c r="J118" s="81">
        <v>0.0</v>
      </c>
      <c r="K118" s="81">
        <v>0.0</v>
      </c>
      <c r="L118" s="81">
        <v>3.0</v>
      </c>
      <c r="M118" s="81" t="s">
        <v>2714</v>
      </c>
      <c r="N118" s="81" t="s">
        <v>1046</v>
      </c>
      <c r="O118" s="81">
        <v>200.0</v>
      </c>
      <c r="P118" s="81" t="s">
        <v>29</v>
      </c>
      <c r="Q118" s="81">
        <v>0.0</v>
      </c>
      <c r="R118" s="46"/>
    </row>
    <row r="119" ht="15.75" customHeight="1">
      <c r="A119" s="211">
        <v>110.0</v>
      </c>
      <c r="B119" s="46" t="s">
        <v>2879</v>
      </c>
      <c r="C119" s="46" t="s">
        <v>2880</v>
      </c>
      <c r="D119" s="212" t="s">
        <v>25</v>
      </c>
      <c r="E119" s="212" t="s">
        <v>2863</v>
      </c>
      <c r="F119" s="213" t="s">
        <v>138</v>
      </c>
      <c r="G119" s="222" t="s">
        <v>2758</v>
      </c>
      <c r="H119" s="48">
        <v>50.0</v>
      </c>
      <c r="I119" s="81">
        <v>250.0</v>
      </c>
      <c r="J119" s="81">
        <v>0.0</v>
      </c>
      <c r="K119" s="81">
        <v>0.0</v>
      </c>
      <c r="L119" s="81">
        <v>8.0</v>
      </c>
      <c r="M119" s="81" t="s">
        <v>2714</v>
      </c>
      <c r="N119" s="81" t="s">
        <v>1046</v>
      </c>
      <c r="O119" s="81">
        <v>300.0</v>
      </c>
      <c r="P119" s="81" t="s">
        <v>29</v>
      </c>
      <c r="Q119" s="81">
        <v>0.0</v>
      </c>
      <c r="R119" s="46"/>
    </row>
    <row r="120" ht="15.75" customHeight="1">
      <c r="A120" s="211">
        <v>111.0</v>
      </c>
      <c r="B120" s="46" t="s">
        <v>2881</v>
      </c>
      <c r="C120" s="46" t="s">
        <v>2882</v>
      </c>
      <c r="D120" s="212" t="s">
        <v>25</v>
      </c>
      <c r="E120" s="212" t="s">
        <v>2863</v>
      </c>
      <c r="F120" s="213" t="s">
        <v>138</v>
      </c>
      <c r="G120" s="222" t="s">
        <v>2789</v>
      </c>
      <c r="H120" s="48">
        <v>9.0</v>
      </c>
      <c r="I120" s="81">
        <v>45.0</v>
      </c>
      <c r="J120" s="81">
        <v>0.0</v>
      </c>
      <c r="K120" s="81">
        <v>0.0</v>
      </c>
      <c r="L120" s="81">
        <v>1.0</v>
      </c>
      <c r="M120" s="81" t="s">
        <v>2714</v>
      </c>
      <c r="N120" s="81" t="s">
        <v>1046</v>
      </c>
      <c r="O120" s="81">
        <v>300.0</v>
      </c>
      <c r="P120" s="81" t="s">
        <v>29</v>
      </c>
      <c r="Q120" s="81">
        <v>0.0</v>
      </c>
      <c r="R120" s="46"/>
    </row>
    <row r="121" ht="15.75" customHeight="1">
      <c r="A121" s="211">
        <v>112.0</v>
      </c>
      <c r="B121" s="46" t="s">
        <v>2801</v>
      </c>
      <c r="C121" s="46" t="s">
        <v>2883</v>
      </c>
      <c r="D121" s="212" t="s">
        <v>25</v>
      </c>
      <c r="E121" s="212" t="s">
        <v>2816</v>
      </c>
      <c r="F121" s="213" t="s">
        <v>138</v>
      </c>
      <c r="G121" s="222" t="s">
        <v>2748</v>
      </c>
      <c r="H121" s="48">
        <v>100.0</v>
      </c>
      <c r="I121" s="81">
        <v>500.0</v>
      </c>
      <c r="J121" s="81">
        <v>0.0</v>
      </c>
      <c r="K121" s="81">
        <v>0.0</v>
      </c>
      <c r="L121" s="81">
        <v>1.0</v>
      </c>
      <c r="M121" s="81" t="s">
        <v>2714</v>
      </c>
      <c r="N121" s="81" t="s">
        <v>1046</v>
      </c>
      <c r="O121" s="81">
        <v>500.0</v>
      </c>
      <c r="P121" s="81" t="s">
        <v>29</v>
      </c>
      <c r="Q121" s="81">
        <v>0.0</v>
      </c>
      <c r="R121" s="46"/>
    </row>
    <row r="122" ht="15.75" customHeight="1">
      <c r="A122" s="211">
        <v>113.0</v>
      </c>
      <c r="B122" s="46" t="s">
        <v>2881</v>
      </c>
      <c r="C122" s="46" t="s">
        <v>2883</v>
      </c>
      <c r="D122" s="212" t="s">
        <v>25</v>
      </c>
      <c r="E122" s="212" t="s">
        <v>2816</v>
      </c>
      <c r="F122" s="213" t="s">
        <v>138</v>
      </c>
      <c r="G122" s="222" t="s">
        <v>2789</v>
      </c>
      <c r="H122" s="48">
        <v>40.0</v>
      </c>
      <c r="I122" s="81">
        <v>200.0</v>
      </c>
      <c r="J122" s="81">
        <v>0.0</v>
      </c>
      <c r="K122" s="81">
        <v>0.0</v>
      </c>
      <c r="L122" s="81">
        <v>2.0</v>
      </c>
      <c r="M122" s="81" t="s">
        <v>2714</v>
      </c>
      <c r="N122" s="81" t="s">
        <v>1046</v>
      </c>
      <c r="O122" s="81">
        <v>300.0</v>
      </c>
      <c r="P122" s="81" t="s">
        <v>29</v>
      </c>
      <c r="Q122" s="81">
        <v>0.0</v>
      </c>
      <c r="R122" s="46"/>
    </row>
    <row r="123" ht="15.75" customHeight="1">
      <c r="A123" s="211">
        <v>114.0</v>
      </c>
      <c r="B123" s="46" t="s">
        <v>2246</v>
      </c>
      <c r="C123" s="46" t="s">
        <v>2884</v>
      </c>
      <c r="D123" s="212" t="s">
        <v>25</v>
      </c>
      <c r="E123" s="212" t="s">
        <v>2816</v>
      </c>
      <c r="F123" s="213" t="s">
        <v>138</v>
      </c>
      <c r="G123" s="222" t="s">
        <v>2758</v>
      </c>
      <c r="H123" s="48">
        <v>200.0</v>
      </c>
      <c r="I123" s="81">
        <v>1000.0</v>
      </c>
      <c r="J123" s="81">
        <v>0.0</v>
      </c>
      <c r="K123" s="81">
        <v>0.0</v>
      </c>
      <c r="L123" s="81">
        <v>14.0</v>
      </c>
      <c r="M123" s="81" t="s">
        <v>2714</v>
      </c>
      <c r="N123" s="81" t="s">
        <v>1046</v>
      </c>
      <c r="O123" s="81">
        <v>300.0</v>
      </c>
      <c r="P123" s="81" t="s">
        <v>29</v>
      </c>
      <c r="Q123" s="81">
        <v>0.0</v>
      </c>
      <c r="R123" s="46"/>
    </row>
    <row r="124" ht="15.75" customHeight="1">
      <c r="A124" s="211">
        <v>115.0</v>
      </c>
      <c r="B124" s="46" t="s">
        <v>1171</v>
      </c>
      <c r="C124" s="46" t="s">
        <v>2885</v>
      </c>
      <c r="D124" s="212" t="s">
        <v>25</v>
      </c>
      <c r="E124" s="212" t="s">
        <v>2886</v>
      </c>
      <c r="F124" s="213" t="s">
        <v>138</v>
      </c>
      <c r="G124" s="222" t="s">
        <v>2749</v>
      </c>
      <c r="H124" s="48">
        <v>4.0</v>
      </c>
      <c r="I124" s="81">
        <v>20.0</v>
      </c>
      <c r="J124" s="81">
        <v>0.0</v>
      </c>
      <c r="K124" s="81">
        <v>0.0</v>
      </c>
      <c r="L124" s="81">
        <v>2.0</v>
      </c>
      <c r="M124" s="81" t="s">
        <v>2714</v>
      </c>
      <c r="N124" s="81" t="s">
        <v>1046</v>
      </c>
      <c r="O124" s="81">
        <v>200.0</v>
      </c>
      <c r="P124" s="81" t="s">
        <v>29</v>
      </c>
      <c r="Q124" s="81">
        <v>0.0</v>
      </c>
      <c r="R124" s="46"/>
    </row>
    <row r="125" ht="15.75" customHeight="1">
      <c r="A125" s="211">
        <v>116.0</v>
      </c>
      <c r="B125" s="46" t="s">
        <v>2887</v>
      </c>
      <c r="C125" s="46" t="s">
        <v>2885</v>
      </c>
      <c r="D125" s="212" t="s">
        <v>25</v>
      </c>
      <c r="E125" s="212" t="s">
        <v>2886</v>
      </c>
      <c r="F125" s="213" t="s">
        <v>138</v>
      </c>
      <c r="G125" s="222" t="s">
        <v>2748</v>
      </c>
      <c r="H125" s="48">
        <v>10.0</v>
      </c>
      <c r="I125" s="81">
        <v>50.0</v>
      </c>
      <c r="J125" s="81">
        <v>0.0</v>
      </c>
      <c r="K125" s="81">
        <v>0.0</v>
      </c>
      <c r="L125" s="81">
        <v>2.0</v>
      </c>
      <c r="M125" s="81" t="s">
        <v>2714</v>
      </c>
      <c r="N125" s="81" t="s">
        <v>1046</v>
      </c>
      <c r="O125" s="81">
        <v>500.0</v>
      </c>
      <c r="P125" s="81" t="s">
        <v>29</v>
      </c>
      <c r="Q125" s="81">
        <v>0.0</v>
      </c>
      <c r="R125" s="46"/>
    </row>
    <row r="126" ht="15.75" customHeight="1">
      <c r="A126" s="211">
        <v>117.0</v>
      </c>
      <c r="B126" s="46" t="s">
        <v>1134</v>
      </c>
      <c r="C126" s="46" t="s">
        <v>2888</v>
      </c>
      <c r="D126" s="212" t="s">
        <v>25</v>
      </c>
      <c r="E126" s="212" t="s">
        <v>2886</v>
      </c>
      <c r="F126" s="213" t="s">
        <v>138</v>
      </c>
      <c r="G126" s="222" t="s">
        <v>2775</v>
      </c>
      <c r="H126" s="48">
        <v>6.0</v>
      </c>
      <c r="I126" s="81">
        <v>30.0</v>
      </c>
      <c r="J126" s="81">
        <v>0.0</v>
      </c>
      <c r="K126" s="81">
        <v>0.0</v>
      </c>
      <c r="L126" s="81">
        <v>1.0</v>
      </c>
      <c r="M126" s="81" t="s">
        <v>2714</v>
      </c>
      <c r="N126" s="81" t="s">
        <v>1046</v>
      </c>
      <c r="O126" s="81">
        <v>100.0</v>
      </c>
      <c r="P126" s="81" t="s">
        <v>29</v>
      </c>
      <c r="Q126" s="81">
        <v>0.0</v>
      </c>
      <c r="R126" s="46"/>
    </row>
    <row r="127" ht="15.75" customHeight="1">
      <c r="A127" s="211">
        <v>118.0</v>
      </c>
      <c r="B127" s="46" t="s">
        <v>1171</v>
      </c>
      <c r="C127" s="46" t="s">
        <v>2889</v>
      </c>
      <c r="D127" s="212" t="s">
        <v>25</v>
      </c>
      <c r="E127" s="212" t="s">
        <v>2890</v>
      </c>
      <c r="F127" s="213" t="s">
        <v>138</v>
      </c>
      <c r="G127" s="222" t="s">
        <v>2749</v>
      </c>
      <c r="H127" s="48">
        <v>40.0</v>
      </c>
      <c r="I127" s="81">
        <v>200.0</v>
      </c>
      <c r="J127" s="81">
        <v>0.0</v>
      </c>
      <c r="K127" s="81">
        <v>0.0</v>
      </c>
      <c r="L127" s="81">
        <v>8.0</v>
      </c>
      <c r="M127" s="81" t="s">
        <v>2714</v>
      </c>
      <c r="N127" s="81" t="s">
        <v>1046</v>
      </c>
      <c r="O127" s="81">
        <v>200.0</v>
      </c>
      <c r="P127" s="81" t="s">
        <v>29</v>
      </c>
      <c r="Q127" s="81">
        <v>0.0</v>
      </c>
      <c r="R127" s="46"/>
    </row>
    <row r="128" ht="15.75" customHeight="1">
      <c r="A128" s="211">
        <v>119.0</v>
      </c>
      <c r="B128" s="46" t="s">
        <v>2130</v>
      </c>
      <c r="C128" s="46" t="s">
        <v>2889</v>
      </c>
      <c r="D128" s="212" t="s">
        <v>25</v>
      </c>
      <c r="E128" s="212" t="s">
        <v>2890</v>
      </c>
      <c r="F128" s="213" t="s">
        <v>138</v>
      </c>
      <c r="G128" s="222" t="s">
        <v>2758</v>
      </c>
      <c r="H128" s="48">
        <v>50.0</v>
      </c>
      <c r="I128" s="81">
        <v>250.0</v>
      </c>
      <c r="J128" s="81">
        <v>0.0</v>
      </c>
      <c r="K128" s="81">
        <v>0.0</v>
      </c>
      <c r="L128" s="81">
        <v>14.0</v>
      </c>
      <c r="M128" s="81" t="s">
        <v>2714</v>
      </c>
      <c r="N128" s="81" t="s">
        <v>1046</v>
      </c>
      <c r="O128" s="81">
        <v>300.0</v>
      </c>
      <c r="P128" s="81" t="s">
        <v>29</v>
      </c>
      <c r="Q128" s="81">
        <v>0.0</v>
      </c>
      <c r="R128" s="46"/>
    </row>
    <row r="129" ht="15.75" customHeight="1">
      <c r="A129" s="211">
        <v>120.0</v>
      </c>
      <c r="B129" s="46" t="s">
        <v>1171</v>
      </c>
      <c r="C129" s="46" t="s">
        <v>2891</v>
      </c>
      <c r="D129" s="212" t="s">
        <v>25</v>
      </c>
      <c r="E129" s="212" t="s">
        <v>2778</v>
      </c>
      <c r="F129" s="213" t="s">
        <v>138</v>
      </c>
      <c r="G129" s="222" t="s">
        <v>2749</v>
      </c>
      <c r="H129" s="48">
        <v>10.0</v>
      </c>
      <c r="I129" s="81">
        <v>50.0</v>
      </c>
      <c r="J129" s="81">
        <v>0.0</v>
      </c>
      <c r="K129" s="81">
        <v>0.0</v>
      </c>
      <c r="L129" s="81">
        <v>1.0</v>
      </c>
      <c r="M129" s="81" t="s">
        <v>2714</v>
      </c>
      <c r="N129" s="81" t="s">
        <v>1046</v>
      </c>
      <c r="O129" s="81">
        <v>200.0</v>
      </c>
      <c r="P129" s="81" t="s">
        <v>29</v>
      </c>
      <c r="Q129" s="81">
        <v>0.0</v>
      </c>
      <c r="R129" s="46"/>
    </row>
    <row r="130" ht="15.75" customHeight="1">
      <c r="A130" s="211">
        <v>121.0</v>
      </c>
      <c r="B130" s="46" t="s">
        <v>2772</v>
      </c>
      <c r="C130" s="46" t="s">
        <v>2892</v>
      </c>
      <c r="D130" s="212" t="s">
        <v>25</v>
      </c>
      <c r="E130" s="212" t="s">
        <v>2778</v>
      </c>
      <c r="F130" s="213" t="s">
        <v>138</v>
      </c>
      <c r="G130" s="222" t="s">
        <v>2789</v>
      </c>
      <c r="H130" s="48">
        <v>10.0</v>
      </c>
      <c r="I130" s="81">
        <v>50.0</v>
      </c>
      <c r="J130" s="81">
        <v>0.0</v>
      </c>
      <c r="K130" s="81">
        <v>0.0</v>
      </c>
      <c r="L130" s="81">
        <v>1.0</v>
      </c>
      <c r="M130" s="81" t="s">
        <v>2714</v>
      </c>
      <c r="N130" s="81" t="s">
        <v>1046</v>
      </c>
      <c r="O130" s="81">
        <v>300.0</v>
      </c>
      <c r="P130" s="81" t="s">
        <v>29</v>
      </c>
      <c r="Q130" s="81">
        <v>0.0</v>
      </c>
      <c r="R130" s="46"/>
    </row>
    <row r="131" ht="15.75" customHeight="1">
      <c r="A131" s="211">
        <v>122.0</v>
      </c>
      <c r="B131" s="46" t="s">
        <v>2252</v>
      </c>
      <c r="C131" s="46" t="s">
        <v>2893</v>
      </c>
      <c r="D131" s="212" t="s">
        <v>25</v>
      </c>
      <c r="E131" s="212" t="s">
        <v>2778</v>
      </c>
      <c r="F131" s="213" t="s">
        <v>138</v>
      </c>
      <c r="G131" s="222" t="s">
        <v>2758</v>
      </c>
      <c r="H131" s="48">
        <v>80.0</v>
      </c>
      <c r="I131" s="81">
        <v>400.0</v>
      </c>
      <c r="J131" s="81">
        <v>0.0</v>
      </c>
      <c r="K131" s="81">
        <v>0.0</v>
      </c>
      <c r="L131" s="81">
        <v>21.0</v>
      </c>
      <c r="M131" s="81" t="s">
        <v>2714</v>
      </c>
      <c r="N131" s="81" t="s">
        <v>1046</v>
      </c>
      <c r="O131" s="81">
        <v>300.0</v>
      </c>
      <c r="P131" s="81" t="s">
        <v>29</v>
      </c>
      <c r="Q131" s="81">
        <v>0.0</v>
      </c>
      <c r="R131" s="46"/>
    </row>
    <row r="132" ht="15.75" customHeight="1">
      <c r="A132" s="211">
        <v>123.0</v>
      </c>
      <c r="B132" s="46" t="s">
        <v>1134</v>
      </c>
      <c r="C132" s="46" t="s">
        <v>1134</v>
      </c>
      <c r="D132" s="212" t="s">
        <v>25</v>
      </c>
      <c r="E132" s="212" t="s">
        <v>2778</v>
      </c>
      <c r="F132" s="213" t="s">
        <v>138</v>
      </c>
      <c r="G132" s="222" t="s">
        <v>2775</v>
      </c>
      <c r="H132" s="48">
        <v>4.0</v>
      </c>
      <c r="I132" s="81">
        <v>20.0</v>
      </c>
      <c r="J132" s="81">
        <v>0.0</v>
      </c>
      <c r="K132" s="81">
        <v>0.0</v>
      </c>
      <c r="L132" s="81">
        <v>32.0</v>
      </c>
      <c r="M132" s="81" t="s">
        <v>2714</v>
      </c>
      <c r="N132" s="81" t="s">
        <v>1046</v>
      </c>
      <c r="O132" s="81">
        <v>150.0</v>
      </c>
      <c r="P132" s="81" t="s">
        <v>29</v>
      </c>
      <c r="Q132" s="81">
        <v>0.0</v>
      </c>
      <c r="R132" s="46"/>
    </row>
    <row r="133" ht="15.75" customHeight="1">
      <c r="A133" s="211">
        <v>124.0</v>
      </c>
      <c r="B133" s="46" t="s">
        <v>1171</v>
      </c>
      <c r="C133" s="46" t="s">
        <v>2894</v>
      </c>
      <c r="D133" s="212" t="s">
        <v>25</v>
      </c>
      <c r="E133" s="212" t="s">
        <v>2816</v>
      </c>
      <c r="F133" s="213" t="s">
        <v>138</v>
      </c>
      <c r="G133" s="222" t="s">
        <v>2749</v>
      </c>
      <c r="H133" s="48">
        <v>10.0</v>
      </c>
      <c r="I133" s="81">
        <v>50.0</v>
      </c>
      <c r="J133" s="81">
        <v>0.0</v>
      </c>
      <c r="K133" s="81">
        <v>0.0</v>
      </c>
      <c r="L133" s="81">
        <v>1.0</v>
      </c>
      <c r="M133" s="81" t="s">
        <v>2714</v>
      </c>
      <c r="N133" s="81" t="s">
        <v>1046</v>
      </c>
      <c r="O133" s="81">
        <v>200.0</v>
      </c>
      <c r="P133" s="81" t="s">
        <v>29</v>
      </c>
      <c r="Q133" s="81">
        <v>0.0</v>
      </c>
      <c r="R133" s="46"/>
    </row>
    <row r="134" ht="15.75" customHeight="1">
      <c r="A134" s="211">
        <v>125.0</v>
      </c>
      <c r="B134" s="46" t="s">
        <v>2895</v>
      </c>
      <c r="C134" s="46" t="s">
        <v>2896</v>
      </c>
      <c r="D134" s="212" t="s">
        <v>25</v>
      </c>
      <c r="E134" s="212" t="s">
        <v>2816</v>
      </c>
      <c r="F134" s="213" t="s">
        <v>138</v>
      </c>
      <c r="G134" s="222" t="s">
        <v>2758</v>
      </c>
      <c r="H134" s="48">
        <v>80.0</v>
      </c>
      <c r="I134" s="81">
        <v>400.0</v>
      </c>
      <c r="J134" s="81">
        <v>0.0</v>
      </c>
      <c r="K134" s="81">
        <v>0.0</v>
      </c>
      <c r="L134" s="81">
        <v>21.0</v>
      </c>
      <c r="M134" s="81" t="s">
        <v>2714</v>
      </c>
      <c r="N134" s="81" t="s">
        <v>1046</v>
      </c>
      <c r="O134" s="81">
        <v>300.0</v>
      </c>
      <c r="P134" s="81" t="s">
        <v>29</v>
      </c>
      <c r="Q134" s="81">
        <v>0.0</v>
      </c>
      <c r="R134" s="46"/>
    </row>
    <row r="135" ht="15.75" customHeight="1">
      <c r="A135" s="211">
        <v>126.0</v>
      </c>
      <c r="B135" s="46" t="s">
        <v>2897</v>
      </c>
      <c r="C135" s="46" t="s">
        <v>2898</v>
      </c>
      <c r="D135" s="212" t="s">
        <v>25</v>
      </c>
      <c r="E135" s="212" t="s">
        <v>2816</v>
      </c>
      <c r="F135" s="213" t="s">
        <v>138</v>
      </c>
      <c r="G135" s="222" t="s">
        <v>2760</v>
      </c>
      <c r="H135" s="48">
        <v>140.0</v>
      </c>
      <c r="I135" s="81">
        <v>700.0</v>
      </c>
      <c r="J135" s="81">
        <v>0.0</v>
      </c>
      <c r="K135" s="81">
        <v>0.0</v>
      </c>
      <c r="L135" s="81">
        <v>32.0</v>
      </c>
      <c r="M135" s="81" t="s">
        <v>2714</v>
      </c>
      <c r="N135" s="81" t="s">
        <v>1046</v>
      </c>
      <c r="O135" s="81">
        <v>300.0</v>
      </c>
      <c r="P135" s="81" t="s">
        <v>29</v>
      </c>
      <c r="Q135" s="81">
        <v>0.0</v>
      </c>
      <c r="R135" s="46"/>
    </row>
    <row r="136" ht="15.75" customHeight="1">
      <c r="A136" s="211">
        <v>127.0</v>
      </c>
      <c r="B136" s="46" t="s">
        <v>2801</v>
      </c>
      <c r="C136" s="46" t="s">
        <v>2899</v>
      </c>
      <c r="D136" s="212" t="s">
        <v>25</v>
      </c>
      <c r="E136" s="212" t="s">
        <v>2827</v>
      </c>
      <c r="F136" s="213" t="s">
        <v>138</v>
      </c>
      <c r="G136" s="222" t="s">
        <v>2748</v>
      </c>
      <c r="H136" s="48">
        <v>8.0</v>
      </c>
      <c r="I136" s="81">
        <v>40.0</v>
      </c>
      <c r="J136" s="81">
        <v>0.0</v>
      </c>
      <c r="K136" s="81">
        <v>0.0</v>
      </c>
      <c r="L136" s="81">
        <v>7.0</v>
      </c>
      <c r="M136" s="81" t="s">
        <v>2714</v>
      </c>
      <c r="N136" s="81" t="s">
        <v>1046</v>
      </c>
      <c r="O136" s="81">
        <v>500.0</v>
      </c>
      <c r="P136" s="81" t="s">
        <v>29</v>
      </c>
      <c r="Q136" s="81">
        <v>0.0</v>
      </c>
      <c r="R136" s="46"/>
    </row>
    <row r="137" ht="15.75" customHeight="1">
      <c r="A137" s="211">
        <v>128.0</v>
      </c>
      <c r="B137" s="46" t="s">
        <v>2900</v>
      </c>
      <c r="C137" s="46" t="s">
        <v>2899</v>
      </c>
      <c r="D137" s="212" t="s">
        <v>25</v>
      </c>
      <c r="E137" s="212" t="s">
        <v>2827</v>
      </c>
      <c r="F137" s="213" t="s">
        <v>138</v>
      </c>
      <c r="G137" s="222" t="s">
        <v>2758</v>
      </c>
      <c r="H137" s="48">
        <v>30.0</v>
      </c>
      <c r="I137" s="81">
        <v>150.0</v>
      </c>
      <c r="J137" s="81">
        <v>0.0</v>
      </c>
      <c r="K137" s="81">
        <v>0.0</v>
      </c>
      <c r="L137" s="81">
        <v>15.0</v>
      </c>
      <c r="M137" s="81" t="s">
        <v>2714</v>
      </c>
      <c r="N137" s="81" t="s">
        <v>1046</v>
      </c>
      <c r="O137" s="81">
        <v>300.0</v>
      </c>
      <c r="P137" s="81" t="s">
        <v>29</v>
      </c>
      <c r="Q137" s="81">
        <v>0.0</v>
      </c>
      <c r="R137" s="46"/>
    </row>
    <row r="138" ht="15.75" customHeight="1">
      <c r="A138" s="211">
        <v>129.0</v>
      </c>
      <c r="B138" s="46" t="s">
        <v>2881</v>
      </c>
      <c r="C138" s="46" t="s">
        <v>2899</v>
      </c>
      <c r="D138" s="212" t="s">
        <v>25</v>
      </c>
      <c r="E138" s="212" t="s">
        <v>2827</v>
      </c>
      <c r="F138" s="213" t="s">
        <v>138</v>
      </c>
      <c r="G138" s="222" t="s">
        <v>2789</v>
      </c>
      <c r="H138" s="48">
        <v>6.0</v>
      </c>
      <c r="I138" s="81">
        <v>30.0</v>
      </c>
      <c r="J138" s="81">
        <v>0.0</v>
      </c>
      <c r="K138" s="81">
        <v>0.0</v>
      </c>
      <c r="L138" s="81">
        <v>1.0</v>
      </c>
      <c r="M138" s="81" t="s">
        <v>2714</v>
      </c>
      <c r="N138" s="81" t="s">
        <v>1046</v>
      </c>
      <c r="O138" s="81">
        <v>300.0</v>
      </c>
      <c r="P138" s="81" t="s">
        <v>29</v>
      </c>
      <c r="Q138" s="81">
        <v>0.0</v>
      </c>
      <c r="R138" s="46"/>
    </row>
    <row r="139" ht="15.75" customHeight="1">
      <c r="A139" s="211">
        <v>130.0</v>
      </c>
      <c r="B139" s="46" t="s">
        <v>2766</v>
      </c>
      <c r="C139" s="46" t="s">
        <v>2899</v>
      </c>
      <c r="D139" s="212" t="s">
        <v>25</v>
      </c>
      <c r="E139" s="212" t="s">
        <v>2827</v>
      </c>
      <c r="F139" s="213" t="s">
        <v>138</v>
      </c>
      <c r="G139" s="222" t="s">
        <v>2775</v>
      </c>
      <c r="H139" s="48">
        <v>2.0</v>
      </c>
      <c r="I139" s="81">
        <v>10.0</v>
      </c>
      <c r="J139" s="81">
        <v>0.0</v>
      </c>
      <c r="K139" s="81">
        <v>0.0</v>
      </c>
      <c r="L139" s="81">
        <v>1.0</v>
      </c>
      <c r="M139" s="81" t="s">
        <v>2714</v>
      </c>
      <c r="N139" s="81" t="s">
        <v>1046</v>
      </c>
      <c r="O139" s="81">
        <v>150.0</v>
      </c>
      <c r="P139" s="81" t="s">
        <v>29</v>
      </c>
      <c r="Q139" s="81">
        <v>0.0</v>
      </c>
      <c r="R139" s="46"/>
    </row>
    <row r="140" ht="15.75" customHeight="1">
      <c r="A140" s="211">
        <v>131.0</v>
      </c>
      <c r="B140" s="46" t="s">
        <v>1171</v>
      </c>
      <c r="C140" s="46" t="s">
        <v>2901</v>
      </c>
      <c r="D140" s="212" t="s">
        <v>2833</v>
      </c>
      <c r="E140" s="212" t="s">
        <v>2902</v>
      </c>
      <c r="F140" s="213" t="s">
        <v>138</v>
      </c>
      <c r="G140" s="222" t="s">
        <v>2903</v>
      </c>
      <c r="H140" s="48">
        <v>46.0</v>
      </c>
      <c r="I140" s="81">
        <v>200.0</v>
      </c>
      <c r="J140" s="81">
        <v>0.0</v>
      </c>
      <c r="K140" s="81">
        <v>0.0</v>
      </c>
      <c r="L140" s="81">
        <v>2.0</v>
      </c>
      <c r="M140" s="81" t="s">
        <v>2714</v>
      </c>
      <c r="N140" s="81" t="s">
        <v>1046</v>
      </c>
      <c r="O140" s="81">
        <v>200.0</v>
      </c>
      <c r="P140" s="81" t="s">
        <v>29</v>
      </c>
      <c r="Q140" s="81">
        <v>0.0</v>
      </c>
      <c r="R140" s="46"/>
    </row>
    <row r="141" ht="15.75" customHeight="1">
      <c r="A141" s="211">
        <v>132.0</v>
      </c>
      <c r="B141" s="46" t="s">
        <v>2881</v>
      </c>
      <c r="C141" s="46" t="s">
        <v>2901</v>
      </c>
      <c r="D141" s="212" t="s">
        <v>2833</v>
      </c>
      <c r="E141" s="212" t="s">
        <v>2902</v>
      </c>
      <c r="F141" s="213" t="s">
        <v>138</v>
      </c>
      <c r="G141" s="222" t="s">
        <v>2789</v>
      </c>
      <c r="H141" s="48">
        <v>20.0</v>
      </c>
      <c r="I141" s="81">
        <v>100.0</v>
      </c>
      <c r="J141" s="81">
        <v>0.0</v>
      </c>
      <c r="K141" s="81">
        <v>0.0</v>
      </c>
      <c r="L141" s="81">
        <v>1.0</v>
      </c>
      <c r="M141" s="81" t="s">
        <v>2714</v>
      </c>
      <c r="N141" s="81" t="s">
        <v>1046</v>
      </c>
      <c r="O141" s="81">
        <v>300.0</v>
      </c>
      <c r="P141" s="81" t="s">
        <v>29</v>
      </c>
      <c r="Q141" s="81">
        <v>0.0</v>
      </c>
      <c r="R141" s="46"/>
    </row>
    <row r="142" ht="15.75" customHeight="1">
      <c r="A142" s="211">
        <v>133.0</v>
      </c>
      <c r="B142" s="46" t="s">
        <v>2904</v>
      </c>
      <c r="C142" s="46" t="s">
        <v>2905</v>
      </c>
      <c r="D142" s="212" t="s">
        <v>2833</v>
      </c>
      <c r="E142" s="212" t="s">
        <v>2902</v>
      </c>
      <c r="F142" s="213" t="s">
        <v>138</v>
      </c>
      <c r="G142" s="222" t="s">
        <v>2758</v>
      </c>
      <c r="H142" s="48">
        <v>200.0</v>
      </c>
      <c r="I142" s="81">
        <v>1000.0</v>
      </c>
      <c r="J142" s="81">
        <v>0.0</v>
      </c>
      <c r="K142" s="81">
        <v>0.0</v>
      </c>
      <c r="L142" s="81">
        <v>23.0</v>
      </c>
      <c r="M142" s="81" t="s">
        <v>2714</v>
      </c>
      <c r="N142" s="81" t="s">
        <v>1046</v>
      </c>
      <c r="O142" s="81">
        <v>300.0</v>
      </c>
      <c r="P142" s="81" t="s">
        <v>29</v>
      </c>
      <c r="Q142" s="81">
        <v>0.0</v>
      </c>
      <c r="R142" s="46"/>
    </row>
    <row r="143" ht="15.75" customHeight="1">
      <c r="A143" s="211">
        <v>134.0</v>
      </c>
      <c r="B143" s="46" t="s">
        <v>2906</v>
      </c>
      <c r="C143" s="46" t="s">
        <v>2907</v>
      </c>
      <c r="D143" s="212" t="s">
        <v>25</v>
      </c>
      <c r="E143" s="212" t="s">
        <v>2863</v>
      </c>
      <c r="F143" s="213" t="s">
        <v>138</v>
      </c>
      <c r="G143" s="222" t="s">
        <v>2784</v>
      </c>
      <c r="H143" s="48">
        <v>10.0</v>
      </c>
      <c r="I143" s="81">
        <v>50.0</v>
      </c>
      <c r="J143" s="81">
        <v>0.0</v>
      </c>
      <c r="K143" s="81">
        <v>0.0</v>
      </c>
      <c r="L143" s="81">
        <v>10.0</v>
      </c>
      <c r="M143" s="81" t="s">
        <v>2714</v>
      </c>
      <c r="N143" s="81" t="s">
        <v>1046</v>
      </c>
      <c r="O143" s="81">
        <v>300.0</v>
      </c>
      <c r="P143" s="81" t="s">
        <v>29</v>
      </c>
      <c r="Q143" s="81">
        <v>0.0</v>
      </c>
      <c r="R143" s="46"/>
    </row>
    <row r="144" ht="15.75" customHeight="1">
      <c r="A144" s="211">
        <v>135.0</v>
      </c>
      <c r="B144" s="46" t="s">
        <v>2908</v>
      </c>
      <c r="C144" s="46" t="s">
        <v>2907</v>
      </c>
      <c r="D144" s="212" t="s">
        <v>25</v>
      </c>
      <c r="E144" s="212" t="s">
        <v>2863</v>
      </c>
      <c r="F144" s="213" t="s">
        <v>138</v>
      </c>
      <c r="G144" s="222" t="s">
        <v>2758</v>
      </c>
      <c r="H144" s="48">
        <v>6.0</v>
      </c>
      <c r="I144" s="81">
        <v>30.0</v>
      </c>
      <c r="J144" s="81">
        <v>0.0</v>
      </c>
      <c r="K144" s="81">
        <v>0.0</v>
      </c>
      <c r="L144" s="81">
        <v>10.0</v>
      </c>
      <c r="M144" s="81" t="s">
        <v>2714</v>
      </c>
      <c r="N144" s="81" t="s">
        <v>1046</v>
      </c>
      <c r="O144" s="81">
        <v>300.0</v>
      </c>
      <c r="P144" s="81" t="s">
        <v>29</v>
      </c>
      <c r="Q144" s="81">
        <v>0.0</v>
      </c>
      <c r="R144" s="46"/>
    </row>
    <row r="145" ht="15.75" customHeight="1">
      <c r="A145" s="211">
        <v>136.0</v>
      </c>
      <c r="B145" s="46" t="s">
        <v>1134</v>
      </c>
      <c r="C145" s="46" t="s">
        <v>2907</v>
      </c>
      <c r="D145" s="212" t="s">
        <v>25</v>
      </c>
      <c r="E145" s="212" t="s">
        <v>2863</v>
      </c>
      <c r="F145" s="213" t="s">
        <v>138</v>
      </c>
      <c r="G145" s="222" t="s">
        <v>2775</v>
      </c>
      <c r="H145" s="48">
        <v>46.0</v>
      </c>
      <c r="I145" s="81">
        <v>230.0</v>
      </c>
      <c r="J145" s="81">
        <v>0.0</v>
      </c>
      <c r="K145" s="81">
        <v>0.0</v>
      </c>
      <c r="L145" s="81">
        <v>2.0</v>
      </c>
      <c r="M145" s="81" t="s">
        <v>2714</v>
      </c>
      <c r="N145" s="81" t="s">
        <v>1046</v>
      </c>
      <c r="O145" s="81">
        <v>150.0</v>
      </c>
      <c r="P145" s="81" t="s">
        <v>29</v>
      </c>
      <c r="Q145" s="81">
        <v>0.0</v>
      </c>
      <c r="R145" s="46"/>
    </row>
    <row r="146" ht="15.75" customHeight="1">
      <c r="A146" s="211">
        <v>137.0</v>
      </c>
      <c r="B146" s="46" t="s">
        <v>2801</v>
      </c>
      <c r="C146" s="46" t="s">
        <v>2907</v>
      </c>
      <c r="D146" s="212" t="s">
        <v>25</v>
      </c>
      <c r="E146" s="212" t="s">
        <v>2863</v>
      </c>
      <c r="F146" s="213" t="s">
        <v>138</v>
      </c>
      <c r="G146" s="222" t="s">
        <v>2748</v>
      </c>
      <c r="H146" s="48">
        <v>4.0</v>
      </c>
      <c r="I146" s="81">
        <v>20.0</v>
      </c>
      <c r="J146" s="81">
        <v>0.0</v>
      </c>
      <c r="K146" s="81">
        <v>0.0</v>
      </c>
      <c r="L146" s="81">
        <v>1.0</v>
      </c>
      <c r="M146" s="81" t="s">
        <v>2714</v>
      </c>
      <c r="N146" s="81" t="s">
        <v>1046</v>
      </c>
      <c r="O146" s="81">
        <v>200.0</v>
      </c>
      <c r="P146" s="81" t="s">
        <v>29</v>
      </c>
      <c r="Q146" s="81">
        <v>0.0</v>
      </c>
      <c r="R146" s="46"/>
    </row>
    <row r="147" ht="15.75" customHeight="1">
      <c r="A147" s="211">
        <v>138.0</v>
      </c>
      <c r="B147" s="46" t="s">
        <v>2776</v>
      </c>
      <c r="C147" s="46" t="s">
        <v>2907</v>
      </c>
      <c r="D147" s="212" t="s">
        <v>25</v>
      </c>
      <c r="E147" s="212" t="s">
        <v>2863</v>
      </c>
      <c r="F147" s="213" t="s">
        <v>138</v>
      </c>
      <c r="G147" s="222" t="s">
        <v>2775</v>
      </c>
      <c r="H147" s="48">
        <v>4.0</v>
      </c>
      <c r="I147" s="81">
        <v>20.0</v>
      </c>
      <c r="J147" s="81">
        <v>0.0</v>
      </c>
      <c r="K147" s="81">
        <v>0.0</v>
      </c>
      <c r="L147" s="81">
        <v>1.0</v>
      </c>
      <c r="M147" s="81" t="s">
        <v>2714</v>
      </c>
      <c r="N147" s="81" t="s">
        <v>1046</v>
      </c>
      <c r="O147" s="81">
        <v>100.0</v>
      </c>
      <c r="P147" s="81" t="s">
        <v>29</v>
      </c>
      <c r="Q147" s="81">
        <v>0.0</v>
      </c>
      <c r="R147" s="46"/>
    </row>
    <row r="148" ht="15.75" customHeight="1">
      <c r="A148" s="211">
        <v>139.0</v>
      </c>
      <c r="B148" s="46" t="s">
        <v>2909</v>
      </c>
      <c r="C148" s="46" t="s">
        <v>2910</v>
      </c>
      <c r="D148" s="212" t="s">
        <v>25</v>
      </c>
      <c r="E148" s="212" t="s">
        <v>2863</v>
      </c>
      <c r="F148" s="213" t="s">
        <v>138</v>
      </c>
      <c r="G148" s="222" t="s">
        <v>2756</v>
      </c>
      <c r="H148" s="48">
        <v>4.0</v>
      </c>
      <c r="I148" s="81">
        <v>20.0</v>
      </c>
      <c r="J148" s="81">
        <v>0.0</v>
      </c>
      <c r="K148" s="81">
        <v>0.0</v>
      </c>
      <c r="L148" s="81">
        <v>1.0</v>
      </c>
      <c r="M148" s="81" t="s">
        <v>2714</v>
      </c>
      <c r="N148" s="81" t="s">
        <v>1046</v>
      </c>
      <c r="O148" s="81">
        <v>150.0</v>
      </c>
      <c r="P148" s="81" t="s">
        <v>29</v>
      </c>
      <c r="Q148" s="81">
        <v>0.0</v>
      </c>
      <c r="R148" s="46"/>
    </row>
    <row r="149" ht="15.75" customHeight="1">
      <c r="A149" s="211">
        <v>140.0</v>
      </c>
      <c r="B149" s="46" t="s">
        <v>1171</v>
      </c>
      <c r="C149" s="46" t="s">
        <v>2911</v>
      </c>
      <c r="D149" s="212" t="s">
        <v>25</v>
      </c>
      <c r="E149" s="212" t="s">
        <v>2912</v>
      </c>
      <c r="F149" s="213" t="s">
        <v>138</v>
      </c>
      <c r="G149" s="222" t="s">
        <v>2774</v>
      </c>
      <c r="H149" s="48">
        <v>10.0</v>
      </c>
      <c r="I149" s="81">
        <v>50.0</v>
      </c>
      <c r="J149" s="81">
        <v>0.0</v>
      </c>
      <c r="K149" s="81">
        <v>0.0</v>
      </c>
      <c r="L149" s="81">
        <v>2.0</v>
      </c>
      <c r="M149" s="81" t="s">
        <v>2714</v>
      </c>
      <c r="N149" s="81" t="s">
        <v>1046</v>
      </c>
      <c r="O149" s="81">
        <v>200.0</v>
      </c>
      <c r="P149" s="81" t="s">
        <v>29</v>
      </c>
      <c r="Q149" s="81">
        <v>0.0</v>
      </c>
      <c r="R149" s="46"/>
    </row>
    <row r="150" ht="15.75" customHeight="1">
      <c r="A150" s="211">
        <v>141.0</v>
      </c>
      <c r="B150" s="46" t="s">
        <v>2881</v>
      </c>
      <c r="C150" s="46" t="s">
        <v>2913</v>
      </c>
      <c r="D150" s="212" t="s">
        <v>25</v>
      </c>
      <c r="E150" s="212" t="s">
        <v>2912</v>
      </c>
      <c r="F150" s="213" t="s">
        <v>138</v>
      </c>
      <c r="G150" s="222" t="s">
        <v>2774</v>
      </c>
      <c r="H150" s="48">
        <v>10.0</v>
      </c>
      <c r="I150" s="81">
        <v>50.0</v>
      </c>
      <c r="J150" s="81">
        <v>0.0</v>
      </c>
      <c r="K150" s="81">
        <v>0.0</v>
      </c>
      <c r="L150" s="81">
        <v>1.0</v>
      </c>
      <c r="M150" s="81" t="s">
        <v>2714</v>
      </c>
      <c r="N150" s="81" t="s">
        <v>1046</v>
      </c>
      <c r="O150" s="81">
        <v>300.0</v>
      </c>
      <c r="P150" s="81" t="s">
        <v>29</v>
      </c>
      <c r="Q150" s="81">
        <v>0.0</v>
      </c>
      <c r="R150" s="46"/>
    </row>
    <row r="151" ht="15.75" customHeight="1">
      <c r="A151" s="211">
        <v>142.0</v>
      </c>
      <c r="B151" s="46" t="s">
        <v>2914</v>
      </c>
      <c r="C151" s="46" t="s">
        <v>2915</v>
      </c>
      <c r="D151" s="212" t="s">
        <v>25</v>
      </c>
      <c r="E151" s="212" t="s">
        <v>2912</v>
      </c>
      <c r="F151" s="213" t="s">
        <v>138</v>
      </c>
      <c r="G151" s="222" t="s">
        <v>2758</v>
      </c>
      <c r="H151" s="48">
        <v>60.0</v>
      </c>
      <c r="I151" s="81">
        <v>300.0</v>
      </c>
      <c r="J151" s="81">
        <v>0.0</v>
      </c>
      <c r="K151" s="81">
        <v>0.0</v>
      </c>
      <c r="L151" s="81">
        <v>19.0</v>
      </c>
      <c r="M151" s="81" t="s">
        <v>2714</v>
      </c>
      <c r="N151" s="81" t="s">
        <v>1046</v>
      </c>
      <c r="O151" s="81">
        <v>300.0</v>
      </c>
      <c r="P151" s="81" t="s">
        <v>29</v>
      </c>
      <c r="Q151" s="81">
        <v>0.0</v>
      </c>
      <c r="R151" s="46"/>
    </row>
    <row r="152" ht="15.75" customHeight="1">
      <c r="A152" s="211">
        <v>143.0</v>
      </c>
      <c r="B152" s="46" t="s">
        <v>2781</v>
      </c>
      <c r="C152" s="46" t="s">
        <v>2913</v>
      </c>
      <c r="D152" s="212" t="s">
        <v>25</v>
      </c>
      <c r="E152" s="212" t="s">
        <v>2912</v>
      </c>
      <c r="F152" s="213" t="s">
        <v>138</v>
      </c>
      <c r="G152" s="222" t="s">
        <v>2748</v>
      </c>
      <c r="H152" s="48">
        <v>20.0</v>
      </c>
      <c r="I152" s="81">
        <v>100.0</v>
      </c>
      <c r="J152" s="81">
        <v>0.0</v>
      </c>
      <c r="K152" s="81">
        <v>0.0</v>
      </c>
      <c r="L152" s="81">
        <v>2.0</v>
      </c>
      <c r="M152" s="81" t="s">
        <v>2714</v>
      </c>
      <c r="N152" s="81" t="s">
        <v>1046</v>
      </c>
      <c r="O152" s="81">
        <v>500.0</v>
      </c>
      <c r="P152" s="81" t="s">
        <v>29</v>
      </c>
      <c r="Q152" s="81">
        <v>0.0</v>
      </c>
      <c r="R152" s="46"/>
    </row>
    <row r="153" ht="15.75" customHeight="1">
      <c r="A153" s="211">
        <v>144.0</v>
      </c>
      <c r="B153" s="46" t="s">
        <v>2801</v>
      </c>
      <c r="C153" s="46" t="s">
        <v>2916</v>
      </c>
      <c r="D153" s="212" t="s">
        <v>25</v>
      </c>
      <c r="E153" s="212" t="s">
        <v>2917</v>
      </c>
      <c r="F153" s="213" t="s">
        <v>138</v>
      </c>
      <c r="G153" s="222" t="s">
        <v>2748</v>
      </c>
      <c r="H153" s="48">
        <v>20.0</v>
      </c>
      <c r="I153" s="81">
        <v>100.0</v>
      </c>
      <c r="J153" s="81">
        <v>0.0</v>
      </c>
      <c r="K153" s="81">
        <v>0.0</v>
      </c>
      <c r="L153" s="81">
        <v>5.0</v>
      </c>
      <c r="M153" s="81" t="s">
        <v>2714</v>
      </c>
      <c r="N153" s="81" t="s">
        <v>1046</v>
      </c>
      <c r="O153" s="81">
        <v>500.0</v>
      </c>
      <c r="P153" s="81" t="s">
        <v>29</v>
      </c>
      <c r="Q153" s="81">
        <v>0.0</v>
      </c>
      <c r="R153" s="46"/>
    </row>
    <row r="154" ht="15.75" customHeight="1">
      <c r="A154" s="211">
        <v>145.0</v>
      </c>
      <c r="B154" s="46" t="s">
        <v>2918</v>
      </c>
      <c r="C154" s="46" t="s">
        <v>2916</v>
      </c>
      <c r="D154" s="212" t="s">
        <v>25</v>
      </c>
      <c r="E154" s="212" t="s">
        <v>2917</v>
      </c>
      <c r="F154" s="213" t="s">
        <v>138</v>
      </c>
      <c r="G154" s="222" t="s">
        <v>2758</v>
      </c>
      <c r="H154" s="48">
        <v>60.0</v>
      </c>
      <c r="I154" s="81">
        <v>300.0</v>
      </c>
      <c r="J154" s="81">
        <v>0.0</v>
      </c>
      <c r="K154" s="81">
        <v>0.0</v>
      </c>
      <c r="L154" s="81">
        <v>10.0</v>
      </c>
      <c r="M154" s="81" t="s">
        <v>2714</v>
      </c>
      <c r="N154" s="81" t="s">
        <v>1046</v>
      </c>
      <c r="O154" s="81">
        <v>300.0</v>
      </c>
      <c r="P154" s="81" t="s">
        <v>29</v>
      </c>
      <c r="Q154" s="81">
        <v>0.0</v>
      </c>
      <c r="R154" s="46"/>
    </row>
    <row r="155" ht="15.75" customHeight="1">
      <c r="A155" s="211">
        <v>146.0</v>
      </c>
      <c r="B155" s="46" t="s">
        <v>2919</v>
      </c>
      <c r="C155" s="46" t="s">
        <v>2916</v>
      </c>
      <c r="D155" s="212" t="s">
        <v>25</v>
      </c>
      <c r="E155" s="212" t="s">
        <v>2917</v>
      </c>
      <c r="F155" s="213" t="s">
        <v>138</v>
      </c>
      <c r="G155" s="222" t="s">
        <v>2760</v>
      </c>
      <c r="H155" s="48">
        <v>160.0</v>
      </c>
      <c r="I155" s="81">
        <v>800.0</v>
      </c>
      <c r="J155" s="81">
        <v>0.0</v>
      </c>
      <c r="K155" s="81">
        <v>0.0</v>
      </c>
      <c r="L155" s="81">
        <v>30.0</v>
      </c>
      <c r="M155" s="81" t="s">
        <v>2714</v>
      </c>
      <c r="N155" s="81" t="s">
        <v>1046</v>
      </c>
      <c r="O155" s="81">
        <v>300.0</v>
      </c>
      <c r="P155" s="81" t="s">
        <v>29</v>
      </c>
      <c r="Q155" s="81">
        <v>0.0</v>
      </c>
      <c r="R155" s="46"/>
    </row>
    <row r="156" ht="15.75" customHeight="1">
      <c r="A156" s="211">
        <v>147.0</v>
      </c>
      <c r="B156" s="46" t="s">
        <v>2801</v>
      </c>
      <c r="C156" s="46" t="s">
        <v>2920</v>
      </c>
      <c r="D156" s="212" t="s">
        <v>25</v>
      </c>
      <c r="E156" s="212" t="s">
        <v>2917</v>
      </c>
      <c r="F156" s="213" t="s">
        <v>138</v>
      </c>
      <c r="G156" s="222" t="s">
        <v>2748</v>
      </c>
      <c r="H156" s="48">
        <v>30.0</v>
      </c>
      <c r="I156" s="81">
        <v>150.0</v>
      </c>
      <c r="J156" s="81">
        <v>0.0</v>
      </c>
      <c r="K156" s="81">
        <v>0.0</v>
      </c>
      <c r="L156" s="81">
        <v>3.0</v>
      </c>
      <c r="M156" s="81" t="s">
        <v>2714</v>
      </c>
      <c r="N156" s="81" t="s">
        <v>1046</v>
      </c>
      <c r="O156" s="81">
        <v>500.0</v>
      </c>
      <c r="P156" s="81" t="s">
        <v>29</v>
      </c>
      <c r="Q156" s="81">
        <v>0.0</v>
      </c>
      <c r="R156" s="46"/>
    </row>
    <row r="157" ht="15.75" customHeight="1">
      <c r="A157" s="211">
        <v>148.0</v>
      </c>
      <c r="B157" s="46" t="s">
        <v>2921</v>
      </c>
      <c r="C157" s="46" t="s">
        <v>2922</v>
      </c>
      <c r="D157" s="212" t="s">
        <v>25</v>
      </c>
      <c r="E157" s="212" t="s">
        <v>2917</v>
      </c>
      <c r="F157" s="213" t="s">
        <v>138</v>
      </c>
      <c r="G157" s="222" t="s">
        <v>2758</v>
      </c>
      <c r="H157" s="48">
        <v>80.0</v>
      </c>
      <c r="I157" s="81">
        <v>400.0</v>
      </c>
      <c r="J157" s="81">
        <v>0.0</v>
      </c>
      <c r="K157" s="81">
        <v>0.0</v>
      </c>
      <c r="L157" s="81">
        <v>16.0</v>
      </c>
      <c r="M157" s="81" t="s">
        <v>2714</v>
      </c>
      <c r="N157" s="81" t="s">
        <v>1046</v>
      </c>
      <c r="O157" s="81">
        <v>300.0</v>
      </c>
      <c r="P157" s="81" t="s">
        <v>29</v>
      </c>
      <c r="Q157" s="81">
        <v>0.0</v>
      </c>
      <c r="R157" s="46"/>
    </row>
    <row r="158" ht="15.75" customHeight="1">
      <c r="A158" s="181"/>
      <c r="B158" s="182" t="s">
        <v>2923</v>
      </c>
      <c r="C158" s="182"/>
      <c r="D158" s="22"/>
      <c r="E158" s="22"/>
      <c r="F158" s="209"/>
      <c r="G158" s="210"/>
      <c r="H158" s="22"/>
      <c r="I158" s="22"/>
      <c r="J158" s="22"/>
      <c r="K158" s="22"/>
      <c r="L158" s="22"/>
      <c r="M158" s="22"/>
      <c r="N158" s="22"/>
      <c r="O158" s="22"/>
      <c r="P158" s="22"/>
      <c r="Q158" s="209"/>
      <c r="R158" s="22"/>
    </row>
    <row r="159" ht="15.75" customHeight="1">
      <c r="A159" s="211">
        <v>1.0</v>
      </c>
      <c r="B159" s="46" t="s">
        <v>2924</v>
      </c>
      <c r="C159" s="82" t="s">
        <v>2925</v>
      </c>
      <c r="D159" s="212" t="s">
        <v>25</v>
      </c>
      <c r="E159" s="212" t="s">
        <v>189</v>
      </c>
      <c r="F159" s="213" t="s">
        <v>138</v>
      </c>
      <c r="G159" s="221" t="s">
        <v>2926</v>
      </c>
      <c r="H159" s="223">
        <v>108.0</v>
      </c>
      <c r="I159" s="81">
        <v>544.0</v>
      </c>
      <c r="J159" s="223">
        <v>1.0</v>
      </c>
      <c r="K159" s="223">
        <v>1.0</v>
      </c>
      <c r="L159" s="223">
        <v>2.0</v>
      </c>
      <c r="M159" s="81" t="s">
        <v>2927</v>
      </c>
      <c r="N159" s="46">
        <v>0.0</v>
      </c>
      <c r="O159" s="81">
        <v>108.0</v>
      </c>
      <c r="P159" s="81" t="s">
        <v>29</v>
      </c>
      <c r="Q159" s="81">
        <v>0.0</v>
      </c>
      <c r="R159" s="46"/>
    </row>
    <row r="160" ht="15.75" customHeight="1">
      <c r="A160" s="211">
        <v>2.0</v>
      </c>
      <c r="B160" s="46" t="s">
        <v>2928</v>
      </c>
      <c r="C160" s="82" t="s">
        <v>2925</v>
      </c>
      <c r="D160" s="212" t="s">
        <v>25</v>
      </c>
      <c r="E160" s="212" t="s">
        <v>189</v>
      </c>
      <c r="F160" s="213" t="s">
        <v>138</v>
      </c>
      <c r="G160" s="221" t="s">
        <v>2929</v>
      </c>
      <c r="H160" s="223">
        <v>67.0</v>
      </c>
      <c r="I160" s="81">
        <v>338.0</v>
      </c>
      <c r="J160" s="223">
        <v>3.0</v>
      </c>
      <c r="K160" s="223">
        <v>3.0</v>
      </c>
      <c r="L160" s="223">
        <v>6.0</v>
      </c>
      <c r="M160" s="81" t="s">
        <v>2927</v>
      </c>
      <c r="N160" s="46">
        <v>0.0</v>
      </c>
      <c r="O160" s="81">
        <v>67.0</v>
      </c>
      <c r="P160" s="81" t="s">
        <v>29</v>
      </c>
      <c r="Q160" s="81">
        <v>0.0</v>
      </c>
      <c r="R160" s="46"/>
    </row>
    <row r="161" ht="15.75" customHeight="1">
      <c r="A161" s="211">
        <v>3.0</v>
      </c>
      <c r="B161" s="46" t="s">
        <v>2930</v>
      </c>
      <c r="C161" s="82" t="s">
        <v>2925</v>
      </c>
      <c r="D161" s="212" t="s">
        <v>25</v>
      </c>
      <c r="E161" s="212" t="s">
        <v>189</v>
      </c>
      <c r="F161" s="213" t="s">
        <v>138</v>
      </c>
      <c r="G161" s="221" t="s">
        <v>2931</v>
      </c>
      <c r="H161" s="223">
        <v>60.0</v>
      </c>
      <c r="I161" s="81">
        <v>300.0</v>
      </c>
      <c r="J161" s="223">
        <v>3.0</v>
      </c>
      <c r="K161" s="223">
        <v>3.0</v>
      </c>
      <c r="L161" s="223">
        <v>6.0</v>
      </c>
      <c r="M161" s="81" t="s">
        <v>2927</v>
      </c>
      <c r="N161" s="46">
        <v>0.0</v>
      </c>
      <c r="O161" s="81">
        <v>60.0</v>
      </c>
      <c r="P161" s="81" t="s">
        <v>29</v>
      </c>
      <c r="Q161" s="81">
        <v>0.0</v>
      </c>
      <c r="R161" s="46"/>
    </row>
    <row r="162" ht="15.75" customHeight="1">
      <c r="A162" s="211">
        <v>4.0</v>
      </c>
      <c r="B162" s="46" t="s">
        <v>2932</v>
      </c>
      <c r="C162" s="82" t="s">
        <v>2925</v>
      </c>
      <c r="D162" s="212" t="s">
        <v>25</v>
      </c>
      <c r="E162" s="212" t="s">
        <v>189</v>
      </c>
      <c r="F162" s="213" t="s">
        <v>138</v>
      </c>
      <c r="G162" s="221" t="s">
        <v>2933</v>
      </c>
      <c r="H162" s="223">
        <v>35.0</v>
      </c>
      <c r="I162" s="81">
        <v>178.0</v>
      </c>
      <c r="J162" s="223">
        <v>2.0</v>
      </c>
      <c r="K162" s="223">
        <v>2.0</v>
      </c>
      <c r="L162" s="223">
        <v>2.0</v>
      </c>
      <c r="M162" s="81" t="s">
        <v>2927</v>
      </c>
      <c r="N162" s="46">
        <v>0.0</v>
      </c>
      <c r="O162" s="81">
        <v>35.0</v>
      </c>
      <c r="P162" s="81" t="s">
        <v>29</v>
      </c>
      <c r="Q162" s="81">
        <v>0.0</v>
      </c>
      <c r="R162" s="46"/>
    </row>
    <row r="163" ht="15.75" customHeight="1">
      <c r="A163" s="211">
        <v>5.0</v>
      </c>
      <c r="B163" s="46" t="s">
        <v>2934</v>
      </c>
      <c r="C163" s="82" t="s">
        <v>2925</v>
      </c>
      <c r="D163" s="212" t="s">
        <v>25</v>
      </c>
      <c r="E163" s="212" t="s">
        <v>189</v>
      </c>
      <c r="F163" s="213" t="s">
        <v>138</v>
      </c>
      <c r="G163" s="221" t="s">
        <v>2935</v>
      </c>
      <c r="H163" s="223">
        <v>82.0</v>
      </c>
      <c r="I163" s="81">
        <v>410.0</v>
      </c>
      <c r="J163" s="223">
        <v>2.0</v>
      </c>
      <c r="K163" s="223">
        <v>2.0</v>
      </c>
      <c r="L163" s="223">
        <v>4.0</v>
      </c>
      <c r="M163" s="81" t="s">
        <v>2927</v>
      </c>
      <c r="N163" s="46">
        <v>0.0</v>
      </c>
      <c r="O163" s="81">
        <v>82.0</v>
      </c>
      <c r="P163" s="81" t="s">
        <v>29</v>
      </c>
      <c r="Q163" s="81">
        <v>0.0</v>
      </c>
      <c r="R163" s="46"/>
    </row>
    <row r="164" ht="15.75" customHeight="1">
      <c r="A164" s="211">
        <v>6.0</v>
      </c>
      <c r="B164" s="46" t="s">
        <v>2936</v>
      </c>
      <c r="C164" s="82" t="s">
        <v>2925</v>
      </c>
      <c r="D164" s="212" t="s">
        <v>25</v>
      </c>
      <c r="E164" s="212" t="s">
        <v>189</v>
      </c>
      <c r="F164" s="213" t="s">
        <v>138</v>
      </c>
      <c r="G164" s="221" t="s">
        <v>2937</v>
      </c>
      <c r="H164" s="223">
        <v>11.0</v>
      </c>
      <c r="I164" s="81">
        <v>59.0</v>
      </c>
      <c r="J164" s="223">
        <v>2.0</v>
      </c>
      <c r="K164" s="223">
        <v>2.0</v>
      </c>
      <c r="L164" s="223">
        <v>4.0</v>
      </c>
      <c r="M164" s="81" t="s">
        <v>2927</v>
      </c>
      <c r="N164" s="46">
        <v>0.0</v>
      </c>
      <c r="O164" s="81">
        <v>11.0</v>
      </c>
      <c r="P164" s="81" t="s">
        <v>29</v>
      </c>
      <c r="Q164" s="81">
        <v>0.0</v>
      </c>
      <c r="R164" s="46"/>
    </row>
    <row r="165" ht="15.75" customHeight="1">
      <c r="A165" s="211">
        <v>7.0</v>
      </c>
      <c r="B165" s="46" t="s">
        <v>2938</v>
      </c>
      <c r="C165" s="82" t="s">
        <v>2925</v>
      </c>
      <c r="D165" s="212" t="s">
        <v>25</v>
      </c>
      <c r="E165" s="212" t="s">
        <v>189</v>
      </c>
      <c r="F165" s="213" t="s">
        <v>138</v>
      </c>
      <c r="G165" s="221" t="s">
        <v>2939</v>
      </c>
      <c r="H165" s="223">
        <v>9.0</v>
      </c>
      <c r="I165" s="81">
        <v>49.0</v>
      </c>
      <c r="J165" s="223">
        <v>3.0</v>
      </c>
      <c r="K165" s="223">
        <v>3.0</v>
      </c>
      <c r="L165" s="223">
        <v>2.0</v>
      </c>
      <c r="M165" s="81" t="s">
        <v>2927</v>
      </c>
      <c r="N165" s="46">
        <v>0.0</v>
      </c>
      <c r="O165" s="81">
        <v>9.0</v>
      </c>
      <c r="P165" s="81" t="s">
        <v>29</v>
      </c>
      <c r="Q165" s="81">
        <v>0.0</v>
      </c>
      <c r="R165" s="46"/>
    </row>
    <row r="166" ht="15.75" customHeight="1">
      <c r="A166" s="211">
        <v>8.0</v>
      </c>
      <c r="B166" s="46" t="s">
        <v>2940</v>
      </c>
      <c r="C166" s="82" t="s">
        <v>2941</v>
      </c>
      <c r="D166" s="212" t="s">
        <v>25</v>
      </c>
      <c r="E166" s="212" t="s">
        <v>189</v>
      </c>
      <c r="F166" s="213" t="s">
        <v>138</v>
      </c>
      <c r="G166" s="221" t="s">
        <v>2942</v>
      </c>
      <c r="H166" s="223">
        <v>6.0</v>
      </c>
      <c r="I166" s="81">
        <v>31.0</v>
      </c>
      <c r="J166" s="223">
        <v>2.0</v>
      </c>
      <c r="K166" s="223">
        <v>2.0</v>
      </c>
      <c r="L166" s="223">
        <v>4.0</v>
      </c>
      <c r="M166" s="81" t="s">
        <v>2927</v>
      </c>
      <c r="N166" s="46">
        <v>0.0</v>
      </c>
      <c r="O166" s="81">
        <v>6.0</v>
      </c>
      <c r="P166" s="81" t="s">
        <v>29</v>
      </c>
      <c r="Q166" s="81">
        <v>0.0</v>
      </c>
      <c r="R166" s="46"/>
    </row>
    <row r="167" ht="15.75" customHeight="1">
      <c r="A167" s="211">
        <v>9.0</v>
      </c>
      <c r="B167" s="46" t="s">
        <v>2943</v>
      </c>
      <c r="C167" s="82" t="s">
        <v>2941</v>
      </c>
      <c r="D167" s="212" t="s">
        <v>25</v>
      </c>
      <c r="E167" s="212" t="s">
        <v>189</v>
      </c>
      <c r="F167" s="213" t="s">
        <v>138</v>
      </c>
      <c r="G167" s="221" t="s">
        <v>2944</v>
      </c>
      <c r="H167" s="223">
        <v>77.0</v>
      </c>
      <c r="I167" s="81">
        <v>387.0</v>
      </c>
      <c r="J167" s="223">
        <v>10.0</v>
      </c>
      <c r="K167" s="223">
        <v>10.0</v>
      </c>
      <c r="L167" s="46">
        <v>0.0</v>
      </c>
      <c r="M167" s="81" t="s">
        <v>2927</v>
      </c>
      <c r="N167" s="46">
        <v>0.0</v>
      </c>
      <c r="O167" s="81">
        <v>77.0</v>
      </c>
      <c r="P167" s="81" t="s">
        <v>29</v>
      </c>
      <c r="Q167" s="81">
        <v>0.0</v>
      </c>
      <c r="R167" s="46"/>
    </row>
    <row r="168" ht="15.75" customHeight="1">
      <c r="A168" s="211">
        <v>10.0</v>
      </c>
      <c r="B168" s="46" t="s">
        <v>2945</v>
      </c>
      <c r="C168" s="82" t="s">
        <v>2946</v>
      </c>
      <c r="D168" s="212" t="s">
        <v>25</v>
      </c>
      <c r="E168" s="212" t="s">
        <v>189</v>
      </c>
      <c r="F168" s="213" t="s">
        <v>138</v>
      </c>
      <c r="G168" s="221" t="s">
        <v>2947</v>
      </c>
      <c r="H168" s="223">
        <v>6.0</v>
      </c>
      <c r="I168" s="81">
        <v>33.0</v>
      </c>
      <c r="J168" s="223">
        <v>4.0</v>
      </c>
      <c r="K168" s="223">
        <v>4.0</v>
      </c>
      <c r="L168" s="223">
        <v>4.0</v>
      </c>
      <c r="M168" s="81" t="s">
        <v>2927</v>
      </c>
      <c r="N168" s="46">
        <v>0.0</v>
      </c>
      <c r="O168" s="81">
        <v>6.0</v>
      </c>
      <c r="P168" s="81" t="s">
        <v>29</v>
      </c>
      <c r="Q168" s="81">
        <v>0.0</v>
      </c>
      <c r="R168" s="46"/>
    </row>
    <row r="169" ht="15.75" customHeight="1">
      <c r="A169" s="211">
        <v>11.0</v>
      </c>
      <c r="B169" s="46" t="s">
        <v>2948</v>
      </c>
      <c r="C169" s="82" t="s">
        <v>2946</v>
      </c>
      <c r="D169" s="212" t="s">
        <v>25</v>
      </c>
      <c r="E169" s="212" t="s">
        <v>189</v>
      </c>
      <c r="F169" s="213" t="s">
        <v>138</v>
      </c>
      <c r="G169" s="221">
        <v>672.0</v>
      </c>
      <c r="H169" s="223">
        <v>49.0</v>
      </c>
      <c r="I169" s="81">
        <v>245.0</v>
      </c>
      <c r="J169" s="46">
        <v>0.0</v>
      </c>
      <c r="K169" s="46">
        <v>0.0</v>
      </c>
      <c r="L169" s="223">
        <v>12.0</v>
      </c>
      <c r="M169" s="81" t="s">
        <v>2927</v>
      </c>
      <c r="N169" s="46">
        <v>0.0</v>
      </c>
      <c r="O169" s="81">
        <v>49.0</v>
      </c>
      <c r="P169" s="81" t="s">
        <v>29</v>
      </c>
      <c r="Q169" s="81">
        <v>0.0</v>
      </c>
      <c r="R169" s="46"/>
    </row>
    <row r="170" ht="15.75" customHeight="1">
      <c r="A170" s="211">
        <v>12.0</v>
      </c>
      <c r="B170" s="46" t="s">
        <v>2949</v>
      </c>
      <c r="C170" s="82" t="s">
        <v>2950</v>
      </c>
      <c r="D170" s="212" t="s">
        <v>25</v>
      </c>
      <c r="E170" s="212" t="s">
        <v>189</v>
      </c>
      <c r="F170" s="213" t="s">
        <v>138</v>
      </c>
      <c r="G170" s="221" t="s">
        <v>2951</v>
      </c>
      <c r="H170" s="223">
        <v>3.0</v>
      </c>
      <c r="I170" s="81">
        <v>18.0</v>
      </c>
      <c r="J170" s="223">
        <v>2.0</v>
      </c>
      <c r="K170" s="223">
        <v>2.0</v>
      </c>
      <c r="L170" s="223">
        <v>2.0</v>
      </c>
      <c r="M170" s="81" t="s">
        <v>2927</v>
      </c>
      <c r="N170" s="46">
        <v>0.0</v>
      </c>
      <c r="O170" s="81">
        <v>3.0</v>
      </c>
      <c r="P170" s="81" t="s">
        <v>29</v>
      </c>
      <c r="Q170" s="81">
        <v>0.0</v>
      </c>
      <c r="R170" s="46"/>
    </row>
    <row r="171" ht="15.75" customHeight="1">
      <c r="A171" s="211">
        <v>13.0</v>
      </c>
      <c r="B171" s="46" t="s">
        <v>2952</v>
      </c>
      <c r="C171" s="82" t="s">
        <v>2950</v>
      </c>
      <c r="D171" s="212" t="s">
        <v>25</v>
      </c>
      <c r="E171" s="212" t="s">
        <v>189</v>
      </c>
      <c r="F171" s="213" t="s">
        <v>138</v>
      </c>
      <c r="G171" s="221" t="s">
        <v>2953</v>
      </c>
      <c r="H171" s="223">
        <v>93.0</v>
      </c>
      <c r="I171" s="81">
        <v>468.0</v>
      </c>
      <c r="J171" s="46">
        <v>0.0</v>
      </c>
      <c r="K171" s="46">
        <v>0.0</v>
      </c>
      <c r="L171" s="223">
        <v>11.0</v>
      </c>
      <c r="M171" s="81" t="s">
        <v>2927</v>
      </c>
      <c r="N171" s="46">
        <v>0.0</v>
      </c>
      <c r="O171" s="81">
        <v>93.0</v>
      </c>
      <c r="P171" s="81" t="s">
        <v>29</v>
      </c>
      <c r="Q171" s="81">
        <v>0.0</v>
      </c>
      <c r="R171" s="46"/>
    </row>
    <row r="172" ht="15.75" customHeight="1">
      <c r="A172" s="211">
        <v>14.0</v>
      </c>
      <c r="B172" s="46" t="s">
        <v>2954</v>
      </c>
      <c r="C172" s="82" t="s">
        <v>2950</v>
      </c>
      <c r="D172" s="212" t="s">
        <v>25</v>
      </c>
      <c r="E172" s="212" t="s">
        <v>189</v>
      </c>
      <c r="F172" s="213" t="s">
        <v>138</v>
      </c>
      <c r="G172" s="221" t="s">
        <v>2955</v>
      </c>
      <c r="H172" s="223">
        <v>36.0</v>
      </c>
      <c r="I172" s="81">
        <v>180.0</v>
      </c>
      <c r="J172" s="223">
        <v>2.0</v>
      </c>
      <c r="K172" s="223">
        <v>2.0</v>
      </c>
      <c r="L172" s="223">
        <v>4.0</v>
      </c>
      <c r="M172" s="81" t="s">
        <v>2927</v>
      </c>
      <c r="N172" s="46">
        <v>0.0</v>
      </c>
      <c r="O172" s="81">
        <v>36.0</v>
      </c>
      <c r="P172" s="81" t="s">
        <v>29</v>
      </c>
      <c r="Q172" s="81">
        <v>0.0</v>
      </c>
      <c r="R172" s="46"/>
    </row>
    <row r="173" ht="15.75" customHeight="1">
      <c r="A173" s="211">
        <v>15.0</v>
      </c>
      <c r="B173" s="46" t="s">
        <v>2956</v>
      </c>
      <c r="C173" s="82" t="s">
        <v>2957</v>
      </c>
      <c r="D173" s="212" t="s">
        <v>25</v>
      </c>
      <c r="E173" s="212" t="s">
        <v>189</v>
      </c>
      <c r="F173" s="213" t="s">
        <v>138</v>
      </c>
      <c r="G173" s="221" t="s">
        <v>2939</v>
      </c>
      <c r="H173" s="223">
        <v>9.0</v>
      </c>
      <c r="I173" s="81">
        <v>46.0</v>
      </c>
      <c r="J173" s="46">
        <v>0.0</v>
      </c>
      <c r="K173" s="46">
        <v>0.0</v>
      </c>
      <c r="L173" s="223">
        <v>6.0</v>
      </c>
      <c r="M173" s="81" t="s">
        <v>2927</v>
      </c>
      <c r="N173" s="46">
        <v>0.0</v>
      </c>
      <c r="O173" s="81">
        <v>9.0</v>
      </c>
      <c r="P173" s="81" t="s">
        <v>29</v>
      </c>
      <c r="Q173" s="81">
        <v>0.0</v>
      </c>
      <c r="R173" s="46"/>
    </row>
    <row r="174" ht="15.75" customHeight="1">
      <c r="A174" s="211">
        <v>16.0</v>
      </c>
      <c r="B174" s="46" t="s">
        <v>2406</v>
      </c>
      <c r="C174" s="82" t="s">
        <v>2957</v>
      </c>
      <c r="D174" s="212" t="s">
        <v>25</v>
      </c>
      <c r="E174" s="212" t="s">
        <v>189</v>
      </c>
      <c r="F174" s="213" t="s">
        <v>138</v>
      </c>
      <c r="G174" s="221">
        <v>616.0</v>
      </c>
      <c r="H174" s="223">
        <v>44.0</v>
      </c>
      <c r="I174" s="81">
        <v>224.0</v>
      </c>
      <c r="J174" s="46">
        <v>0.0</v>
      </c>
      <c r="K174" s="46">
        <v>0.0</v>
      </c>
      <c r="L174" s="223">
        <v>12.0</v>
      </c>
      <c r="M174" s="81" t="s">
        <v>2927</v>
      </c>
      <c r="N174" s="46">
        <v>0.0</v>
      </c>
      <c r="O174" s="81">
        <v>44.0</v>
      </c>
      <c r="P174" s="81" t="s">
        <v>29</v>
      </c>
      <c r="Q174" s="81">
        <v>0.0</v>
      </c>
      <c r="R174" s="46"/>
    </row>
    <row r="175" ht="15.75" customHeight="1">
      <c r="A175" s="211">
        <v>17.0</v>
      </c>
      <c r="B175" s="46" t="s">
        <v>2958</v>
      </c>
      <c r="C175" s="82" t="s">
        <v>2957</v>
      </c>
      <c r="D175" s="212" t="s">
        <v>25</v>
      </c>
      <c r="E175" s="212" t="s">
        <v>189</v>
      </c>
      <c r="F175" s="213" t="s">
        <v>138</v>
      </c>
      <c r="G175" s="221" t="s">
        <v>2959</v>
      </c>
      <c r="H175" s="223">
        <v>87.0</v>
      </c>
      <c r="I175" s="81">
        <v>436.0</v>
      </c>
      <c r="J175" s="46">
        <v>0.0</v>
      </c>
      <c r="K175" s="46">
        <v>0.0</v>
      </c>
      <c r="L175" s="223">
        <v>7.0</v>
      </c>
      <c r="M175" s="81" t="s">
        <v>2927</v>
      </c>
      <c r="N175" s="46">
        <v>0.0</v>
      </c>
      <c r="O175" s="81">
        <v>87.0</v>
      </c>
      <c r="P175" s="81" t="s">
        <v>29</v>
      </c>
      <c r="Q175" s="81">
        <v>0.0</v>
      </c>
      <c r="R175" s="46"/>
    </row>
    <row r="176" ht="15.75" customHeight="1">
      <c r="A176" s="211">
        <v>18.0</v>
      </c>
      <c r="B176" s="46" t="s">
        <v>2960</v>
      </c>
      <c r="C176" s="82" t="s">
        <v>2961</v>
      </c>
      <c r="D176" s="212" t="s">
        <v>25</v>
      </c>
      <c r="E176" s="212" t="s">
        <v>189</v>
      </c>
      <c r="F176" s="213" t="s">
        <v>138</v>
      </c>
      <c r="G176" s="221" t="s">
        <v>2962</v>
      </c>
      <c r="H176" s="223">
        <v>4.0</v>
      </c>
      <c r="I176" s="81">
        <v>20.0</v>
      </c>
      <c r="J176" s="223">
        <v>2.0</v>
      </c>
      <c r="K176" s="223">
        <v>2.0</v>
      </c>
      <c r="L176" s="223">
        <v>4.0</v>
      </c>
      <c r="M176" s="81" t="s">
        <v>2927</v>
      </c>
      <c r="N176" s="46">
        <v>0.0</v>
      </c>
      <c r="O176" s="81">
        <v>4.0</v>
      </c>
      <c r="P176" s="81" t="s">
        <v>29</v>
      </c>
      <c r="Q176" s="81">
        <v>0.0</v>
      </c>
      <c r="R176" s="46"/>
    </row>
    <row r="177" ht="15.75" customHeight="1">
      <c r="A177" s="211">
        <v>19.0</v>
      </c>
      <c r="B177" s="46" t="s">
        <v>2963</v>
      </c>
      <c r="C177" s="82" t="s">
        <v>2964</v>
      </c>
      <c r="D177" s="212" t="s">
        <v>25</v>
      </c>
      <c r="E177" s="212" t="s">
        <v>189</v>
      </c>
      <c r="F177" s="213" t="s">
        <v>138</v>
      </c>
      <c r="G177" s="221" t="s">
        <v>2965</v>
      </c>
      <c r="H177" s="223">
        <v>5.0</v>
      </c>
      <c r="I177" s="81">
        <v>27.0</v>
      </c>
      <c r="J177" s="46">
        <v>0.0</v>
      </c>
      <c r="K177" s="46">
        <v>0.0</v>
      </c>
      <c r="L177" s="223">
        <v>6.0</v>
      </c>
      <c r="M177" s="81" t="s">
        <v>2927</v>
      </c>
      <c r="N177" s="46">
        <v>0.0</v>
      </c>
      <c r="O177" s="81">
        <v>5.0</v>
      </c>
      <c r="P177" s="81" t="s">
        <v>29</v>
      </c>
      <c r="Q177" s="81">
        <v>0.0</v>
      </c>
      <c r="R177" s="46"/>
    </row>
    <row r="178" ht="15.75" customHeight="1">
      <c r="A178" s="211">
        <v>20.0</v>
      </c>
      <c r="B178" s="46" t="s">
        <v>2966</v>
      </c>
      <c r="C178" s="82" t="s">
        <v>2967</v>
      </c>
      <c r="D178" s="212" t="s">
        <v>25</v>
      </c>
      <c r="E178" s="212" t="s">
        <v>189</v>
      </c>
      <c r="F178" s="213" t="s">
        <v>138</v>
      </c>
      <c r="G178" s="221" t="s">
        <v>2951</v>
      </c>
      <c r="H178" s="223">
        <v>3.0</v>
      </c>
      <c r="I178" s="81">
        <v>18.0</v>
      </c>
      <c r="J178" s="46">
        <v>0.0</v>
      </c>
      <c r="K178" s="46">
        <v>0.0</v>
      </c>
      <c r="L178" s="223">
        <v>4.0</v>
      </c>
      <c r="M178" s="81" t="s">
        <v>2927</v>
      </c>
      <c r="N178" s="46">
        <v>0.0</v>
      </c>
      <c r="O178" s="81">
        <v>3.0</v>
      </c>
      <c r="P178" s="81" t="s">
        <v>29</v>
      </c>
      <c r="Q178" s="81">
        <v>0.0</v>
      </c>
      <c r="R178" s="46"/>
    </row>
    <row r="179" ht="15.75" customHeight="1">
      <c r="A179" s="211">
        <v>21.0</v>
      </c>
      <c r="B179" s="46" t="s">
        <v>2968</v>
      </c>
      <c r="C179" s="82" t="s">
        <v>2967</v>
      </c>
      <c r="D179" s="212" t="s">
        <v>25</v>
      </c>
      <c r="E179" s="212" t="s">
        <v>189</v>
      </c>
      <c r="F179" s="213" t="s">
        <v>138</v>
      </c>
      <c r="G179" s="221" t="s">
        <v>2969</v>
      </c>
      <c r="H179" s="223">
        <v>40.0</v>
      </c>
      <c r="I179" s="81">
        <v>203.0</v>
      </c>
      <c r="J179" s="46">
        <v>0.0</v>
      </c>
      <c r="K179" s="46">
        <v>0.0</v>
      </c>
      <c r="L179" s="223">
        <v>11.0</v>
      </c>
      <c r="M179" s="81" t="s">
        <v>2927</v>
      </c>
      <c r="N179" s="46">
        <v>0.0</v>
      </c>
      <c r="O179" s="81">
        <v>40.0</v>
      </c>
      <c r="P179" s="81" t="s">
        <v>29</v>
      </c>
      <c r="Q179" s="81">
        <v>0.0</v>
      </c>
      <c r="R179" s="46"/>
    </row>
    <row r="180" ht="15.75" customHeight="1">
      <c r="A180" s="211">
        <v>22.0</v>
      </c>
      <c r="B180" s="46" t="s">
        <v>2970</v>
      </c>
      <c r="C180" s="82" t="s">
        <v>2971</v>
      </c>
      <c r="D180" s="212" t="s">
        <v>25</v>
      </c>
      <c r="E180" s="212" t="s">
        <v>189</v>
      </c>
      <c r="F180" s="213" t="s">
        <v>138</v>
      </c>
      <c r="G180" s="221" t="s">
        <v>2972</v>
      </c>
      <c r="H180" s="223">
        <v>9.0</v>
      </c>
      <c r="I180" s="81">
        <v>44.0</v>
      </c>
      <c r="J180" s="223">
        <v>2.0</v>
      </c>
      <c r="K180" s="223">
        <v>2.0</v>
      </c>
      <c r="L180" s="223">
        <v>4.0</v>
      </c>
      <c r="M180" s="81" t="s">
        <v>2927</v>
      </c>
      <c r="N180" s="46">
        <v>0.0</v>
      </c>
      <c r="O180" s="81">
        <v>9.0</v>
      </c>
      <c r="P180" s="81" t="s">
        <v>29</v>
      </c>
      <c r="Q180" s="81">
        <v>0.0</v>
      </c>
      <c r="R180" s="46"/>
    </row>
    <row r="181" ht="15.75" customHeight="1">
      <c r="A181" s="211">
        <v>23.0</v>
      </c>
      <c r="B181" s="46" t="s">
        <v>2973</v>
      </c>
      <c r="C181" s="82" t="s">
        <v>2974</v>
      </c>
      <c r="D181" s="212" t="s">
        <v>25</v>
      </c>
      <c r="E181" s="212" t="s">
        <v>189</v>
      </c>
      <c r="F181" s="213" t="s">
        <v>138</v>
      </c>
      <c r="G181" s="221" t="s">
        <v>2965</v>
      </c>
      <c r="H181" s="223">
        <v>5.0</v>
      </c>
      <c r="I181" s="81">
        <v>27.0</v>
      </c>
      <c r="J181" s="46">
        <v>0.0</v>
      </c>
      <c r="K181" s="46">
        <v>0.0</v>
      </c>
      <c r="L181" s="223">
        <v>4.0</v>
      </c>
      <c r="M181" s="81" t="s">
        <v>2927</v>
      </c>
      <c r="N181" s="46">
        <v>0.0</v>
      </c>
      <c r="O181" s="81">
        <v>5.0</v>
      </c>
      <c r="P181" s="81" t="s">
        <v>29</v>
      </c>
      <c r="Q181" s="81">
        <v>0.0</v>
      </c>
      <c r="R181" s="46"/>
    </row>
    <row r="182" ht="15.75" customHeight="1">
      <c r="A182" s="211">
        <v>24.0</v>
      </c>
      <c r="B182" s="46" t="s">
        <v>2975</v>
      </c>
      <c r="C182" s="82" t="s">
        <v>2974</v>
      </c>
      <c r="D182" s="212" t="s">
        <v>25</v>
      </c>
      <c r="E182" s="212" t="s">
        <v>189</v>
      </c>
      <c r="F182" s="213" t="s">
        <v>138</v>
      </c>
      <c r="G182" s="221" t="s">
        <v>2976</v>
      </c>
      <c r="H182" s="223">
        <v>81.0</v>
      </c>
      <c r="I182" s="81">
        <v>407.0</v>
      </c>
      <c r="J182" s="46">
        <v>0.0</v>
      </c>
      <c r="K182" s="46">
        <v>0.0</v>
      </c>
      <c r="L182" s="223">
        <v>19.0</v>
      </c>
      <c r="M182" s="81" t="s">
        <v>2927</v>
      </c>
      <c r="N182" s="46">
        <v>0.0</v>
      </c>
      <c r="O182" s="81">
        <v>81.0</v>
      </c>
      <c r="P182" s="81" t="s">
        <v>29</v>
      </c>
      <c r="Q182" s="81">
        <v>0.0</v>
      </c>
      <c r="R182" s="46"/>
    </row>
    <row r="183" ht="15.75" customHeight="1">
      <c r="A183" s="211">
        <v>25.0</v>
      </c>
      <c r="B183" s="46" t="s">
        <v>2977</v>
      </c>
      <c r="C183" s="82" t="s">
        <v>2978</v>
      </c>
      <c r="D183" s="212" t="s">
        <v>25</v>
      </c>
      <c r="E183" s="212" t="s">
        <v>189</v>
      </c>
      <c r="F183" s="213" t="s">
        <v>138</v>
      </c>
      <c r="G183" s="221" t="s">
        <v>2979</v>
      </c>
      <c r="H183" s="223">
        <v>69.0</v>
      </c>
      <c r="I183" s="81">
        <v>346.0</v>
      </c>
      <c r="J183" s="46">
        <v>0.0</v>
      </c>
      <c r="K183" s="46">
        <v>0.0</v>
      </c>
      <c r="L183" s="223">
        <v>17.0</v>
      </c>
      <c r="M183" s="81" t="s">
        <v>2927</v>
      </c>
      <c r="N183" s="46">
        <v>0.0</v>
      </c>
      <c r="O183" s="81">
        <v>69.0</v>
      </c>
      <c r="P183" s="81" t="s">
        <v>29</v>
      </c>
      <c r="Q183" s="81">
        <v>0.0</v>
      </c>
      <c r="R183" s="46"/>
    </row>
    <row r="184" ht="15.75" customHeight="1">
      <c r="A184" s="211">
        <v>26.0</v>
      </c>
      <c r="B184" s="46" t="s">
        <v>2980</v>
      </c>
      <c r="C184" s="82" t="s">
        <v>2981</v>
      </c>
      <c r="D184" s="212" t="s">
        <v>25</v>
      </c>
      <c r="E184" s="212" t="s">
        <v>189</v>
      </c>
      <c r="F184" s="213" t="s">
        <v>138</v>
      </c>
      <c r="G184" s="221" t="s">
        <v>2951</v>
      </c>
      <c r="H184" s="223">
        <v>3.0</v>
      </c>
      <c r="I184" s="81">
        <v>18.0</v>
      </c>
      <c r="J184" s="223">
        <v>2.0</v>
      </c>
      <c r="K184" s="223">
        <v>2.0</v>
      </c>
      <c r="L184" s="223">
        <v>2.0</v>
      </c>
      <c r="M184" s="81" t="s">
        <v>2927</v>
      </c>
      <c r="N184" s="46">
        <v>0.0</v>
      </c>
      <c r="O184" s="81">
        <v>3.0</v>
      </c>
      <c r="P184" s="81" t="s">
        <v>29</v>
      </c>
      <c r="Q184" s="81">
        <v>0.0</v>
      </c>
      <c r="R184" s="46"/>
    </row>
    <row r="185" ht="15.75" customHeight="1">
      <c r="A185" s="211">
        <v>27.0</v>
      </c>
      <c r="B185" s="46" t="s">
        <v>2982</v>
      </c>
      <c r="C185" s="82" t="s">
        <v>2983</v>
      </c>
      <c r="D185" s="212" t="s">
        <v>25</v>
      </c>
      <c r="E185" s="212" t="s">
        <v>189</v>
      </c>
      <c r="F185" s="213" t="s">
        <v>138</v>
      </c>
      <c r="G185" s="221" t="s">
        <v>2984</v>
      </c>
      <c r="H185" s="223">
        <v>7.0</v>
      </c>
      <c r="I185" s="81">
        <v>35.0</v>
      </c>
      <c r="J185" s="223">
        <v>1.0</v>
      </c>
      <c r="K185" s="223">
        <v>1.0</v>
      </c>
      <c r="L185" s="223">
        <v>1.0</v>
      </c>
      <c r="M185" s="81" t="s">
        <v>2927</v>
      </c>
      <c r="N185" s="46">
        <v>0.0</v>
      </c>
      <c r="O185" s="81">
        <v>7.0</v>
      </c>
      <c r="P185" s="81" t="s">
        <v>29</v>
      </c>
      <c r="Q185" s="81">
        <v>0.0</v>
      </c>
      <c r="R185" s="46"/>
    </row>
    <row r="186" ht="15.75" customHeight="1">
      <c r="A186" s="211">
        <v>28.0</v>
      </c>
      <c r="B186" s="46" t="s">
        <v>2985</v>
      </c>
      <c r="C186" s="82" t="s">
        <v>2986</v>
      </c>
      <c r="D186" s="212" t="s">
        <v>25</v>
      </c>
      <c r="E186" s="212" t="s">
        <v>189</v>
      </c>
      <c r="F186" s="213" t="s">
        <v>138</v>
      </c>
      <c r="G186" s="221" t="s">
        <v>2987</v>
      </c>
      <c r="H186" s="223">
        <v>49.0</v>
      </c>
      <c r="I186" s="81">
        <v>244.0</v>
      </c>
      <c r="J186" s="46">
        <v>0.0</v>
      </c>
      <c r="K186" s="46">
        <v>0.0</v>
      </c>
      <c r="L186" s="223">
        <v>9.0</v>
      </c>
      <c r="M186" s="81" t="s">
        <v>2927</v>
      </c>
      <c r="N186" s="46">
        <v>0.0</v>
      </c>
      <c r="O186" s="81">
        <v>49.0</v>
      </c>
      <c r="P186" s="81" t="s">
        <v>29</v>
      </c>
      <c r="Q186" s="81">
        <v>0.0</v>
      </c>
      <c r="R186" s="46"/>
    </row>
    <row r="187" ht="15.75" customHeight="1">
      <c r="A187" s="211">
        <v>29.0</v>
      </c>
      <c r="B187" s="46" t="s">
        <v>2988</v>
      </c>
      <c r="C187" s="82" t="s">
        <v>2986</v>
      </c>
      <c r="D187" s="212" t="s">
        <v>25</v>
      </c>
      <c r="E187" s="212" t="s">
        <v>189</v>
      </c>
      <c r="F187" s="213" t="s">
        <v>138</v>
      </c>
      <c r="G187" s="221" t="s">
        <v>2972</v>
      </c>
      <c r="H187" s="223">
        <v>9.0</v>
      </c>
      <c r="I187" s="81">
        <v>44.0</v>
      </c>
      <c r="J187" s="223">
        <v>2.0</v>
      </c>
      <c r="K187" s="223">
        <v>2.0</v>
      </c>
      <c r="L187" s="223">
        <v>2.0</v>
      </c>
      <c r="M187" s="81" t="s">
        <v>2927</v>
      </c>
      <c r="N187" s="46">
        <v>0.0</v>
      </c>
      <c r="O187" s="81">
        <v>9.0</v>
      </c>
      <c r="P187" s="81" t="s">
        <v>29</v>
      </c>
      <c r="Q187" s="81">
        <v>0.0</v>
      </c>
      <c r="R187" s="46"/>
    </row>
    <row r="188" ht="15.75" customHeight="1">
      <c r="A188" s="211">
        <v>30.0</v>
      </c>
      <c r="B188" s="46" t="s">
        <v>2989</v>
      </c>
      <c r="C188" s="82" t="s">
        <v>2990</v>
      </c>
      <c r="D188" s="212" t="s">
        <v>25</v>
      </c>
      <c r="E188" s="212" t="s">
        <v>189</v>
      </c>
      <c r="F188" s="213" t="s">
        <v>138</v>
      </c>
      <c r="G188" s="221" t="s">
        <v>2991</v>
      </c>
      <c r="H188" s="223">
        <v>61.0</v>
      </c>
      <c r="I188" s="81">
        <v>305.0</v>
      </c>
      <c r="J188" s="46">
        <v>0.0</v>
      </c>
      <c r="K188" s="46">
        <v>0.0</v>
      </c>
      <c r="L188" s="223">
        <v>21.0</v>
      </c>
      <c r="M188" s="81" t="s">
        <v>2927</v>
      </c>
      <c r="N188" s="46">
        <v>0.0</v>
      </c>
      <c r="O188" s="81">
        <v>61.0</v>
      </c>
      <c r="P188" s="81" t="s">
        <v>29</v>
      </c>
      <c r="Q188" s="81">
        <v>0.0</v>
      </c>
      <c r="R188" s="46"/>
    </row>
    <row r="189" ht="15.75" customHeight="1">
      <c r="A189" s="211">
        <v>31.0</v>
      </c>
      <c r="B189" s="46" t="s">
        <v>2992</v>
      </c>
      <c r="C189" s="82" t="s">
        <v>2990</v>
      </c>
      <c r="D189" s="212" t="s">
        <v>25</v>
      </c>
      <c r="E189" s="212" t="s">
        <v>189</v>
      </c>
      <c r="F189" s="213" t="s">
        <v>138</v>
      </c>
      <c r="G189" s="221" t="s">
        <v>2993</v>
      </c>
      <c r="H189" s="223">
        <v>94.0</v>
      </c>
      <c r="I189" s="81">
        <v>473.0</v>
      </c>
      <c r="J189" s="223">
        <v>3.0</v>
      </c>
      <c r="K189" s="223">
        <v>3.0</v>
      </c>
      <c r="L189" s="223">
        <v>10.0</v>
      </c>
      <c r="M189" s="81" t="s">
        <v>2927</v>
      </c>
      <c r="N189" s="46">
        <v>0.0</v>
      </c>
      <c r="O189" s="81">
        <v>94.0</v>
      </c>
      <c r="P189" s="81" t="s">
        <v>29</v>
      </c>
      <c r="Q189" s="81">
        <v>0.0</v>
      </c>
      <c r="R189" s="46"/>
    </row>
    <row r="190" ht="15.75" customHeight="1">
      <c r="A190" s="211">
        <v>32.0</v>
      </c>
      <c r="B190" s="46" t="s">
        <v>2994</v>
      </c>
      <c r="C190" s="82" t="s">
        <v>2990</v>
      </c>
      <c r="D190" s="212" t="s">
        <v>25</v>
      </c>
      <c r="E190" s="212" t="s">
        <v>189</v>
      </c>
      <c r="F190" s="213" t="s">
        <v>138</v>
      </c>
      <c r="G190" s="221" t="s">
        <v>2972</v>
      </c>
      <c r="H190" s="223">
        <v>9.0</v>
      </c>
      <c r="I190" s="81">
        <v>44.0</v>
      </c>
      <c r="J190" s="223">
        <v>2.0</v>
      </c>
      <c r="K190" s="223">
        <v>2.0</v>
      </c>
      <c r="L190" s="223">
        <v>2.0</v>
      </c>
      <c r="M190" s="81" t="s">
        <v>2927</v>
      </c>
      <c r="N190" s="46">
        <v>0.0</v>
      </c>
      <c r="O190" s="81">
        <v>9.0</v>
      </c>
      <c r="P190" s="81" t="s">
        <v>29</v>
      </c>
      <c r="Q190" s="81">
        <v>0.0</v>
      </c>
      <c r="R190" s="46"/>
    </row>
    <row r="191" ht="15.75" customHeight="1">
      <c r="A191" s="211">
        <v>33.0</v>
      </c>
      <c r="B191" s="46" t="s">
        <v>2995</v>
      </c>
      <c r="C191" s="82" t="s">
        <v>2925</v>
      </c>
      <c r="D191" s="212" t="s">
        <v>25</v>
      </c>
      <c r="E191" s="212" t="s">
        <v>189</v>
      </c>
      <c r="F191" s="213" t="s">
        <v>138</v>
      </c>
      <c r="G191" s="221" t="s">
        <v>2996</v>
      </c>
      <c r="H191" s="223">
        <v>11.0</v>
      </c>
      <c r="I191" s="81">
        <v>55.0</v>
      </c>
      <c r="J191" s="46">
        <v>0.0</v>
      </c>
      <c r="K191" s="46">
        <v>0.0</v>
      </c>
      <c r="L191" s="223">
        <v>4.0</v>
      </c>
      <c r="M191" s="81" t="s">
        <v>2927</v>
      </c>
      <c r="N191" s="46">
        <v>0.0</v>
      </c>
      <c r="O191" s="81">
        <v>11.0</v>
      </c>
      <c r="P191" s="81" t="s">
        <v>29</v>
      </c>
      <c r="Q191" s="81">
        <v>0.0</v>
      </c>
      <c r="R191" s="46"/>
    </row>
    <row r="192" ht="15.75" customHeight="1">
      <c r="A192" s="211">
        <v>34.0</v>
      </c>
      <c r="B192" s="46" t="s">
        <v>2997</v>
      </c>
      <c r="C192" s="82" t="s">
        <v>2925</v>
      </c>
      <c r="D192" s="212" t="s">
        <v>25</v>
      </c>
      <c r="E192" s="212" t="s">
        <v>189</v>
      </c>
      <c r="F192" s="213" t="s">
        <v>138</v>
      </c>
      <c r="G192" s="221" t="s">
        <v>2998</v>
      </c>
      <c r="H192" s="223">
        <v>142.0</v>
      </c>
      <c r="I192" s="81">
        <v>713.0</v>
      </c>
      <c r="J192" s="46">
        <v>0.0</v>
      </c>
      <c r="K192" s="46">
        <v>0.0</v>
      </c>
      <c r="L192" s="223">
        <v>23.0</v>
      </c>
      <c r="M192" s="81" t="s">
        <v>2927</v>
      </c>
      <c r="N192" s="46">
        <v>0.0</v>
      </c>
      <c r="O192" s="81">
        <v>142.0</v>
      </c>
      <c r="P192" s="81" t="s">
        <v>29</v>
      </c>
      <c r="Q192" s="81">
        <v>0.0</v>
      </c>
      <c r="R192" s="46"/>
    </row>
    <row r="193" ht="15.75" customHeight="1">
      <c r="A193" s="211">
        <v>35.0</v>
      </c>
      <c r="B193" s="46" t="s">
        <v>2999</v>
      </c>
      <c r="C193" s="82" t="s">
        <v>3000</v>
      </c>
      <c r="D193" s="212" t="s">
        <v>25</v>
      </c>
      <c r="E193" s="212" t="s">
        <v>189</v>
      </c>
      <c r="F193" s="213" t="s">
        <v>138</v>
      </c>
      <c r="G193" s="221" t="s">
        <v>2972</v>
      </c>
      <c r="H193" s="223">
        <v>9.0</v>
      </c>
      <c r="I193" s="81">
        <v>44.0</v>
      </c>
      <c r="J193" s="46">
        <v>0.0</v>
      </c>
      <c r="K193" s="46">
        <v>0.0</v>
      </c>
      <c r="L193" s="223">
        <v>2.0</v>
      </c>
      <c r="M193" s="81" t="s">
        <v>2927</v>
      </c>
      <c r="N193" s="46">
        <v>0.0</v>
      </c>
      <c r="O193" s="81">
        <v>9.0</v>
      </c>
      <c r="P193" s="81" t="s">
        <v>29</v>
      </c>
      <c r="Q193" s="81">
        <v>0.0</v>
      </c>
      <c r="R193" s="46"/>
    </row>
    <row r="194" ht="15.75" customHeight="1">
      <c r="A194" s="211">
        <v>36.0</v>
      </c>
      <c r="B194" s="49" t="s">
        <v>3001</v>
      </c>
      <c r="C194" s="49" t="s">
        <v>3002</v>
      </c>
      <c r="D194" s="212" t="s">
        <v>25</v>
      </c>
      <c r="E194" s="212" t="s">
        <v>189</v>
      </c>
      <c r="F194" s="213" t="s">
        <v>138</v>
      </c>
      <c r="G194" s="221" t="s">
        <v>2976</v>
      </c>
      <c r="H194" s="223">
        <v>81.0</v>
      </c>
      <c r="I194" s="81">
        <v>407.0</v>
      </c>
      <c r="J194" s="46">
        <v>0.0</v>
      </c>
      <c r="K194" s="46">
        <v>0.0</v>
      </c>
      <c r="L194" s="223">
        <v>8.0</v>
      </c>
      <c r="M194" s="81" t="s">
        <v>2927</v>
      </c>
      <c r="N194" s="46">
        <v>0.0</v>
      </c>
      <c r="O194" s="81">
        <v>81.0</v>
      </c>
      <c r="P194" s="81" t="s">
        <v>29</v>
      </c>
      <c r="Q194" s="81">
        <v>0.0</v>
      </c>
      <c r="R194" s="46"/>
    </row>
    <row r="195" ht="15.75" customHeight="1">
      <c r="A195" s="211">
        <v>37.0</v>
      </c>
      <c r="B195" s="49" t="s">
        <v>3003</v>
      </c>
      <c r="C195" s="49" t="s">
        <v>3002</v>
      </c>
      <c r="D195" s="212" t="s">
        <v>25</v>
      </c>
      <c r="E195" s="212" t="s">
        <v>189</v>
      </c>
      <c r="F195" s="213" t="s">
        <v>138</v>
      </c>
      <c r="G195" s="221" t="s">
        <v>2951</v>
      </c>
      <c r="H195" s="223">
        <v>3.0</v>
      </c>
      <c r="I195" s="81">
        <v>18.0</v>
      </c>
      <c r="J195" s="46">
        <v>0.0</v>
      </c>
      <c r="K195" s="46">
        <v>0.0</v>
      </c>
      <c r="L195" s="223">
        <v>2.0</v>
      </c>
      <c r="M195" s="81" t="s">
        <v>2927</v>
      </c>
      <c r="N195" s="46">
        <v>0.0</v>
      </c>
      <c r="O195" s="81">
        <v>3.0</v>
      </c>
      <c r="P195" s="81" t="s">
        <v>29</v>
      </c>
      <c r="Q195" s="81">
        <v>0.0</v>
      </c>
      <c r="R195" s="46"/>
    </row>
    <row r="196" ht="15.75" customHeight="1">
      <c r="A196" s="211">
        <v>38.0</v>
      </c>
      <c r="B196" s="49" t="s">
        <v>3004</v>
      </c>
      <c r="C196" s="49" t="s">
        <v>3005</v>
      </c>
      <c r="D196" s="212" t="s">
        <v>25</v>
      </c>
      <c r="E196" s="212" t="s">
        <v>189</v>
      </c>
      <c r="F196" s="213" t="s">
        <v>138</v>
      </c>
      <c r="G196" s="221" t="s">
        <v>3006</v>
      </c>
      <c r="H196" s="223">
        <v>7.0</v>
      </c>
      <c r="I196" s="81">
        <v>36.0</v>
      </c>
      <c r="J196" s="46">
        <v>0.0</v>
      </c>
      <c r="K196" s="46">
        <v>0.0</v>
      </c>
      <c r="L196" s="223">
        <v>2.0</v>
      </c>
      <c r="M196" s="81" t="s">
        <v>2927</v>
      </c>
      <c r="N196" s="46">
        <v>0.0</v>
      </c>
      <c r="O196" s="81">
        <v>7.0</v>
      </c>
      <c r="P196" s="81" t="s">
        <v>29</v>
      </c>
      <c r="Q196" s="81">
        <v>0.0</v>
      </c>
      <c r="R196" s="46"/>
    </row>
    <row r="197" ht="15.75" customHeight="1">
      <c r="A197" s="211">
        <v>39.0</v>
      </c>
      <c r="B197" s="49" t="s">
        <v>3007</v>
      </c>
      <c r="C197" s="49" t="s">
        <v>3008</v>
      </c>
      <c r="D197" s="212" t="s">
        <v>25</v>
      </c>
      <c r="E197" s="212" t="s">
        <v>189</v>
      </c>
      <c r="F197" s="213" t="s">
        <v>138</v>
      </c>
      <c r="G197" s="221" t="s">
        <v>3009</v>
      </c>
      <c r="H197" s="223">
        <v>80.0</v>
      </c>
      <c r="I197" s="81">
        <v>402.0</v>
      </c>
      <c r="J197" s="223">
        <v>3.0</v>
      </c>
      <c r="K197" s="223">
        <v>3.0</v>
      </c>
      <c r="L197" s="223">
        <v>10.0</v>
      </c>
      <c r="M197" s="81" t="s">
        <v>2927</v>
      </c>
      <c r="N197" s="46">
        <v>0.0</v>
      </c>
      <c r="O197" s="81">
        <v>80.0</v>
      </c>
      <c r="P197" s="81" t="s">
        <v>29</v>
      </c>
      <c r="Q197" s="81">
        <v>0.0</v>
      </c>
      <c r="R197" s="46"/>
    </row>
    <row r="198" ht="15.75" customHeight="1">
      <c r="A198" s="211">
        <v>40.0</v>
      </c>
      <c r="B198" s="49" t="s">
        <v>3010</v>
      </c>
      <c r="C198" s="49" t="s">
        <v>3008</v>
      </c>
      <c r="D198" s="212" t="s">
        <v>25</v>
      </c>
      <c r="E198" s="212" t="s">
        <v>189</v>
      </c>
      <c r="F198" s="213" t="s">
        <v>138</v>
      </c>
      <c r="G198" s="221" t="s">
        <v>3006</v>
      </c>
      <c r="H198" s="223">
        <v>7.0</v>
      </c>
      <c r="I198" s="81">
        <v>36.0</v>
      </c>
      <c r="J198" s="223">
        <v>2.0</v>
      </c>
      <c r="K198" s="223">
        <v>2.0</v>
      </c>
      <c r="L198" s="223">
        <v>2.0</v>
      </c>
      <c r="M198" s="81" t="s">
        <v>2927</v>
      </c>
      <c r="N198" s="46">
        <v>0.0</v>
      </c>
      <c r="O198" s="81">
        <v>7.0</v>
      </c>
      <c r="P198" s="81" t="s">
        <v>29</v>
      </c>
      <c r="Q198" s="81">
        <v>0.0</v>
      </c>
      <c r="R198" s="46"/>
    </row>
    <row r="199" ht="15.75" customHeight="1">
      <c r="A199" s="211">
        <v>41.0</v>
      </c>
      <c r="B199" s="49" t="s">
        <v>3011</v>
      </c>
      <c r="C199" s="49" t="s">
        <v>3012</v>
      </c>
      <c r="D199" s="212" t="s">
        <v>25</v>
      </c>
      <c r="E199" s="212" t="s">
        <v>189</v>
      </c>
      <c r="F199" s="213" t="s">
        <v>138</v>
      </c>
      <c r="G199" s="221" t="s">
        <v>3013</v>
      </c>
      <c r="H199" s="223">
        <v>37.0</v>
      </c>
      <c r="I199" s="81">
        <v>185.0</v>
      </c>
      <c r="J199" s="46">
        <v>0.0</v>
      </c>
      <c r="K199" s="46">
        <v>0.0</v>
      </c>
      <c r="L199" s="223">
        <v>7.0</v>
      </c>
      <c r="M199" s="81" t="s">
        <v>2927</v>
      </c>
      <c r="N199" s="46">
        <v>0.0</v>
      </c>
      <c r="O199" s="81">
        <v>37.0</v>
      </c>
      <c r="P199" s="81" t="s">
        <v>29</v>
      </c>
      <c r="Q199" s="81">
        <v>0.0</v>
      </c>
      <c r="R199" s="46"/>
    </row>
    <row r="200" ht="15.75" customHeight="1">
      <c r="A200" s="211">
        <v>42.0</v>
      </c>
      <c r="B200" s="49" t="s">
        <v>3014</v>
      </c>
      <c r="C200" s="49" t="s">
        <v>3008</v>
      </c>
      <c r="D200" s="212" t="s">
        <v>25</v>
      </c>
      <c r="E200" s="212" t="s">
        <v>189</v>
      </c>
      <c r="F200" s="213" t="s">
        <v>138</v>
      </c>
      <c r="G200" s="221" t="s">
        <v>3015</v>
      </c>
      <c r="H200" s="223">
        <v>32.0</v>
      </c>
      <c r="I200" s="81">
        <v>163.0</v>
      </c>
      <c r="J200" s="46">
        <v>0.0</v>
      </c>
      <c r="K200" s="46">
        <v>0.0</v>
      </c>
      <c r="L200" s="223">
        <v>11.0</v>
      </c>
      <c r="M200" s="81" t="s">
        <v>2927</v>
      </c>
      <c r="N200" s="46">
        <v>0.0</v>
      </c>
      <c r="O200" s="81">
        <v>32.0</v>
      </c>
      <c r="P200" s="81" t="s">
        <v>29</v>
      </c>
      <c r="Q200" s="81">
        <v>0.0</v>
      </c>
      <c r="R200" s="46"/>
    </row>
    <row r="201" ht="15.75" customHeight="1">
      <c r="A201" s="211">
        <v>43.0</v>
      </c>
      <c r="B201" s="49" t="s">
        <v>3016</v>
      </c>
      <c r="C201" s="49" t="s">
        <v>3017</v>
      </c>
      <c r="D201" s="212" t="s">
        <v>25</v>
      </c>
      <c r="E201" s="212" t="s">
        <v>189</v>
      </c>
      <c r="F201" s="213" t="s">
        <v>138</v>
      </c>
      <c r="G201" s="221" t="s">
        <v>2969</v>
      </c>
      <c r="H201" s="223">
        <v>41.0</v>
      </c>
      <c r="I201" s="81">
        <v>207.0</v>
      </c>
      <c r="J201" s="223">
        <v>2.0</v>
      </c>
      <c r="K201" s="223">
        <v>2.0</v>
      </c>
      <c r="L201" s="223">
        <v>18.0</v>
      </c>
      <c r="M201" s="81" t="s">
        <v>2927</v>
      </c>
      <c r="N201" s="46">
        <v>0.0</v>
      </c>
      <c r="O201" s="81">
        <v>41.0</v>
      </c>
      <c r="P201" s="81" t="s">
        <v>29</v>
      </c>
      <c r="Q201" s="81">
        <v>0.0</v>
      </c>
      <c r="R201" s="46"/>
    </row>
    <row r="202" ht="15.75" customHeight="1">
      <c r="A202" s="211">
        <v>44.0</v>
      </c>
      <c r="B202" s="49" t="s">
        <v>3018</v>
      </c>
      <c r="C202" s="49" t="s">
        <v>3017</v>
      </c>
      <c r="D202" s="212" t="s">
        <v>25</v>
      </c>
      <c r="E202" s="212" t="s">
        <v>189</v>
      </c>
      <c r="F202" s="213" t="s">
        <v>138</v>
      </c>
      <c r="G202" s="221" t="s">
        <v>3019</v>
      </c>
      <c r="H202" s="223">
        <v>109.0</v>
      </c>
      <c r="I202" s="81">
        <v>545.0</v>
      </c>
      <c r="J202" s="46">
        <v>0.0</v>
      </c>
      <c r="K202" s="46">
        <v>0.0</v>
      </c>
      <c r="L202" s="223">
        <v>7.0</v>
      </c>
      <c r="M202" s="81" t="s">
        <v>2927</v>
      </c>
      <c r="N202" s="46">
        <v>0.0</v>
      </c>
      <c r="O202" s="81">
        <v>109.0</v>
      </c>
      <c r="P202" s="81" t="s">
        <v>29</v>
      </c>
      <c r="Q202" s="81">
        <v>0.0</v>
      </c>
      <c r="R202" s="46"/>
    </row>
    <row r="203" ht="15.75" customHeight="1">
      <c r="A203" s="211">
        <v>45.0</v>
      </c>
      <c r="B203" s="49" t="s">
        <v>3020</v>
      </c>
      <c r="C203" s="49" t="s">
        <v>3017</v>
      </c>
      <c r="D203" s="212" t="s">
        <v>25</v>
      </c>
      <c r="E203" s="212" t="s">
        <v>189</v>
      </c>
      <c r="F203" s="213" t="s">
        <v>138</v>
      </c>
      <c r="G203" s="221" t="s">
        <v>2965</v>
      </c>
      <c r="H203" s="223">
        <v>5.0</v>
      </c>
      <c r="I203" s="81">
        <v>27.0</v>
      </c>
      <c r="J203" s="223">
        <v>2.0</v>
      </c>
      <c r="K203" s="223">
        <v>2.0</v>
      </c>
      <c r="L203" s="223">
        <v>2.0</v>
      </c>
      <c r="M203" s="81" t="s">
        <v>2927</v>
      </c>
      <c r="N203" s="46">
        <v>0.0</v>
      </c>
      <c r="O203" s="81">
        <v>5.0</v>
      </c>
      <c r="P203" s="81" t="s">
        <v>29</v>
      </c>
      <c r="Q203" s="81">
        <v>0.0</v>
      </c>
      <c r="R203" s="46"/>
    </row>
    <row r="204" ht="15.75" customHeight="1">
      <c r="A204" s="211">
        <v>46.0</v>
      </c>
      <c r="B204" s="49" t="s">
        <v>2895</v>
      </c>
      <c r="C204" s="49" t="s">
        <v>3021</v>
      </c>
      <c r="D204" s="212" t="s">
        <v>25</v>
      </c>
      <c r="E204" s="212" t="s">
        <v>189</v>
      </c>
      <c r="F204" s="213" t="s">
        <v>138</v>
      </c>
      <c r="G204" s="221" t="s">
        <v>2987</v>
      </c>
      <c r="H204" s="223">
        <v>49.0</v>
      </c>
      <c r="I204" s="81">
        <v>245.0</v>
      </c>
      <c r="J204" s="46">
        <v>0.0</v>
      </c>
      <c r="K204" s="46">
        <v>0.0</v>
      </c>
      <c r="L204" s="223">
        <v>9.0</v>
      </c>
      <c r="M204" s="81" t="s">
        <v>2927</v>
      </c>
      <c r="N204" s="46">
        <v>0.0</v>
      </c>
      <c r="O204" s="81">
        <v>49.0</v>
      </c>
      <c r="P204" s="81" t="s">
        <v>29</v>
      </c>
      <c r="Q204" s="81">
        <v>0.0</v>
      </c>
      <c r="R204" s="46"/>
    </row>
    <row r="205" ht="15.75" customHeight="1">
      <c r="A205" s="211">
        <v>47.0</v>
      </c>
      <c r="B205" s="49" t="s">
        <v>3022</v>
      </c>
      <c r="C205" s="49" t="s">
        <v>3021</v>
      </c>
      <c r="D205" s="212" t="s">
        <v>25</v>
      </c>
      <c r="E205" s="212" t="s">
        <v>189</v>
      </c>
      <c r="F205" s="213" t="s">
        <v>138</v>
      </c>
      <c r="G205" s="221" t="s">
        <v>3023</v>
      </c>
      <c r="H205" s="223">
        <v>181.0</v>
      </c>
      <c r="I205" s="81">
        <v>907.0</v>
      </c>
      <c r="J205" s="223">
        <v>8.0</v>
      </c>
      <c r="K205" s="223">
        <v>8.0</v>
      </c>
      <c r="L205" s="223">
        <v>6.0</v>
      </c>
      <c r="M205" s="81" t="s">
        <v>2927</v>
      </c>
      <c r="N205" s="46">
        <v>0.0</v>
      </c>
      <c r="O205" s="81">
        <v>181.0</v>
      </c>
      <c r="P205" s="81" t="s">
        <v>29</v>
      </c>
      <c r="Q205" s="81">
        <v>0.0</v>
      </c>
      <c r="R205" s="46"/>
    </row>
    <row r="206" ht="15.75" customHeight="1">
      <c r="A206" s="211">
        <v>48.0</v>
      </c>
      <c r="B206" s="49" t="s">
        <v>1563</v>
      </c>
      <c r="C206" s="49" t="s">
        <v>3024</v>
      </c>
      <c r="D206" s="212" t="s">
        <v>25</v>
      </c>
      <c r="E206" s="212" t="s">
        <v>189</v>
      </c>
      <c r="F206" s="213" t="s">
        <v>138</v>
      </c>
      <c r="G206" s="221" t="s">
        <v>3025</v>
      </c>
      <c r="H206" s="223">
        <v>6.0</v>
      </c>
      <c r="I206" s="81">
        <v>29.0</v>
      </c>
      <c r="J206" s="223">
        <v>2.0</v>
      </c>
      <c r="K206" s="223">
        <v>2.0</v>
      </c>
      <c r="L206" s="223">
        <v>2.0</v>
      </c>
      <c r="M206" s="81" t="s">
        <v>2927</v>
      </c>
      <c r="N206" s="46">
        <v>0.0</v>
      </c>
      <c r="O206" s="81">
        <v>6.0</v>
      </c>
      <c r="P206" s="81" t="s">
        <v>29</v>
      </c>
      <c r="Q206" s="81">
        <v>0.0</v>
      </c>
      <c r="R206" s="46"/>
    </row>
    <row r="207" ht="15.75" customHeight="1">
      <c r="A207" s="211">
        <v>49.0</v>
      </c>
      <c r="B207" s="49" t="s">
        <v>3026</v>
      </c>
      <c r="C207" s="49" t="s">
        <v>3027</v>
      </c>
      <c r="D207" s="212" t="s">
        <v>25</v>
      </c>
      <c r="E207" s="212" t="s">
        <v>189</v>
      </c>
      <c r="F207" s="213" t="s">
        <v>138</v>
      </c>
      <c r="G207" s="219" t="s">
        <v>3028</v>
      </c>
      <c r="H207" s="223">
        <v>57.0</v>
      </c>
      <c r="I207" s="81">
        <v>285.0</v>
      </c>
      <c r="J207" s="46">
        <v>0.0</v>
      </c>
      <c r="K207" s="46">
        <v>0.0</v>
      </c>
      <c r="L207" s="223">
        <v>12.0</v>
      </c>
      <c r="M207" s="81" t="s">
        <v>2927</v>
      </c>
      <c r="N207" s="46">
        <v>0.0</v>
      </c>
      <c r="O207" s="81">
        <v>57.0</v>
      </c>
      <c r="P207" s="81" t="s">
        <v>29</v>
      </c>
      <c r="Q207" s="81">
        <v>0.0</v>
      </c>
      <c r="R207" s="46"/>
    </row>
    <row r="208" ht="15.75" customHeight="1">
      <c r="A208" s="211">
        <v>50.0</v>
      </c>
      <c r="B208" s="49" t="s">
        <v>3029</v>
      </c>
      <c r="C208" s="49" t="s">
        <v>3027</v>
      </c>
      <c r="D208" s="212" t="s">
        <v>25</v>
      </c>
      <c r="E208" s="212" t="s">
        <v>189</v>
      </c>
      <c r="F208" s="213" t="s">
        <v>138</v>
      </c>
      <c r="G208" s="219" t="s">
        <v>2951</v>
      </c>
      <c r="H208" s="223">
        <v>3.0</v>
      </c>
      <c r="I208" s="81">
        <v>18.0</v>
      </c>
      <c r="J208" s="223">
        <v>2.0</v>
      </c>
      <c r="K208" s="223">
        <v>2.0</v>
      </c>
      <c r="L208" s="223">
        <v>2.0</v>
      </c>
      <c r="M208" s="81" t="s">
        <v>2927</v>
      </c>
      <c r="N208" s="46">
        <v>0.0</v>
      </c>
      <c r="O208" s="81">
        <v>3.0</v>
      </c>
      <c r="P208" s="81" t="s">
        <v>29</v>
      </c>
      <c r="Q208" s="81">
        <v>0.0</v>
      </c>
      <c r="R208" s="46"/>
    </row>
    <row r="209" ht="15.75" customHeight="1">
      <c r="A209" s="181"/>
      <c r="B209" s="182" t="s">
        <v>3030</v>
      </c>
      <c r="C209" s="182"/>
      <c r="D209" s="22"/>
      <c r="E209" s="22"/>
      <c r="F209" s="209"/>
      <c r="G209" s="210"/>
      <c r="H209" s="22"/>
      <c r="I209" s="22"/>
      <c r="J209" s="22"/>
      <c r="K209" s="22"/>
      <c r="L209" s="22"/>
      <c r="M209" s="22"/>
      <c r="N209" s="22"/>
      <c r="O209" s="22"/>
      <c r="P209" s="22"/>
      <c r="Q209" s="209"/>
      <c r="R209" s="22"/>
    </row>
    <row r="210" ht="15.75" customHeight="1">
      <c r="A210" s="224">
        <v>1.0</v>
      </c>
      <c r="B210" s="46" t="s">
        <v>3031</v>
      </c>
      <c r="C210" s="46" t="s">
        <v>3032</v>
      </c>
      <c r="D210" s="57" t="s">
        <v>25</v>
      </c>
      <c r="E210" s="57" t="s">
        <v>647</v>
      </c>
      <c r="F210" s="213" t="s">
        <v>2645</v>
      </c>
      <c r="G210" s="219">
        <v>375.0</v>
      </c>
      <c r="H210" s="46">
        <v>15.0</v>
      </c>
      <c r="I210" s="46">
        <v>50.0</v>
      </c>
      <c r="J210" s="46">
        <v>1.0</v>
      </c>
      <c r="K210" s="46">
        <v>1.0</v>
      </c>
      <c r="L210" s="46">
        <v>0.0</v>
      </c>
      <c r="M210" s="46" t="s">
        <v>3033</v>
      </c>
      <c r="N210" s="46" t="s">
        <v>1046</v>
      </c>
      <c r="O210" s="46">
        <v>1000.0</v>
      </c>
      <c r="P210" s="46" t="s">
        <v>29</v>
      </c>
      <c r="Q210" s="80">
        <v>0.0</v>
      </c>
      <c r="R210" s="46"/>
    </row>
    <row r="211" ht="15.75" customHeight="1">
      <c r="A211" s="211">
        <v>2.0</v>
      </c>
      <c r="B211" s="45" t="s">
        <v>63</v>
      </c>
      <c r="C211" s="45" t="s">
        <v>3034</v>
      </c>
      <c r="D211" s="57" t="s">
        <v>25</v>
      </c>
      <c r="E211" s="57" t="s">
        <v>647</v>
      </c>
      <c r="F211" s="213" t="s">
        <v>2645</v>
      </c>
      <c r="G211" s="225">
        <v>1450.0</v>
      </c>
      <c r="H211" s="226">
        <v>100.0</v>
      </c>
      <c r="I211" s="226">
        <v>500.0</v>
      </c>
      <c r="J211" s="226">
        <v>5.0</v>
      </c>
      <c r="K211" s="226">
        <v>5.0</v>
      </c>
      <c r="L211" s="45">
        <v>0.0</v>
      </c>
      <c r="M211" s="45" t="s">
        <v>3033</v>
      </c>
      <c r="N211" s="45" t="s">
        <v>1046</v>
      </c>
      <c r="O211" s="226">
        <v>1000.0</v>
      </c>
      <c r="P211" s="46" t="s">
        <v>29</v>
      </c>
      <c r="Q211" s="80">
        <v>0.0</v>
      </c>
      <c r="R211" s="46"/>
    </row>
    <row r="212" ht="15.75" customHeight="1">
      <c r="A212" s="211">
        <v>3.0</v>
      </c>
      <c r="B212" s="45" t="s">
        <v>3035</v>
      </c>
      <c r="C212" s="45" t="s">
        <v>3032</v>
      </c>
      <c r="D212" s="57" t="s">
        <v>25</v>
      </c>
      <c r="E212" s="57" t="s">
        <v>647</v>
      </c>
      <c r="F212" s="213" t="s">
        <v>2645</v>
      </c>
      <c r="G212" s="225">
        <v>450.0</v>
      </c>
      <c r="H212" s="226">
        <v>15.0</v>
      </c>
      <c r="I212" s="226">
        <v>50.0</v>
      </c>
      <c r="J212" s="226">
        <v>1.0</v>
      </c>
      <c r="K212" s="226">
        <v>1.0</v>
      </c>
      <c r="L212" s="226">
        <v>0.0</v>
      </c>
      <c r="M212" s="45" t="s">
        <v>3033</v>
      </c>
      <c r="N212" s="45" t="s">
        <v>1046</v>
      </c>
      <c r="O212" s="226">
        <v>1000.0</v>
      </c>
      <c r="P212" s="46" t="s">
        <v>66</v>
      </c>
      <c r="Q212" s="81">
        <v>13.0</v>
      </c>
      <c r="R212" s="46"/>
    </row>
    <row r="213" ht="15.75" customHeight="1">
      <c r="A213" s="211">
        <v>4.0</v>
      </c>
      <c r="B213" s="45" t="s">
        <v>1439</v>
      </c>
      <c r="C213" s="45" t="s">
        <v>3032</v>
      </c>
      <c r="D213" s="57" t="s">
        <v>25</v>
      </c>
      <c r="E213" s="57" t="s">
        <v>647</v>
      </c>
      <c r="F213" s="213" t="s">
        <v>2645</v>
      </c>
      <c r="G213" s="225">
        <v>600.0</v>
      </c>
      <c r="H213" s="226">
        <v>15.0</v>
      </c>
      <c r="I213" s="226">
        <v>50.0</v>
      </c>
      <c r="J213" s="226">
        <v>1.0</v>
      </c>
      <c r="K213" s="226">
        <v>1.0</v>
      </c>
      <c r="L213" s="226">
        <v>0.0</v>
      </c>
      <c r="M213" s="45" t="s">
        <v>3033</v>
      </c>
      <c r="N213" s="45" t="s">
        <v>1046</v>
      </c>
      <c r="O213" s="226">
        <v>1000.0</v>
      </c>
      <c r="P213" s="46" t="s">
        <v>29</v>
      </c>
      <c r="Q213" s="80">
        <v>0.0</v>
      </c>
      <c r="R213" s="46"/>
    </row>
    <row r="214" ht="15.75" customHeight="1">
      <c r="A214" s="211">
        <v>5.0</v>
      </c>
      <c r="B214" s="45" t="s">
        <v>878</v>
      </c>
      <c r="C214" s="45" t="s">
        <v>3032</v>
      </c>
      <c r="D214" s="57" t="s">
        <v>25</v>
      </c>
      <c r="E214" s="57" t="s">
        <v>647</v>
      </c>
      <c r="F214" s="213" t="s">
        <v>2645</v>
      </c>
      <c r="G214" s="225">
        <v>200.0</v>
      </c>
      <c r="H214" s="226">
        <v>15.0</v>
      </c>
      <c r="I214" s="226">
        <v>50.0</v>
      </c>
      <c r="J214" s="226">
        <v>1.0</v>
      </c>
      <c r="K214" s="226">
        <v>1.0</v>
      </c>
      <c r="L214" s="226">
        <v>0.0</v>
      </c>
      <c r="M214" s="45" t="s">
        <v>3033</v>
      </c>
      <c r="N214" s="45" t="s">
        <v>1046</v>
      </c>
      <c r="O214" s="226">
        <v>1000.0</v>
      </c>
      <c r="P214" s="46" t="s">
        <v>29</v>
      </c>
      <c r="Q214" s="80">
        <v>0.0</v>
      </c>
      <c r="R214" s="46"/>
    </row>
    <row r="215" ht="15.75" customHeight="1">
      <c r="A215" s="211">
        <v>6.0</v>
      </c>
      <c r="B215" s="45" t="s">
        <v>3036</v>
      </c>
      <c r="C215" s="45" t="s">
        <v>3037</v>
      </c>
      <c r="D215" s="57" t="s">
        <v>25</v>
      </c>
      <c r="E215" s="57" t="s">
        <v>647</v>
      </c>
      <c r="F215" s="213" t="s">
        <v>2645</v>
      </c>
      <c r="G215" s="225">
        <v>500.0</v>
      </c>
      <c r="H215" s="226">
        <v>15.0</v>
      </c>
      <c r="I215" s="226">
        <v>50.0</v>
      </c>
      <c r="J215" s="226">
        <v>1.0</v>
      </c>
      <c r="K215" s="226">
        <v>1.0</v>
      </c>
      <c r="L215" s="226">
        <v>0.0</v>
      </c>
      <c r="M215" s="45" t="s">
        <v>3033</v>
      </c>
      <c r="N215" s="45" t="s">
        <v>1046</v>
      </c>
      <c r="O215" s="226">
        <v>1000.0</v>
      </c>
      <c r="P215" s="46" t="s">
        <v>29</v>
      </c>
      <c r="Q215" s="80">
        <v>0.0</v>
      </c>
      <c r="R215" s="46"/>
    </row>
    <row r="216" ht="15.75" customHeight="1">
      <c r="A216" s="211">
        <v>7.0</v>
      </c>
      <c r="B216" s="45" t="s">
        <v>3038</v>
      </c>
      <c r="C216" s="45" t="s">
        <v>3039</v>
      </c>
      <c r="D216" s="57" t="s">
        <v>25</v>
      </c>
      <c r="E216" s="57" t="s">
        <v>647</v>
      </c>
      <c r="F216" s="213" t="s">
        <v>2645</v>
      </c>
      <c r="G216" s="225">
        <v>500.0</v>
      </c>
      <c r="H216" s="226">
        <v>15.0</v>
      </c>
      <c r="I216" s="226">
        <v>50.0</v>
      </c>
      <c r="J216" s="226">
        <v>1.0</v>
      </c>
      <c r="K216" s="226">
        <v>1.0</v>
      </c>
      <c r="L216" s="226">
        <v>0.0</v>
      </c>
      <c r="M216" s="45" t="s">
        <v>3033</v>
      </c>
      <c r="N216" s="45" t="s">
        <v>1046</v>
      </c>
      <c r="O216" s="226">
        <v>1000.0</v>
      </c>
      <c r="P216" s="46" t="s">
        <v>29</v>
      </c>
      <c r="Q216" s="80">
        <v>0.0</v>
      </c>
      <c r="R216" s="46"/>
    </row>
    <row r="217" ht="15.75" customHeight="1">
      <c r="A217" s="211">
        <v>8.0</v>
      </c>
      <c r="B217" s="45" t="s">
        <v>3040</v>
      </c>
      <c r="C217" s="45" t="s">
        <v>3041</v>
      </c>
      <c r="D217" s="57" t="s">
        <v>25</v>
      </c>
      <c r="E217" s="57" t="s">
        <v>660</v>
      </c>
      <c r="F217" s="213" t="s">
        <v>2645</v>
      </c>
      <c r="G217" s="225">
        <v>500.0</v>
      </c>
      <c r="H217" s="226">
        <v>15.0</v>
      </c>
      <c r="I217" s="226">
        <v>50.0</v>
      </c>
      <c r="J217" s="226">
        <v>1.0</v>
      </c>
      <c r="K217" s="226">
        <v>1.0</v>
      </c>
      <c r="L217" s="226">
        <v>0.0</v>
      </c>
      <c r="M217" s="45" t="s">
        <v>3033</v>
      </c>
      <c r="N217" s="45" t="s">
        <v>1046</v>
      </c>
      <c r="O217" s="226">
        <v>1000.0</v>
      </c>
      <c r="P217" s="46" t="s">
        <v>29</v>
      </c>
      <c r="Q217" s="80">
        <v>0.0</v>
      </c>
      <c r="R217" s="46"/>
    </row>
    <row r="218" ht="15.75" customHeight="1">
      <c r="A218" s="211">
        <v>9.0</v>
      </c>
      <c r="B218" s="45" t="s">
        <v>3042</v>
      </c>
      <c r="C218" s="45" t="s">
        <v>3043</v>
      </c>
      <c r="D218" s="57" t="s">
        <v>25</v>
      </c>
      <c r="E218" s="57" t="s">
        <v>660</v>
      </c>
      <c r="F218" s="213" t="s">
        <v>2645</v>
      </c>
      <c r="G218" s="225">
        <v>500.0</v>
      </c>
      <c r="H218" s="226">
        <v>15.0</v>
      </c>
      <c r="I218" s="226">
        <v>50.0</v>
      </c>
      <c r="J218" s="226">
        <v>1.0</v>
      </c>
      <c r="K218" s="226">
        <v>1.0</v>
      </c>
      <c r="L218" s="226">
        <v>0.0</v>
      </c>
      <c r="M218" s="45" t="s">
        <v>3033</v>
      </c>
      <c r="N218" s="45" t="s">
        <v>1046</v>
      </c>
      <c r="O218" s="226">
        <v>1000.0</v>
      </c>
      <c r="P218" s="46" t="s">
        <v>29</v>
      </c>
      <c r="Q218" s="80">
        <v>0.0</v>
      </c>
      <c r="R218" s="46"/>
    </row>
    <row r="219" ht="15.75" customHeight="1">
      <c r="A219" s="211">
        <v>10.0</v>
      </c>
      <c r="B219" s="45" t="s">
        <v>3044</v>
      </c>
      <c r="C219" s="45" t="s">
        <v>3045</v>
      </c>
      <c r="D219" s="57" t="s">
        <v>25</v>
      </c>
      <c r="E219" s="57" t="s">
        <v>660</v>
      </c>
      <c r="F219" s="213" t="s">
        <v>2645</v>
      </c>
      <c r="G219" s="225">
        <v>500.0</v>
      </c>
      <c r="H219" s="226">
        <v>15.0</v>
      </c>
      <c r="I219" s="226">
        <v>50.0</v>
      </c>
      <c r="J219" s="226">
        <v>1.0</v>
      </c>
      <c r="K219" s="226">
        <v>1.0</v>
      </c>
      <c r="L219" s="226">
        <v>0.0</v>
      </c>
      <c r="M219" s="45" t="s">
        <v>3033</v>
      </c>
      <c r="N219" s="45" t="s">
        <v>1046</v>
      </c>
      <c r="O219" s="226">
        <v>1000.0</v>
      </c>
      <c r="P219" s="46" t="s">
        <v>29</v>
      </c>
      <c r="Q219" s="80">
        <v>0.0</v>
      </c>
      <c r="R219" s="46"/>
    </row>
    <row r="220" ht="15.75" customHeight="1">
      <c r="A220" s="211">
        <v>11.0</v>
      </c>
      <c r="B220" s="45" t="s">
        <v>3046</v>
      </c>
      <c r="C220" s="45" t="s">
        <v>3047</v>
      </c>
      <c r="D220" s="57" t="s">
        <v>25</v>
      </c>
      <c r="E220" s="57" t="s">
        <v>647</v>
      </c>
      <c r="F220" s="213" t="s">
        <v>2645</v>
      </c>
      <c r="G220" s="225">
        <v>500.0</v>
      </c>
      <c r="H220" s="226">
        <v>15.0</v>
      </c>
      <c r="I220" s="226">
        <v>50.0</v>
      </c>
      <c r="J220" s="226">
        <v>1.0</v>
      </c>
      <c r="K220" s="226">
        <v>1.0</v>
      </c>
      <c r="L220" s="226">
        <v>0.0</v>
      </c>
      <c r="M220" s="45" t="s">
        <v>3033</v>
      </c>
      <c r="N220" s="45" t="s">
        <v>1046</v>
      </c>
      <c r="O220" s="226">
        <v>1000.0</v>
      </c>
      <c r="P220" s="46" t="s">
        <v>29</v>
      </c>
      <c r="Q220" s="80">
        <v>0.0</v>
      </c>
      <c r="R220" s="46"/>
    </row>
    <row r="221" ht="15.75" customHeight="1">
      <c r="A221" s="211">
        <v>12.0</v>
      </c>
      <c r="B221" s="45" t="s">
        <v>3048</v>
      </c>
      <c r="C221" s="45" t="s">
        <v>3049</v>
      </c>
      <c r="D221" s="57" t="s">
        <v>25</v>
      </c>
      <c r="E221" s="57" t="s">
        <v>660</v>
      </c>
      <c r="F221" s="213" t="s">
        <v>2645</v>
      </c>
      <c r="G221" s="225">
        <v>500.0</v>
      </c>
      <c r="H221" s="226">
        <v>15.0</v>
      </c>
      <c r="I221" s="226">
        <v>50.0</v>
      </c>
      <c r="J221" s="226">
        <v>1.0</v>
      </c>
      <c r="K221" s="226">
        <v>1.0</v>
      </c>
      <c r="L221" s="226">
        <v>0.0</v>
      </c>
      <c r="M221" s="45" t="s">
        <v>3033</v>
      </c>
      <c r="N221" s="45" t="s">
        <v>1046</v>
      </c>
      <c r="O221" s="226">
        <v>1000.0</v>
      </c>
      <c r="P221" s="46" t="s">
        <v>29</v>
      </c>
      <c r="Q221" s="80">
        <v>0.0</v>
      </c>
      <c r="R221" s="46"/>
    </row>
    <row r="222" ht="15.75" customHeight="1">
      <c r="A222" s="211">
        <v>13.0</v>
      </c>
      <c r="B222" s="45" t="s">
        <v>3050</v>
      </c>
      <c r="C222" s="45" t="s">
        <v>3051</v>
      </c>
      <c r="D222" s="57" t="s">
        <v>25</v>
      </c>
      <c r="E222" s="57" t="s">
        <v>660</v>
      </c>
      <c r="F222" s="213" t="s">
        <v>2645</v>
      </c>
      <c r="G222" s="225">
        <v>500.0</v>
      </c>
      <c r="H222" s="226">
        <v>15.0</v>
      </c>
      <c r="I222" s="226">
        <v>50.0</v>
      </c>
      <c r="J222" s="226">
        <v>1.0</v>
      </c>
      <c r="K222" s="226">
        <v>1.0</v>
      </c>
      <c r="L222" s="226">
        <v>0.0</v>
      </c>
      <c r="M222" s="45" t="s">
        <v>3033</v>
      </c>
      <c r="N222" s="45" t="s">
        <v>1046</v>
      </c>
      <c r="O222" s="226">
        <v>1000.0</v>
      </c>
      <c r="P222" s="46" t="s">
        <v>29</v>
      </c>
      <c r="Q222" s="80">
        <v>0.0</v>
      </c>
      <c r="R222" s="46"/>
    </row>
    <row r="223" ht="15.75" customHeight="1">
      <c r="A223" s="211">
        <v>14.0</v>
      </c>
      <c r="B223" s="45" t="s">
        <v>3052</v>
      </c>
      <c r="C223" s="45" t="s">
        <v>3053</v>
      </c>
      <c r="D223" s="57" t="s">
        <v>25</v>
      </c>
      <c r="E223" s="57" t="s">
        <v>647</v>
      </c>
      <c r="F223" s="213" t="s">
        <v>2645</v>
      </c>
      <c r="G223" s="225">
        <v>500.0</v>
      </c>
      <c r="H223" s="226">
        <v>15.0</v>
      </c>
      <c r="I223" s="226">
        <v>50.0</v>
      </c>
      <c r="J223" s="226">
        <v>1.0</v>
      </c>
      <c r="K223" s="226">
        <v>1.0</v>
      </c>
      <c r="L223" s="226">
        <v>0.0</v>
      </c>
      <c r="M223" s="45" t="s">
        <v>3033</v>
      </c>
      <c r="N223" s="45" t="s">
        <v>1046</v>
      </c>
      <c r="O223" s="226">
        <v>1000.0</v>
      </c>
      <c r="P223" s="46" t="s">
        <v>29</v>
      </c>
      <c r="Q223" s="80">
        <v>0.0</v>
      </c>
      <c r="R223" s="46"/>
    </row>
    <row r="224" ht="15.75" customHeight="1">
      <c r="A224" s="211">
        <v>15.0</v>
      </c>
      <c r="B224" s="45" t="s">
        <v>3054</v>
      </c>
      <c r="C224" s="45" t="s">
        <v>3055</v>
      </c>
      <c r="D224" s="57" t="s">
        <v>25</v>
      </c>
      <c r="E224" s="57" t="s">
        <v>647</v>
      </c>
      <c r="F224" s="213" t="s">
        <v>2645</v>
      </c>
      <c r="G224" s="225">
        <v>500.0</v>
      </c>
      <c r="H224" s="226">
        <v>15.0</v>
      </c>
      <c r="I224" s="226">
        <v>50.0</v>
      </c>
      <c r="J224" s="226">
        <v>1.0</v>
      </c>
      <c r="K224" s="226">
        <v>1.0</v>
      </c>
      <c r="L224" s="226">
        <v>0.0</v>
      </c>
      <c r="M224" s="45" t="s">
        <v>3033</v>
      </c>
      <c r="N224" s="45" t="s">
        <v>1046</v>
      </c>
      <c r="O224" s="226">
        <v>1000.0</v>
      </c>
      <c r="P224" s="46" t="s">
        <v>29</v>
      </c>
      <c r="Q224" s="80">
        <v>0.0</v>
      </c>
      <c r="R224" s="46"/>
    </row>
    <row r="225" ht="15.75" customHeight="1">
      <c r="A225" s="211">
        <v>16.0</v>
      </c>
      <c r="B225" s="45" t="s">
        <v>3056</v>
      </c>
      <c r="C225" s="45" t="s">
        <v>3057</v>
      </c>
      <c r="D225" s="57" t="s">
        <v>25</v>
      </c>
      <c r="E225" s="57" t="s">
        <v>647</v>
      </c>
      <c r="F225" s="213" t="s">
        <v>2645</v>
      </c>
      <c r="G225" s="225">
        <v>500.0</v>
      </c>
      <c r="H225" s="226">
        <v>15.0</v>
      </c>
      <c r="I225" s="226">
        <v>50.0</v>
      </c>
      <c r="J225" s="226">
        <v>1.0</v>
      </c>
      <c r="K225" s="226">
        <v>1.0</v>
      </c>
      <c r="L225" s="226">
        <v>0.0</v>
      </c>
      <c r="M225" s="45" t="s">
        <v>3033</v>
      </c>
      <c r="N225" s="45" t="s">
        <v>1046</v>
      </c>
      <c r="O225" s="226">
        <v>1000.0</v>
      </c>
      <c r="P225" s="46" t="s">
        <v>29</v>
      </c>
      <c r="Q225" s="80">
        <v>0.0</v>
      </c>
      <c r="R225" s="46"/>
    </row>
    <row r="226" ht="15.75" customHeight="1">
      <c r="A226" s="211">
        <v>17.0</v>
      </c>
      <c r="B226" s="45" t="s">
        <v>3058</v>
      </c>
      <c r="C226" s="45" t="s">
        <v>3032</v>
      </c>
      <c r="D226" s="57" t="s">
        <v>25</v>
      </c>
      <c r="E226" s="57" t="s">
        <v>647</v>
      </c>
      <c r="F226" s="213" t="s">
        <v>2645</v>
      </c>
      <c r="G226" s="225">
        <v>500.0</v>
      </c>
      <c r="H226" s="226">
        <v>15.0</v>
      </c>
      <c r="I226" s="226">
        <v>50.0</v>
      </c>
      <c r="J226" s="226">
        <v>1.0</v>
      </c>
      <c r="K226" s="226">
        <v>1.0</v>
      </c>
      <c r="L226" s="226">
        <v>0.0</v>
      </c>
      <c r="M226" s="45" t="s">
        <v>3033</v>
      </c>
      <c r="N226" s="45" t="s">
        <v>1046</v>
      </c>
      <c r="O226" s="226">
        <v>1000.0</v>
      </c>
      <c r="P226" s="46" t="s">
        <v>29</v>
      </c>
      <c r="Q226" s="80">
        <v>0.0</v>
      </c>
      <c r="R226" s="46"/>
    </row>
    <row r="227" ht="15.75" customHeight="1">
      <c r="A227" s="211">
        <v>18.0</v>
      </c>
      <c r="B227" s="45" t="s">
        <v>3059</v>
      </c>
      <c r="C227" s="45" t="s">
        <v>3034</v>
      </c>
      <c r="D227" s="57" t="s">
        <v>25</v>
      </c>
      <c r="E227" s="57" t="s">
        <v>647</v>
      </c>
      <c r="F227" s="213" t="s">
        <v>2645</v>
      </c>
      <c r="G227" s="225">
        <v>500.0</v>
      </c>
      <c r="H227" s="226">
        <v>15.0</v>
      </c>
      <c r="I227" s="226">
        <v>50.0</v>
      </c>
      <c r="J227" s="226">
        <v>1.0</v>
      </c>
      <c r="K227" s="226">
        <v>1.0</v>
      </c>
      <c r="L227" s="226">
        <v>0.0</v>
      </c>
      <c r="M227" s="45" t="s">
        <v>3033</v>
      </c>
      <c r="N227" s="45" t="s">
        <v>1046</v>
      </c>
      <c r="O227" s="226">
        <v>1000.0</v>
      </c>
      <c r="P227" s="46" t="s">
        <v>29</v>
      </c>
      <c r="Q227" s="80">
        <v>0.0</v>
      </c>
      <c r="R227" s="46"/>
    </row>
    <row r="228" ht="15.75" customHeight="1">
      <c r="A228" s="211">
        <v>19.0</v>
      </c>
      <c r="B228" s="45" t="s">
        <v>3060</v>
      </c>
      <c r="C228" s="45" t="s">
        <v>3061</v>
      </c>
      <c r="D228" s="57" t="s">
        <v>25</v>
      </c>
      <c r="E228" s="57" t="s">
        <v>647</v>
      </c>
      <c r="F228" s="213" t="s">
        <v>2645</v>
      </c>
      <c r="G228" s="225">
        <v>500.0</v>
      </c>
      <c r="H228" s="226">
        <v>15.0</v>
      </c>
      <c r="I228" s="226">
        <v>50.0</v>
      </c>
      <c r="J228" s="226">
        <v>1.0</v>
      </c>
      <c r="K228" s="226">
        <v>1.0</v>
      </c>
      <c r="L228" s="226">
        <v>0.0</v>
      </c>
      <c r="M228" s="45" t="s">
        <v>3033</v>
      </c>
      <c r="N228" s="45" t="s">
        <v>1046</v>
      </c>
      <c r="O228" s="226">
        <v>1000.0</v>
      </c>
      <c r="P228" s="46" t="s">
        <v>29</v>
      </c>
      <c r="Q228" s="80">
        <v>0.0</v>
      </c>
      <c r="R228" s="46"/>
    </row>
    <row r="229" ht="15.75" customHeight="1">
      <c r="A229" s="211">
        <v>20.0</v>
      </c>
      <c r="B229" s="45" t="s">
        <v>3062</v>
      </c>
      <c r="C229" s="45" t="s">
        <v>3063</v>
      </c>
      <c r="D229" s="57" t="s">
        <v>25</v>
      </c>
      <c r="E229" s="57" t="s">
        <v>647</v>
      </c>
      <c r="F229" s="213" t="s">
        <v>2645</v>
      </c>
      <c r="G229" s="225">
        <v>500.0</v>
      </c>
      <c r="H229" s="226">
        <v>15.0</v>
      </c>
      <c r="I229" s="226">
        <v>50.0</v>
      </c>
      <c r="J229" s="226">
        <v>1.0</v>
      </c>
      <c r="K229" s="226">
        <v>1.0</v>
      </c>
      <c r="L229" s="226">
        <v>0.0</v>
      </c>
      <c r="M229" s="45" t="s">
        <v>3033</v>
      </c>
      <c r="N229" s="45" t="s">
        <v>1046</v>
      </c>
      <c r="O229" s="226">
        <v>1000.0</v>
      </c>
      <c r="P229" s="46" t="s">
        <v>29</v>
      </c>
      <c r="Q229" s="80">
        <v>0.0</v>
      </c>
      <c r="R229" s="46"/>
    </row>
    <row r="230" ht="15.75" customHeight="1">
      <c r="A230" s="211">
        <v>21.0</v>
      </c>
      <c r="B230" s="45" t="s">
        <v>3064</v>
      </c>
      <c r="C230" s="45" t="s">
        <v>3065</v>
      </c>
      <c r="D230" s="57" t="s">
        <v>25</v>
      </c>
      <c r="E230" s="57" t="s">
        <v>647</v>
      </c>
      <c r="F230" s="213" t="s">
        <v>2645</v>
      </c>
      <c r="G230" s="225">
        <v>500.0</v>
      </c>
      <c r="H230" s="226">
        <v>15.0</v>
      </c>
      <c r="I230" s="226">
        <v>50.0</v>
      </c>
      <c r="J230" s="226">
        <v>1.0</v>
      </c>
      <c r="K230" s="226">
        <v>1.0</v>
      </c>
      <c r="L230" s="226">
        <v>0.0</v>
      </c>
      <c r="M230" s="45" t="s">
        <v>3033</v>
      </c>
      <c r="N230" s="45" t="s">
        <v>1046</v>
      </c>
      <c r="O230" s="226">
        <v>1000.0</v>
      </c>
      <c r="P230" s="46" t="s">
        <v>29</v>
      </c>
      <c r="Q230" s="80">
        <v>0.0</v>
      </c>
      <c r="R230" s="46"/>
    </row>
    <row r="231" ht="15.75" customHeight="1">
      <c r="A231" s="211">
        <v>22.0</v>
      </c>
      <c r="B231" s="45" t="s">
        <v>3066</v>
      </c>
      <c r="C231" s="45" t="s">
        <v>3067</v>
      </c>
      <c r="D231" s="57" t="s">
        <v>25</v>
      </c>
      <c r="E231" s="57" t="s">
        <v>660</v>
      </c>
      <c r="F231" s="213" t="s">
        <v>2645</v>
      </c>
      <c r="G231" s="225">
        <v>500.0</v>
      </c>
      <c r="H231" s="226">
        <v>15.0</v>
      </c>
      <c r="I231" s="226">
        <v>50.0</v>
      </c>
      <c r="J231" s="226">
        <v>1.0</v>
      </c>
      <c r="K231" s="226">
        <v>1.0</v>
      </c>
      <c r="L231" s="226">
        <v>0.0</v>
      </c>
      <c r="M231" s="45" t="s">
        <v>3033</v>
      </c>
      <c r="N231" s="45" t="s">
        <v>1046</v>
      </c>
      <c r="O231" s="226">
        <v>1000.0</v>
      </c>
      <c r="P231" s="46" t="s">
        <v>29</v>
      </c>
      <c r="Q231" s="80">
        <v>0.0</v>
      </c>
      <c r="R231" s="46"/>
    </row>
    <row r="232" ht="15.75" customHeight="1">
      <c r="A232" s="211">
        <v>23.0</v>
      </c>
      <c r="B232" s="45" t="s">
        <v>3068</v>
      </c>
      <c r="C232" s="45" t="s">
        <v>3069</v>
      </c>
      <c r="D232" s="57" t="s">
        <v>25</v>
      </c>
      <c r="E232" s="57" t="s">
        <v>660</v>
      </c>
      <c r="F232" s="213" t="s">
        <v>2645</v>
      </c>
      <c r="G232" s="225">
        <v>500.0</v>
      </c>
      <c r="H232" s="226">
        <v>15.0</v>
      </c>
      <c r="I232" s="226">
        <v>50.0</v>
      </c>
      <c r="J232" s="226">
        <v>1.0</v>
      </c>
      <c r="K232" s="226">
        <v>1.0</v>
      </c>
      <c r="L232" s="226">
        <v>0.0</v>
      </c>
      <c r="M232" s="45" t="s">
        <v>3033</v>
      </c>
      <c r="N232" s="45" t="s">
        <v>1046</v>
      </c>
      <c r="O232" s="226">
        <v>1000.0</v>
      </c>
      <c r="P232" s="46" t="s">
        <v>29</v>
      </c>
      <c r="Q232" s="80">
        <v>0.0</v>
      </c>
      <c r="R232" s="46"/>
    </row>
    <row r="233" ht="15.75" customHeight="1">
      <c r="A233" s="211">
        <v>24.0</v>
      </c>
      <c r="B233" s="45" t="s">
        <v>3070</v>
      </c>
      <c r="C233" s="45" t="s">
        <v>3032</v>
      </c>
      <c r="D233" s="57" t="s">
        <v>25</v>
      </c>
      <c r="E233" s="57" t="s">
        <v>647</v>
      </c>
      <c r="F233" s="213" t="s">
        <v>2645</v>
      </c>
      <c r="G233" s="225">
        <v>350.0</v>
      </c>
      <c r="H233" s="226">
        <v>15.0</v>
      </c>
      <c r="I233" s="226">
        <v>50.0</v>
      </c>
      <c r="J233" s="226">
        <v>1.0</v>
      </c>
      <c r="K233" s="226">
        <v>1.0</v>
      </c>
      <c r="L233" s="226">
        <v>0.0</v>
      </c>
      <c r="M233" s="45" t="s">
        <v>3033</v>
      </c>
      <c r="N233" s="45" t="s">
        <v>1046</v>
      </c>
      <c r="O233" s="226">
        <v>1000.0</v>
      </c>
      <c r="P233" s="46" t="s">
        <v>29</v>
      </c>
      <c r="Q233" s="80">
        <v>0.0</v>
      </c>
      <c r="R233" s="46"/>
    </row>
    <row r="234" ht="15.75" customHeight="1">
      <c r="A234" s="211">
        <v>25.0</v>
      </c>
      <c r="B234" s="45" t="s">
        <v>3071</v>
      </c>
      <c r="C234" s="45" t="s">
        <v>3061</v>
      </c>
      <c r="D234" s="57" t="s">
        <v>25</v>
      </c>
      <c r="E234" s="57" t="s">
        <v>647</v>
      </c>
      <c r="F234" s="213" t="s">
        <v>2645</v>
      </c>
      <c r="G234" s="225">
        <v>350.0</v>
      </c>
      <c r="H234" s="226">
        <v>15.0</v>
      </c>
      <c r="I234" s="226">
        <v>50.0</v>
      </c>
      <c r="J234" s="226">
        <v>1.0</v>
      </c>
      <c r="K234" s="226">
        <v>1.0</v>
      </c>
      <c r="L234" s="226">
        <v>0.0</v>
      </c>
      <c r="M234" s="45" t="s">
        <v>3033</v>
      </c>
      <c r="N234" s="45" t="s">
        <v>1046</v>
      </c>
      <c r="O234" s="226">
        <v>1000.0</v>
      </c>
      <c r="P234" s="46" t="s">
        <v>29</v>
      </c>
      <c r="Q234" s="80">
        <v>0.0</v>
      </c>
      <c r="R234" s="46"/>
    </row>
    <row r="235" ht="15.75" customHeight="1">
      <c r="A235" s="211">
        <v>26.0</v>
      </c>
      <c r="B235" s="45" t="s">
        <v>3072</v>
      </c>
      <c r="C235" s="45" t="s">
        <v>3034</v>
      </c>
      <c r="D235" s="57" t="s">
        <v>25</v>
      </c>
      <c r="E235" s="57" t="s">
        <v>647</v>
      </c>
      <c r="F235" s="213" t="s">
        <v>2645</v>
      </c>
      <c r="G235" s="225">
        <v>350.0</v>
      </c>
      <c r="H235" s="226">
        <v>15.0</v>
      </c>
      <c r="I235" s="226">
        <v>50.0</v>
      </c>
      <c r="J235" s="226">
        <v>1.0</v>
      </c>
      <c r="K235" s="226">
        <v>1.0</v>
      </c>
      <c r="L235" s="226">
        <v>0.0</v>
      </c>
      <c r="M235" s="45" t="s">
        <v>3033</v>
      </c>
      <c r="N235" s="45" t="s">
        <v>1046</v>
      </c>
      <c r="O235" s="226">
        <v>1000.0</v>
      </c>
      <c r="P235" s="46" t="s">
        <v>29</v>
      </c>
      <c r="Q235" s="80">
        <v>0.0</v>
      </c>
      <c r="R235" s="46"/>
    </row>
    <row r="236" ht="15.75" customHeight="1">
      <c r="A236" s="211">
        <v>27.0</v>
      </c>
      <c r="B236" s="45" t="s">
        <v>3073</v>
      </c>
      <c r="C236" s="45" t="s">
        <v>3037</v>
      </c>
      <c r="D236" s="57" t="s">
        <v>25</v>
      </c>
      <c r="E236" s="57" t="s">
        <v>647</v>
      </c>
      <c r="F236" s="213" t="s">
        <v>2645</v>
      </c>
      <c r="G236" s="225">
        <v>350.0</v>
      </c>
      <c r="H236" s="226">
        <v>15.0</v>
      </c>
      <c r="I236" s="226">
        <v>50.0</v>
      </c>
      <c r="J236" s="226">
        <v>1.0</v>
      </c>
      <c r="K236" s="226">
        <v>1.0</v>
      </c>
      <c r="L236" s="226">
        <v>0.0</v>
      </c>
      <c r="M236" s="45" t="s">
        <v>3033</v>
      </c>
      <c r="N236" s="45" t="s">
        <v>1046</v>
      </c>
      <c r="O236" s="226">
        <v>1000.0</v>
      </c>
      <c r="P236" s="46" t="s">
        <v>29</v>
      </c>
      <c r="Q236" s="80">
        <v>0.0</v>
      </c>
      <c r="R236" s="46"/>
    </row>
    <row r="237" ht="15.75" customHeight="1">
      <c r="A237" s="211">
        <v>28.0</v>
      </c>
      <c r="B237" s="45" t="s">
        <v>3074</v>
      </c>
      <c r="C237" s="45" t="s">
        <v>3039</v>
      </c>
      <c r="D237" s="57" t="s">
        <v>25</v>
      </c>
      <c r="E237" s="57" t="s">
        <v>647</v>
      </c>
      <c r="F237" s="213" t="s">
        <v>2645</v>
      </c>
      <c r="G237" s="225">
        <v>350.0</v>
      </c>
      <c r="H237" s="226">
        <v>15.0</v>
      </c>
      <c r="I237" s="226">
        <v>50.0</v>
      </c>
      <c r="J237" s="226">
        <v>1.0</v>
      </c>
      <c r="K237" s="226">
        <v>1.0</v>
      </c>
      <c r="L237" s="226">
        <v>0.0</v>
      </c>
      <c r="M237" s="45" t="s">
        <v>3033</v>
      </c>
      <c r="N237" s="45" t="s">
        <v>1046</v>
      </c>
      <c r="O237" s="226">
        <v>1000.0</v>
      </c>
      <c r="P237" s="46" t="s">
        <v>29</v>
      </c>
      <c r="Q237" s="80">
        <v>0.0</v>
      </c>
      <c r="R237" s="46"/>
    </row>
    <row r="238" ht="15.75" customHeight="1">
      <c r="A238" s="211">
        <v>29.0</v>
      </c>
      <c r="B238" s="45" t="s">
        <v>3075</v>
      </c>
      <c r="C238" s="45" t="s">
        <v>3041</v>
      </c>
      <c r="D238" s="57" t="s">
        <v>25</v>
      </c>
      <c r="E238" s="57" t="s">
        <v>660</v>
      </c>
      <c r="F238" s="213" t="s">
        <v>2645</v>
      </c>
      <c r="G238" s="225">
        <v>350.0</v>
      </c>
      <c r="H238" s="226">
        <v>15.0</v>
      </c>
      <c r="I238" s="226">
        <v>50.0</v>
      </c>
      <c r="J238" s="226">
        <v>1.0</v>
      </c>
      <c r="K238" s="226">
        <v>1.0</v>
      </c>
      <c r="L238" s="226">
        <v>0.0</v>
      </c>
      <c r="M238" s="45" t="s">
        <v>3033</v>
      </c>
      <c r="N238" s="45" t="s">
        <v>1046</v>
      </c>
      <c r="O238" s="226">
        <v>1000.0</v>
      </c>
      <c r="P238" s="46" t="s">
        <v>29</v>
      </c>
      <c r="Q238" s="80">
        <v>0.0</v>
      </c>
      <c r="R238" s="46"/>
    </row>
    <row r="239" ht="15.75" customHeight="1">
      <c r="A239" s="211">
        <v>30.0</v>
      </c>
      <c r="B239" s="45" t="s">
        <v>3076</v>
      </c>
      <c r="C239" s="45" t="s">
        <v>3043</v>
      </c>
      <c r="D239" s="57" t="s">
        <v>25</v>
      </c>
      <c r="E239" s="57" t="s">
        <v>660</v>
      </c>
      <c r="F239" s="213" t="s">
        <v>2645</v>
      </c>
      <c r="G239" s="225">
        <v>350.0</v>
      </c>
      <c r="H239" s="226">
        <v>15.0</v>
      </c>
      <c r="I239" s="226">
        <v>50.0</v>
      </c>
      <c r="J239" s="226">
        <v>1.0</v>
      </c>
      <c r="K239" s="226">
        <v>1.0</v>
      </c>
      <c r="L239" s="226">
        <v>0.0</v>
      </c>
      <c r="M239" s="45" t="s">
        <v>3033</v>
      </c>
      <c r="N239" s="45" t="s">
        <v>1046</v>
      </c>
      <c r="O239" s="226">
        <v>1000.0</v>
      </c>
      <c r="P239" s="46" t="s">
        <v>29</v>
      </c>
      <c r="Q239" s="80">
        <v>0.0</v>
      </c>
      <c r="R239" s="46"/>
    </row>
    <row r="240" ht="15.75" customHeight="1">
      <c r="A240" s="211">
        <v>31.0</v>
      </c>
      <c r="B240" s="45" t="s">
        <v>3077</v>
      </c>
      <c r="C240" s="45" t="s">
        <v>3043</v>
      </c>
      <c r="D240" s="57" t="s">
        <v>25</v>
      </c>
      <c r="E240" s="57" t="s">
        <v>660</v>
      </c>
      <c r="F240" s="213" t="s">
        <v>2645</v>
      </c>
      <c r="G240" s="225">
        <v>350.0</v>
      </c>
      <c r="H240" s="226">
        <v>15.0</v>
      </c>
      <c r="I240" s="226">
        <v>50.0</v>
      </c>
      <c r="J240" s="226">
        <v>1.0</v>
      </c>
      <c r="K240" s="226">
        <v>1.0</v>
      </c>
      <c r="L240" s="226">
        <v>0.0</v>
      </c>
      <c r="M240" s="45" t="s">
        <v>3033</v>
      </c>
      <c r="N240" s="45" t="s">
        <v>1046</v>
      </c>
      <c r="O240" s="226">
        <v>1000.0</v>
      </c>
      <c r="P240" s="46" t="s">
        <v>29</v>
      </c>
      <c r="Q240" s="80">
        <v>0.0</v>
      </c>
      <c r="R240" s="46"/>
    </row>
    <row r="241" ht="15.75" customHeight="1">
      <c r="A241" s="211">
        <v>32.0</v>
      </c>
      <c r="B241" s="45" t="s">
        <v>3078</v>
      </c>
      <c r="C241" s="45" t="s">
        <v>3045</v>
      </c>
      <c r="D241" s="57" t="s">
        <v>25</v>
      </c>
      <c r="E241" s="57" t="s">
        <v>660</v>
      </c>
      <c r="F241" s="213" t="s">
        <v>2645</v>
      </c>
      <c r="G241" s="225">
        <v>350.0</v>
      </c>
      <c r="H241" s="226">
        <v>15.0</v>
      </c>
      <c r="I241" s="226">
        <v>50.0</v>
      </c>
      <c r="J241" s="226">
        <v>1.0</v>
      </c>
      <c r="K241" s="226">
        <v>1.0</v>
      </c>
      <c r="L241" s="226">
        <v>0.0</v>
      </c>
      <c r="M241" s="45" t="s">
        <v>3033</v>
      </c>
      <c r="N241" s="45" t="s">
        <v>1046</v>
      </c>
      <c r="O241" s="226">
        <v>1000.0</v>
      </c>
      <c r="P241" s="46" t="s">
        <v>29</v>
      </c>
      <c r="Q241" s="80">
        <v>0.0</v>
      </c>
      <c r="R241" s="46"/>
    </row>
    <row r="242" ht="15.75" customHeight="1">
      <c r="A242" s="211">
        <v>33.0</v>
      </c>
      <c r="B242" s="45" t="s">
        <v>3079</v>
      </c>
      <c r="C242" s="45" t="s">
        <v>3047</v>
      </c>
      <c r="D242" s="57" t="s">
        <v>25</v>
      </c>
      <c r="E242" s="57" t="s">
        <v>647</v>
      </c>
      <c r="F242" s="213" t="s">
        <v>2645</v>
      </c>
      <c r="G242" s="225">
        <v>350.0</v>
      </c>
      <c r="H242" s="226">
        <v>15.0</v>
      </c>
      <c r="I242" s="226">
        <v>50.0</v>
      </c>
      <c r="J242" s="226">
        <v>1.0</v>
      </c>
      <c r="K242" s="226">
        <v>1.0</v>
      </c>
      <c r="L242" s="226">
        <v>0.0</v>
      </c>
      <c r="M242" s="45" t="s">
        <v>3033</v>
      </c>
      <c r="N242" s="45" t="s">
        <v>1046</v>
      </c>
      <c r="O242" s="226">
        <v>1000.0</v>
      </c>
      <c r="P242" s="46" t="s">
        <v>29</v>
      </c>
      <c r="Q242" s="80">
        <v>0.0</v>
      </c>
      <c r="R242" s="46"/>
    </row>
    <row r="243" ht="15.75" customHeight="1">
      <c r="A243" s="211">
        <v>34.0</v>
      </c>
      <c r="B243" s="45" t="s">
        <v>3080</v>
      </c>
      <c r="C243" s="45" t="s">
        <v>3049</v>
      </c>
      <c r="D243" s="57" t="s">
        <v>25</v>
      </c>
      <c r="E243" s="57" t="s">
        <v>660</v>
      </c>
      <c r="F243" s="213" t="s">
        <v>2645</v>
      </c>
      <c r="G243" s="225">
        <v>350.0</v>
      </c>
      <c r="H243" s="226">
        <v>15.0</v>
      </c>
      <c r="I243" s="226">
        <v>50.0</v>
      </c>
      <c r="J243" s="226">
        <v>1.0</v>
      </c>
      <c r="K243" s="226">
        <v>1.0</v>
      </c>
      <c r="L243" s="226">
        <v>0.0</v>
      </c>
      <c r="M243" s="45" t="s">
        <v>3033</v>
      </c>
      <c r="N243" s="45" t="s">
        <v>1046</v>
      </c>
      <c r="O243" s="226">
        <v>1000.0</v>
      </c>
      <c r="P243" s="46" t="s">
        <v>29</v>
      </c>
      <c r="Q243" s="80">
        <v>0.0</v>
      </c>
      <c r="R243" s="46"/>
    </row>
    <row r="244" ht="15.75" customHeight="1">
      <c r="A244" s="211">
        <v>35.0</v>
      </c>
      <c r="B244" s="45" t="s">
        <v>3081</v>
      </c>
      <c r="C244" s="45" t="s">
        <v>3051</v>
      </c>
      <c r="D244" s="57" t="s">
        <v>25</v>
      </c>
      <c r="E244" s="57" t="s">
        <v>660</v>
      </c>
      <c r="F244" s="213" t="s">
        <v>2645</v>
      </c>
      <c r="G244" s="225">
        <v>350.0</v>
      </c>
      <c r="H244" s="226">
        <v>15.0</v>
      </c>
      <c r="I244" s="226">
        <v>50.0</v>
      </c>
      <c r="J244" s="226">
        <v>1.0</v>
      </c>
      <c r="K244" s="226">
        <v>1.0</v>
      </c>
      <c r="L244" s="226">
        <v>0.0</v>
      </c>
      <c r="M244" s="45" t="s">
        <v>3033</v>
      </c>
      <c r="N244" s="45" t="s">
        <v>1046</v>
      </c>
      <c r="O244" s="226">
        <v>1000.0</v>
      </c>
      <c r="P244" s="46" t="s">
        <v>29</v>
      </c>
      <c r="Q244" s="80">
        <v>0.0</v>
      </c>
      <c r="R244" s="46"/>
    </row>
    <row r="245" ht="15.75" customHeight="1">
      <c r="A245" s="211">
        <v>36.0</v>
      </c>
      <c r="B245" s="45" t="s">
        <v>3082</v>
      </c>
      <c r="C245" s="45" t="s">
        <v>3051</v>
      </c>
      <c r="D245" s="57" t="s">
        <v>25</v>
      </c>
      <c r="E245" s="57" t="s">
        <v>660</v>
      </c>
      <c r="F245" s="213" t="s">
        <v>2645</v>
      </c>
      <c r="G245" s="225">
        <v>350.0</v>
      </c>
      <c r="H245" s="226">
        <v>15.0</v>
      </c>
      <c r="I245" s="226">
        <v>50.0</v>
      </c>
      <c r="J245" s="226">
        <v>1.0</v>
      </c>
      <c r="K245" s="226">
        <v>1.0</v>
      </c>
      <c r="L245" s="226">
        <v>0.0</v>
      </c>
      <c r="M245" s="45" t="s">
        <v>3033</v>
      </c>
      <c r="N245" s="45" t="s">
        <v>1046</v>
      </c>
      <c r="O245" s="226">
        <v>1000.0</v>
      </c>
      <c r="P245" s="46" t="s">
        <v>29</v>
      </c>
      <c r="Q245" s="80">
        <v>0.0</v>
      </c>
      <c r="R245" s="46"/>
    </row>
    <row r="246" ht="15.75" customHeight="1">
      <c r="A246" s="211">
        <v>37.0</v>
      </c>
      <c r="B246" s="45" t="s">
        <v>3083</v>
      </c>
      <c r="C246" s="45" t="s">
        <v>3053</v>
      </c>
      <c r="D246" s="57" t="s">
        <v>25</v>
      </c>
      <c r="E246" s="57" t="s">
        <v>647</v>
      </c>
      <c r="F246" s="213" t="s">
        <v>2645</v>
      </c>
      <c r="G246" s="225">
        <v>350.0</v>
      </c>
      <c r="H246" s="226">
        <v>15.0</v>
      </c>
      <c r="I246" s="226">
        <v>50.0</v>
      </c>
      <c r="J246" s="226">
        <v>1.0</v>
      </c>
      <c r="K246" s="226">
        <v>1.0</v>
      </c>
      <c r="L246" s="226">
        <v>0.0</v>
      </c>
      <c r="M246" s="45" t="s">
        <v>3033</v>
      </c>
      <c r="N246" s="45" t="s">
        <v>1046</v>
      </c>
      <c r="O246" s="226">
        <v>1000.0</v>
      </c>
      <c r="P246" s="46" t="s">
        <v>29</v>
      </c>
      <c r="Q246" s="80">
        <v>0.0</v>
      </c>
      <c r="R246" s="46"/>
    </row>
    <row r="247" ht="15.75" customHeight="1">
      <c r="A247" s="211">
        <v>38.0</v>
      </c>
      <c r="B247" s="45" t="s">
        <v>3084</v>
      </c>
      <c r="C247" s="45" t="s">
        <v>3055</v>
      </c>
      <c r="D247" s="57" t="s">
        <v>25</v>
      </c>
      <c r="E247" s="57" t="s">
        <v>647</v>
      </c>
      <c r="F247" s="213" t="s">
        <v>2645</v>
      </c>
      <c r="G247" s="225">
        <v>350.0</v>
      </c>
      <c r="H247" s="226">
        <v>15.0</v>
      </c>
      <c r="I247" s="226">
        <v>50.0</v>
      </c>
      <c r="J247" s="226">
        <v>1.0</v>
      </c>
      <c r="K247" s="226">
        <v>1.0</v>
      </c>
      <c r="L247" s="226">
        <v>0.0</v>
      </c>
      <c r="M247" s="45" t="s">
        <v>3033</v>
      </c>
      <c r="N247" s="45" t="s">
        <v>1046</v>
      </c>
      <c r="O247" s="226">
        <v>1000.0</v>
      </c>
      <c r="P247" s="46" t="s">
        <v>29</v>
      </c>
      <c r="Q247" s="80">
        <v>0.0</v>
      </c>
      <c r="R247" s="46"/>
    </row>
    <row r="248" ht="15.75" customHeight="1">
      <c r="A248" s="211">
        <v>39.0</v>
      </c>
      <c r="B248" s="45" t="s">
        <v>3085</v>
      </c>
      <c r="C248" s="45" t="s">
        <v>3057</v>
      </c>
      <c r="D248" s="57" t="s">
        <v>25</v>
      </c>
      <c r="E248" s="57" t="s">
        <v>647</v>
      </c>
      <c r="F248" s="213" t="s">
        <v>2645</v>
      </c>
      <c r="G248" s="225">
        <v>350.0</v>
      </c>
      <c r="H248" s="226">
        <v>15.0</v>
      </c>
      <c r="I248" s="226">
        <v>50.0</v>
      </c>
      <c r="J248" s="226">
        <v>1.0</v>
      </c>
      <c r="K248" s="226">
        <v>1.0</v>
      </c>
      <c r="L248" s="226">
        <v>0.0</v>
      </c>
      <c r="M248" s="45" t="s">
        <v>3033</v>
      </c>
      <c r="N248" s="45" t="s">
        <v>1046</v>
      </c>
      <c r="O248" s="226">
        <v>1000.0</v>
      </c>
      <c r="P248" s="46" t="s">
        <v>29</v>
      </c>
      <c r="Q248" s="80">
        <v>0.0</v>
      </c>
      <c r="R248" s="46"/>
    </row>
    <row r="249" ht="15.75" customHeight="1">
      <c r="A249" s="211">
        <v>40.0</v>
      </c>
      <c r="B249" s="45" t="s">
        <v>3086</v>
      </c>
      <c r="C249" s="45" t="s">
        <v>3061</v>
      </c>
      <c r="D249" s="57" t="s">
        <v>25</v>
      </c>
      <c r="E249" s="57" t="s">
        <v>647</v>
      </c>
      <c r="F249" s="213" t="s">
        <v>2645</v>
      </c>
      <c r="G249" s="225">
        <v>350.0</v>
      </c>
      <c r="H249" s="226">
        <v>15.0</v>
      </c>
      <c r="I249" s="226">
        <v>50.0</v>
      </c>
      <c r="J249" s="226">
        <v>1.0</v>
      </c>
      <c r="K249" s="226">
        <v>1.0</v>
      </c>
      <c r="L249" s="226">
        <v>0.0</v>
      </c>
      <c r="M249" s="45" t="s">
        <v>3033</v>
      </c>
      <c r="N249" s="45" t="s">
        <v>1046</v>
      </c>
      <c r="O249" s="226">
        <v>1000.0</v>
      </c>
      <c r="P249" s="46" t="s">
        <v>29</v>
      </c>
      <c r="Q249" s="80">
        <v>0.0</v>
      </c>
      <c r="R249" s="46"/>
    </row>
    <row r="250" ht="15.75" customHeight="1">
      <c r="A250" s="211">
        <v>41.0</v>
      </c>
      <c r="B250" s="45" t="s">
        <v>2130</v>
      </c>
      <c r="C250" s="45" t="s">
        <v>3063</v>
      </c>
      <c r="D250" s="57" t="s">
        <v>25</v>
      </c>
      <c r="E250" s="57" t="s">
        <v>647</v>
      </c>
      <c r="F250" s="213" t="s">
        <v>2645</v>
      </c>
      <c r="G250" s="225">
        <v>350.0</v>
      </c>
      <c r="H250" s="226">
        <v>15.0</v>
      </c>
      <c r="I250" s="226">
        <v>50.0</v>
      </c>
      <c r="J250" s="226">
        <v>1.0</v>
      </c>
      <c r="K250" s="226">
        <v>1.0</v>
      </c>
      <c r="L250" s="226">
        <v>0.0</v>
      </c>
      <c r="M250" s="45" t="s">
        <v>3033</v>
      </c>
      <c r="N250" s="45" t="s">
        <v>1046</v>
      </c>
      <c r="O250" s="226">
        <v>1000.0</v>
      </c>
      <c r="P250" s="46" t="s">
        <v>29</v>
      </c>
      <c r="Q250" s="80">
        <v>0.0</v>
      </c>
      <c r="R250" s="46"/>
    </row>
    <row r="251" ht="15.75" customHeight="1">
      <c r="A251" s="211">
        <v>42.0</v>
      </c>
      <c r="B251" s="45" t="s">
        <v>3087</v>
      </c>
      <c r="C251" s="45" t="s">
        <v>3063</v>
      </c>
      <c r="D251" s="57" t="s">
        <v>25</v>
      </c>
      <c r="E251" s="57" t="s">
        <v>647</v>
      </c>
      <c r="F251" s="213" t="s">
        <v>2645</v>
      </c>
      <c r="G251" s="225">
        <v>350.0</v>
      </c>
      <c r="H251" s="226">
        <v>15.0</v>
      </c>
      <c r="I251" s="226">
        <v>50.0</v>
      </c>
      <c r="J251" s="226">
        <v>1.0</v>
      </c>
      <c r="K251" s="226">
        <v>1.0</v>
      </c>
      <c r="L251" s="226">
        <v>0.0</v>
      </c>
      <c r="M251" s="45" t="s">
        <v>3033</v>
      </c>
      <c r="N251" s="45" t="s">
        <v>1046</v>
      </c>
      <c r="O251" s="226">
        <v>1000.0</v>
      </c>
      <c r="P251" s="46" t="s">
        <v>29</v>
      </c>
      <c r="Q251" s="80">
        <v>0.0</v>
      </c>
      <c r="R251" s="46"/>
    </row>
    <row r="252" ht="15.75" customHeight="1">
      <c r="A252" s="211">
        <v>43.0</v>
      </c>
      <c r="B252" s="45" t="s">
        <v>3088</v>
      </c>
      <c r="C252" s="45" t="s">
        <v>3065</v>
      </c>
      <c r="D252" s="57" t="s">
        <v>25</v>
      </c>
      <c r="E252" s="57" t="s">
        <v>647</v>
      </c>
      <c r="F252" s="213" t="s">
        <v>2645</v>
      </c>
      <c r="G252" s="225">
        <v>350.0</v>
      </c>
      <c r="H252" s="226">
        <v>15.0</v>
      </c>
      <c r="I252" s="226">
        <v>50.0</v>
      </c>
      <c r="J252" s="226">
        <v>1.0</v>
      </c>
      <c r="K252" s="226">
        <v>1.0</v>
      </c>
      <c r="L252" s="226">
        <v>0.0</v>
      </c>
      <c r="M252" s="45" t="s">
        <v>3033</v>
      </c>
      <c r="N252" s="45" t="s">
        <v>1046</v>
      </c>
      <c r="O252" s="226">
        <v>1000.0</v>
      </c>
      <c r="P252" s="46" t="s">
        <v>29</v>
      </c>
      <c r="Q252" s="80">
        <v>0.0</v>
      </c>
      <c r="R252" s="46"/>
    </row>
    <row r="253" ht="15.75" customHeight="1">
      <c r="A253" s="211">
        <v>44.0</v>
      </c>
      <c r="B253" s="45" t="s">
        <v>3089</v>
      </c>
      <c r="C253" s="45" t="s">
        <v>3067</v>
      </c>
      <c r="D253" s="57" t="s">
        <v>25</v>
      </c>
      <c r="E253" s="57" t="s">
        <v>660</v>
      </c>
      <c r="F253" s="213" t="s">
        <v>2645</v>
      </c>
      <c r="G253" s="225">
        <v>350.0</v>
      </c>
      <c r="H253" s="226">
        <v>15.0</v>
      </c>
      <c r="I253" s="226">
        <v>50.0</v>
      </c>
      <c r="J253" s="226">
        <v>1.0</v>
      </c>
      <c r="K253" s="226">
        <v>1.0</v>
      </c>
      <c r="L253" s="226">
        <v>0.0</v>
      </c>
      <c r="M253" s="45" t="s">
        <v>3033</v>
      </c>
      <c r="N253" s="45" t="s">
        <v>1046</v>
      </c>
      <c r="O253" s="226">
        <v>1000.0</v>
      </c>
      <c r="P253" s="46" t="s">
        <v>29</v>
      </c>
      <c r="Q253" s="80">
        <v>0.0</v>
      </c>
      <c r="R253" s="46"/>
    </row>
    <row r="254" ht="15.75" customHeight="1">
      <c r="A254" s="211">
        <v>45.0</v>
      </c>
      <c r="B254" s="45" t="s">
        <v>3090</v>
      </c>
      <c r="C254" s="45" t="s">
        <v>3067</v>
      </c>
      <c r="D254" s="57" t="s">
        <v>25</v>
      </c>
      <c r="E254" s="57" t="s">
        <v>660</v>
      </c>
      <c r="F254" s="213" t="s">
        <v>2645</v>
      </c>
      <c r="G254" s="225">
        <v>350.0</v>
      </c>
      <c r="H254" s="226">
        <v>15.0</v>
      </c>
      <c r="I254" s="226">
        <v>50.0</v>
      </c>
      <c r="J254" s="226">
        <v>1.0</v>
      </c>
      <c r="K254" s="226">
        <v>1.0</v>
      </c>
      <c r="L254" s="226">
        <v>0.0</v>
      </c>
      <c r="M254" s="45" t="s">
        <v>3033</v>
      </c>
      <c r="N254" s="45" t="s">
        <v>1046</v>
      </c>
      <c r="O254" s="226">
        <v>1000.0</v>
      </c>
      <c r="P254" s="46" t="s">
        <v>29</v>
      </c>
      <c r="Q254" s="80">
        <v>0.0</v>
      </c>
      <c r="R254" s="46"/>
    </row>
    <row r="255" ht="15.75" customHeight="1">
      <c r="A255" s="211">
        <v>46.0</v>
      </c>
      <c r="B255" s="45" t="s">
        <v>3091</v>
      </c>
      <c r="C255" s="45" t="s">
        <v>3069</v>
      </c>
      <c r="D255" s="57" t="s">
        <v>25</v>
      </c>
      <c r="E255" s="57" t="s">
        <v>660</v>
      </c>
      <c r="F255" s="213" t="s">
        <v>2645</v>
      </c>
      <c r="G255" s="225">
        <v>350.0</v>
      </c>
      <c r="H255" s="226">
        <v>15.0</v>
      </c>
      <c r="I255" s="226">
        <v>50.0</v>
      </c>
      <c r="J255" s="226">
        <v>1.0</v>
      </c>
      <c r="K255" s="226">
        <v>1.0</v>
      </c>
      <c r="L255" s="226">
        <v>0.0</v>
      </c>
      <c r="M255" s="45" t="s">
        <v>3033</v>
      </c>
      <c r="N255" s="45" t="s">
        <v>1046</v>
      </c>
      <c r="O255" s="226">
        <v>1000.0</v>
      </c>
      <c r="P255" s="46" t="s">
        <v>29</v>
      </c>
      <c r="Q255" s="80">
        <v>0.0</v>
      </c>
      <c r="R255" s="46"/>
    </row>
    <row r="256" ht="15.75" customHeight="1">
      <c r="A256" s="181"/>
      <c r="B256" s="182" t="s">
        <v>3092</v>
      </c>
      <c r="C256" s="182"/>
      <c r="D256" s="182"/>
      <c r="E256" s="182"/>
      <c r="F256" s="227"/>
      <c r="G256" s="217"/>
      <c r="H256" s="182"/>
      <c r="I256" s="182"/>
      <c r="J256" s="91"/>
      <c r="K256" s="91"/>
      <c r="L256" s="91"/>
      <c r="M256" s="91"/>
      <c r="N256" s="91"/>
      <c r="O256" s="91"/>
      <c r="P256" s="182"/>
      <c r="Q256" s="185"/>
      <c r="R256" s="218"/>
    </row>
    <row r="257" ht="15.75" customHeight="1">
      <c r="A257" s="211">
        <v>1.0</v>
      </c>
      <c r="B257" s="228" t="s">
        <v>3093</v>
      </c>
      <c r="C257" s="49" t="s">
        <v>3094</v>
      </c>
      <c r="D257" s="81" t="s">
        <v>25</v>
      </c>
      <c r="E257" s="81" t="s">
        <v>647</v>
      </c>
      <c r="F257" s="229"/>
      <c r="G257" s="219">
        <v>1590.0</v>
      </c>
      <c r="H257" s="46">
        <v>160.0</v>
      </c>
      <c r="I257" s="81">
        <v>800.0</v>
      </c>
      <c r="J257" s="46">
        <v>1.0</v>
      </c>
      <c r="K257" s="46">
        <v>1.0</v>
      </c>
      <c r="L257" s="46">
        <v>0.0</v>
      </c>
      <c r="M257" s="46" t="s">
        <v>3095</v>
      </c>
      <c r="N257" s="46" t="s">
        <v>449</v>
      </c>
      <c r="O257" s="46">
        <v>500.0</v>
      </c>
      <c r="P257" s="46" t="s">
        <v>29</v>
      </c>
      <c r="Q257" s="81">
        <v>0.0</v>
      </c>
      <c r="R257" s="46"/>
    </row>
    <row r="258" ht="15.75" customHeight="1">
      <c r="A258" s="211">
        <v>2.0</v>
      </c>
      <c r="B258" s="46" t="s">
        <v>3096</v>
      </c>
      <c r="C258" s="49" t="s">
        <v>3097</v>
      </c>
      <c r="D258" s="81" t="s">
        <v>25</v>
      </c>
      <c r="E258" s="81" t="s">
        <v>647</v>
      </c>
      <c r="F258" s="229"/>
      <c r="G258" s="230">
        <v>63.0</v>
      </c>
      <c r="H258" s="46">
        <v>80.0</v>
      </c>
      <c r="I258" s="81">
        <v>400.0</v>
      </c>
      <c r="J258" s="46">
        <v>0.0</v>
      </c>
      <c r="K258" s="46">
        <v>0.0</v>
      </c>
      <c r="L258" s="223">
        <v>20.0</v>
      </c>
      <c r="M258" s="46" t="s">
        <v>3095</v>
      </c>
      <c r="N258" s="46" t="s">
        <v>449</v>
      </c>
      <c r="O258" s="46">
        <v>50.0</v>
      </c>
      <c r="P258" s="46" t="s">
        <v>29</v>
      </c>
      <c r="Q258" s="81">
        <v>0.0</v>
      </c>
      <c r="R258" s="46"/>
    </row>
    <row r="259" ht="15.75" customHeight="1">
      <c r="A259" s="211">
        <v>3.0</v>
      </c>
      <c r="B259" s="49" t="s">
        <v>3098</v>
      </c>
      <c r="C259" s="49" t="s">
        <v>3099</v>
      </c>
      <c r="D259" s="81" t="s">
        <v>25</v>
      </c>
      <c r="E259" s="81" t="s">
        <v>647</v>
      </c>
      <c r="F259" s="229"/>
      <c r="G259" s="230">
        <v>63.0</v>
      </c>
      <c r="H259" s="46">
        <v>40.0</v>
      </c>
      <c r="I259" s="81">
        <v>200.0</v>
      </c>
      <c r="J259" s="46">
        <v>0.0</v>
      </c>
      <c r="K259" s="46">
        <v>0.0</v>
      </c>
      <c r="L259" s="223">
        <v>10.0</v>
      </c>
      <c r="M259" s="46" t="s">
        <v>3095</v>
      </c>
      <c r="N259" s="46" t="s">
        <v>449</v>
      </c>
      <c r="O259" s="46">
        <v>50.0</v>
      </c>
      <c r="P259" s="46" t="s">
        <v>29</v>
      </c>
      <c r="Q259" s="81">
        <v>0.0</v>
      </c>
      <c r="R259" s="46"/>
    </row>
    <row r="260" ht="15.75" customHeight="1">
      <c r="A260" s="211">
        <v>4.0</v>
      </c>
      <c r="B260" s="46" t="s">
        <v>3100</v>
      </c>
      <c r="C260" s="46" t="s">
        <v>3101</v>
      </c>
      <c r="D260" s="81" t="s">
        <v>25</v>
      </c>
      <c r="E260" s="81" t="s">
        <v>647</v>
      </c>
      <c r="F260" s="213"/>
      <c r="G260" s="221">
        <v>63.0</v>
      </c>
      <c r="H260" s="46">
        <v>24.0</v>
      </c>
      <c r="I260" s="81">
        <v>120.0</v>
      </c>
      <c r="J260" s="46">
        <v>0.0</v>
      </c>
      <c r="K260" s="46">
        <v>0.0</v>
      </c>
      <c r="L260" s="223">
        <v>6.0</v>
      </c>
      <c r="M260" s="46" t="s">
        <v>3095</v>
      </c>
      <c r="N260" s="46" t="s">
        <v>449</v>
      </c>
      <c r="O260" s="46">
        <v>50.0</v>
      </c>
      <c r="P260" s="46" t="s">
        <v>29</v>
      </c>
      <c r="Q260" s="81">
        <v>0.0</v>
      </c>
      <c r="R260" s="46"/>
    </row>
    <row r="261" ht="15.75" customHeight="1">
      <c r="A261" s="211">
        <v>5.0</v>
      </c>
      <c r="B261" s="49" t="s">
        <v>3102</v>
      </c>
      <c r="C261" s="49" t="s">
        <v>3101</v>
      </c>
      <c r="D261" s="81" t="s">
        <v>25</v>
      </c>
      <c r="E261" s="81" t="s">
        <v>647</v>
      </c>
      <c r="F261" s="229"/>
      <c r="G261" s="230">
        <v>63.0</v>
      </c>
      <c r="H261" s="46">
        <v>40.0</v>
      </c>
      <c r="I261" s="81">
        <v>200.0</v>
      </c>
      <c r="J261" s="46">
        <v>0.0</v>
      </c>
      <c r="K261" s="46">
        <v>0.0</v>
      </c>
      <c r="L261" s="223">
        <v>10.0</v>
      </c>
      <c r="M261" s="46" t="s">
        <v>3095</v>
      </c>
      <c r="N261" s="46" t="s">
        <v>449</v>
      </c>
      <c r="O261" s="46">
        <v>50.0</v>
      </c>
      <c r="P261" s="46" t="s">
        <v>29</v>
      </c>
      <c r="Q261" s="81">
        <v>0.0</v>
      </c>
      <c r="R261" s="46"/>
    </row>
    <row r="262" ht="15.75" customHeight="1">
      <c r="A262" s="211">
        <v>6.0</v>
      </c>
      <c r="B262" s="46" t="s">
        <v>3103</v>
      </c>
      <c r="C262" s="46" t="s">
        <v>3104</v>
      </c>
      <c r="D262" s="81" t="s">
        <v>25</v>
      </c>
      <c r="E262" s="81" t="s">
        <v>647</v>
      </c>
      <c r="F262" s="213"/>
      <c r="G262" s="221">
        <v>63.0</v>
      </c>
      <c r="H262" s="46">
        <v>40.0</v>
      </c>
      <c r="I262" s="81">
        <v>200.0</v>
      </c>
      <c r="J262" s="46">
        <v>0.0</v>
      </c>
      <c r="K262" s="46">
        <v>0.0</v>
      </c>
      <c r="L262" s="223">
        <v>10.0</v>
      </c>
      <c r="M262" s="46" t="s">
        <v>3095</v>
      </c>
      <c r="N262" s="46" t="s">
        <v>449</v>
      </c>
      <c r="O262" s="46">
        <v>50.0</v>
      </c>
      <c r="P262" s="46" t="s">
        <v>29</v>
      </c>
      <c r="Q262" s="81">
        <v>0.0</v>
      </c>
      <c r="R262" s="46"/>
    </row>
    <row r="263" ht="15.75" customHeight="1">
      <c r="A263" s="211">
        <v>7.0</v>
      </c>
      <c r="B263" s="46" t="s">
        <v>3105</v>
      </c>
      <c r="C263" s="46" t="s">
        <v>3106</v>
      </c>
      <c r="D263" s="81" t="s">
        <v>25</v>
      </c>
      <c r="E263" s="81" t="s">
        <v>647</v>
      </c>
      <c r="F263" s="213"/>
      <c r="G263" s="221">
        <v>63.0</v>
      </c>
      <c r="H263" s="46">
        <v>60.0</v>
      </c>
      <c r="I263" s="81">
        <v>300.0</v>
      </c>
      <c r="J263" s="46">
        <v>0.0</v>
      </c>
      <c r="K263" s="46">
        <v>0.0</v>
      </c>
      <c r="L263" s="223">
        <v>15.0</v>
      </c>
      <c r="M263" s="46" t="s">
        <v>3095</v>
      </c>
      <c r="N263" s="46" t="s">
        <v>449</v>
      </c>
      <c r="O263" s="46">
        <v>50.0</v>
      </c>
      <c r="P263" s="46" t="s">
        <v>29</v>
      </c>
      <c r="Q263" s="81">
        <v>0.0</v>
      </c>
      <c r="R263" s="46"/>
    </row>
    <row r="264" ht="15.75" customHeight="1">
      <c r="A264" s="211">
        <v>8.0</v>
      </c>
      <c r="B264" s="46" t="s">
        <v>3107</v>
      </c>
      <c r="C264" s="46" t="s">
        <v>3108</v>
      </c>
      <c r="D264" s="81" t="s">
        <v>25</v>
      </c>
      <c r="E264" s="81" t="s">
        <v>647</v>
      </c>
      <c r="F264" s="213"/>
      <c r="G264" s="221">
        <v>63.0</v>
      </c>
      <c r="H264" s="46">
        <v>40.0</v>
      </c>
      <c r="I264" s="81">
        <v>200.0</v>
      </c>
      <c r="J264" s="46">
        <v>0.0</v>
      </c>
      <c r="K264" s="46">
        <v>0.0</v>
      </c>
      <c r="L264" s="223">
        <v>6.0</v>
      </c>
      <c r="M264" s="46" t="s">
        <v>3095</v>
      </c>
      <c r="N264" s="46" t="s">
        <v>449</v>
      </c>
      <c r="O264" s="46">
        <v>50.0</v>
      </c>
      <c r="P264" s="46" t="s">
        <v>29</v>
      </c>
      <c r="Q264" s="81">
        <v>0.0</v>
      </c>
      <c r="R264" s="46"/>
    </row>
    <row r="265" ht="15.75" customHeight="1">
      <c r="A265" s="211">
        <v>9.0</v>
      </c>
      <c r="B265" s="46" t="s">
        <v>3109</v>
      </c>
      <c r="C265" s="46" t="s">
        <v>3110</v>
      </c>
      <c r="D265" s="81" t="s">
        <v>25</v>
      </c>
      <c r="E265" s="81" t="s">
        <v>647</v>
      </c>
      <c r="F265" s="213"/>
      <c r="G265" s="221">
        <v>63.0</v>
      </c>
      <c r="H265" s="46">
        <v>40.0</v>
      </c>
      <c r="I265" s="81">
        <v>200.0</v>
      </c>
      <c r="J265" s="46">
        <v>0.0</v>
      </c>
      <c r="K265" s="46">
        <v>0.0</v>
      </c>
      <c r="L265" s="223">
        <v>6.0</v>
      </c>
      <c r="M265" s="46" t="s">
        <v>3095</v>
      </c>
      <c r="N265" s="46" t="s">
        <v>449</v>
      </c>
      <c r="O265" s="46">
        <v>50.0</v>
      </c>
      <c r="P265" s="46" t="s">
        <v>29</v>
      </c>
      <c r="Q265" s="81">
        <v>0.0</v>
      </c>
      <c r="R265" s="46"/>
    </row>
    <row r="266" ht="15.75" customHeight="1">
      <c r="A266" s="224">
        <v>10.0</v>
      </c>
      <c r="B266" s="49" t="s">
        <v>3111</v>
      </c>
      <c r="C266" s="49" t="s">
        <v>3112</v>
      </c>
      <c r="D266" s="81" t="s">
        <v>25</v>
      </c>
      <c r="E266" s="81" t="s">
        <v>647</v>
      </c>
      <c r="F266" s="229"/>
      <c r="G266" s="230">
        <v>63.0</v>
      </c>
      <c r="H266" s="46">
        <v>40.0</v>
      </c>
      <c r="I266" s="81">
        <v>200.0</v>
      </c>
      <c r="J266" s="46">
        <v>0.0</v>
      </c>
      <c r="K266" s="46">
        <v>0.0</v>
      </c>
      <c r="L266" s="223">
        <v>6.0</v>
      </c>
      <c r="M266" s="46" t="s">
        <v>3113</v>
      </c>
      <c r="N266" s="46" t="s">
        <v>449</v>
      </c>
      <c r="O266" s="46">
        <v>50.0</v>
      </c>
      <c r="P266" s="46" t="s">
        <v>29</v>
      </c>
      <c r="Q266" s="81">
        <v>0.0</v>
      </c>
      <c r="R266" s="46"/>
    </row>
    <row r="267" ht="15.75" customHeight="1">
      <c r="A267" s="211">
        <v>11.0</v>
      </c>
      <c r="B267" s="46" t="s">
        <v>3114</v>
      </c>
      <c r="C267" s="46" t="s">
        <v>3115</v>
      </c>
      <c r="D267" s="81" t="s">
        <v>25</v>
      </c>
      <c r="E267" s="81" t="s">
        <v>647</v>
      </c>
      <c r="F267" s="213"/>
      <c r="G267" s="221">
        <v>72.0</v>
      </c>
      <c r="H267" s="46">
        <v>32.0</v>
      </c>
      <c r="I267" s="81">
        <v>160.0</v>
      </c>
      <c r="J267" s="46">
        <v>0.0</v>
      </c>
      <c r="K267" s="46">
        <v>0.0</v>
      </c>
      <c r="L267" s="223">
        <v>8.0</v>
      </c>
      <c r="M267" s="46" t="s">
        <v>3095</v>
      </c>
      <c r="N267" s="46" t="s">
        <v>449</v>
      </c>
      <c r="O267" s="46">
        <v>50.0</v>
      </c>
      <c r="P267" s="46" t="s">
        <v>29</v>
      </c>
      <c r="Q267" s="81">
        <v>0.0</v>
      </c>
      <c r="R267" s="46"/>
    </row>
    <row r="268" ht="15.75" customHeight="1">
      <c r="A268" s="211">
        <v>12.0</v>
      </c>
      <c r="B268" s="46" t="s">
        <v>3116</v>
      </c>
      <c r="C268" s="46" t="s">
        <v>3117</v>
      </c>
      <c r="D268" s="81" t="s">
        <v>25</v>
      </c>
      <c r="E268" s="81" t="s">
        <v>647</v>
      </c>
      <c r="F268" s="213"/>
      <c r="G268" s="221">
        <v>556.85</v>
      </c>
      <c r="H268" s="46">
        <v>36.0</v>
      </c>
      <c r="I268" s="81">
        <v>180.0</v>
      </c>
      <c r="J268" s="46">
        <v>0.0</v>
      </c>
      <c r="K268" s="46">
        <v>0.0</v>
      </c>
      <c r="L268" s="223">
        <v>9.0</v>
      </c>
      <c r="M268" s="46" t="s">
        <v>3118</v>
      </c>
      <c r="N268" s="46" t="s">
        <v>449</v>
      </c>
      <c r="O268" s="46">
        <v>50.0</v>
      </c>
      <c r="P268" s="46" t="s">
        <v>29</v>
      </c>
      <c r="Q268" s="81">
        <v>0.0</v>
      </c>
      <c r="R268" s="46"/>
    </row>
    <row r="269" ht="15.75" customHeight="1">
      <c r="A269" s="211">
        <v>13.0</v>
      </c>
      <c r="B269" s="46" t="s">
        <v>3119</v>
      </c>
      <c r="C269" s="46" t="s">
        <v>3120</v>
      </c>
      <c r="D269" s="81" t="s">
        <v>25</v>
      </c>
      <c r="E269" s="81" t="s">
        <v>647</v>
      </c>
      <c r="F269" s="213"/>
      <c r="G269" s="221">
        <v>143.78</v>
      </c>
      <c r="H269" s="46">
        <v>12.0</v>
      </c>
      <c r="I269" s="81">
        <v>60.0</v>
      </c>
      <c r="J269" s="46">
        <v>0.0</v>
      </c>
      <c r="K269" s="46">
        <v>0.0</v>
      </c>
      <c r="L269" s="223">
        <v>3.0</v>
      </c>
      <c r="M269" s="46" t="s">
        <v>3118</v>
      </c>
      <c r="N269" s="46" t="s">
        <v>449</v>
      </c>
      <c r="O269" s="46">
        <v>50.0</v>
      </c>
      <c r="P269" s="46" t="s">
        <v>29</v>
      </c>
      <c r="Q269" s="81">
        <v>0.0</v>
      </c>
      <c r="R269" s="46"/>
    </row>
    <row r="270" ht="15.75" customHeight="1">
      <c r="A270" s="211">
        <v>14.0</v>
      </c>
      <c r="B270" s="49" t="s">
        <v>3121</v>
      </c>
      <c r="C270" s="49" t="s">
        <v>3122</v>
      </c>
      <c r="D270" s="81" t="s">
        <v>25</v>
      </c>
      <c r="E270" s="81" t="s">
        <v>647</v>
      </c>
      <c r="F270" s="229"/>
      <c r="G270" s="230">
        <v>42.0</v>
      </c>
      <c r="H270" s="46">
        <v>8.0</v>
      </c>
      <c r="I270" s="81">
        <v>40.0</v>
      </c>
      <c r="J270" s="46">
        <v>0.0</v>
      </c>
      <c r="K270" s="46">
        <v>0.0</v>
      </c>
      <c r="L270" s="223">
        <v>2.0</v>
      </c>
      <c r="M270" s="46" t="s">
        <v>3113</v>
      </c>
      <c r="N270" s="46" t="s">
        <v>449</v>
      </c>
      <c r="O270" s="46">
        <v>50.0</v>
      </c>
      <c r="P270" s="46" t="s">
        <v>29</v>
      </c>
      <c r="Q270" s="81">
        <v>0.0</v>
      </c>
      <c r="R270" s="46"/>
    </row>
    <row r="271" ht="15.75" customHeight="1">
      <c r="A271" s="211">
        <v>15.0</v>
      </c>
      <c r="B271" s="46" t="s">
        <v>3123</v>
      </c>
      <c r="C271" s="49" t="s">
        <v>3124</v>
      </c>
      <c r="D271" s="81" t="s">
        <v>25</v>
      </c>
      <c r="E271" s="81" t="s">
        <v>647</v>
      </c>
      <c r="F271" s="229"/>
      <c r="G271" s="230">
        <v>68.0</v>
      </c>
      <c r="H271" s="46">
        <v>32.0</v>
      </c>
      <c r="I271" s="81">
        <v>160.0</v>
      </c>
      <c r="J271" s="46">
        <v>0.0</v>
      </c>
      <c r="K271" s="46">
        <v>0.0</v>
      </c>
      <c r="L271" s="223">
        <v>8.0</v>
      </c>
      <c r="M271" s="46" t="s">
        <v>3113</v>
      </c>
      <c r="N271" s="46" t="s">
        <v>449</v>
      </c>
      <c r="O271" s="46">
        <v>50.0</v>
      </c>
      <c r="P271" s="46" t="s">
        <v>29</v>
      </c>
      <c r="Q271" s="81">
        <v>0.0</v>
      </c>
      <c r="R271" s="46"/>
    </row>
    <row r="272" ht="15.75" customHeight="1">
      <c r="A272" s="211">
        <v>16.0</v>
      </c>
      <c r="B272" s="46" t="s">
        <v>3125</v>
      </c>
      <c r="C272" s="46" t="s">
        <v>3126</v>
      </c>
      <c r="D272" s="81" t="s">
        <v>25</v>
      </c>
      <c r="E272" s="81" t="s">
        <v>647</v>
      </c>
      <c r="F272" s="213"/>
      <c r="G272" s="221">
        <v>108.0</v>
      </c>
      <c r="H272" s="46">
        <v>12.0</v>
      </c>
      <c r="I272" s="81">
        <v>60.0</v>
      </c>
      <c r="J272" s="46">
        <v>0.0</v>
      </c>
      <c r="K272" s="46">
        <v>0.0</v>
      </c>
      <c r="L272" s="223">
        <v>3.0</v>
      </c>
      <c r="M272" s="46" t="s">
        <v>3095</v>
      </c>
      <c r="N272" s="46" t="s">
        <v>449</v>
      </c>
      <c r="O272" s="46">
        <v>50.0</v>
      </c>
      <c r="P272" s="46" t="s">
        <v>29</v>
      </c>
      <c r="Q272" s="81">
        <v>0.0</v>
      </c>
      <c r="R272" s="46"/>
    </row>
    <row r="273" ht="15.75" customHeight="1">
      <c r="A273" s="211">
        <v>17.0</v>
      </c>
      <c r="B273" s="49" t="s">
        <v>3127</v>
      </c>
      <c r="C273" s="49" t="s">
        <v>3128</v>
      </c>
      <c r="D273" s="81" t="s">
        <v>25</v>
      </c>
      <c r="E273" s="81" t="s">
        <v>647</v>
      </c>
      <c r="F273" s="229"/>
      <c r="G273" s="230">
        <v>135.0</v>
      </c>
      <c r="H273" s="46">
        <v>12.0</v>
      </c>
      <c r="I273" s="81">
        <v>60.0</v>
      </c>
      <c r="J273" s="46">
        <v>0.0</v>
      </c>
      <c r="K273" s="46">
        <v>0.0</v>
      </c>
      <c r="L273" s="223">
        <v>3.0</v>
      </c>
      <c r="M273" s="46" t="s">
        <v>3095</v>
      </c>
      <c r="N273" s="46" t="s">
        <v>449</v>
      </c>
      <c r="O273" s="46">
        <v>50.0</v>
      </c>
      <c r="P273" s="46" t="s">
        <v>29</v>
      </c>
      <c r="Q273" s="81">
        <v>0.0</v>
      </c>
      <c r="R273" s="46"/>
    </row>
    <row r="274" ht="15.75" customHeight="1">
      <c r="A274" s="211">
        <v>18.0</v>
      </c>
      <c r="B274" s="49" t="s">
        <v>3129</v>
      </c>
      <c r="C274" s="46" t="s">
        <v>3130</v>
      </c>
      <c r="D274" s="81" t="s">
        <v>25</v>
      </c>
      <c r="E274" s="81" t="s">
        <v>647</v>
      </c>
      <c r="F274" s="81"/>
      <c r="G274" s="231">
        <v>160.58</v>
      </c>
      <c r="H274" s="46">
        <v>12.0</v>
      </c>
      <c r="I274" s="81">
        <v>60.0</v>
      </c>
      <c r="J274" s="46">
        <v>0.0</v>
      </c>
      <c r="K274" s="46">
        <v>0.0</v>
      </c>
      <c r="L274" s="223">
        <v>3.0</v>
      </c>
      <c r="M274" s="46" t="s">
        <v>3095</v>
      </c>
      <c r="N274" s="46" t="s">
        <v>449</v>
      </c>
      <c r="O274" s="46">
        <v>50.0</v>
      </c>
      <c r="P274" s="46" t="s">
        <v>29</v>
      </c>
      <c r="Q274" s="81">
        <v>0.0</v>
      </c>
      <c r="R274" s="46"/>
    </row>
    <row r="275" ht="15.75" customHeight="1">
      <c r="A275" s="211">
        <v>19.0</v>
      </c>
      <c r="B275" s="46" t="s">
        <v>3131</v>
      </c>
      <c r="C275" s="46" t="s">
        <v>3132</v>
      </c>
      <c r="D275" s="81" t="s">
        <v>25</v>
      </c>
      <c r="E275" s="81" t="s">
        <v>647</v>
      </c>
      <c r="F275" s="81"/>
      <c r="G275" s="231">
        <v>63.0</v>
      </c>
      <c r="H275" s="46">
        <v>12.0</v>
      </c>
      <c r="I275" s="81">
        <v>60.0</v>
      </c>
      <c r="J275" s="46">
        <v>0.0</v>
      </c>
      <c r="K275" s="46">
        <v>0.0</v>
      </c>
      <c r="L275" s="223">
        <v>3.0</v>
      </c>
      <c r="M275" s="46" t="s">
        <v>3095</v>
      </c>
      <c r="N275" s="46" t="s">
        <v>449</v>
      </c>
      <c r="O275" s="46">
        <v>50.0</v>
      </c>
      <c r="P275" s="46" t="s">
        <v>29</v>
      </c>
      <c r="Q275" s="81">
        <v>0.0</v>
      </c>
      <c r="R275" s="46"/>
    </row>
    <row r="276" ht="15.75" customHeight="1">
      <c r="A276" s="211">
        <v>20.0</v>
      </c>
      <c r="B276" s="49" t="s">
        <v>3133</v>
      </c>
      <c r="C276" s="33" t="s">
        <v>3134</v>
      </c>
      <c r="D276" s="81" t="s">
        <v>25</v>
      </c>
      <c r="E276" s="81" t="s">
        <v>647</v>
      </c>
      <c r="F276" s="81"/>
      <c r="G276" s="231">
        <v>48.0</v>
      </c>
      <c r="H276" s="46">
        <v>12.0</v>
      </c>
      <c r="I276" s="81">
        <v>60.0</v>
      </c>
      <c r="J276" s="46">
        <v>0.0</v>
      </c>
      <c r="K276" s="46">
        <v>0.0</v>
      </c>
      <c r="L276" s="223">
        <v>3.0</v>
      </c>
      <c r="M276" s="46" t="s">
        <v>3113</v>
      </c>
      <c r="N276" s="46" t="s">
        <v>449</v>
      </c>
      <c r="O276" s="46">
        <v>50.0</v>
      </c>
      <c r="P276" s="46" t="s">
        <v>29</v>
      </c>
      <c r="Q276" s="81">
        <v>0.0</v>
      </c>
      <c r="R276" s="46"/>
    </row>
    <row r="277" ht="15.75" customHeight="1">
      <c r="A277" s="181"/>
      <c r="B277" s="182" t="s">
        <v>3135</v>
      </c>
      <c r="C277" s="182"/>
      <c r="D277" s="182"/>
      <c r="E277" s="182"/>
      <c r="F277" s="182"/>
      <c r="G277" s="232"/>
      <c r="H277" s="22"/>
      <c r="I277" s="22"/>
      <c r="J277" s="22"/>
      <c r="K277" s="22"/>
      <c r="L277" s="22"/>
      <c r="M277" s="22"/>
      <c r="N277" s="22"/>
      <c r="O277" s="22"/>
      <c r="P277" s="22"/>
      <c r="Q277" s="209"/>
      <c r="R277" s="22"/>
    </row>
    <row r="278" ht="15.75" customHeight="1">
      <c r="A278" s="233">
        <v>1.0</v>
      </c>
      <c r="B278" s="46" t="s">
        <v>3136</v>
      </c>
      <c r="C278" s="82" t="s">
        <v>1552</v>
      </c>
      <c r="D278" s="81" t="s">
        <v>25</v>
      </c>
      <c r="E278" s="81" t="s">
        <v>3137</v>
      </c>
      <c r="F278" s="81"/>
      <c r="G278" s="221"/>
      <c r="H278" s="81">
        <v>15.0</v>
      </c>
      <c r="I278" s="81">
        <v>50.0</v>
      </c>
      <c r="J278" s="81">
        <v>2.0</v>
      </c>
      <c r="K278" s="81">
        <v>2.0</v>
      </c>
      <c r="L278" s="81">
        <v>0.0</v>
      </c>
      <c r="M278" s="82" t="s">
        <v>2714</v>
      </c>
      <c r="N278" s="46" t="s">
        <v>449</v>
      </c>
      <c r="O278" s="81">
        <v>1000.0</v>
      </c>
      <c r="P278" s="81" t="s">
        <v>29</v>
      </c>
      <c r="Q278" s="81">
        <v>0.0</v>
      </c>
      <c r="R278" s="81"/>
    </row>
    <row r="279" ht="15.75" customHeight="1">
      <c r="A279" s="233">
        <v>2.0</v>
      </c>
      <c r="B279" s="46" t="s">
        <v>3138</v>
      </c>
      <c r="C279" s="82" t="s">
        <v>1552</v>
      </c>
      <c r="D279" s="81" t="s">
        <v>25</v>
      </c>
      <c r="E279" s="81" t="s">
        <v>3137</v>
      </c>
      <c r="F279" s="81"/>
      <c r="G279" s="221"/>
      <c r="H279" s="81">
        <v>30.0</v>
      </c>
      <c r="I279" s="81">
        <v>100.0</v>
      </c>
      <c r="J279" s="81">
        <v>2.0</v>
      </c>
      <c r="K279" s="81">
        <v>2.0</v>
      </c>
      <c r="L279" s="81">
        <v>0.0</v>
      </c>
      <c r="M279" s="82" t="s">
        <v>2714</v>
      </c>
      <c r="N279" s="46" t="s">
        <v>449</v>
      </c>
      <c r="O279" s="81">
        <v>50.0</v>
      </c>
      <c r="P279" s="81" t="s">
        <v>29</v>
      </c>
      <c r="Q279" s="81">
        <v>0.0</v>
      </c>
      <c r="R279" s="81"/>
    </row>
    <row r="280" ht="15.75" customHeight="1">
      <c r="A280" s="195">
        <v>3.0</v>
      </c>
      <c r="B280" s="196" t="s">
        <v>3139</v>
      </c>
      <c r="C280" s="196" t="s">
        <v>1552</v>
      </c>
      <c r="D280" s="81" t="s">
        <v>25</v>
      </c>
      <c r="E280" s="81" t="s">
        <v>3137</v>
      </c>
      <c r="F280" s="196"/>
      <c r="G280" s="221"/>
      <c r="H280" s="81">
        <v>30.0</v>
      </c>
      <c r="I280" s="81">
        <v>100.0</v>
      </c>
      <c r="J280" s="81">
        <v>2.0</v>
      </c>
      <c r="K280" s="81">
        <v>2.0</v>
      </c>
      <c r="L280" s="81">
        <v>0.0</v>
      </c>
      <c r="M280" s="82" t="s">
        <v>2714</v>
      </c>
      <c r="N280" s="46" t="s">
        <v>449</v>
      </c>
      <c r="O280" s="81">
        <v>50.0</v>
      </c>
      <c r="P280" s="81" t="s">
        <v>29</v>
      </c>
      <c r="Q280" s="81">
        <v>0.0</v>
      </c>
      <c r="R280" s="81"/>
    </row>
    <row r="281" ht="15.75" customHeight="1">
      <c r="A281" s="233">
        <v>4.0</v>
      </c>
      <c r="B281" s="33" t="s">
        <v>3140</v>
      </c>
      <c r="C281" s="234" t="s">
        <v>3141</v>
      </c>
      <c r="D281" s="81" t="s">
        <v>25</v>
      </c>
      <c r="E281" s="81" t="s">
        <v>3137</v>
      </c>
      <c r="F281" s="81"/>
      <c r="G281" s="221"/>
      <c r="H281" s="81">
        <v>60.0</v>
      </c>
      <c r="I281" s="81">
        <v>200.0</v>
      </c>
      <c r="J281" s="81">
        <v>2.0</v>
      </c>
      <c r="K281" s="81">
        <v>2.0</v>
      </c>
      <c r="L281" s="81">
        <v>0.0</v>
      </c>
      <c r="M281" s="82" t="s">
        <v>2714</v>
      </c>
      <c r="N281" s="46" t="s">
        <v>449</v>
      </c>
      <c r="O281" s="81">
        <v>50.0</v>
      </c>
      <c r="P281" s="81" t="s">
        <v>29</v>
      </c>
      <c r="Q281" s="81">
        <v>0.0</v>
      </c>
      <c r="R281" s="81"/>
    </row>
    <row r="282" ht="15.75" customHeight="1">
      <c r="A282" s="233">
        <v>5.0</v>
      </c>
      <c r="B282" s="33" t="s">
        <v>3142</v>
      </c>
      <c r="C282" s="82" t="s">
        <v>3143</v>
      </c>
      <c r="D282" s="81" t="s">
        <v>25</v>
      </c>
      <c r="E282" s="81" t="s">
        <v>3137</v>
      </c>
      <c r="F282" s="81"/>
      <c r="G282" s="221"/>
      <c r="H282" s="81">
        <v>15.0</v>
      </c>
      <c r="I282" s="81">
        <v>50.0</v>
      </c>
      <c r="J282" s="81">
        <v>1.0</v>
      </c>
      <c r="K282" s="81">
        <v>1.0</v>
      </c>
      <c r="L282" s="81">
        <v>0.0</v>
      </c>
      <c r="M282" s="82" t="s">
        <v>2714</v>
      </c>
      <c r="N282" s="46" t="s">
        <v>449</v>
      </c>
      <c r="O282" s="81">
        <v>50.0</v>
      </c>
      <c r="P282" s="81" t="s">
        <v>29</v>
      </c>
      <c r="Q282" s="81">
        <v>0.0</v>
      </c>
      <c r="R282" s="81"/>
    </row>
    <row r="283" ht="15.75" customHeight="1">
      <c r="A283" s="233">
        <v>6.0</v>
      </c>
      <c r="B283" s="196" t="s">
        <v>3139</v>
      </c>
      <c r="C283" s="82" t="s">
        <v>3144</v>
      </c>
      <c r="D283" s="81" t="s">
        <v>25</v>
      </c>
      <c r="E283" s="81" t="s">
        <v>3137</v>
      </c>
      <c r="F283" s="81"/>
      <c r="G283" s="221"/>
      <c r="H283" s="81">
        <v>50.0</v>
      </c>
      <c r="I283" s="81">
        <v>180.0</v>
      </c>
      <c r="J283" s="81">
        <v>2.0</v>
      </c>
      <c r="K283" s="81">
        <v>2.0</v>
      </c>
      <c r="L283" s="81">
        <v>0.0</v>
      </c>
      <c r="M283" s="82" t="s">
        <v>2714</v>
      </c>
      <c r="N283" s="46" t="s">
        <v>449</v>
      </c>
      <c r="O283" s="81">
        <v>50.0</v>
      </c>
      <c r="P283" s="81" t="s">
        <v>29</v>
      </c>
      <c r="Q283" s="81">
        <v>0.0</v>
      </c>
      <c r="R283" s="81"/>
    </row>
    <row r="284" ht="15.75" customHeight="1">
      <c r="A284" s="233">
        <v>7.0</v>
      </c>
      <c r="B284" s="196" t="s">
        <v>3139</v>
      </c>
      <c r="C284" s="82" t="s">
        <v>3145</v>
      </c>
      <c r="D284" s="81" t="s">
        <v>25</v>
      </c>
      <c r="E284" s="81" t="s">
        <v>3137</v>
      </c>
      <c r="F284" s="81"/>
      <c r="G284" s="221"/>
      <c r="H284" s="81">
        <v>50.0</v>
      </c>
      <c r="I284" s="81">
        <v>180.0</v>
      </c>
      <c r="J284" s="81">
        <v>2.0</v>
      </c>
      <c r="K284" s="81">
        <v>2.0</v>
      </c>
      <c r="L284" s="81">
        <v>0.0</v>
      </c>
      <c r="M284" s="82" t="s">
        <v>2714</v>
      </c>
      <c r="N284" s="46" t="s">
        <v>449</v>
      </c>
      <c r="O284" s="81">
        <v>50.0</v>
      </c>
      <c r="P284" s="81" t="s">
        <v>29</v>
      </c>
      <c r="Q284" s="81">
        <v>0.0</v>
      </c>
      <c r="R284" s="81"/>
    </row>
    <row r="285" ht="15.75" customHeight="1">
      <c r="A285" s="233">
        <v>8.0</v>
      </c>
      <c r="B285" s="196" t="s">
        <v>3139</v>
      </c>
      <c r="C285" s="82" t="s">
        <v>3146</v>
      </c>
      <c r="D285" s="81" t="s">
        <v>25</v>
      </c>
      <c r="E285" s="81" t="s">
        <v>3137</v>
      </c>
      <c r="F285" s="81"/>
      <c r="G285" s="221"/>
      <c r="H285" s="81">
        <v>50.0</v>
      </c>
      <c r="I285" s="81">
        <v>180.0</v>
      </c>
      <c r="J285" s="81">
        <v>2.0</v>
      </c>
      <c r="K285" s="81">
        <v>2.0</v>
      </c>
      <c r="L285" s="81">
        <v>0.0</v>
      </c>
      <c r="M285" s="82" t="s">
        <v>2714</v>
      </c>
      <c r="N285" s="46" t="s">
        <v>449</v>
      </c>
      <c r="O285" s="81">
        <v>50.0</v>
      </c>
      <c r="P285" s="81" t="s">
        <v>29</v>
      </c>
      <c r="Q285" s="81">
        <v>0.0</v>
      </c>
      <c r="R285" s="81"/>
    </row>
    <row r="286" ht="15.75" customHeight="1">
      <c r="A286" s="233">
        <v>9.0</v>
      </c>
      <c r="B286" s="196" t="s">
        <v>3139</v>
      </c>
      <c r="C286" s="82" t="s">
        <v>3147</v>
      </c>
      <c r="D286" s="81" t="s">
        <v>25</v>
      </c>
      <c r="E286" s="81" t="s">
        <v>3137</v>
      </c>
      <c r="F286" s="81"/>
      <c r="G286" s="221"/>
      <c r="H286" s="81">
        <v>30.0</v>
      </c>
      <c r="I286" s="81">
        <v>100.0</v>
      </c>
      <c r="J286" s="81">
        <v>2.0</v>
      </c>
      <c r="K286" s="81">
        <v>2.0</v>
      </c>
      <c r="L286" s="81">
        <v>0.0</v>
      </c>
      <c r="M286" s="82" t="s">
        <v>2714</v>
      </c>
      <c r="N286" s="46" t="s">
        <v>449</v>
      </c>
      <c r="O286" s="81">
        <v>50.0</v>
      </c>
      <c r="P286" s="81" t="s">
        <v>29</v>
      </c>
      <c r="Q286" s="81">
        <v>0.0</v>
      </c>
      <c r="R286" s="81"/>
    </row>
    <row r="287" ht="15.75" customHeight="1">
      <c r="A287" s="233">
        <v>10.0</v>
      </c>
      <c r="B287" s="196" t="s">
        <v>3139</v>
      </c>
      <c r="C287" s="133" t="s">
        <v>3148</v>
      </c>
      <c r="D287" s="81" t="s">
        <v>25</v>
      </c>
      <c r="E287" s="81" t="s">
        <v>3137</v>
      </c>
      <c r="F287" s="196"/>
      <c r="G287" s="221"/>
      <c r="H287" s="89">
        <v>60.0</v>
      </c>
      <c r="I287" s="197">
        <v>200.0</v>
      </c>
      <c r="J287" s="81">
        <v>2.0</v>
      </c>
      <c r="K287" s="81">
        <v>2.0</v>
      </c>
      <c r="L287" s="81">
        <v>0.0</v>
      </c>
      <c r="M287" s="82" t="s">
        <v>2714</v>
      </c>
      <c r="N287" s="46" t="s">
        <v>449</v>
      </c>
      <c r="O287" s="81">
        <v>50.0</v>
      </c>
      <c r="P287" s="81" t="s">
        <v>29</v>
      </c>
      <c r="Q287" s="81">
        <v>0.0</v>
      </c>
      <c r="R287" s="81"/>
    </row>
    <row r="288" ht="15.75" customHeight="1">
      <c r="A288" s="233">
        <v>11.0</v>
      </c>
      <c r="B288" s="196" t="s">
        <v>3139</v>
      </c>
      <c r="C288" s="133" t="s">
        <v>3149</v>
      </c>
      <c r="D288" s="81" t="s">
        <v>25</v>
      </c>
      <c r="E288" s="81" t="s">
        <v>3137</v>
      </c>
      <c r="F288" s="196"/>
      <c r="G288" s="221"/>
      <c r="H288" s="89">
        <v>90.0</v>
      </c>
      <c r="I288" s="197">
        <v>250.0</v>
      </c>
      <c r="J288" s="81">
        <v>2.0</v>
      </c>
      <c r="K288" s="81">
        <v>2.0</v>
      </c>
      <c r="L288" s="81">
        <v>0.0</v>
      </c>
      <c r="M288" s="82" t="s">
        <v>2714</v>
      </c>
      <c r="N288" s="46" t="s">
        <v>449</v>
      </c>
      <c r="O288" s="81">
        <v>50.0</v>
      </c>
      <c r="P288" s="81" t="s">
        <v>29</v>
      </c>
      <c r="Q288" s="81">
        <v>0.0</v>
      </c>
      <c r="R288" s="81"/>
    </row>
    <row r="289" ht="15.75" customHeight="1">
      <c r="A289" s="233">
        <v>12.0</v>
      </c>
      <c r="B289" s="196" t="s">
        <v>3139</v>
      </c>
      <c r="C289" s="133" t="s">
        <v>3150</v>
      </c>
      <c r="D289" s="81" t="s">
        <v>25</v>
      </c>
      <c r="E289" s="81" t="s">
        <v>3137</v>
      </c>
      <c r="F289" s="196"/>
      <c r="G289" s="221"/>
      <c r="H289" s="89">
        <v>40.0</v>
      </c>
      <c r="I289" s="197">
        <v>150.0</v>
      </c>
      <c r="J289" s="81">
        <v>2.0</v>
      </c>
      <c r="K289" s="81">
        <v>2.0</v>
      </c>
      <c r="L289" s="81">
        <v>0.0</v>
      </c>
      <c r="M289" s="82" t="s">
        <v>2714</v>
      </c>
      <c r="N289" s="46" t="s">
        <v>449</v>
      </c>
      <c r="O289" s="81">
        <v>50.0</v>
      </c>
      <c r="P289" s="81" t="s">
        <v>29</v>
      </c>
      <c r="Q289" s="81">
        <v>0.0</v>
      </c>
      <c r="R289" s="81"/>
    </row>
    <row r="290" ht="15.75" customHeight="1">
      <c r="A290" s="233">
        <v>13.0</v>
      </c>
      <c r="B290" s="196" t="s">
        <v>3139</v>
      </c>
      <c r="C290" s="133" t="s">
        <v>3151</v>
      </c>
      <c r="D290" s="81" t="s">
        <v>25</v>
      </c>
      <c r="E290" s="81" t="s">
        <v>3137</v>
      </c>
      <c r="F290" s="196"/>
      <c r="G290" s="221"/>
      <c r="H290" s="89">
        <v>60.0</v>
      </c>
      <c r="I290" s="197">
        <v>200.0</v>
      </c>
      <c r="J290" s="81">
        <v>2.0</v>
      </c>
      <c r="K290" s="81">
        <v>2.0</v>
      </c>
      <c r="L290" s="81">
        <v>0.0</v>
      </c>
      <c r="M290" s="82" t="s">
        <v>2714</v>
      </c>
      <c r="N290" s="46" t="s">
        <v>449</v>
      </c>
      <c r="O290" s="81">
        <v>50.0</v>
      </c>
      <c r="P290" s="81" t="s">
        <v>29</v>
      </c>
      <c r="Q290" s="81">
        <v>0.0</v>
      </c>
      <c r="R290" s="81"/>
    </row>
    <row r="291" ht="15.75" customHeight="1">
      <c r="A291" s="233">
        <v>14.0</v>
      </c>
      <c r="B291" s="196" t="s">
        <v>3139</v>
      </c>
      <c r="C291" s="133" t="s">
        <v>3152</v>
      </c>
      <c r="D291" s="81" t="s">
        <v>25</v>
      </c>
      <c r="E291" s="81" t="s">
        <v>3137</v>
      </c>
      <c r="F291" s="196"/>
      <c r="G291" s="221"/>
      <c r="H291" s="89">
        <v>30.0</v>
      </c>
      <c r="I291" s="197">
        <v>100.0</v>
      </c>
      <c r="J291" s="81">
        <v>2.0</v>
      </c>
      <c r="K291" s="81">
        <v>2.0</v>
      </c>
      <c r="L291" s="81">
        <v>0.0</v>
      </c>
      <c r="M291" s="82" t="s">
        <v>2714</v>
      </c>
      <c r="N291" s="46" t="s">
        <v>449</v>
      </c>
      <c r="O291" s="81">
        <v>50.0</v>
      </c>
      <c r="P291" s="81" t="s">
        <v>29</v>
      </c>
      <c r="Q291" s="81">
        <v>0.0</v>
      </c>
      <c r="R291" s="81"/>
    </row>
    <row r="292" ht="15.75" customHeight="1">
      <c r="A292" s="233">
        <v>15.0</v>
      </c>
      <c r="B292" s="196" t="s">
        <v>3139</v>
      </c>
      <c r="C292" s="133" t="s">
        <v>3153</v>
      </c>
      <c r="D292" s="81" t="s">
        <v>25</v>
      </c>
      <c r="E292" s="81" t="s">
        <v>3137</v>
      </c>
      <c r="F292" s="196"/>
      <c r="G292" s="221"/>
      <c r="H292" s="89">
        <v>30.0</v>
      </c>
      <c r="I292" s="197">
        <v>100.0</v>
      </c>
      <c r="J292" s="81">
        <v>2.0</v>
      </c>
      <c r="K292" s="81">
        <v>2.0</v>
      </c>
      <c r="L292" s="81">
        <v>0.0</v>
      </c>
      <c r="M292" s="82" t="s">
        <v>2714</v>
      </c>
      <c r="N292" s="46" t="s">
        <v>449</v>
      </c>
      <c r="O292" s="81">
        <v>50.0</v>
      </c>
      <c r="P292" s="81" t="s">
        <v>29</v>
      </c>
      <c r="Q292" s="81">
        <v>0.0</v>
      </c>
      <c r="R292" s="81"/>
    </row>
    <row r="293" ht="15.75" customHeight="1">
      <c r="A293" s="233">
        <v>16.0</v>
      </c>
      <c r="B293" s="196" t="s">
        <v>3139</v>
      </c>
      <c r="C293" s="133" t="s">
        <v>3154</v>
      </c>
      <c r="D293" s="81" t="s">
        <v>25</v>
      </c>
      <c r="E293" s="81" t="s">
        <v>3137</v>
      </c>
      <c r="F293" s="196"/>
      <c r="G293" s="221"/>
      <c r="H293" s="89">
        <v>35.0</v>
      </c>
      <c r="I293" s="197">
        <v>120.0</v>
      </c>
      <c r="J293" s="81">
        <v>2.0</v>
      </c>
      <c r="K293" s="81">
        <v>2.0</v>
      </c>
      <c r="L293" s="81">
        <v>0.0</v>
      </c>
      <c r="M293" s="82" t="s">
        <v>2714</v>
      </c>
      <c r="N293" s="46" t="s">
        <v>449</v>
      </c>
      <c r="O293" s="81">
        <v>50.0</v>
      </c>
      <c r="P293" s="81" t="s">
        <v>29</v>
      </c>
      <c r="Q293" s="81">
        <v>0.0</v>
      </c>
      <c r="R293" s="81"/>
    </row>
    <row r="294" ht="15.75" customHeight="1">
      <c r="A294" s="233">
        <v>17.0</v>
      </c>
      <c r="B294" s="196" t="s">
        <v>3139</v>
      </c>
      <c r="C294" s="133" t="s">
        <v>3155</v>
      </c>
      <c r="D294" s="81" t="s">
        <v>25</v>
      </c>
      <c r="E294" s="81" t="s">
        <v>3137</v>
      </c>
      <c r="F294" s="196"/>
      <c r="G294" s="221"/>
      <c r="H294" s="89">
        <v>35.0</v>
      </c>
      <c r="I294" s="197">
        <v>120.0</v>
      </c>
      <c r="J294" s="81">
        <v>2.0</v>
      </c>
      <c r="K294" s="81">
        <v>2.0</v>
      </c>
      <c r="L294" s="81">
        <v>0.0</v>
      </c>
      <c r="M294" s="82" t="s">
        <v>2714</v>
      </c>
      <c r="N294" s="46" t="s">
        <v>449</v>
      </c>
      <c r="O294" s="81">
        <v>50.0</v>
      </c>
      <c r="P294" s="81" t="s">
        <v>29</v>
      </c>
      <c r="Q294" s="81">
        <v>0.0</v>
      </c>
      <c r="R294" s="81"/>
    </row>
    <row r="295" ht="15.75" customHeight="1">
      <c r="A295" s="233">
        <v>18.0</v>
      </c>
      <c r="B295" s="196" t="s">
        <v>3139</v>
      </c>
      <c r="C295" s="133" t="s">
        <v>3156</v>
      </c>
      <c r="D295" s="81" t="s">
        <v>25</v>
      </c>
      <c r="E295" s="81" t="s">
        <v>3137</v>
      </c>
      <c r="F295" s="196"/>
      <c r="G295" s="221"/>
      <c r="H295" s="89">
        <v>35.0</v>
      </c>
      <c r="I295" s="197">
        <v>120.0</v>
      </c>
      <c r="J295" s="81">
        <v>2.0</v>
      </c>
      <c r="K295" s="81">
        <v>2.0</v>
      </c>
      <c r="L295" s="81">
        <v>0.0</v>
      </c>
      <c r="M295" s="82" t="s">
        <v>2714</v>
      </c>
      <c r="N295" s="46" t="s">
        <v>449</v>
      </c>
      <c r="O295" s="81">
        <v>50.0</v>
      </c>
      <c r="P295" s="81" t="s">
        <v>29</v>
      </c>
      <c r="Q295" s="81">
        <v>0.0</v>
      </c>
      <c r="R295" s="81"/>
    </row>
    <row r="296" ht="15.75" customHeight="1">
      <c r="A296" s="233">
        <v>19.0</v>
      </c>
      <c r="B296" s="196" t="s">
        <v>3139</v>
      </c>
      <c r="C296" s="133" t="s">
        <v>3157</v>
      </c>
      <c r="D296" s="81" t="s">
        <v>25</v>
      </c>
      <c r="E296" s="81" t="s">
        <v>3137</v>
      </c>
      <c r="F296" s="196"/>
      <c r="G296" s="221"/>
      <c r="H296" s="89">
        <v>38.0</v>
      </c>
      <c r="I296" s="197">
        <v>130.0</v>
      </c>
      <c r="J296" s="81">
        <v>2.0</v>
      </c>
      <c r="K296" s="81">
        <v>2.0</v>
      </c>
      <c r="L296" s="81">
        <v>0.0</v>
      </c>
      <c r="M296" s="82" t="s">
        <v>2714</v>
      </c>
      <c r="N296" s="46" t="s">
        <v>449</v>
      </c>
      <c r="O296" s="81">
        <v>50.0</v>
      </c>
      <c r="P296" s="81" t="s">
        <v>29</v>
      </c>
      <c r="Q296" s="81">
        <v>0.0</v>
      </c>
      <c r="R296" s="81"/>
    </row>
    <row r="297" ht="15.75" customHeight="1">
      <c r="A297" s="233">
        <v>20.0</v>
      </c>
      <c r="B297" s="196" t="s">
        <v>3139</v>
      </c>
      <c r="C297" s="133" t="s">
        <v>3158</v>
      </c>
      <c r="D297" s="81" t="s">
        <v>25</v>
      </c>
      <c r="E297" s="81" t="s">
        <v>3137</v>
      </c>
      <c r="F297" s="196"/>
      <c r="G297" s="221"/>
      <c r="H297" s="89">
        <v>30.0</v>
      </c>
      <c r="I297" s="197">
        <v>100.0</v>
      </c>
      <c r="J297" s="81">
        <v>2.0</v>
      </c>
      <c r="K297" s="81">
        <v>2.0</v>
      </c>
      <c r="L297" s="81">
        <v>0.0</v>
      </c>
      <c r="M297" s="82" t="s">
        <v>2714</v>
      </c>
      <c r="N297" s="46" t="s">
        <v>449</v>
      </c>
      <c r="O297" s="81">
        <v>50.0</v>
      </c>
      <c r="P297" s="81" t="s">
        <v>29</v>
      </c>
      <c r="Q297" s="81">
        <v>0.0</v>
      </c>
      <c r="R297" s="81"/>
    </row>
    <row r="298" ht="15.75" customHeight="1">
      <c r="A298" s="233">
        <v>21.0</v>
      </c>
      <c r="B298" s="196" t="s">
        <v>3139</v>
      </c>
      <c r="C298" s="133" t="s">
        <v>3159</v>
      </c>
      <c r="D298" s="81" t="s">
        <v>25</v>
      </c>
      <c r="E298" s="81" t="s">
        <v>3137</v>
      </c>
      <c r="F298" s="196"/>
      <c r="G298" s="221"/>
      <c r="H298" s="89">
        <v>18.0</v>
      </c>
      <c r="I298" s="197">
        <v>80.0</v>
      </c>
      <c r="J298" s="81">
        <v>2.0</v>
      </c>
      <c r="K298" s="81">
        <v>2.0</v>
      </c>
      <c r="L298" s="81">
        <v>0.0</v>
      </c>
      <c r="M298" s="82" t="s">
        <v>2714</v>
      </c>
      <c r="N298" s="46" t="s">
        <v>449</v>
      </c>
      <c r="O298" s="81">
        <v>50.0</v>
      </c>
      <c r="P298" s="81" t="s">
        <v>29</v>
      </c>
      <c r="Q298" s="81">
        <v>0.0</v>
      </c>
      <c r="R298" s="81"/>
    </row>
    <row r="299" ht="15.75" customHeight="1">
      <c r="A299" s="233">
        <v>22.0</v>
      </c>
      <c r="B299" s="196" t="s">
        <v>3139</v>
      </c>
      <c r="C299" s="133" t="s">
        <v>3160</v>
      </c>
      <c r="D299" s="81" t="s">
        <v>25</v>
      </c>
      <c r="E299" s="81" t="s">
        <v>3137</v>
      </c>
      <c r="F299" s="196"/>
      <c r="G299" s="221"/>
      <c r="H299" s="89">
        <v>38.0</v>
      </c>
      <c r="I299" s="197">
        <v>130.0</v>
      </c>
      <c r="J299" s="81">
        <v>2.0</v>
      </c>
      <c r="K299" s="81">
        <v>2.0</v>
      </c>
      <c r="L299" s="81">
        <v>0.0</v>
      </c>
      <c r="M299" s="82" t="s">
        <v>2714</v>
      </c>
      <c r="N299" s="46" t="s">
        <v>449</v>
      </c>
      <c r="O299" s="81">
        <v>50.0</v>
      </c>
      <c r="P299" s="81" t="s">
        <v>29</v>
      </c>
      <c r="Q299" s="81">
        <v>0.0</v>
      </c>
      <c r="R299" s="81"/>
    </row>
    <row r="300" ht="15.75" customHeight="1">
      <c r="A300" s="233">
        <v>23.0</v>
      </c>
      <c r="B300" s="196" t="s">
        <v>1134</v>
      </c>
      <c r="C300" s="133" t="s">
        <v>3161</v>
      </c>
      <c r="D300" s="81" t="s">
        <v>25</v>
      </c>
      <c r="E300" s="81" t="s">
        <v>3137</v>
      </c>
      <c r="F300" s="196"/>
      <c r="G300" s="221"/>
      <c r="H300" s="89">
        <v>15.0</v>
      </c>
      <c r="I300" s="197">
        <v>50.0</v>
      </c>
      <c r="J300" s="197">
        <v>1.0</v>
      </c>
      <c r="K300" s="81">
        <v>1.0</v>
      </c>
      <c r="L300" s="81">
        <v>0.0</v>
      </c>
      <c r="M300" s="82" t="s">
        <v>2714</v>
      </c>
      <c r="N300" s="46" t="s">
        <v>449</v>
      </c>
      <c r="O300" s="81">
        <v>50.0</v>
      </c>
      <c r="P300" s="81" t="s">
        <v>29</v>
      </c>
      <c r="Q300" s="81">
        <v>0.0</v>
      </c>
      <c r="R300" s="81"/>
    </row>
    <row r="301" ht="15.75" customHeight="1">
      <c r="A301" s="233">
        <v>24.0</v>
      </c>
      <c r="B301" s="196" t="s">
        <v>3139</v>
      </c>
      <c r="C301" s="133" t="s">
        <v>3162</v>
      </c>
      <c r="D301" s="81" t="s">
        <v>25</v>
      </c>
      <c r="E301" s="81" t="s">
        <v>3137</v>
      </c>
      <c r="F301" s="196"/>
      <c r="G301" s="221"/>
      <c r="H301" s="89">
        <v>38.0</v>
      </c>
      <c r="I301" s="197">
        <v>130.0</v>
      </c>
      <c r="J301" s="197">
        <v>2.0</v>
      </c>
      <c r="K301" s="81">
        <v>2.0</v>
      </c>
      <c r="L301" s="81">
        <v>0.0</v>
      </c>
      <c r="M301" s="82" t="s">
        <v>2714</v>
      </c>
      <c r="N301" s="46" t="s">
        <v>449</v>
      </c>
      <c r="O301" s="81">
        <v>50.0</v>
      </c>
      <c r="P301" s="81" t="s">
        <v>29</v>
      </c>
      <c r="Q301" s="81">
        <v>0.0</v>
      </c>
      <c r="R301" s="81"/>
    </row>
    <row r="302" ht="15.75" customHeight="1">
      <c r="A302" s="181"/>
      <c r="B302" s="182" t="s">
        <v>3163</v>
      </c>
      <c r="C302" s="182"/>
      <c r="D302" s="22"/>
      <c r="E302" s="22"/>
      <c r="F302" s="209"/>
      <c r="G302" s="210"/>
      <c r="H302" s="22"/>
      <c r="I302" s="22"/>
      <c r="J302" s="22"/>
      <c r="K302" s="22"/>
      <c r="L302" s="22"/>
      <c r="M302" s="22"/>
      <c r="N302" s="22"/>
      <c r="O302" s="22"/>
      <c r="P302" s="22"/>
      <c r="Q302" s="209"/>
      <c r="R302" s="22"/>
    </row>
    <row r="303" ht="15.75" customHeight="1">
      <c r="A303" s="211">
        <v>1.0</v>
      </c>
      <c r="B303" s="46" t="s">
        <v>3164</v>
      </c>
      <c r="C303" s="81" t="s">
        <v>3165</v>
      </c>
      <c r="D303" s="81" t="s">
        <v>25</v>
      </c>
      <c r="E303" s="81" t="s">
        <v>189</v>
      </c>
      <c r="F303" s="213"/>
      <c r="G303" s="221" t="s">
        <v>3166</v>
      </c>
      <c r="H303" s="81">
        <v>5.0</v>
      </c>
      <c r="I303" s="81">
        <v>60.0</v>
      </c>
      <c r="J303" s="80">
        <v>1.0</v>
      </c>
      <c r="K303" s="80">
        <v>1.0</v>
      </c>
      <c r="L303" s="81">
        <v>1.0</v>
      </c>
      <c r="M303" s="81" t="s">
        <v>3167</v>
      </c>
      <c r="N303" s="81">
        <v>0.0</v>
      </c>
      <c r="O303" s="81">
        <v>1500.0</v>
      </c>
      <c r="P303" s="81" t="s">
        <v>29</v>
      </c>
      <c r="Q303" s="81">
        <v>6.0</v>
      </c>
      <c r="R303" s="46"/>
    </row>
    <row r="304" ht="15.75" customHeight="1">
      <c r="A304" s="211">
        <v>2.0</v>
      </c>
      <c r="B304" s="46" t="s">
        <v>3168</v>
      </c>
      <c r="C304" s="81" t="s">
        <v>3165</v>
      </c>
      <c r="D304" s="81" t="s">
        <v>25</v>
      </c>
      <c r="E304" s="81" t="s">
        <v>189</v>
      </c>
      <c r="F304" s="213"/>
      <c r="G304" s="221" t="s">
        <v>3169</v>
      </c>
      <c r="H304" s="81">
        <v>50.0</v>
      </c>
      <c r="I304" s="81">
        <v>600.0</v>
      </c>
      <c r="J304" s="80">
        <v>1.0</v>
      </c>
      <c r="K304" s="80">
        <v>1.0</v>
      </c>
      <c r="L304" s="81">
        <v>3.0</v>
      </c>
      <c r="M304" s="81" t="s">
        <v>3167</v>
      </c>
      <c r="N304" s="81">
        <v>0.0</v>
      </c>
      <c r="O304" s="81">
        <v>1500.0</v>
      </c>
      <c r="P304" s="81" t="s">
        <v>29</v>
      </c>
      <c r="Q304" s="81">
        <v>20.0</v>
      </c>
      <c r="R304" s="46"/>
    </row>
    <row r="305" ht="15.75" customHeight="1">
      <c r="A305" s="211">
        <v>3.0</v>
      </c>
      <c r="B305" s="46" t="s">
        <v>3170</v>
      </c>
      <c r="C305" s="81" t="s">
        <v>3171</v>
      </c>
      <c r="D305" s="81" t="s">
        <v>25</v>
      </c>
      <c r="E305" s="81" t="s">
        <v>189</v>
      </c>
      <c r="F305" s="213"/>
      <c r="G305" s="221" t="s">
        <v>3172</v>
      </c>
      <c r="H305" s="81">
        <v>6.0</v>
      </c>
      <c r="I305" s="81">
        <v>24.0</v>
      </c>
      <c r="J305" s="81">
        <v>1.0</v>
      </c>
      <c r="K305" s="81">
        <v>1.0</v>
      </c>
      <c r="L305" s="80">
        <v>2.0</v>
      </c>
      <c r="M305" s="81" t="s">
        <v>3167</v>
      </c>
      <c r="N305" s="81">
        <v>0.0</v>
      </c>
      <c r="O305" s="81">
        <v>1500.0</v>
      </c>
      <c r="P305" s="81" t="s">
        <v>29</v>
      </c>
      <c r="Q305" s="81">
        <v>6.0</v>
      </c>
      <c r="R305" s="46"/>
    </row>
    <row r="306" ht="15.75" customHeight="1">
      <c r="A306" s="211">
        <v>4.0</v>
      </c>
      <c r="B306" s="46" t="s">
        <v>3173</v>
      </c>
      <c r="C306" s="81" t="s">
        <v>3171</v>
      </c>
      <c r="D306" s="81" t="s">
        <v>25</v>
      </c>
      <c r="E306" s="81" t="s">
        <v>189</v>
      </c>
      <c r="F306" s="213"/>
      <c r="G306" s="221" t="s">
        <v>3174</v>
      </c>
      <c r="H306" s="81">
        <v>250.0</v>
      </c>
      <c r="I306" s="81">
        <v>500.0</v>
      </c>
      <c r="J306" s="81">
        <v>1.0</v>
      </c>
      <c r="K306" s="81">
        <v>1.0</v>
      </c>
      <c r="L306" s="80">
        <v>2.0</v>
      </c>
      <c r="M306" s="81" t="s">
        <v>3167</v>
      </c>
      <c r="N306" s="81">
        <v>0.0</v>
      </c>
      <c r="O306" s="81">
        <v>1500.0</v>
      </c>
      <c r="P306" s="81" t="s">
        <v>29</v>
      </c>
      <c r="Q306" s="81">
        <v>24.0</v>
      </c>
      <c r="R306" s="46"/>
    </row>
    <row r="307" ht="15.75" customHeight="1">
      <c r="A307" s="211">
        <v>5.0</v>
      </c>
      <c r="B307" s="46" t="s">
        <v>3175</v>
      </c>
      <c r="C307" s="81" t="s">
        <v>3176</v>
      </c>
      <c r="D307" s="81" t="s">
        <v>25</v>
      </c>
      <c r="E307" s="81" t="s">
        <v>189</v>
      </c>
      <c r="F307" s="213"/>
      <c r="G307" s="221" t="s">
        <v>3166</v>
      </c>
      <c r="H307" s="81">
        <v>5.0</v>
      </c>
      <c r="I307" s="81">
        <v>20.0</v>
      </c>
      <c r="J307" s="81">
        <v>1.0</v>
      </c>
      <c r="K307" s="81">
        <v>1.0</v>
      </c>
      <c r="L307" s="80">
        <v>2.0</v>
      </c>
      <c r="M307" s="81" t="s">
        <v>3167</v>
      </c>
      <c r="N307" s="81">
        <v>0.0</v>
      </c>
      <c r="O307" s="81">
        <v>600.0</v>
      </c>
      <c r="P307" s="81" t="s">
        <v>29</v>
      </c>
      <c r="Q307" s="81">
        <v>5.0</v>
      </c>
      <c r="R307" s="46"/>
    </row>
    <row r="308" ht="15.75" customHeight="1">
      <c r="A308" s="211">
        <v>6.0</v>
      </c>
      <c r="B308" s="46" t="s">
        <v>3177</v>
      </c>
      <c r="C308" s="81" t="s">
        <v>3176</v>
      </c>
      <c r="D308" s="81" t="s">
        <v>25</v>
      </c>
      <c r="E308" s="81" t="s">
        <v>189</v>
      </c>
      <c r="F308" s="213"/>
      <c r="G308" s="221" t="s">
        <v>3169</v>
      </c>
      <c r="H308" s="81">
        <v>5.0</v>
      </c>
      <c r="I308" s="81">
        <v>20.0</v>
      </c>
      <c r="J308" s="80">
        <v>1.0</v>
      </c>
      <c r="K308" s="80">
        <v>1.0</v>
      </c>
      <c r="L308" s="81">
        <v>1.0</v>
      </c>
      <c r="M308" s="81" t="s">
        <v>3167</v>
      </c>
      <c r="N308" s="81">
        <v>0.0</v>
      </c>
      <c r="O308" s="81">
        <v>600.0</v>
      </c>
      <c r="P308" s="81" t="s">
        <v>29</v>
      </c>
      <c r="Q308" s="81">
        <v>20.0</v>
      </c>
      <c r="R308" s="46"/>
    </row>
    <row r="309" ht="15.75" customHeight="1">
      <c r="A309" s="211">
        <v>7.0</v>
      </c>
      <c r="B309" s="46" t="s">
        <v>3178</v>
      </c>
      <c r="C309" s="81" t="s">
        <v>3179</v>
      </c>
      <c r="D309" s="81" t="s">
        <v>25</v>
      </c>
      <c r="E309" s="81" t="s">
        <v>189</v>
      </c>
      <c r="F309" s="213"/>
      <c r="G309" s="221">
        <v>1500.0</v>
      </c>
      <c r="H309" s="81">
        <v>200.0</v>
      </c>
      <c r="I309" s="81">
        <v>600.0</v>
      </c>
      <c r="J309" s="81">
        <v>5.0</v>
      </c>
      <c r="K309" s="81">
        <v>5.0</v>
      </c>
      <c r="L309" s="81">
        <v>1.0</v>
      </c>
      <c r="M309" s="81" t="s">
        <v>3167</v>
      </c>
      <c r="N309" s="81">
        <v>0.0</v>
      </c>
      <c r="O309" s="81">
        <v>600.0</v>
      </c>
      <c r="P309" s="81" t="s">
        <v>29</v>
      </c>
      <c r="Q309" s="81">
        <v>6.0</v>
      </c>
      <c r="R309" s="46"/>
    </row>
    <row r="310" ht="15.75" customHeight="1">
      <c r="A310" s="211">
        <v>8.0</v>
      </c>
      <c r="B310" s="46" t="s">
        <v>3180</v>
      </c>
      <c r="C310" s="81" t="s">
        <v>3179</v>
      </c>
      <c r="D310" s="81" t="s">
        <v>25</v>
      </c>
      <c r="E310" s="81" t="s">
        <v>189</v>
      </c>
      <c r="F310" s="213"/>
      <c r="G310" s="221">
        <v>1500.0</v>
      </c>
      <c r="H310" s="81">
        <v>200.0</v>
      </c>
      <c r="I310" s="81">
        <v>600.0</v>
      </c>
      <c r="J310" s="81">
        <v>1.0</v>
      </c>
      <c r="K310" s="81">
        <v>1.0</v>
      </c>
      <c r="L310" s="80">
        <v>1.0</v>
      </c>
      <c r="M310" s="81" t="s">
        <v>3167</v>
      </c>
      <c r="N310" s="81">
        <v>0.0</v>
      </c>
      <c r="O310" s="81">
        <v>600.0</v>
      </c>
      <c r="P310" s="81" t="s">
        <v>29</v>
      </c>
      <c r="Q310" s="81">
        <v>20.0</v>
      </c>
      <c r="R310" s="46"/>
    </row>
    <row r="311" ht="15.75" customHeight="1">
      <c r="A311" s="211">
        <v>9.0</v>
      </c>
      <c r="B311" s="46" t="s">
        <v>3181</v>
      </c>
      <c r="C311" s="81" t="s">
        <v>3182</v>
      </c>
      <c r="D311" s="81" t="s">
        <v>25</v>
      </c>
      <c r="E311" s="81" t="s">
        <v>189</v>
      </c>
      <c r="F311" s="213"/>
      <c r="G311" s="221" t="s">
        <v>3183</v>
      </c>
      <c r="H311" s="81">
        <v>4.0</v>
      </c>
      <c r="I311" s="81">
        <v>16.0</v>
      </c>
      <c r="J311" s="80">
        <v>1.0</v>
      </c>
      <c r="K311" s="80">
        <v>1.0</v>
      </c>
      <c r="L311" s="81">
        <v>1.0</v>
      </c>
      <c r="M311" s="81" t="s">
        <v>3167</v>
      </c>
      <c r="N311" s="81">
        <v>0.0</v>
      </c>
      <c r="O311" s="81">
        <v>600.0</v>
      </c>
      <c r="P311" s="81" t="s">
        <v>29</v>
      </c>
      <c r="Q311" s="81">
        <v>2.0</v>
      </c>
      <c r="R311" s="46"/>
    </row>
    <row r="312" ht="15.75" customHeight="1">
      <c r="A312" s="211">
        <v>10.0</v>
      </c>
      <c r="B312" s="46" t="s">
        <v>3184</v>
      </c>
      <c r="C312" s="81" t="s">
        <v>3182</v>
      </c>
      <c r="D312" s="81" t="s">
        <v>25</v>
      </c>
      <c r="E312" s="81" t="s">
        <v>189</v>
      </c>
      <c r="F312" s="213"/>
      <c r="G312" s="221" t="s">
        <v>3169</v>
      </c>
      <c r="H312" s="81">
        <v>200.0</v>
      </c>
      <c r="I312" s="80">
        <v>35.0</v>
      </c>
      <c r="J312" s="80">
        <v>0.0</v>
      </c>
      <c r="K312" s="80">
        <v>0.0</v>
      </c>
      <c r="L312" s="81">
        <v>2.0</v>
      </c>
      <c r="M312" s="81" t="s">
        <v>3167</v>
      </c>
      <c r="N312" s="81">
        <v>0.0</v>
      </c>
      <c r="O312" s="81">
        <v>600.0</v>
      </c>
      <c r="P312" s="81" t="s">
        <v>29</v>
      </c>
      <c r="Q312" s="81">
        <v>20.0</v>
      </c>
      <c r="R312" s="46"/>
    </row>
    <row r="313" ht="15.75" customHeight="1">
      <c r="A313" s="211">
        <v>11.0</v>
      </c>
      <c r="B313" s="46" t="s">
        <v>3185</v>
      </c>
      <c r="C313" s="81" t="s">
        <v>3186</v>
      </c>
      <c r="D313" s="81" t="s">
        <v>25</v>
      </c>
      <c r="E313" s="81" t="s">
        <v>189</v>
      </c>
      <c r="F313" s="213"/>
      <c r="G313" s="221" t="s">
        <v>3166</v>
      </c>
      <c r="H313" s="81">
        <v>7.0</v>
      </c>
      <c r="I313" s="81">
        <v>21.0</v>
      </c>
      <c r="J313" s="81">
        <v>1.0</v>
      </c>
      <c r="K313" s="81">
        <v>1.0</v>
      </c>
      <c r="L313" s="81">
        <v>2.0</v>
      </c>
      <c r="M313" s="81" t="s">
        <v>3167</v>
      </c>
      <c r="N313" s="81">
        <v>0.0</v>
      </c>
      <c r="O313" s="81">
        <v>350.0</v>
      </c>
      <c r="P313" s="81" t="s">
        <v>29</v>
      </c>
      <c r="Q313" s="81">
        <v>4.0</v>
      </c>
      <c r="R313" s="46"/>
    </row>
    <row r="314" ht="15.75" customHeight="1">
      <c r="A314" s="211">
        <v>12.0</v>
      </c>
      <c r="B314" s="46" t="s">
        <v>3187</v>
      </c>
      <c r="C314" s="81" t="s">
        <v>3186</v>
      </c>
      <c r="D314" s="81" t="s">
        <v>25</v>
      </c>
      <c r="E314" s="81" t="s">
        <v>189</v>
      </c>
      <c r="F314" s="213"/>
      <c r="G314" s="221" t="s">
        <v>3169</v>
      </c>
      <c r="H314" s="81">
        <v>200.0</v>
      </c>
      <c r="I314" s="81">
        <v>600.0</v>
      </c>
      <c r="J314" s="81">
        <v>1.0</v>
      </c>
      <c r="K314" s="81">
        <v>1.0</v>
      </c>
      <c r="L314" s="81">
        <v>1.0</v>
      </c>
      <c r="M314" s="81" t="s">
        <v>3167</v>
      </c>
      <c r="N314" s="81">
        <v>0.0</v>
      </c>
      <c r="O314" s="81">
        <v>600.0</v>
      </c>
      <c r="P314" s="81" t="s">
        <v>29</v>
      </c>
      <c r="Q314" s="81">
        <v>20.0</v>
      </c>
      <c r="R314" s="46"/>
    </row>
    <row r="315" ht="15.75" customHeight="1">
      <c r="A315" s="211">
        <v>13.0</v>
      </c>
      <c r="B315" s="46" t="s">
        <v>3188</v>
      </c>
      <c r="C315" s="81" t="s">
        <v>3189</v>
      </c>
      <c r="D315" s="81" t="s">
        <v>25</v>
      </c>
      <c r="E315" s="81" t="s">
        <v>189</v>
      </c>
      <c r="F315" s="213"/>
      <c r="G315" s="221" t="s">
        <v>3190</v>
      </c>
      <c r="H315" s="81">
        <v>10.0</v>
      </c>
      <c r="I315" s="81">
        <v>50.0</v>
      </c>
      <c r="J315" s="81">
        <v>1.0</v>
      </c>
      <c r="K315" s="81">
        <v>1.0</v>
      </c>
      <c r="L315" s="80">
        <v>1.0</v>
      </c>
      <c r="M315" s="81" t="s">
        <v>3167</v>
      </c>
      <c r="N315" s="81">
        <v>0.0</v>
      </c>
      <c r="O315" s="81">
        <v>500.0</v>
      </c>
      <c r="P315" s="81" t="s">
        <v>29</v>
      </c>
      <c r="Q315" s="81">
        <v>3.0</v>
      </c>
      <c r="R315" s="46"/>
    </row>
    <row r="316" ht="15.75" customHeight="1">
      <c r="A316" s="211">
        <v>14.0</v>
      </c>
      <c r="B316" s="46" t="s">
        <v>3191</v>
      </c>
      <c r="C316" s="81" t="s">
        <v>3189</v>
      </c>
      <c r="D316" s="81" t="s">
        <v>25</v>
      </c>
      <c r="E316" s="81" t="s">
        <v>189</v>
      </c>
      <c r="F316" s="213"/>
      <c r="G316" s="221" t="s">
        <v>3169</v>
      </c>
      <c r="H316" s="81">
        <v>200.0</v>
      </c>
      <c r="I316" s="81">
        <v>600.0</v>
      </c>
      <c r="J316" s="81">
        <v>1.0</v>
      </c>
      <c r="K316" s="81">
        <v>1.0</v>
      </c>
      <c r="L316" s="80">
        <v>1.0</v>
      </c>
      <c r="M316" s="81" t="s">
        <v>3167</v>
      </c>
      <c r="N316" s="81">
        <v>0.0</v>
      </c>
      <c r="O316" s="81">
        <v>600.0</v>
      </c>
      <c r="P316" s="81" t="s">
        <v>29</v>
      </c>
      <c r="Q316" s="81">
        <v>20.0</v>
      </c>
      <c r="R316" s="46"/>
    </row>
    <row r="317" ht="15.75" customHeight="1">
      <c r="A317" s="211">
        <v>15.0</v>
      </c>
      <c r="B317" s="46" t="s">
        <v>3192</v>
      </c>
      <c r="C317" s="81" t="s">
        <v>3193</v>
      </c>
      <c r="D317" s="81" t="s">
        <v>25</v>
      </c>
      <c r="E317" s="81" t="s">
        <v>189</v>
      </c>
      <c r="F317" s="213"/>
      <c r="G317" s="221" t="s">
        <v>3183</v>
      </c>
      <c r="H317" s="81">
        <v>4.0</v>
      </c>
      <c r="I317" s="81">
        <v>16.0</v>
      </c>
      <c r="J317" s="80">
        <v>1.0</v>
      </c>
      <c r="K317" s="80">
        <v>1.0</v>
      </c>
      <c r="L317" s="81">
        <v>1.0</v>
      </c>
      <c r="M317" s="81" t="s">
        <v>3167</v>
      </c>
      <c r="N317" s="81">
        <v>0.0</v>
      </c>
      <c r="O317" s="81">
        <v>600.0</v>
      </c>
      <c r="P317" s="81" t="s">
        <v>29</v>
      </c>
      <c r="Q317" s="81">
        <v>2.0</v>
      </c>
      <c r="R317" s="46"/>
    </row>
    <row r="318" ht="15.75" customHeight="1">
      <c r="A318" s="211">
        <v>16.0</v>
      </c>
      <c r="B318" s="46" t="s">
        <v>3194</v>
      </c>
      <c r="C318" s="81" t="s">
        <v>3193</v>
      </c>
      <c r="D318" s="81" t="s">
        <v>25</v>
      </c>
      <c r="E318" s="81" t="s">
        <v>189</v>
      </c>
      <c r="F318" s="213"/>
      <c r="G318" s="221" t="s">
        <v>3169</v>
      </c>
      <c r="H318" s="81">
        <v>200.0</v>
      </c>
      <c r="I318" s="81">
        <v>600.0</v>
      </c>
      <c r="J318" s="80">
        <v>1.0</v>
      </c>
      <c r="K318" s="80">
        <v>1.0</v>
      </c>
      <c r="L318" s="81">
        <v>3.0</v>
      </c>
      <c r="M318" s="81" t="s">
        <v>3167</v>
      </c>
      <c r="N318" s="81">
        <v>0.0</v>
      </c>
      <c r="O318" s="81">
        <v>600.0</v>
      </c>
      <c r="P318" s="81" t="s">
        <v>29</v>
      </c>
      <c r="Q318" s="81">
        <v>20.0</v>
      </c>
      <c r="R318" s="46"/>
    </row>
    <row r="319" ht="15.75" customHeight="1">
      <c r="A319" s="211">
        <v>17.0</v>
      </c>
      <c r="B319" s="46" t="s">
        <v>3195</v>
      </c>
      <c r="C319" s="81" t="s">
        <v>3196</v>
      </c>
      <c r="D319" s="81" t="s">
        <v>25</v>
      </c>
      <c r="E319" s="81" t="s">
        <v>189</v>
      </c>
      <c r="F319" s="213"/>
      <c r="G319" s="221" t="s">
        <v>3197</v>
      </c>
      <c r="H319" s="81">
        <v>25.0</v>
      </c>
      <c r="I319" s="81">
        <v>800.0</v>
      </c>
      <c r="J319" s="80">
        <v>1.0</v>
      </c>
      <c r="K319" s="80">
        <v>1.0</v>
      </c>
      <c r="L319" s="81">
        <v>4.0</v>
      </c>
      <c r="M319" s="81" t="s">
        <v>3167</v>
      </c>
      <c r="N319" s="81">
        <v>0.0</v>
      </c>
      <c r="O319" s="81">
        <v>350.0</v>
      </c>
      <c r="P319" s="81" t="s">
        <v>29</v>
      </c>
      <c r="Q319" s="81">
        <v>18.0</v>
      </c>
      <c r="R319" s="46"/>
    </row>
    <row r="320" ht="15.75" customHeight="1">
      <c r="A320" s="211">
        <v>18.0</v>
      </c>
      <c r="B320" s="46" t="s">
        <v>3198</v>
      </c>
      <c r="C320" s="81" t="s">
        <v>3196</v>
      </c>
      <c r="D320" s="81" t="s">
        <v>25</v>
      </c>
      <c r="E320" s="81" t="s">
        <v>189</v>
      </c>
      <c r="F320" s="213"/>
      <c r="G320" s="221" t="s">
        <v>3169</v>
      </c>
      <c r="H320" s="81">
        <v>200.0</v>
      </c>
      <c r="I320" s="81">
        <v>600.0</v>
      </c>
      <c r="J320" s="80">
        <v>1.0</v>
      </c>
      <c r="K320" s="80">
        <v>1.0</v>
      </c>
      <c r="L320" s="81">
        <v>1.0</v>
      </c>
      <c r="M320" s="81" t="s">
        <v>3167</v>
      </c>
      <c r="N320" s="81">
        <v>0.0</v>
      </c>
      <c r="O320" s="81">
        <v>600.0</v>
      </c>
      <c r="P320" s="81" t="s">
        <v>29</v>
      </c>
      <c r="Q320" s="81">
        <v>20.0</v>
      </c>
      <c r="R320" s="46"/>
    </row>
    <row r="321" ht="15.75" customHeight="1">
      <c r="A321" s="211">
        <v>19.0</v>
      </c>
      <c r="B321" s="46" t="s">
        <v>3199</v>
      </c>
      <c r="C321" s="81" t="s">
        <v>3200</v>
      </c>
      <c r="D321" s="81" t="s">
        <v>25</v>
      </c>
      <c r="E321" s="81" t="s">
        <v>189</v>
      </c>
      <c r="F321" s="213"/>
      <c r="G321" s="221" t="s">
        <v>3201</v>
      </c>
      <c r="H321" s="81">
        <v>8.0</v>
      </c>
      <c r="I321" s="81">
        <v>40.0</v>
      </c>
      <c r="J321" s="80">
        <v>1.0</v>
      </c>
      <c r="K321" s="80">
        <v>1.0</v>
      </c>
      <c r="L321" s="81">
        <v>2.0</v>
      </c>
      <c r="M321" s="81" t="s">
        <v>3167</v>
      </c>
      <c r="N321" s="81">
        <v>0.0</v>
      </c>
      <c r="O321" s="81">
        <v>1500.0</v>
      </c>
      <c r="P321" s="81" t="s">
        <v>29</v>
      </c>
      <c r="Q321" s="81">
        <v>6.0</v>
      </c>
      <c r="R321" s="46"/>
    </row>
    <row r="322" ht="15.75" customHeight="1">
      <c r="A322" s="211">
        <v>20.0</v>
      </c>
      <c r="B322" s="46" t="s">
        <v>3202</v>
      </c>
      <c r="C322" s="81" t="s">
        <v>3203</v>
      </c>
      <c r="D322" s="81" t="s">
        <v>25</v>
      </c>
      <c r="E322" s="81" t="s">
        <v>189</v>
      </c>
      <c r="F322" s="213"/>
      <c r="G322" s="221" t="s">
        <v>3166</v>
      </c>
      <c r="H322" s="81">
        <v>3.0</v>
      </c>
      <c r="I322" s="81">
        <v>15.0</v>
      </c>
      <c r="J322" s="80">
        <v>1.0</v>
      </c>
      <c r="K322" s="80">
        <v>1.0</v>
      </c>
      <c r="L322" s="81">
        <v>1.0</v>
      </c>
      <c r="M322" s="81" t="s">
        <v>3167</v>
      </c>
      <c r="N322" s="81">
        <v>0.0</v>
      </c>
      <c r="O322" s="81">
        <v>500.0</v>
      </c>
      <c r="P322" s="81" t="s">
        <v>29</v>
      </c>
      <c r="Q322" s="81">
        <v>3.0</v>
      </c>
      <c r="R322" s="46"/>
    </row>
    <row r="323" ht="15.75" customHeight="1">
      <c r="A323" s="211">
        <v>21.0</v>
      </c>
      <c r="B323" s="46" t="s">
        <v>3204</v>
      </c>
      <c r="C323" s="81" t="s">
        <v>3203</v>
      </c>
      <c r="D323" s="81" t="s">
        <v>25</v>
      </c>
      <c r="E323" s="81" t="s">
        <v>189</v>
      </c>
      <c r="F323" s="213"/>
      <c r="G323" s="221">
        <v>1500.0</v>
      </c>
      <c r="H323" s="81">
        <v>100.0</v>
      </c>
      <c r="I323" s="81">
        <v>300.0</v>
      </c>
      <c r="J323" s="80">
        <v>1.0</v>
      </c>
      <c r="K323" s="80">
        <v>1.0</v>
      </c>
      <c r="L323" s="81">
        <v>2.0</v>
      </c>
      <c r="M323" s="81" t="s">
        <v>3167</v>
      </c>
      <c r="N323" s="81">
        <v>0.0</v>
      </c>
      <c r="O323" s="81">
        <v>500.0</v>
      </c>
      <c r="P323" s="81" t="s">
        <v>29</v>
      </c>
      <c r="Q323" s="81">
        <v>20.0</v>
      </c>
      <c r="R323" s="46"/>
    </row>
    <row r="324" ht="15.75" customHeight="1">
      <c r="A324" s="211">
        <v>22.0</v>
      </c>
      <c r="B324" s="46" t="s">
        <v>3205</v>
      </c>
      <c r="C324" s="81" t="s">
        <v>3206</v>
      </c>
      <c r="D324" s="81" t="s">
        <v>25</v>
      </c>
      <c r="E324" s="81" t="s">
        <v>189</v>
      </c>
      <c r="F324" s="213"/>
      <c r="G324" s="221" t="s">
        <v>3207</v>
      </c>
      <c r="H324" s="81">
        <v>10.0</v>
      </c>
      <c r="I324" s="81">
        <v>300.0</v>
      </c>
      <c r="J324" s="80">
        <v>1.0</v>
      </c>
      <c r="K324" s="80">
        <v>1.0</v>
      </c>
      <c r="L324" s="81">
        <v>4.0</v>
      </c>
      <c r="M324" s="81" t="s">
        <v>3167</v>
      </c>
      <c r="N324" s="81">
        <v>0.0</v>
      </c>
      <c r="O324" s="81">
        <v>1500.0</v>
      </c>
      <c r="P324" s="81" t="s">
        <v>29</v>
      </c>
      <c r="Q324" s="81">
        <v>8.0</v>
      </c>
      <c r="R324" s="46"/>
    </row>
    <row r="325" ht="15.75" customHeight="1">
      <c r="A325" s="211">
        <v>23.0</v>
      </c>
      <c r="B325" s="46" t="s">
        <v>3208</v>
      </c>
      <c r="C325" s="81" t="s">
        <v>3206</v>
      </c>
      <c r="D325" s="81" t="s">
        <v>25</v>
      </c>
      <c r="E325" s="81" t="s">
        <v>189</v>
      </c>
      <c r="F325" s="213"/>
      <c r="G325" s="221" t="s">
        <v>3169</v>
      </c>
      <c r="H325" s="81">
        <v>200.0</v>
      </c>
      <c r="I325" s="81">
        <v>600.0</v>
      </c>
      <c r="J325" s="80">
        <v>1.0</v>
      </c>
      <c r="K325" s="80">
        <v>1.0</v>
      </c>
      <c r="L325" s="81">
        <v>4.0</v>
      </c>
      <c r="M325" s="81" t="s">
        <v>3167</v>
      </c>
      <c r="N325" s="81">
        <v>0.0</v>
      </c>
      <c r="O325" s="81">
        <v>1500.0</v>
      </c>
      <c r="P325" s="81" t="s">
        <v>29</v>
      </c>
      <c r="Q325" s="81">
        <v>24.0</v>
      </c>
      <c r="R325" s="46"/>
    </row>
    <row r="326" ht="15.75" customHeight="1">
      <c r="A326" s="211">
        <v>24.0</v>
      </c>
      <c r="B326" s="46" t="s">
        <v>3209</v>
      </c>
      <c r="C326" s="81" t="s">
        <v>3210</v>
      </c>
      <c r="D326" s="81" t="s">
        <v>25</v>
      </c>
      <c r="E326" s="81" t="s">
        <v>189</v>
      </c>
      <c r="F326" s="213"/>
      <c r="G326" s="221" t="s">
        <v>3207</v>
      </c>
      <c r="H326" s="81">
        <v>5.0</v>
      </c>
      <c r="I326" s="81">
        <v>20.0</v>
      </c>
      <c r="J326" s="80">
        <v>1.0</v>
      </c>
      <c r="K326" s="80">
        <v>1.0</v>
      </c>
      <c r="L326" s="81">
        <v>2.0</v>
      </c>
      <c r="M326" s="81" t="s">
        <v>3167</v>
      </c>
      <c r="N326" s="81">
        <v>0.0</v>
      </c>
      <c r="O326" s="81">
        <v>1500.0</v>
      </c>
      <c r="P326" s="81" t="s">
        <v>29</v>
      </c>
      <c r="Q326" s="81">
        <v>3.0</v>
      </c>
      <c r="R326" s="46"/>
    </row>
    <row r="327" ht="15.75" customHeight="1">
      <c r="A327" s="211">
        <v>25.0</v>
      </c>
      <c r="B327" s="46" t="s">
        <v>3211</v>
      </c>
      <c r="C327" s="81" t="s">
        <v>3210</v>
      </c>
      <c r="D327" s="81" t="s">
        <v>25</v>
      </c>
      <c r="E327" s="81" t="s">
        <v>189</v>
      </c>
      <c r="F327" s="213"/>
      <c r="G327" s="221" t="s">
        <v>3212</v>
      </c>
      <c r="H327" s="81">
        <v>300.0</v>
      </c>
      <c r="I327" s="81">
        <v>700.0</v>
      </c>
      <c r="J327" s="81">
        <v>3.0</v>
      </c>
      <c r="K327" s="80">
        <v>3.0</v>
      </c>
      <c r="L327" s="80">
        <v>4.0</v>
      </c>
      <c r="M327" s="81" t="s">
        <v>3167</v>
      </c>
      <c r="N327" s="81">
        <v>0.0</v>
      </c>
      <c r="O327" s="81">
        <v>2000.0</v>
      </c>
      <c r="P327" s="81" t="s">
        <v>29</v>
      </c>
      <c r="Q327" s="81">
        <v>40.0</v>
      </c>
      <c r="R327" s="46"/>
    </row>
    <row r="328" ht="15.75" customHeight="1">
      <c r="A328" s="181"/>
      <c r="B328" s="182" t="s">
        <v>3213</v>
      </c>
      <c r="C328" s="182"/>
      <c r="D328" s="22"/>
      <c r="E328" s="22"/>
      <c r="F328" s="209"/>
      <c r="G328" s="210"/>
      <c r="H328" s="22"/>
      <c r="I328" s="22"/>
      <c r="J328" s="22"/>
      <c r="K328" s="22"/>
      <c r="L328" s="22"/>
      <c r="M328" s="22"/>
      <c r="N328" s="22"/>
      <c r="O328" s="22"/>
      <c r="P328" s="22"/>
      <c r="Q328" s="209"/>
      <c r="R328" s="22"/>
    </row>
    <row r="329" ht="15.75" customHeight="1">
      <c r="A329" s="211">
        <v>1.0</v>
      </c>
      <c r="B329" s="46" t="s">
        <v>3214</v>
      </c>
      <c r="C329" s="46" t="s">
        <v>3215</v>
      </c>
      <c r="D329" s="81" t="s">
        <v>25</v>
      </c>
      <c r="E329" s="81" t="s">
        <v>647</v>
      </c>
      <c r="F329" s="213" t="s">
        <v>401</v>
      </c>
      <c r="G329" s="221" t="s">
        <v>3216</v>
      </c>
      <c r="H329" s="81">
        <v>4.0</v>
      </c>
      <c r="I329" s="81">
        <v>20.0</v>
      </c>
      <c r="J329" s="81">
        <v>0.0</v>
      </c>
      <c r="K329" s="81">
        <v>0.0</v>
      </c>
      <c r="L329" s="81">
        <v>1.0</v>
      </c>
      <c r="M329" s="81" t="s">
        <v>3217</v>
      </c>
      <c r="N329" s="81" t="s">
        <v>427</v>
      </c>
      <c r="O329" s="81" t="s">
        <v>3218</v>
      </c>
      <c r="P329" s="81" t="s">
        <v>335</v>
      </c>
      <c r="Q329" s="81">
        <v>3.0</v>
      </c>
      <c r="R329" s="46"/>
    </row>
    <row r="330" ht="15.75" customHeight="1">
      <c r="A330" s="211">
        <v>2.0</v>
      </c>
      <c r="B330" s="46" t="s">
        <v>3219</v>
      </c>
      <c r="C330" s="46" t="s">
        <v>3215</v>
      </c>
      <c r="D330" s="81" t="s">
        <v>25</v>
      </c>
      <c r="E330" s="81" t="s">
        <v>647</v>
      </c>
      <c r="F330" s="213" t="s">
        <v>401</v>
      </c>
      <c r="G330" s="221" t="s">
        <v>3220</v>
      </c>
      <c r="H330" s="81">
        <v>6.0</v>
      </c>
      <c r="I330" s="81">
        <v>30.0</v>
      </c>
      <c r="J330" s="81">
        <v>0.0</v>
      </c>
      <c r="K330" s="81">
        <v>0.0</v>
      </c>
      <c r="L330" s="81">
        <v>1.0</v>
      </c>
      <c r="M330" s="81" t="s">
        <v>3217</v>
      </c>
      <c r="N330" s="81" t="s">
        <v>427</v>
      </c>
      <c r="O330" s="81" t="s">
        <v>3218</v>
      </c>
      <c r="P330" s="81" t="s">
        <v>335</v>
      </c>
      <c r="Q330" s="81">
        <v>4.0</v>
      </c>
      <c r="R330" s="46"/>
    </row>
    <row r="331" ht="15.75" customHeight="1">
      <c r="A331" s="211">
        <v>3.0</v>
      </c>
      <c r="B331" s="46" t="s">
        <v>3221</v>
      </c>
      <c r="C331" s="46" t="s">
        <v>3222</v>
      </c>
      <c r="D331" s="81" t="s">
        <v>25</v>
      </c>
      <c r="E331" s="81" t="s">
        <v>647</v>
      </c>
      <c r="F331" s="213" t="s">
        <v>401</v>
      </c>
      <c r="G331" s="221" t="s">
        <v>3223</v>
      </c>
      <c r="H331" s="81">
        <v>6.0</v>
      </c>
      <c r="I331" s="81">
        <v>30.0</v>
      </c>
      <c r="J331" s="81">
        <v>0.0</v>
      </c>
      <c r="K331" s="81">
        <v>0.0</v>
      </c>
      <c r="L331" s="81">
        <v>1.0</v>
      </c>
      <c r="M331" s="81" t="s">
        <v>3217</v>
      </c>
      <c r="N331" s="81" t="s">
        <v>427</v>
      </c>
      <c r="O331" s="81" t="s">
        <v>3218</v>
      </c>
      <c r="P331" s="81" t="s">
        <v>335</v>
      </c>
      <c r="Q331" s="81">
        <v>4.0</v>
      </c>
      <c r="R331" s="46"/>
    </row>
    <row r="332" ht="15.75" customHeight="1">
      <c r="A332" s="211">
        <v>4.0</v>
      </c>
      <c r="B332" s="46" t="s">
        <v>3224</v>
      </c>
      <c r="C332" s="46" t="s">
        <v>3222</v>
      </c>
      <c r="D332" s="81" t="s">
        <v>25</v>
      </c>
      <c r="E332" s="81" t="s">
        <v>647</v>
      </c>
      <c r="F332" s="213" t="s">
        <v>401</v>
      </c>
      <c r="G332" s="221" t="s">
        <v>3216</v>
      </c>
      <c r="H332" s="81">
        <v>6.0</v>
      </c>
      <c r="I332" s="81">
        <v>30.0</v>
      </c>
      <c r="J332" s="81">
        <v>0.0</v>
      </c>
      <c r="K332" s="81">
        <v>0.0</v>
      </c>
      <c r="L332" s="81">
        <v>1.0</v>
      </c>
      <c r="M332" s="81" t="s">
        <v>3217</v>
      </c>
      <c r="N332" s="81" t="s">
        <v>427</v>
      </c>
      <c r="O332" s="81" t="s">
        <v>3218</v>
      </c>
      <c r="P332" s="81" t="s">
        <v>335</v>
      </c>
      <c r="Q332" s="81">
        <v>4.0</v>
      </c>
      <c r="R332" s="46"/>
    </row>
    <row r="333" ht="15.75" customHeight="1">
      <c r="A333" s="211">
        <v>5.0</v>
      </c>
      <c r="B333" s="46" t="s">
        <v>3225</v>
      </c>
      <c r="C333" s="46" t="s">
        <v>3222</v>
      </c>
      <c r="D333" s="81" t="s">
        <v>25</v>
      </c>
      <c r="E333" s="81" t="s">
        <v>647</v>
      </c>
      <c r="F333" s="213" t="s">
        <v>401</v>
      </c>
      <c r="G333" s="221" t="s">
        <v>3216</v>
      </c>
      <c r="H333" s="81">
        <v>6.0</v>
      </c>
      <c r="I333" s="81">
        <v>30.0</v>
      </c>
      <c r="J333" s="81">
        <v>0.0</v>
      </c>
      <c r="K333" s="81">
        <v>0.0</v>
      </c>
      <c r="L333" s="81">
        <v>1.0</v>
      </c>
      <c r="M333" s="81" t="s">
        <v>3217</v>
      </c>
      <c r="N333" s="81" t="s">
        <v>427</v>
      </c>
      <c r="O333" s="81" t="s">
        <v>3218</v>
      </c>
      <c r="P333" s="81" t="s">
        <v>335</v>
      </c>
      <c r="Q333" s="81">
        <v>4.0</v>
      </c>
      <c r="R333" s="46"/>
    </row>
    <row r="334" ht="15.75" customHeight="1">
      <c r="A334" s="211">
        <v>6.0</v>
      </c>
      <c r="B334" s="46" t="s">
        <v>3226</v>
      </c>
      <c r="C334" s="46" t="s">
        <v>3227</v>
      </c>
      <c r="D334" s="81" t="s">
        <v>25</v>
      </c>
      <c r="E334" s="81" t="s">
        <v>647</v>
      </c>
      <c r="F334" s="213" t="s">
        <v>401</v>
      </c>
      <c r="G334" s="221" t="s">
        <v>3228</v>
      </c>
      <c r="H334" s="81">
        <v>50.0</v>
      </c>
      <c r="I334" s="81">
        <v>200.0</v>
      </c>
      <c r="J334" s="81">
        <v>10.0</v>
      </c>
      <c r="K334" s="81">
        <v>10.0</v>
      </c>
      <c r="L334" s="81">
        <v>2.0</v>
      </c>
      <c r="M334" s="81" t="s">
        <v>3217</v>
      </c>
      <c r="N334" s="81" t="s">
        <v>427</v>
      </c>
      <c r="O334" s="81" t="s">
        <v>3229</v>
      </c>
      <c r="P334" s="81" t="s">
        <v>335</v>
      </c>
      <c r="Q334" s="81">
        <v>6.0</v>
      </c>
      <c r="R334" s="46"/>
    </row>
    <row r="335" ht="15.75" customHeight="1">
      <c r="A335" s="211">
        <v>7.0</v>
      </c>
      <c r="B335" s="46" t="s">
        <v>3230</v>
      </c>
      <c r="C335" s="46" t="s">
        <v>3227</v>
      </c>
      <c r="D335" s="81" t="s">
        <v>25</v>
      </c>
      <c r="E335" s="81" t="s">
        <v>647</v>
      </c>
      <c r="F335" s="213" t="s">
        <v>401</v>
      </c>
      <c r="G335" s="221" t="s">
        <v>3231</v>
      </c>
      <c r="H335" s="81">
        <v>4.0</v>
      </c>
      <c r="I335" s="81">
        <v>20.0</v>
      </c>
      <c r="J335" s="81">
        <v>0.0</v>
      </c>
      <c r="K335" s="81">
        <v>0.0</v>
      </c>
      <c r="L335" s="81">
        <v>1.0</v>
      </c>
      <c r="M335" s="81" t="s">
        <v>3217</v>
      </c>
      <c r="N335" s="81" t="s">
        <v>427</v>
      </c>
      <c r="O335" s="81" t="s">
        <v>3218</v>
      </c>
      <c r="P335" s="81" t="s">
        <v>29</v>
      </c>
      <c r="Q335" s="81">
        <v>3.0</v>
      </c>
      <c r="R335" s="46"/>
    </row>
    <row r="336" ht="15.75" customHeight="1">
      <c r="A336" s="211">
        <v>8.0</v>
      </c>
      <c r="B336" s="46" t="s">
        <v>3232</v>
      </c>
      <c r="C336" s="46" t="s">
        <v>3227</v>
      </c>
      <c r="D336" s="81" t="s">
        <v>25</v>
      </c>
      <c r="E336" s="81" t="s">
        <v>647</v>
      </c>
      <c r="F336" s="213" t="s">
        <v>401</v>
      </c>
      <c r="G336" s="221" t="s">
        <v>3233</v>
      </c>
      <c r="H336" s="81">
        <v>24.0</v>
      </c>
      <c r="I336" s="81">
        <v>120.0</v>
      </c>
      <c r="J336" s="81">
        <v>1.0</v>
      </c>
      <c r="K336" s="81">
        <v>1.0</v>
      </c>
      <c r="L336" s="81">
        <v>0.0</v>
      </c>
      <c r="M336" s="81" t="s">
        <v>3217</v>
      </c>
      <c r="N336" s="81" t="s">
        <v>427</v>
      </c>
      <c r="O336" s="81" t="s">
        <v>3218</v>
      </c>
      <c r="P336" s="81" t="s">
        <v>335</v>
      </c>
      <c r="Q336" s="81">
        <v>5.0</v>
      </c>
      <c r="R336" s="46"/>
    </row>
    <row r="337" ht="15.75" customHeight="1">
      <c r="A337" s="211">
        <v>9.0</v>
      </c>
      <c r="B337" s="46" t="s">
        <v>3234</v>
      </c>
      <c r="C337" s="46" t="s">
        <v>3235</v>
      </c>
      <c r="D337" s="81" t="s">
        <v>25</v>
      </c>
      <c r="E337" s="81" t="s">
        <v>647</v>
      </c>
      <c r="F337" s="213" t="s">
        <v>401</v>
      </c>
      <c r="G337" s="221" t="s">
        <v>3216</v>
      </c>
      <c r="H337" s="81">
        <v>12.0</v>
      </c>
      <c r="I337" s="81">
        <v>60.0</v>
      </c>
      <c r="J337" s="81">
        <v>0.0</v>
      </c>
      <c r="K337" s="81">
        <v>0.0</v>
      </c>
      <c r="L337" s="81">
        <v>1.0</v>
      </c>
      <c r="M337" s="81" t="s">
        <v>3217</v>
      </c>
      <c r="N337" s="81" t="s">
        <v>427</v>
      </c>
      <c r="O337" s="81" t="s">
        <v>3218</v>
      </c>
      <c r="P337" s="81" t="s">
        <v>335</v>
      </c>
      <c r="Q337" s="81">
        <v>5.0</v>
      </c>
      <c r="R337" s="46"/>
    </row>
    <row r="338" ht="15.75" customHeight="1">
      <c r="A338" s="211">
        <v>10.0</v>
      </c>
      <c r="B338" s="46" t="s">
        <v>3236</v>
      </c>
      <c r="C338" s="46" t="s">
        <v>3235</v>
      </c>
      <c r="D338" s="81" t="s">
        <v>25</v>
      </c>
      <c r="E338" s="81" t="s">
        <v>647</v>
      </c>
      <c r="F338" s="213" t="s">
        <v>401</v>
      </c>
      <c r="G338" s="221" t="s">
        <v>3237</v>
      </c>
      <c r="H338" s="81">
        <v>6.0</v>
      </c>
      <c r="I338" s="81">
        <v>30.0</v>
      </c>
      <c r="J338" s="81">
        <v>0.0</v>
      </c>
      <c r="K338" s="81">
        <v>0.0</v>
      </c>
      <c r="L338" s="81">
        <v>1.0</v>
      </c>
      <c r="M338" s="81" t="s">
        <v>3217</v>
      </c>
      <c r="N338" s="81" t="s">
        <v>427</v>
      </c>
      <c r="O338" s="81" t="s">
        <v>3218</v>
      </c>
      <c r="P338" s="81" t="s">
        <v>335</v>
      </c>
      <c r="Q338" s="81">
        <v>5.0</v>
      </c>
      <c r="R338" s="46"/>
    </row>
    <row r="339" ht="15.75" customHeight="1">
      <c r="A339" s="211">
        <v>11.0</v>
      </c>
      <c r="B339" s="46" t="s">
        <v>3238</v>
      </c>
      <c r="C339" s="46" t="s">
        <v>3235</v>
      </c>
      <c r="D339" s="81" t="s">
        <v>25</v>
      </c>
      <c r="E339" s="81" t="s">
        <v>647</v>
      </c>
      <c r="F339" s="213" t="s">
        <v>401</v>
      </c>
      <c r="G339" s="221" t="s">
        <v>3239</v>
      </c>
      <c r="H339" s="81">
        <v>8.0</v>
      </c>
      <c r="I339" s="81">
        <v>40.0</v>
      </c>
      <c r="J339" s="81">
        <v>0.0</v>
      </c>
      <c r="K339" s="81">
        <v>0.0</v>
      </c>
      <c r="L339" s="81">
        <v>1.0</v>
      </c>
      <c r="M339" s="81" t="s">
        <v>3217</v>
      </c>
      <c r="N339" s="81" t="s">
        <v>427</v>
      </c>
      <c r="O339" s="81" t="s">
        <v>3218</v>
      </c>
      <c r="P339" s="81" t="s">
        <v>335</v>
      </c>
      <c r="Q339" s="81">
        <v>3.0</v>
      </c>
      <c r="R339" s="46"/>
    </row>
    <row r="340" ht="15.75" customHeight="1">
      <c r="A340" s="211">
        <v>12.0</v>
      </c>
      <c r="B340" s="46" t="s">
        <v>3240</v>
      </c>
      <c r="C340" s="46" t="s">
        <v>3241</v>
      </c>
      <c r="D340" s="81" t="s">
        <v>25</v>
      </c>
      <c r="E340" s="81" t="s">
        <v>647</v>
      </c>
      <c r="F340" s="213" t="s">
        <v>401</v>
      </c>
      <c r="G340" s="221" t="s">
        <v>3242</v>
      </c>
      <c r="H340" s="81">
        <v>18.0</v>
      </c>
      <c r="I340" s="81">
        <v>90.0</v>
      </c>
      <c r="J340" s="81">
        <v>1.0</v>
      </c>
      <c r="K340" s="81">
        <v>1.0</v>
      </c>
      <c r="L340" s="81">
        <v>0.0</v>
      </c>
      <c r="M340" s="81" t="s">
        <v>3217</v>
      </c>
      <c r="N340" s="81" t="s">
        <v>427</v>
      </c>
      <c r="O340" s="81" t="s">
        <v>3218</v>
      </c>
      <c r="P340" s="81" t="s">
        <v>335</v>
      </c>
      <c r="Q340" s="81">
        <v>6.0</v>
      </c>
      <c r="R340" s="46"/>
    </row>
    <row r="341" ht="15.75" customHeight="1">
      <c r="A341" s="211">
        <v>13.0</v>
      </c>
      <c r="B341" s="46" t="s">
        <v>3243</v>
      </c>
      <c r="C341" s="46" t="s">
        <v>3241</v>
      </c>
      <c r="D341" s="81" t="s">
        <v>25</v>
      </c>
      <c r="E341" s="81" t="s">
        <v>647</v>
      </c>
      <c r="F341" s="213" t="s">
        <v>401</v>
      </c>
      <c r="G341" s="221" t="s">
        <v>3244</v>
      </c>
      <c r="H341" s="81">
        <v>6.0</v>
      </c>
      <c r="I341" s="81">
        <v>30.0</v>
      </c>
      <c r="J341" s="81">
        <v>0.0</v>
      </c>
      <c r="K341" s="81">
        <v>0.0</v>
      </c>
      <c r="L341" s="81">
        <v>1.0</v>
      </c>
      <c r="M341" s="81" t="s">
        <v>3217</v>
      </c>
      <c r="N341" s="81" t="s">
        <v>427</v>
      </c>
      <c r="O341" s="81" t="s">
        <v>3218</v>
      </c>
      <c r="P341" s="81" t="s">
        <v>335</v>
      </c>
      <c r="Q341" s="81">
        <v>3.0</v>
      </c>
      <c r="R341" s="46"/>
    </row>
    <row r="342" ht="15.75" customHeight="1">
      <c r="A342" s="211">
        <v>14.0</v>
      </c>
      <c r="B342" s="46" t="s">
        <v>3245</v>
      </c>
      <c r="C342" s="46" t="s">
        <v>3241</v>
      </c>
      <c r="D342" s="81" t="s">
        <v>25</v>
      </c>
      <c r="E342" s="81" t="s">
        <v>647</v>
      </c>
      <c r="F342" s="213" t="s">
        <v>401</v>
      </c>
      <c r="G342" s="221" t="s">
        <v>3216</v>
      </c>
      <c r="H342" s="81">
        <v>4.0</v>
      </c>
      <c r="I342" s="81">
        <v>20.0</v>
      </c>
      <c r="J342" s="81">
        <v>0.0</v>
      </c>
      <c r="K342" s="81">
        <v>0.0</v>
      </c>
      <c r="L342" s="81">
        <v>1.0</v>
      </c>
      <c r="M342" s="81" t="s">
        <v>3217</v>
      </c>
      <c r="N342" s="81" t="s">
        <v>427</v>
      </c>
      <c r="O342" s="81" t="s">
        <v>3218</v>
      </c>
      <c r="P342" s="81" t="s">
        <v>335</v>
      </c>
      <c r="Q342" s="81">
        <v>2.0</v>
      </c>
      <c r="R342" s="46"/>
    </row>
    <row r="343" ht="15.75" customHeight="1">
      <c r="A343" s="211">
        <v>15.0</v>
      </c>
      <c r="B343" s="46" t="s">
        <v>3246</v>
      </c>
      <c r="C343" s="46" t="s">
        <v>3247</v>
      </c>
      <c r="D343" s="81" t="s">
        <v>25</v>
      </c>
      <c r="E343" s="81" t="s">
        <v>647</v>
      </c>
      <c r="F343" s="213" t="s">
        <v>401</v>
      </c>
      <c r="G343" s="221" t="s">
        <v>3248</v>
      </c>
      <c r="H343" s="81">
        <v>5.0</v>
      </c>
      <c r="I343" s="81">
        <v>20.0</v>
      </c>
      <c r="J343" s="81">
        <v>1.0</v>
      </c>
      <c r="K343" s="81">
        <v>1.0</v>
      </c>
      <c r="L343" s="81">
        <v>0.0</v>
      </c>
      <c r="M343" s="81" t="s">
        <v>3217</v>
      </c>
      <c r="N343" s="81" t="s">
        <v>427</v>
      </c>
      <c r="O343" s="81" t="s">
        <v>3218</v>
      </c>
      <c r="P343" s="81" t="s">
        <v>335</v>
      </c>
      <c r="Q343" s="81">
        <v>2.0</v>
      </c>
      <c r="R343" s="46"/>
    </row>
    <row r="344" ht="15.75" customHeight="1">
      <c r="A344" s="211">
        <v>16.0</v>
      </c>
      <c r="B344" s="46" t="s">
        <v>3249</v>
      </c>
      <c r="C344" s="46" t="s">
        <v>3247</v>
      </c>
      <c r="D344" s="81" t="s">
        <v>25</v>
      </c>
      <c r="E344" s="81" t="s">
        <v>647</v>
      </c>
      <c r="F344" s="213" t="s">
        <v>401</v>
      </c>
      <c r="G344" s="221" t="s">
        <v>3250</v>
      </c>
      <c r="H344" s="81">
        <v>4.0</v>
      </c>
      <c r="I344" s="81">
        <v>20.0</v>
      </c>
      <c r="J344" s="81">
        <v>0.0</v>
      </c>
      <c r="K344" s="81">
        <v>0.0</v>
      </c>
      <c r="L344" s="81">
        <v>1.0</v>
      </c>
      <c r="M344" s="81" t="s">
        <v>3217</v>
      </c>
      <c r="N344" s="81" t="s">
        <v>427</v>
      </c>
      <c r="O344" s="81" t="s">
        <v>3218</v>
      </c>
      <c r="P344" s="81" t="s">
        <v>335</v>
      </c>
      <c r="Q344" s="81">
        <v>2.0</v>
      </c>
      <c r="R344" s="46"/>
    </row>
    <row r="345" ht="15.75" customHeight="1">
      <c r="A345" s="211">
        <v>17.0</v>
      </c>
      <c r="B345" s="46" t="s">
        <v>3251</v>
      </c>
      <c r="C345" s="46" t="s">
        <v>3252</v>
      </c>
      <c r="D345" s="81" t="s">
        <v>25</v>
      </c>
      <c r="E345" s="81" t="s">
        <v>647</v>
      </c>
      <c r="F345" s="213" t="s">
        <v>401</v>
      </c>
      <c r="G345" s="221" t="s">
        <v>3250</v>
      </c>
      <c r="H345" s="81">
        <v>6.0</v>
      </c>
      <c r="I345" s="81">
        <v>30.0</v>
      </c>
      <c r="J345" s="81">
        <v>0.0</v>
      </c>
      <c r="K345" s="81">
        <v>0.0</v>
      </c>
      <c r="L345" s="81">
        <v>1.0</v>
      </c>
      <c r="M345" s="81" t="s">
        <v>3217</v>
      </c>
      <c r="N345" s="81" t="s">
        <v>427</v>
      </c>
      <c r="O345" s="81" t="s">
        <v>3218</v>
      </c>
      <c r="P345" s="81" t="s">
        <v>335</v>
      </c>
      <c r="Q345" s="81">
        <v>3.0</v>
      </c>
      <c r="R345" s="46"/>
    </row>
    <row r="346" ht="15.75" customHeight="1">
      <c r="A346" s="211">
        <v>18.0</v>
      </c>
      <c r="B346" s="46" t="s">
        <v>3253</v>
      </c>
      <c r="C346" s="46" t="s">
        <v>3252</v>
      </c>
      <c r="D346" s="81" t="s">
        <v>25</v>
      </c>
      <c r="E346" s="81" t="s">
        <v>647</v>
      </c>
      <c r="F346" s="213" t="s">
        <v>401</v>
      </c>
      <c r="G346" s="221" t="s">
        <v>3254</v>
      </c>
      <c r="H346" s="81">
        <v>18.0</v>
      </c>
      <c r="I346" s="81">
        <v>90.0</v>
      </c>
      <c r="J346" s="81">
        <v>1.0</v>
      </c>
      <c r="K346" s="81">
        <v>1.0</v>
      </c>
      <c r="L346" s="81">
        <v>0.0</v>
      </c>
      <c r="M346" s="81" t="s">
        <v>3217</v>
      </c>
      <c r="N346" s="81" t="s">
        <v>427</v>
      </c>
      <c r="O346" s="81" t="s">
        <v>3218</v>
      </c>
      <c r="P346" s="81" t="s">
        <v>335</v>
      </c>
      <c r="Q346" s="81">
        <v>3.0</v>
      </c>
      <c r="R346" s="46"/>
    </row>
    <row r="347" ht="15.75" customHeight="1">
      <c r="A347" s="211">
        <v>19.0</v>
      </c>
      <c r="B347" s="46" t="s">
        <v>3255</v>
      </c>
      <c r="C347" s="46" t="s">
        <v>3256</v>
      </c>
      <c r="D347" s="81" t="s">
        <v>25</v>
      </c>
      <c r="E347" s="81" t="s">
        <v>647</v>
      </c>
      <c r="F347" s="213" t="s">
        <v>401</v>
      </c>
      <c r="G347" s="221" t="s">
        <v>3257</v>
      </c>
      <c r="H347" s="81">
        <v>6.0</v>
      </c>
      <c r="I347" s="81">
        <v>30.0</v>
      </c>
      <c r="J347" s="81">
        <v>1.0</v>
      </c>
      <c r="K347" s="81">
        <v>1.0</v>
      </c>
      <c r="L347" s="81">
        <v>0.0</v>
      </c>
      <c r="M347" s="81" t="s">
        <v>3217</v>
      </c>
      <c r="N347" s="81" t="s">
        <v>427</v>
      </c>
      <c r="O347" s="81" t="s">
        <v>3218</v>
      </c>
      <c r="P347" s="81" t="s">
        <v>335</v>
      </c>
      <c r="Q347" s="81">
        <v>3.0</v>
      </c>
      <c r="R347" s="46"/>
    </row>
    <row r="348" ht="15.75" customHeight="1">
      <c r="A348" s="211">
        <v>20.0</v>
      </c>
      <c r="B348" s="46" t="s">
        <v>3258</v>
      </c>
      <c r="C348" s="46" t="s">
        <v>3256</v>
      </c>
      <c r="D348" s="81" t="s">
        <v>25</v>
      </c>
      <c r="E348" s="81" t="s">
        <v>647</v>
      </c>
      <c r="F348" s="213" t="s">
        <v>401</v>
      </c>
      <c r="G348" s="221" t="s">
        <v>3259</v>
      </c>
      <c r="H348" s="81">
        <v>6.0</v>
      </c>
      <c r="I348" s="81">
        <v>30.0</v>
      </c>
      <c r="J348" s="81">
        <v>0.0</v>
      </c>
      <c r="K348" s="81">
        <v>0.0</v>
      </c>
      <c r="L348" s="81">
        <v>1.0</v>
      </c>
      <c r="M348" s="81" t="s">
        <v>3217</v>
      </c>
      <c r="N348" s="81" t="s">
        <v>427</v>
      </c>
      <c r="O348" s="81" t="s">
        <v>3218</v>
      </c>
      <c r="P348" s="81" t="s">
        <v>335</v>
      </c>
      <c r="Q348" s="81">
        <v>3.0</v>
      </c>
      <c r="R348" s="46"/>
    </row>
    <row r="349" ht="15.75" customHeight="1">
      <c r="A349" s="211">
        <v>21.0</v>
      </c>
      <c r="B349" s="46" t="s">
        <v>3260</v>
      </c>
      <c r="C349" s="46" t="s">
        <v>3256</v>
      </c>
      <c r="D349" s="81" t="s">
        <v>25</v>
      </c>
      <c r="E349" s="81" t="s">
        <v>647</v>
      </c>
      <c r="F349" s="213" t="s">
        <v>401</v>
      </c>
      <c r="G349" s="221" t="s">
        <v>3216</v>
      </c>
      <c r="H349" s="81">
        <v>4.0</v>
      </c>
      <c r="I349" s="81">
        <v>20.0</v>
      </c>
      <c r="J349" s="81">
        <v>0.0</v>
      </c>
      <c r="K349" s="81">
        <v>0.0</v>
      </c>
      <c r="L349" s="81">
        <v>1.0</v>
      </c>
      <c r="M349" s="81" t="s">
        <v>3217</v>
      </c>
      <c r="N349" s="81" t="s">
        <v>427</v>
      </c>
      <c r="O349" s="81" t="s">
        <v>3218</v>
      </c>
      <c r="P349" s="81" t="s">
        <v>335</v>
      </c>
      <c r="Q349" s="81">
        <v>2.0</v>
      </c>
      <c r="R349" s="46"/>
    </row>
    <row r="350" ht="15.75" customHeight="1">
      <c r="A350" s="211">
        <v>22.0</v>
      </c>
      <c r="B350" s="46" t="s">
        <v>3261</v>
      </c>
      <c r="C350" s="46" t="s">
        <v>3262</v>
      </c>
      <c r="D350" s="81" t="s">
        <v>25</v>
      </c>
      <c r="E350" s="81" t="s">
        <v>647</v>
      </c>
      <c r="F350" s="213" t="s">
        <v>401</v>
      </c>
      <c r="G350" s="221" t="s">
        <v>3233</v>
      </c>
      <c r="H350" s="81">
        <v>4.0</v>
      </c>
      <c r="I350" s="81">
        <v>20.0</v>
      </c>
      <c r="J350" s="81">
        <v>0.0</v>
      </c>
      <c r="K350" s="81">
        <v>0.0</v>
      </c>
      <c r="L350" s="81">
        <v>1.0</v>
      </c>
      <c r="M350" s="81" t="s">
        <v>3217</v>
      </c>
      <c r="N350" s="81" t="s">
        <v>427</v>
      </c>
      <c r="O350" s="81" t="s">
        <v>3218</v>
      </c>
      <c r="P350" s="81" t="s">
        <v>335</v>
      </c>
      <c r="Q350" s="81">
        <v>2.0</v>
      </c>
      <c r="R350" s="46"/>
    </row>
    <row r="351" ht="15.75" customHeight="1">
      <c r="A351" s="211">
        <v>23.0</v>
      </c>
      <c r="B351" s="46" t="s">
        <v>3263</v>
      </c>
      <c r="C351" s="46" t="s">
        <v>3262</v>
      </c>
      <c r="D351" s="81" t="s">
        <v>25</v>
      </c>
      <c r="E351" s="81" t="s">
        <v>647</v>
      </c>
      <c r="F351" s="213" t="s">
        <v>401</v>
      </c>
      <c r="G351" s="221" t="s">
        <v>3250</v>
      </c>
      <c r="H351" s="81">
        <v>5.0</v>
      </c>
      <c r="I351" s="81">
        <v>20.0</v>
      </c>
      <c r="J351" s="81">
        <v>0.0</v>
      </c>
      <c r="K351" s="81">
        <v>0.0</v>
      </c>
      <c r="L351" s="81">
        <v>1.0</v>
      </c>
      <c r="M351" s="81" t="s">
        <v>3217</v>
      </c>
      <c r="N351" s="81" t="s">
        <v>427</v>
      </c>
      <c r="O351" s="81" t="s">
        <v>3218</v>
      </c>
      <c r="P351" s="81" t="s">
        <v>335</v>
      </c>
      <c r="Q351" s="81">
        <v>2.0</v>
      </c>
      <c r="R351" s="46"/>
    </row>
    <row r="352" ht="15.75" customHeight="1">
      <c r="A352" s="211">
        <v>24.0</v>
      </c>
      <c r="B352" s="46" t="s">
        <v>3264</v>
      </c>
      <c r="C352" s="46" t="s">
        <v>3262</v>
      </c>
      <c r="D352" s="81" t="s">
        <v>25</v>
      </c>
      <c r="E352" s="81" t="s">
        <v>647</v>
      </c>
      <c r="F352" s="213" t="s">
        <v>401</v>
      </c>
      <c r="G352" s="221" t="s">
        <v>3237</v>
      </c>
      <c r="H352" s="81">
        <v>6.0</v>
      </c>
      <c r="I352" s="81">
        <v>30.0</v>
      </c>
      <c r="J352" s="81">
        <v>0.0</v>
      </c>
      <c r="K352" s="81">
        <v>0.0</v>
      </c>
      <c r="L352" s="81">
        <v>1.0</v>
      </c>
      <c r="M352" s="81" t="s">
        <v>3217</v>
      </c>
      <c r="N352" s="81" t="s">
        <v>427</v>
      </c>
      <c r="O352" s="81" t="s">
        <v>3218</v>
      </c>
      <c r="P352" s="81" t="s">
        <v>335</v>
      </c>
      <c r="Q352" s="81">
        <v>3.0</v>
      </c>
      <c r="R352" s="46"/>
    </row>
    <row r="353" ht="15.75" customHeight="1">
      <c r="A353" s="211">
        <v>25.0</v>
      </c>
      <c r="B353" s="46" t="s">
        <v>3265</v>
      </c>
      <c r="C353" s="46" t="s">
        <v>3266</v>
      </c>
      <c r="D353" s="81" t="s">
        <v>25</v>
      </c>
      <c r="E353" s="81" t="s">
        <v>647</v>
      </c>
      <c r="F353" s="213" t="s">
        <v>401</v>
      </c>
      <c r="G353" s="221" t="s">
        <v>3250</v>
      </c>
      <c r="H353" s="81">
        <v>5.0</v>
      </c>
      <c r="I353" s="81">
        <v>20.0</v>
      </c>
      <c r="J353" s="81">
        <v>0.0</v>
      </c>
      <c r="K353" s="81">
        <v>0.0</v>
      </c>
      <c r="L353" s="81">
        <v>1.0</v>
      </c>
      <c r="M353" s="81" t="s">
        <v>3217</v>
      </c>
      <c r="N353" s="81" t="s">
        <v>427</v>
      </c>
      <c r="O353" s="81" t="s">
        <v>3218</v>
      </c>
      <c r="P353" s="81" t="s">
        <v>29</v>
      </c>
      <c r="Q353" s="81">
        <v>2.0</v>
      </c>
      <c r="R353" s="46"/>
    </row>
    <row r="354" ht="15.75" customHeight="1">
      <c r="A354" s="211">
        <v>26.0</v>
      </c>
      <c r="B354" s="46" t="s">
        <v>3267</v>
      </c>
      <c r="C354" s="46" t="s">
        <v>3266</v>
      </c>
      <c r="D354" s="81" t="s">
        <v>25</v>
      </c>
      <c r="E354" s="81" t="s">
        <v>647</v>
      </c>
      <c r="F354" s="213" t="s">
        <v>401</v>
      </c>
      <c r="G354" s="221" t="s">
        <v>3233</v>
      </c>
      <c r="H354" s="81">
        <v>18.0</v>
      </c>
      <c r="I354" s="81">
        <v>90.0</v>
      </c>
      <c r="J354" s="81">
        <v>1.0</v>
      </c>
      <c r="K354" s="81">
        <v>1.0</v>
      </c>
      <c r="L354" s="81">
        <v>0.0</v>
      </c>
      <c r="M354" s="81" t="s">
        <v>3217</v>
      </c>
      <c r="N354" s="81" t="s">
        <v>427</v>
      </c>
      <c r="O354" s="81" t="s">
        <v>3218</v>
      </c>
      <c r="P354" s="81" t="s">
        <v>335</v>
      </c>
      <c r="Q354" s="81">
        <v>3.0</v>
      </c>
      <c r="R354" s="46"/>
    </row>
    <row r="355" ht="15.75" customHeight="1">
      <c r="A355" s="211">
        <v>27.0</v>
      </c>
      <c r="B355" s="46" t="s">
        <v>3268</v>
      </c>
      <c r="C355" s="46" t="s">
        <v>3269</v>
      </c>
      <c r="D355" s="81" t="s">
        <v>25</v>
      </c>
      <c r="E355" s="81" t="s">
        <v>647</v>
      </c>
      <c r="F355" s="213" t="s">
        <v>401</v>
      </c>
      <c r="G355" s="221" t="s">
        <v>3233</v>
      </c>
      <c r="H355" s="81">
        <v>10.0</v>
      </c>
      <c r="I355" s="81">
        <v>50.0</v>
      </c>
      <c r="J355" s="81">
        <v>0.0</v>
      </c>
      <c r="K355" s="81">
        <v>0.0</v>
      </c>
      <c r="L355" s="81">
        <v>1.0</v>
      </c>
      <c r="M355" s="81" t="s">
        <v>3217</v>
      </c>
      <c r="N355" s="81" t="s">
        <v>427</v>
      </c>
      <c r="O355" s="81" t="s">
        <v>3218</v>
      </c>
      <c r="P355" s="81" t="s">
        <v>335</v>
      </c>
      <c r="Q355" s="81">
        <v>3.0</v>
      </c>
      <c r="R355" s="46"/>
    </row>
    <row r="356" ht="15.75" customHeight="1">
      <c r="A356" s="211">
        <v>28.0</v>
      </c>
      <c r="B356" s="46" t="s">
        <v>3270</v>
      </c>
      <c r="C356" s="46" t="s">
        <v>3269</v>
      </c>
      <c r="D356" s="81" t="s">
        <v>25</v>
      </c>
      <c r="E356" s="81" t="s">
        <v>647</v>
      </c>
      <c r="F356" s="213" t="s">
        <v>401</v>
      </c>
      <c r="G356" s="221" t="s">
        <v>3271</v>
      </c>
      <c r="H356" s="81">
        <v>6.0</v>
      </c>
      <c r="I356" s="81">
        <v>30.0</v>
      </c>
      <c r="J356" s="81">
        <v>0.0</v>
      </c>
      <c r="K356" s="81">
        <v>0.0</v>
      </c>
      <c r="L356" s="81">
        <v>1.0</v>
      </c>
      <c r="M356" s="81" t="s">
        <v>3217</v>
      </c>
      <c r="N356" s="81" t="s">
        <v>427</v>
      </c>
      <c r="O356" s="81" t="s">
        <v>3218</v>
      </c>
      <c r="P356" s="81" t="s">
        <v>335</v>
      </c>
      <c r="Q356" s="81">
        <v>3.0</v>
      </c>
      <c r="R356" s="46"/>
    </row>
    <row r="357" ht="15.75" customHeight="1">
      <c r="A357" s="211">
        <v>29.0</v>
      </c>
      <c r="B357" s="46" t="s">
        <v>3272</v>
      </c>
      <c r="C357" s="46" t="s">
        <v>3269</v>
      </c>
      <c r="D357" s="81" t="s">
        <v>25</v>
      </c>
      <c r="E357" s="81" t="s">
        <v>647</v>
      </c>
      <c r="F357" s="213" t="s">
        <v>401</v>
      </c>
      <c r="G357" s="221" t="s">
        <v>3233</v>
      </c>
      <c r="H357" s="81">
        <v>4.0</v>
      </c>
      <c r="I357" s="81">
        <v>20.0</v>
      </c>
      <c r="J357" s="81">
        <v>0.0</v>
      </c>
      <c r="K357" s="81">
        <v>0.0</v>
      </c>
      <c r="L357" s="81">
        <v>1.0</v>
      </c>
      <c r="M357" s="81" t="s">
        <v>3217</v>
      </c>
      <c r="N357" s="81" t="s">
        <v>427</v>
      </c>
      <c r="O357" s="81" t="s">
        <v>3218</v>
      </c>
      <c r="P357" s="81" t="s">
        <v>335</v>
      </c>
      <c r="Q357" s="81">
        <v>2.0</v>
      </c>
      <c r="R357" s="46"/>
    </row>
    <row r="358" ht="15.75" customHeight="1">
      <c r="A358" s="211">
        <v>30.0</v>
      </c>
      <c r="B358" s="46" t="s">
        <v>3273</v>
      </c>
      <c r="C358" s="46" t="s">
        <v>3274</v>
      </c>
      <c r="D358" s="81" t="s">
        <v>25</v>
      </c>
      <c r="E358" s="81" t="s">
        <v>647</v>
      </c>
      <c r="F358" s="213" t="s">
        <v>401</v>
      </c>
      <c r="G358" s="221" t="s">
        <v>3233</v>
      </c>
      <c r="H358" s="81">
        <v>4.0</v>
      </c>
      <c r="I358" s="81">
        <v>20.0</v>
      </c>
      <c r="J358" s="81">
        <v>0.0</v>
      </c>
      <c r="K358" s="81">
        <v>0.0</v>
      </c>
      <c r="L358" s="81">
        <v>1.0</v>
      </c>
      <c r="M358" s="81" t="s">
        <v>3217</v>
      </c>
      <c r="N358" s="81" t="s">
        <v>427</v>
      </c>
      <c r="O358" s="81" t="s">
        <v>3218</v>
      </c>
      <c r="P358" s="81" t="s">
        <v>335</v>
      </c>
      <c r="Q358" s="81">
        <v>2.0</v>
      </c>
      <c r="R358" s="46"/>
    </row>
    <row r="359" ht="15.75" customHeight="1">
      <c r="A359" s="211">
        <v>31.0</v>
      </c>
      <c r="B359" s="46" t="s">
        <v>3275</v>
      </c>
      <c r="C359" s="46" t="s">
        <v>3274</v>
      </c>
      <c r="D359" s="81" t="s">
        <v>25</v>
      </c>
      <c r="E359" s="81" t="s">
        <v>647</v>
      </c>
      <c r="F359" s="213" t="s">
        <v>401</v>
      </c>
      <c r="G359" s="221" t="s">
        <v>3233</v>
      </c>
      <c r="H359" s="81">
        <v>4.0</v>
      </c>
      <c r="I359" s="81">
        <v>20.0</v>
      </c>
      <c r="J359" s="81">
        <v>0.0</v>
      </c>
      <c r="K359" s="81">
        <v>0.0</v>
      </c>
      <c r="L359" s="81">
        <v>1.0</v>
      </c>
      <c r="M359" s="81" t="s">
        <v>3217</v>
      </c>
      <c r="N359" s="81" t="s">
        <v>427</v>
      </c>
      <c r="O359" s="81" t="s">
        <v>3218</v>
      </c>
      <c r="P359" s="81" t="s">
        <v>335</v>
      </c>
      <c r="Q359" s="81">
        <v>2.0</v>
      </c>
      <c r="R359" s="46"/>
    </row>
    <row r="360" ht="15.75" customHeight="1">
      <c r="A360" s="211">
        <v>32.0</v>
      </c>
      <c r="B360" s="46" t="s">
        <v>3276</v>
      </c>
      <c r="C360" s="46" t="s">
        <v>3277</v>
      </c>
      <c r="D360" s="81" t="s">
        <v>25</v>
      </c>
      <c r="E360" s="81" t="s">
        <v>647</v>
      </c>
      <c r="F360" s="213" t="s">
        <v>401</v>
      </c>
      <c r="G360" s="221" t="s">
        <v>3250</v>
      </c>
      <c r="H360" s="81">
        <v>4.0</v>
      </c>
      <c r="I360" s="81">
        <v>20.0</v>
      </c>
      <c r="J360" s="81">
        <v>1.0</v>
      </c>
      <c r="K360" s="81">
        <v>1.0</v>
      </c>
      <c r="L360" s="81">
        <v>0.0</v>
      </c>
      <c r="M360" s="81" t="s">
        <v>3217</v>
      </c>
      <c r="N360" s="81" t="s">
        <v>427</v>
      </c>
      <c r="O360" s="81" t="s">
        <v>3218</v>
      </c>
      <c r="P360" s="81" t="s">
        <v>335</v>
      </c>
      <c r="Q360" s="81">
        <v>2.0</v>
      </c>
      <c r="R360" s="46"/>
    </row>
    <row r="361" ht="15.75" customHeight="1">
      <c r="A361" s="211">
        <v>33.0</v>
      </c>
      <c r="B361" s="46" t="s">
        <v>3278</v>
      </c>
      <c r="C361" s="46" t="s">
        <v>3277</v>
      </c>
      <c r="D361" s="81" t="s">
        <v>25</v>
      </c>
      <c r="E361" s="81" t="s">
        <v>647</v>
      </c>
      <c r="F361" s="213" t="s">
        <v>401</v>
      </c>
      <c r="G361" s="221" t="s">
        <v>3220</v>
      </c>
      <c r="H361" s="81">
        <v>6.0</v>
      </c>
      <c r="I361" s="81">
        <v>30.0</v>
      </c>
      <c r="J361" s="81">
        <v>0.0</v>
      </c>
      <c r="K361" s="81">
        <v>0.0</v>
      </c>
      <c r="L361" s="81">
        <v>1.0</v>
      </c>
      <c r="M361" s="81" t="s">
        <v>3217</v>
      </c>
      <c r="N361" s="81" t="s">
        <v>427</v>
      </c>
      <c r="O361" s="81" t="s">
        <v>3218</v>
      </c>
      <c r="P361" s="81" t="s">
        <v>335</v>
      </c>
      <c r="Q361" s="81">
        <v>3.0</v>
      </c>
      <c r="R361" s="46"/>
    </row>
    <row r="362" ht="15.75" customHeight="1">
      <c r="A362" s="211">
        <v>34.0</v>
      </c>
      <c r="B362" s="46" t="s">
        <v>3279</v>
      </c>
      <c r="C362" s="46" t="s">
        <v>3280</v>
      </c>
      <c r="D362" s="81" t="s">
        <v>25</v>
      </c>
      <c r="E362" s="81" t="s">
        <v>647</v>
      </c>
      <c r="F362" s="213" t="s">
        <v>401</v>
      </c>
      <c r="G362" s="221" t="s">
        <v>3233</v>
      </c>
      <c r="H362" s="81">
        <v>4.0</v>
      </c>
      <c r="I362" s="81">
        <v>20.0</v>
      </c>
      <c r="J362" s="81">
        <v>0.0</v>
      </c>
      <c r="K362" s="81">
        <v>0.0</v>
      </c>
      <c r="L362" s="81">
        <v>1.0</v>
      </c>
      <c r="M362" s="81" t="s">
        <v>3217</v>
      </c>
      <c r="N362" s="81" t="s">
        <v>427</v>
      </c>
      <c r="O362" s="81" t="s">
        <v>3218</v>
      </c>
      <c r="P362" s="81" t="s">
        <v>335</v>
      </c>
      <c r="Q362" s="81">
        <v>2.0</v>
      </c>
      <c r="R362" s="46"/>
    </row>
    <row r="363" ht="15.75" customHeight="1">
      <c r="A363" s="211">
        <v>35.0</v>
      </c>
      <c r="B363" s="46" t="s">
        <v>3281</v>
      </c>
      <c r="C363" s="46" t="s">
        <v>3280</v>
      </c>
      <c r="D363" s="81" t="s">
        <v>25</v>
      </c>
      <c r="E363" s="81" t="s">
        <v>647</v>
      </c>
      <c r="F363" s="213" t="s">
        <v>401</v>
      </c>
      <c r="G363" s="221" t="s">
        <v>3233</v>
      </c>
      <c r="H363" s="81">
        <v>4.0</v>
      </c>
      <c r="I363" s="81">
        <v>20.0</v>
      </c>
      <c r="J363" s="81">
        <v>0.0</v>
      </c>
      <c r="K363" s="81">
        <v>0.0</v>
      </c>
      <c r="L363" s="81">
        <v>1.0</v>
      </c>
      <c r="M363" s="81" t="s">
        <v>3217</v>
      </c>
      <c r="N363" s="81" t="s">
        <v>427</v>
      </c>
      <c r="O363" s="81" t="s">
        <v>3218</v>
      </c>
      <c r="P363" s="81" t="s">
        <v>335</v>
      </c>
      <c r="Q363" s="81">
        <v>2.0</v>
      </c>
      <c r="R363" s="46"/>
    </row>
    <row r="364" ht="15.75" customHeight="1">
      <c r="A364" s="211">
        <v>36.0</v>
      </c>
      <c r="B364" s="46" t="s">
        <v>3282</v>
      </c>
      <c r="C364" s="46" t="s">
        <v>3283</v>
      </c>
      <c r="D364" s="81" t="s">
        <v>25</v>
      </c>
      <c r="E364" s="81" t="s">
        <v>647</v>
      </c>
      <c r="F364" s="213" t="s">
        <v>401</v>
      </c>
      <c r="G364" s="221" t="s">
        <v>3250</v>
      </c>
      <c r="H364" s="81">
        <v>4.0</v>
      </c>
      <c r="I364" s="81">
        <v>20.0</v>
      </c>
      <c r="J364" s="81">
        <v>0.0</v>
      </c>
      <c r="K364" s="81">
        <v>0.0</v>
      </c>
      <c r="L364" s="81">
        <v>1.0</v>
      </c>
      <c r="M364" s="81" t="s">
        <v>3217</v>
      </c>
      <c r="N364" s="81" t="s">
        <v>427</v>
      </c>
      <c r="O364" s="81" t="s">
        <v>3218</v>
      </c>
      <c r="P364" s="81" t="s">
        <v>29</v>
      </c>
      <c r="Q364" s="81">
        <v>2.0</v>
      </c>
      <c r="R364" s="46"/>
    </row>
    <row r="365" ht="15.75" customHeight="1">
      <c r="A365" s="211">
        <v>37.0</v>
      </c>
      <c r="B365" s="46" t="s">
        <v>3284</v>
      </c>
      <c r="C365" s="46" t="s">
        <v>3283</v>
      </c>
      <c r="D365" s="81" t="s">
        <v>25</v>
      </c>
      <c r="E365" s="81" t="s">
        <v>647</v>
      </c>
      <c r="F365" s="213" t="s">
        <v>401</v>
      </c>
      <c r="G365" s="221" t="s">
        <v>3220</v>
      </c>
      <c r="H365" s="81">
        <v>4.0</v>
      </c>
      <c r="I365" s="81">
        <v>20.0</v>
      </c>
      <c r="J365" s="81">
        <v>0.0</v>
      </c>
      <c r="K365" s="81">
        <v>0.0</v>
      </c>
      <c r="L365" s="81">
        <v>1.0</v>
      </c>
      <c r="M365" s="81" t="s">
        <v>3217</v>
      </c>
      <c r="N365" s="81" t="s">
        <v>427</v>
      </c>
      <c r="O365" s="81" t="s">
        <v>3218</v>
      </c>
      <c r="P365" s="81" t="s">
        <v>335</v>
      </c>
      <c r="Q365" s="81">
        <v>2.0</v>
      </c>
      <c r="R365" s="46"/>
    </row>
    <row r="366" ht="15.75" customHeight="1">
      <c r="A366" s="211">
        <v>38.0</v>
      </c>
      <c r="B366" s="46" t="s">
        <v>3285</v>
      </c>
      <c r="C366" s="46" t="s">
        <v>3286</v>
      </c>
      <c r="D366" s="81" t="s">
        <v>25</v>
      </c>
      <c r="E366" s="81" t="s">
        <v>647</v>
      </c>
      <c r="F366" s="213" t="s">
        <v>401</v>
      </c>
      <c r="G366" s="221" t="s">
        <v>3287</v>
      </c>
      <c r="H366" s="81">
        <v>50.0</v>
      </c>
      <c r="I366" s="81">
        <v>250.0</v>
      </c>
      <c r="J366" s="81">
        <v>2.0</v>
      </c>
      <c r="K366" s="81">
        <v>2.0</v>
      </c>
      <c r="L366" s="81">
        <v>0.0</v>
      </c>
      <c r="M366" s="81" t="s">
        <v>3217</v>
      </c>
      <c r="N366" s="81" t="s">
        <v>427</v>
      </c>
      <c r="O366" s="81" t="s">
        <v>3218</v>
      </c>
      <c r="P366" s="81" t="s">
        <v>335</v>
      </c>
      <c r="Q366" s="81">
        <v>20.0</v>
      </c>
      <c r="R366" s="46"/>
    </row>
    <row r="367" ht="15.75" customHeight="1">
      <c r="A367" s="211">
        <v>39.0</v>
      </c>
      <c r="B367" s="46" t="s">
        <v>3288</v>
      </c>
      <c r="C367" s="46" t="s">
        <v>3286</v>
      </c>
      <c r="D367" s="81" t="s">
        <v>25</v>
      </c>
      <c r="E367" s="81" t="s">
        <v>647</v>
      </c>
      <c r="F367" s="213" t="s">
        <v>401</v>
      </c>
      <c r="G367" s="221" t="s">
        <v>3287</v>
      </c>
      <c r="H367" s="81">
        <v>40.0</v>
      </c>
      <c r="I367" s="81">
        <v>200.0</v>
      </c>
      <c r="J367" s="81">
        <v>3.0</v>
      </c>
      <c r="K367" s="81">
        <v>3.0</v>
      </c>
      <c r="L367" s="81">
        <v>0.0</v>
      </c>
      <c r="M367" s="81" t="s">
        <v>3217</v>
      </c>
      <c r="N367" s="81" t="s">
        <v>427</v>
      </c>
      <c r="O367" s="81" t="s">
        <v>3218</v>
      </c>
      <c r="P367" s="81" t="s">
        <v>335</v>
      </c>
      <c r="Q367" s="81">
        <v>20.0</v>
      </c>
      <c r="R367" s="46"/>
    </row>
    <row r="368" ht="15.75" customHeight="1">
      <c r="A368" s="211">
        <v>40.0</v>
      </c>
      <c r="B368" s="46" t="s">
        <v>43</v>
      </c>
      <c r="C368" s="46" t="s">
        <v>3286</v>
      </c>
      <c r="D368" s="81" t="s">
        <v>25</v>
      </c>
      <c r="E368" s="81" t="s">
        <v>647</v>
      </c>
      <c r="F368" s="213" t="s">
        <v>401</v>
      </c>
      <c r="G368" s="221" t="s">
        <v>3289</v>
      </c>
      <c r="H368" s="81">
        <v>40.0</v>
      </c>
      <c r="I368" s="81">
        <v>200.0</v>
      </c>
      <c r="J368" s="81">
        <v>6.0</v>
      </c>
      <c r="K368" s="81">
        <v>4.0</v>
      </c>
      <c r="L368" s="81">
        <v>0.0</v>
      </c>
      <c r="M368" s="81" t="s">
        <v>3217</v>
      </c>
      <c r="N368" s="81" t="s">
        <v>427</v>
      </c>
      <c r="O368" s="81" t="s">
        <v>3290</v>
      </c>
      <c r="P368" s="81" t="s">
        <v>66</v>
      </c>
      <c r="Q368" s="81">
        <v>20.0</v>
      </c>
      <c r="R368" s="46"/>
    </row>
    <row r="369" ht="15.75" customHeight="1">
      <c r="A369" s="211">
        <v>41.0</v>
      </c>
      <c r="B369" s="46" t="s">
        <v>3291</v>
      </c>
      <c r="C369" s="46" t="s">
        <v>3292</v>
      </c>
      <c r="D369" s="81" t="s">
        <v>25</v>
      </c>
      <c r="E369" s="81" t="s">
        <v>647</v>
      </c>
      <c r="F369" s="213" t="s">
        <v>401</v>
      </c>
      <c r="G369" s="221" t="s">
        <v>3250</v>
      </c>
      <c r="H369" s="81">
        <v>4.0</v>
      </c>
      <c r="I369" s="81">
        <v>20.0</v>
      </c>
      <c r="J369" s="81">
        <v>0.0</v>
      </c>
      <c r="K369" s="81">
        <v>0.0</v>
      </c>
      <c r="L369" s="81">
        <v>1.0</v>
      </c>
      <c r="M369" s="81" t="s">
        <v>3217</v>
      </c>
      <c r="N369" s="81" t="s">
        <v>427</v>
      </c>
      <c r="O369" s="81" t="s">
        <v>3218</v>
      </c>
      <c r="P369" s="81" t="s">
        <v>29</v>
      </c>
      <c r="Q369" s="81">
        <v>2.0</v>
      </c>
      <c r="R369" s="46"/>
    </row>
    <row r="370" ht="15.75" customHeight="1">
      <c r="A370" s="211">
        <v>42.0</v>
      </c>
      <c r="B370" s="46" t="s">
        <v>3293</v>
      </c>
      <c r="C370" s="46" t="s">
        <v>3292</v>
      </c>
      <c r="D370" s="81" t="s">
        <v>25</v>
      </c>
      <c r="E370" s="81" t="s">
        <v>647</v>
      </c>
      <c r="F370" s="213" t="s">
        <v>401</v>
      </c>
      <c r="G370" s="221" t="s">
        <v>3220</v>
      </c>
      <c r="H370" s="81">
        <v>6.0</v>
      </c>
      <c r="I370" s="81">
        <v>30.0</v>
      </c>
      <c r="J370" s="81">
        <v>0.0</v>
      </c>
      <c r="K370" s="81">
        <v>0.0</v>
      </c>
      <c r="L370" s="81">
        <v>1.0</v>
      </c>
      <c r="M370" s="81" t="s">
        <v>3217</v>
      </c>
      <c r="N370" s="81" t="s">
        <v>427</v>
      </c>
      <c r="O370" s="81" t="s">
        <v>3218</v>
      </c>
      <c r="P370" s="81" t="s">
        <v>335</v>
      </c>
      <c r="Q370" s="81">
        <v>3.0</v>
      </c>
      <c r="R370" s="46"/>
    </row>
    <row r="371" ht="15.75" customHeight="1">
      <c r="A371" s="211">
        <v>43.0</v>
      </c>
      <c r="B371" s="46" t="s">
        <v>3294</v>
      </c>
      <c r="C371" s="46" t="s">
        <v>3295</v>
      </c>
      <c r="D371" s="81" t="s">
        <v>25</v>
      </c>
      <c r="E371" s="81" t="s">
        <v>647</v>
      </c>
      <c r="F371" s="213" t="s">
        <v>401</v>
      </c>
      <c r="G371" s="221" t="s">
        <v>3220</v>
      </c>
      <c r="H371" s="81">
        <v>6.0</v>
      </c>
      <c r="I371" s="81">
        <v>30.0</v>
      </c>
      <c r="J371" s="81">
        <v>0.0</v>
      </c>
      <c r="K371" s="81">
        <v>0.0</v>
      </c>
      <c r="L371" s="81">
        <v>1.0</v>
      </c>
      <c r="M371" s="81" t="s">
        <v>3217</v>
      </c>
      <c r="N371" s="81" t="s">
        <v>427</v>
      </c>
      <c r="O371" s="81" t="s">
        <v>3218</v>
      </c>
      <c r="P371" s="81" t="s">
        <v>335</v>
      </c>
      <c r="Q371" s="81">
        <v>3.0</v>
      </c>
      <c r="R371" s="46"/>
    </row>
    <row r="372" ht="15.75" customHeight="1">
      <c r="A372" s="211">
        <v>44.0</v>
      </c>
      <c r="B372" s="46" t="s">
        <v>3296</v>
      </c>
      <c r="C372" s="46" t="s">
        <v>3295</v>
      </c>
      <c r="D372" s="81" t="s">
        <v>25</v>
      </c>
      <c r="E372" s="81" t="s">
        <v>647</v>
      </c>
      <c r="F372" s="213" t="s">
        <v>401</v>
      </c>
      <c r="G372" s="221" t="s">
        <v>3250</v>
      </c>
      <c r="H372" s="81">
        <v>4.0</v>
      </c>
      <c r="I372" s="81">
        <v>20.0</v>
      </c>
      <c r="J372" s="81">
        <v>0.0</v>
      </c>
      <c r="K372" s="81">
        <v>0.0</v>
      </c>
      <c r="L372" s="81">
        <v>1.0</v>
      </c>
      <c r="M372" s="81" t="s">
        <v>3217</v>
      </c>
      <c r="N372" s="81" t="s">
        <v>427</v>
      </c>
      <c r="O372" s="81" t="s">
        <v>3218</v>
      </c>
      <c r="P372" s="81" t="s">
        <v>29</v>
      </c>
      <c r="Q372" s="81">
        <v>2.0</v>
      </c>
      <c r="R372" s="46"/>
    </row>
    <row r="373" ht="15.75" customHeight="1">
      <c r="A373" s="211">
        <v>45.0</v>
      </c>
      <c r="B373" s="46" t="s">
        <v>3297</v>
      </c>
      <c r="C373" s="46" t="s">
        <v>3295</v>
      </c>
      <c r="D373" s="81" t="s">
        <v>25</v>
      </c>
      <c r="E373" s="81" t="s">
        <v>647</v>
      </c>
      <c r="F373" s="213" t="s">
        <v>401</v>
      </c>
      <c r="G373" s="221" t="s">
        <v>3233</v>
      </c>
      <c r="H373" s="81">
        <v>18.0</v>
      </c>
      <c r="I373" s="81">
        <v>90.0</v>
      </c>
      <c r="J373" s="81">
        <v>1.0</v>
      </c>
      <c r="K373" s="81">
        <v>1.0</v>
      </c>
      <c r="L373" s="81">
        <v>0.0</v>
      </c>
      <c r="M373" s="81" t="s">
        <v>3217</v>
      </c>
      <c r="N373" s="81" t="s">
        <v>427</v>
      </c>
      <c r="O373" s="81" t="s">
        <v>3218</v>
      </c>
      <c r="P373" s="81" t="s">
        <v>335</v>
      </c>
      <c r="Q373" s="81">
        <v>5.0</v>
      </c>
      <c r="R373" s="46"/>
    </row>
    <row r="374" ht="15.75" customHeight="1">
      <c r="A374" s="211">
        <v>46.0</v>
      </c>
      <c r="B374" s="46" t="s">
        <v>3298</v>
      </c>
      <c r="C374" s="46" t="s">
        <v>3299</v>
      </c>
      <c r="D374" s="81" t="s">
        <v>25</v>
      </c>
      <c r="E374" s="81" t="s">
        <v>647</v>
      </c>
      <c r="F374" s="213" t="s">
        <v>401</v>
      </c>
      <c r="G374" s="221" t="s">
        <v>3233</v>
      </c>
      <c r="H374" s="81">
        <v>12.0</v>
      </c>
      <c r="I374" s="81">
        <v>60.0</v>
      </c>
      <c r="J374" s="81">
        <v>1.0</v>
      </c>
      <c r="K374" s="81">
        <v>1.0</v>
      </c>
      <c r="L374" s="81">
        <v>0.0</v>
      </c>
      <c r="M374" s="81" t="s">
        <v>3217</v>
      </c>
      <c r="N374" s="81" t="s">
        <v>427</v>
      </c>
      <c r="O374" s="81" t="s">
        <v>3218</v>
      </c>
      <c r="P374" s="81" t="s">
        <v>335</v>
      </c>
      <c r="Q374" s="81">
        <v>5.0</v>
      </c>
      <c r="R374" s="46"/>
    </row>
    <row r="375" ht="15.75" customHeight="1">
      <c r="A375" s="211">
        <v>47.0</v>
      </c>
      <c r="B375" s="46" t="s">
        <v>3300</v>
      </c>
      <c r="C375" s="46" t="s">
        <v>3299</v>
      </c>
      <c r="D375" s="81" t="s">
        <v>25</v>
      </c>
      <c r="E375" s="81" t="s">
        <v>647</v>
      </c>
      <c r="F375" s="213" t="s">
        <v>401</v>
      </c>
      <c r="G375" s="221" t="s">
        <v>3233</v>
      </c>
      <c r="H375" s="81">
        <v>12.0</v>
      </c>
      <c r="I375" s="81">
        <v>60.0</v>
      </c>
      <c r="J375" s="81">
        <v>1.0</v>
      </c>
      <c r="K375" s="81">
        <v>1.0</v>
      </c>
      <c r="L375" s="81">
        <v>0.0</v>
      </c>
      <c r="M375" s="81" t="s">
        <v>3217</v>
      </c>
      <c r="N375" s="81" t="s">
        <v>427</v>
      </c>
      <c r="O375" s="81" t="s">
        <v>3218</v>
      </c>
      <c r="P375" s="81" t="s">
        <v>335</v>
      </c>
      <c r="Q375" s="81">
        <v>5.0</v>
      </c>
      <c r="R375" s="46"/>
    </row>
    <row r="376" ht="15.75" customHeight="1">
      <c r="A376" s="211">
        <v>48.0</v>
      </c>
      <c r="B376" s="46" t="s">
        <v>777</v>
      </c>
      <c r="C376" s="46" t="s">
        <v>3301</v>
      </c>
      <c r="D376" s="81" t="s">
        <v>25</v>
      </c>
      <c r="E376" s="81" t="s">
        <v>647</v>
      </c>
      <c r="F376" s="213" t="s">
        <v>401</v>
      </c>
      <c r="G376" s="221" t="s">
        <v>3233</v>
      </c>
      <c r="H376" s="81">
        <v>4.0</v>
      </c>
      <c r="I376" s="81">
        <v>20.0</v>
      </c>
      <c r="J376" s="81">
        <v>0.0</v>
      </c>
      <c r="K376" s="81">
        <v>0.0</v>
      </c>
      <c r="L376" s="81">
        <v>1.0</v>
      </c>
      <c r="M376" s="81" t="s">
        <v>3217</v>
      </c>
      <c r="N376" s="81" t="s">
        <v>427</v>
      </c>
      <c r="O376" s="81" t="s">
        <v>3218</v>
      </c>
      <c r="P376" s="81" t="s">
        <v>335</v>
      </c>
      <c r="Q376" s="81">
        <v>2.0</v>
      </c>
      <c r="R376" s="46"/>
    </row>
    <row r="377" ht="15.75" customHeight="1">
      <c r="A377" s="211">
        <v>49.0</v>
      </c>
      <c r="B377" s="46" t="s">
        <v>1814</v>
      </c>
      <c r="C377" s="46" t="s">
        <v>3301</v>
      </c>
      <c r="D377" s="81" t="s">
        <v>25</v>
      </c>
      <c r="E377" s="81" t="s">
        <v>647</v>
      </c>
      <c r="F377" s="213" t="s">
        <v>401</v>
      </c>
      <c r="G377" s="221" t="s">
        <v>3220</v>
      </c>
      <c r="H377" s="81">
        <v>4.0</v>
      </c>
      <c r="I377" s="81">
        <v>20.0</v>
      </c>
      <c r="J377" s="81">
        <v>0.0</v>
      </c>
      <c r="K377" s="81">
        <v>0.0</v>
      </c>
      <c r="L377" s="81">
        <v>1.0</v>
      </c>
      <c r="M377" s="81" t="s">
        <v>3217</v>
      </c>
      <c r="N377" s="81" t="s">
        <v>427</v>
      </c>
      <c r="O377" s="81" t="s">
        <v>3218</v>
      </c>
      <c r="P377" s="81" t="s">
        <v>335</v>
      </c>
      <c r="Q377" s="81">
        <v>2.0</v>
      </c>
      <c r="R377" s="46"/>
    </row>
    <row r="378" ht="15.75" customHeight="1">
      <c r="A378" s="211">
        <v>50.0</v>
      </c>
      <c r="B378" s="46" t="s">
        <v>749</v>
      </c>
      <c r="C378" s="46" t="s">
        <v>3302</v>
      </c>
      <c r="D378" s="81" t="s">
        <v>25</v>
      </c>
      <c r="E378" s="81" t="s">
        <v>647</v>
      </c>
      <c r="F378" s="213" t="s">
        <v>401</v>
      </c>
      <c r="G378" s="221" t="s">
        <v>3220</v>
      </c>
      <c r="H378" s="81">
        <v>4.0</v>
      </c>
      <c r="I378" s="81">
        <v>20.0</v>
      </c>
      <c r="J378" s="81">
        <v>0.0</v>
      </c>
      <c r="K378" s="81">
        <v>0.0</v>
      </c>
      <c r="L378" s="81">
        <v>1.0</v>
      </c>
      <c r="M378" s="81" t="s">
        <v>3217</v>
      </c>
      <c r="N378" s="81" t="s">
        <v>427</v>
      </c>
      <c r="O378" s="81" t="s">
        <v>3218</v>
      </c>
      <c r="P378" s="81" t="s">
        <v>335</v>
      </c>
      <c r="Q378" s="81">
        <v>2.0</v>
      </c>
      <c r="R378" s="46"/>
    </row>
    <row r="379" ht="15.75" customHeight="1">
      <c r="A379" s="211">
        <v>51.0</v>
      </c>
      <c r="B379" s="46" t="s">
        <v>3303</v>
      </c>
      <c r="C379" s="46" t="s">
        <v>3302</v>
      </c>
      <c r="D379" s="81" t="s">
        <v>25</v>
      </c>
      <c r="E379" s="81" t="s">
        <v>647</v>
      </c>
      <c r="F379" s="213" t="s">
        <v>401</v>
      </c>
      <c r="G379" s="221" t="s">
        <v>3220</v>
      </c>
      <c r="H379" s="81">
        <v>4.0</v>
      </c>
      <c r="I379" s="81">
        <v>20.0</v>
      </c>
      <c r="J379" s="81">
        <v>0.0</v>
      </c>
      <c r="K379" s="81">
        <v>0.0</v>
      </c>
      <c r="L379" s="81">
        <v>1.0</v>
      </c>
      <c r="M379" s="81" t="s">
        <v>3217</v>
      </c>
      <c r="N379" s="81" t="s">
        <v>427</v>
      </c>
      <c r="O379" s="81" t="s">
        <v>3218</v>
      </c>
      <c r="P379" s="81" t="s">
        <v>335</v>
      </c>
      <c r="Q379" s="81">
        <v>2.0</v>
      </c>
      <c r="R379" s="46"/>
    </row>
    <row r="380" ht="15.75" customHeight="1">
      <c r="A380" s="211">
        <v>52.0</v>
      </c>
      <c r="B380" s="46" t="s">
        <v>3304</v>
      </c>
      <c r="C380" s="46" t="s">
        <v>3305</v>
      </c>
      <c r="D380" s="81" t="s">
        <v>25</v>
      </c>
      <c r="E380" s="81" t="s">
        <v>647</v>
      </c>
      <c r="F380" s="213" t="s">
        <v>401</v>
      </c>
      <c r="G380" s="221" t="s">
        <v>3233</v>
      </c>
      <c r="H380" s="81">
        <v>4.0</v>
      </c>
      <c r="I380" s="81">
        <v>20.0</v>
      </c>
      <c r="J380" s="81">
        <v>1.0</v>
      </c>
      <c r="K380" s="81">
        <v>1.0</v>
      </c>
      <c r="L380" s="81">
        <v>0.0</v>
      </c>
      <c r="M380" s="81" t="s">
        <v>3217</v>
      </c>
      <c r="N380" s="81" t="s">
        <v>427</v>
      </c>
      <c r="O380" s="81" t="s">
        <v>3218</v>
      </c>
      <c r="P380" s="81" t="s">
        <v>335</v>
      </c>
      <c r="Q380" s="81">
        <v>2.0</v>
      </c>
      <c r="R380" s="46"/>
    </row>
    <row r="381" ht="15.75" customHeight="1">
      <c r="A381" s="211">
        <v>53.0</v>
      </c>
      <c r="B381" s="46" t="s">
        <v>3306</v>
      </c>
      <c r="C381" s="46" t="s">
        <v>3305</v>
      </c>
      <c r="D381" s="81" t="s">
        <v>25</v>
      </c>
      <c r="E381" s="81" t="s">
        <v>647</v>
      </c>
      <c r="F381" s="213" t="s">
        <v>401</v>
      </c>
      <c r="G381" s="221" t="s">
        <v>3250</v>
      </c>
      <c r="H381" s="81">
        <v>4.0</v>
      </c>
      <c r="I381" s="81">
        <v>20.0</v>
      </c>
      <c r="J381" s="81">
        <v>0.0</v>
      </c>
      <c r="K381" s="81">
        <v>0.0</v>
      </c>
      <c r="L381" s="81">
        <v>1.0</v>
      </c>
      <c r="M381" s="81" t="s">
        <v>3217</v>
      </c>
      <c r="N381" s="81" t="s">
        <v>427</v>
      </c>
      <c r="O381" s="81" t="s">
        <v>3218</v>
      </c>
      <c r="P381" s="81" t="s">
        <v>29</v>
      </c>
      <c r="Q381" s="81">
        <v>2.0</v>
      </c>
      <c r="R381" s="46"/>
    </row>
    <row r="382" ht="15.75" customHeight="1">
      <c r="A382" s="211">
        <v>54.0</v>
      </c>
      <c r="B382" s="46" t="s">
        <v>3307</v>
      </c>
      <c r="C382" s="46" t="s">
        <v>3305</v>
      </c>
      <c r="D382" s="81" t="s">
        <v>25</v>
      </c>
      <c r="E382" s="81" t="s">
        <v>647</v>
      </c>
      <c r="F382" s="213" t="s">
        <v>401</v>
      </c>
      <c r="G382" s="221" t="s">
        <v>3237</v>
      </c>
      <c r="H382" s="81">
        <v>4.0</v>
      </c>
      <c r="I382" s="81">
        <v>20.0</v>
      </c>
      <c r="J382" s="81">
        <v>0.0</v>
      </c>
      <c r="K382" s="81">
        <v>0.0</v>
      </c>
      <c r="L382" s="81">
        <v>1.0</v>
      </c>
      <c r="M382" s="81" t="s">
        <v>3217</v>
      </c>
      <c r="N382" s="81" t="s">
        <v>427</v>
      </c>
      <c r="O382" s="81" t="s">
        <v>3218</v>
      </c>
      <c r="P382" s="81" t="s">
        <v>335</v>
      </c>
      <c r="Q382" s="81">
        <v>2.0</v>
      </c>
      <c r="R382" s="46"/>
    </row>
    <row r="383" ht="15.75" customHeight="1">
      <c r="A383" s="211">
        <v>55.0</v>
      </c>
      <c r="B383" s="46" t="s">
        <v>1563</v>
      </c>
      <c r="C383" s="46" t="s">
        <v>3308</v>
      </c>
      <c r="D383" s="81" t="s">
        <v>25</v>
      </c>
      <c r="E383" s="81" t="s">
        <v>647</v>
      </c>
      <c r="F383" s="213" t="s">
        <v>401</v>
      </c>
      <c r="G383" s="221" t="s">
        <v>3237</v>
      </c>
      <c r="H383" s="81">
        <v>4.0</v>
      </c>
      <c r="I383" s="81">
        <v>20.0</v>
      </c>
      <c r="J383" s="81">
        <v>0.0</v>
      </c>
      <c r="K383" s="81">
        <v>0.0</v>
      </c>
      <c r="L383" s="81">
        <v>1.0</v>
      </c>
      <c r="M383" s="81" t="s">
        <v>3217</v>
      </c>
      <c r="N383" s="81" t="s">
        <v>427</v>
      </c>
      <c r="O383" s="81" t="s">
        <v>3218</v>
      </c>
      <c r="P383" s="81" t="s">
        <v>29</v>
      </c>
      <c r="Q383" s="81">
        <v>2.0</v>
      </c>
      <c r="R383" s="46"/>
    </row>
    <row r="384" ht="15.75" customHeight="1">
      <c r="A384" s="211">
        <v>56.0</v>
      </c>
      <c r="B384" s="46" t="s">
        <v>3309</v>
      </c>
      <c r="C384" s="46" t="s">
        <v>3308</v>
      </c>
      <c r="D384" s="81" t="s">
        <v>25</v>
      </c>
      <c r="E384" s="81" t="s">
        <v>647</v>
      </c>
      <c r="F384" s="213" t="s">
        <v>401</v>
      </c>
      <c r="G384" s="221" t="s">
        <v>3250</v>
      </c>
      <c r="H384" s="81">
        <v>4.0</v>
      </c>
      <c r="I384" s="81">
        <v>20.0</v>
      </c>
      <c r="J384" s="81">
        <v>1.0</v>
      </c>
      <c r="K384" s="81">
        <v>1.0</v>
      </c>
      <c r="L384" s="81">
        <v>0.0</v>
      </c>
      <c r="M384" s="81" t="s">
        <v>3217</v>
      </c>
      <c r="N384" s="81" t="s">
        <v>427</v>
      </c>
      <c r="O384" s="81" t="s">
        <v>3218</v>
      </c>
      <c r="P384" s="81" t="s">
        <v>335</v>
      </c>
      <c r="Q384" s="81">
        <v>2.0</v>
      </c>
      <c r="R384" s="46"/>
    </row>
    <row r="385" ht="15.75" customHeight="1">
      <c r="A385" s="211">
        <v>57.0</v>
      </c>
      <c r="B385" s="46" t="s">
        <v>3310</v>
      </c>
      <c r="C385" s="46" t="s">
        <v>3311</v>
      </c>
      <c r="D385" s="81" t="s">
        <v>25</v>
      </c>
      <c r="E385" s="81" t="s">
        <v>647</v>
      </c>
      <c r="F385" s="213" t="s">
        <v>401</v>
      </c>
      <c r="G385" s="221" t="s">
        <v>3312</v>
      </c>
      <c r="H385" s="81">
        <v>2.0</v>
      </c>
      <c r="I385" s="81">
        <v>10.0</v>
      </c>
      <c r="J385" s="81">
        <v>0.0</v>
      </c>
      <c r="K385" s="81">
        <v>0.0</v>
      </c>
      <c r="L385" s="81">
        <v>1.0</v>
      </c>
      <c r="M385" s="81" t="s">
        <v>3217</v>
      </c>
      <c r="N385" s="81" t="s">
        <v>427</v>
      </c>
      <c r="O385" s="81" t="s">
        <v>3218</v>
      </c>
      <c r="P385" s="81" t="s">
        <v>335</v>
      </c>
      <c r="Q385" s="81">
        <v>2.0</v>
      </c>
      <c r="R385" s="46"/>
    </row>
    <row r="386" ht="15.75" customHeight="1">
      <c r="A386" s="211">
        <v>58.0</v>
      </c>
      <c r="B386" s="46" t="s">
        <v>3313</v>
      </c>
      <c r="C386" s="46" t="s">
        <v>3311</v>
      </c>
      <c r="D386" s="81" t="s">
        <v>25</v>
      </c>
      <c r="E386" s="81" t="s">
        <v>647</v>
      </c>
      <c r="F386" s="213" t="s">
        <v>401</v>
      </c>
      <c r="G386" s="221" t="s">
        <v>3250</v>
      </c>
      <c r="H386" s="81">
        <v>4.0</v>
      </c>
      <c r="I386" s="81">
        <v>20.0</v>
      </c>
      <c r="J386" s="81">
        <v>0.0</v>
      </c>
      <c r="K386" s="81">
        <v>0.0</v>
      </c>
      <c r="L386" s="81">
        <v>1.0</v>
      </c>
      <c r="M386" s="81" t="s">
        <v>3217</v>
      </c>
      <c r="N386" s="81" t="s">
        <v>427</v>
      </c>
      <c r="O386" s="81" t="s">
        <v>3218</v>
      </c>
      <c r="P386" s="81" t="s">
        <v>29</v>
      </c>
      <c r="Q386" s="81">
        <v>2.0</v>
      </c>
      <c r="R386" s="46"/>
    </row>
    <row r="387" ht="15.75" customHeight="1">
      <c r="A387" s="211">
        <v>59.0</v>
      </c>
      <c r="B387" s="46" t="s">
        <v>3314</v>
      </c>
      <c r="C387" s="46" t="s">
        <v>3311</v>
      </c>
      <c r="D387" s="81" t="s">
        <v>25</v>
      </c>
      <c r="E387" s="81" t="s">
        <v>647</v>
      </c>
      <c r="F387" s="213" t="s">
        <v>401</v>
      </c>
      <c r="G387" s="221" t="s">
        <v>3233</v>
      </c>
      <c r="H387" s="81">
        <v>18.0</v>
      </c>
      <c r="I387" s="81">
        <v>90.0</v>
      </c>
      <c r="J387" s="81">
        <v>1.0</v>
      </c>
      <c r="K387" s="81">
        <v>1.0</v>
      </c>
      <c r="L387" s="81">
        <v>0.0</v>
      </c>
      <c r="M387" s="81" t="s">
        <v>3217</v>
      </c>
      <c r="N387" s="81" t="s">
        <v>427</v>
      </c>
      <c r="O387" s="81" t="s">
        <v>3218</v>
      </c>
      <c r="P387" s="81" t="s">
        <v>335</v>
      </c>
      <c r="Q387" s="81">
        <v>5.0</v>
      </c>
      <c r="R387" s="46"/>
    </row>
    <row r="388" ht="15.75" customHeight="1">
      <c r="A388" s="211">
        <v>60.0</v>
      </c>
      <c r="B388" s="46" t="s">
        <v>3315</v>
      </c>
      <c r="C388" s="46" t="s">
        <v>3316</v>
      </c>
      <c r="D388" s="81" t="s">
        <v>25</v>
      </c>
      <c r="E388" s="81" t="s">
        <v>647</v>
      </c>
      <c r="F388" s="213" t="s">
        <v>401</v>
      </c>
      <c r="G388" s="221" t="s">
        <v>3250</v>
      </c>
      <c r="H388" s="81">
        <v>4.0</v>
      </c>
      <c r="I388" s="81">
        <v>20.0</v>
      </c>
      <c r="J388" s="81">
        <v>1.0</v>
      </c>
      <c r="K388" s="81">
        <v>1.0</v>
      </c>
      <c r="L388" s="81">
        <v>0.0</v>
      </c>
      <c r="M388" s="81" t="s">
        <v>3217</v>
      </c>
      <c r="N388" s="81" t="s">
        <v>427</v>
      </c>
      <c r="O388" s="81" t="s">
        <v>3218</v>
      </c>
      <c r="P388" s="81" t="s">
        <v>335</v>
      </c>
      <c r="Q388" s="81">
        <v>2.0</v>
      </c>
      <c r="R388" s="46"/>
    </row>
    <row r="389" ht="15.75" customHeight="1">
      <c r="A389" s="211">
        <v>61.0</v>
      </c>
      <c r="B389" s="46" t="s">
        <v>3317</v>
      </c>
      <c r="C389" s="46" t="s">
        <v>3316</v>
      </c>
      <c r="D389" s="81" t="s">
        <v>25</v>
      </c>
      <c r="E389" s="81" t="s">
        <v>647</v>
      </c>
      <c r="F389" s="213" t="s">
        <v>401</v>
      </c>
      <c r="G389" s="221" t="s">
        <v>3220</v>
      </c>
      <c r="H389" s="81">
        <v>6.0</v>
      </c>
      <c r="I389" s="81">
        <v>30.0</v>
      </c>
      <c r="J389" s="81">
        <v>0.0</v>
      </c>
      <c r="K389" s="81">
        <v>0.0</v>
      </c>
      <c r="L389" s="81">
        <v>1.0</v>
      </c>
      <c r="M389" s="81" t="s">
        <v>3217</v>
      </c>
      <c r="N389" s="81" t="s">
        <v>427</v>
      </c>
      <c r="O389" s="81" t="s">
        <v>3218</v>
      </c>
      <c r="P389" s="81" t="s">
        <v>335</v>
      </c>
      <c r="Q389" s="81">
        <v>3.0</v>
      </c>
      <c r="R389" s="46"/>
    </row>
    <row r="390" ht="15.75" customHeight="1">
      <c r="A390" s="211">
        <v>62.0</v>
      </c>
      <c r="B390" s="46" t="s">
        <v>3318</v>
      </c>
      <c r="C390" s="46" t="s">
        <v>3319</v>
      </c>
      <c r="D390" s="81" t="s">
        <v>25</v>
      </c>
      <c r="E390" s="81" t="s">
        <v>647</v>
      </c>
      <c r="F390" s="213" t="s">
        <v>401</v>
      </c>
      <c r="G390" s="221" t="s">
        <v>3250</v>
      </c>
      <c r="H390" s="81">
        <v>4.0</v>
      </c>
      <c r="I390" s="81">
        <v>20.0</v>
      </c>
      <c r="J390" s="81">
        <v>1.0</v>
      </c>
      <c r="K390" s="81">
        <v>1.0</v>
      </c>
      <c r="L390" s="81">
        <v>0.0</v>
      </c>
      <c r="M390" s="81" t="s">
        <v>3217</v>
      </c>
      <c r="N390" s="81" t="s">
        <v>427</v>
      </c>
      <c r="O390" s="81" t="s">
        <v>3218</v>
      </c>
      <c r="P390" s="81" t="s">
        <v>335</v>
      </c>
      <c r="Q390" s="81">
        <v>2.0</v>
      </c>
      <c r="R390" s="46"/>
    </row>
    <row r="391" ht="15.75" customHeight="1">
      <c r="A391" s="211">
        <v>63.0</v>
      </c>
      <c r="B391" s="46" t="s">
        <v>3320</v>
      </c>
      <c r="C391" s="46" t="s">
        <v>3319</v>
      </c>
      <c r="D391" s="81" t="s">
        <v>25</v>
      </c>
      <c r="E391" s="81" t="s">
        <v>647</v>
      </c>
      <c r="F391" s="213" t="s">
        <v>401</v>
      </c>
      <c r="G391" s="221" t="s">
        <v>3321</v>
      </c>
      <c r="H391" s="81">
        <v>4.0</v>
      </c>
      <c r="I391" s="81">
        <v>20.0</v>
      </c>
      <c r="J391" s="81">
        <v>0.0</v>
      </c>
      <c r="K391" s="81">
        <v>0.0</v>
      </c>
      <c r="L391" s="81">
        <v>1.0</v>
      </c>
      <c r="M391" s="81" t="s">
        <v>3217</v>
      </c>
      <c r="N391" s="81" t="s">
        <v>427</v>
      </c>
      <c r="O391" s="81" t="s">
        <v>3218</v>
      </c>
      <c r="P391" s="81" t="s">
        <v>335</v>
      </c>
      <c r="Q391" s="81">
        <v>2.0</v>
      </c>
      <c r="R391" s="46"/>
    </row>
    <row r="392" ht="15.75" customHeight="1">
      <c r="A392" s="211">
        <v>64.0</v>
      </c>
      <c r="B392" s="46" t="s">
        <v>3322</v>
      </c>
      <c r="C392" s="46" t="s">
        <v>3323</v>
      </c>
      <c r="D392" s="81" t="s">
        <v>25</v>
      </c>
      <c r="E392" s="81" t="s">
        <v>647</v>
      </c>
      <c r="F392" s="213" t="s">
        <v>401</v>
      </c>
      <c r="G392" s="221" t="s">
        <v>3220</v>
      </c>
      <c r="H392" s="81">
        <v>4.0</v>
      </c>
      <c r="I392" s="81">
        <v>20.0</v>
      </c>
      <c r="J392" s="81">
        <v>0.0</v>
      </c>
      <c r="K392" s="81">
        <v>0.0</v>
      </c>
      <c r="L392" s="81">
        <v>1.0</v>
      </c>
      <c r="M392" s="81" t="s">
        <v>3217</v>
      </c>
      <c r="N392" s="81" t="s">
        <v>427</v>
      </c>
      <c r="O392" s="81" t="s">
        <v>3218</v>
      </c>
      <c r="P392" s="81" t="s">
        <v>335</v>
      </c>
      <c r="Q392" s="81">
        <v>2.0</v>
      </c>
      <c r="R392" s="46"/>
    </row>
    <row r="393" ht="15.75" customHeight="1">
      <c r="A393" s="211">
        <v>65.0</v>
      </c>
      <c r="B393" s="46" t="s">
        <v>3324</v>
      </c>
      <c r="C393" s="46" t="s">
        <v>3323</v>
      </c>
      <c r="D393" s="81" t="s">
        <v>25</v>
      </c>
      <c r="E393" s="81" t="s">
        <v>647</v>
      </c>
      <c r="F393" s="213" t="s">
        <v>401</v>
      </c>
      <c r="G393" s="221" t="s">
        <v>3287</v>
      </c>
      <c r="H393" s="81">
        <v>4.0</v>
      </c>
      <c r="I393" s="81">
        <v>20.0</v>
      </c>
      <c r="J393" s="81">
        <v>0.0</v>
      </c>
      <c r="K393" s="81">
        <v>0.0</v>
      </c>
      <c r="L393" s="81">
        <v>1.0</v>
      </c>
      <c r="M393" s="81" t="s">
        <v>3217</v>
      </c>
      <c r="N393" s="81" t="s">
        <v>427</v>
      </c>
      <c r="O393" s="81" t="s">
        <v>3218</v>
      </c>
      <c r="P393" s="81" t="s">
        <v>335</v>
      </c>
      <c r="Q393" s="81">
        <v>2.0</v>
      </c>
      <c r="R393" s="46"/>
    </row>
    <row r="394" ht="15.75" customHeight="1">
      <c r="A394" s="181"/>
      <c r="B394" s="182" t="s">
        <v>3325</v>
      </c>
      <c r="C394" s="182"/>
      <c r="D394" s="22"/>
      <c r="E394" s="22"/>
      <c r="F394" s="209"/>
      <c r="G394" s="210"/>
      <c r="H394" s="22"/>
      <c r="I394" s="22"/>
      <c r="J394" s="22"/>
      <c r="K394" s="22"/>
      <c r="L394" s="22"/>
      <c r="M394" s="22"/>
      <c r="N394" s="22"/>
      <c r="O394" s="22"/>
      <c r="P394" s="22"/>
      <c r="Q394" s="209"/>
      <c r="R394" s="22"/>
    </row>
    <row r="395" ht="15.75" customHeight="1">
      <c r="A395" s="211">
        <v>10.0</v>
      </c>
      <c r="B395" s="46" t="s">
        <v>3326</v>
      </c>
      <c r="C395" s="46" t="s">
        <v>3327</v>
      </c>
      <c r="D395" s="81" t="s">
        <v>25</v>
      </c>
      <c r="E395" s="81" t="s">
        <v>3328</v>
      </c>
      <c r="F395" s="213" t="s">
        <v>138</v>
      </c>
      <c r="G395" s="221" t="s">
        <v>3329</v>
      </c>
      <c r="H395" s="81">
        <v>75.0</v>
      </c>
      <c r="I395" s="81">
        <v>375.0</v>
      </c>
      <c r="J395" s="81">
        <v>4.0</v>
      </c>
      <c r="K395" s="81">
        <v>4.0</v>
      </c>
      <c r="L395" s="81">
        <v>0.0</v>
      </c>
      <c r="M395" s="81" t="s">
        <v>3330</v>
      </c>
      <c r="N395" s="81" t="s">
        <v>28</v>
      </c>
      <c r="O395" s="81" t="s">
        <v>3218</v>
      </c>
      <c r="P395" s="81" t="s">
        <v>29</v>
      </c>
      <c r="Q395" s="81">
        <v>0.0</v>
      </c>
      <c r="R395" s="46"/>
    </row>
    <row r="396" ht="15.75" customHeight="1">
      <c r="A396" s="211">
        <v>11.0</v>
      </c>
      <c r="B396" s="46" t="s">
        <v>3331</v>
      </c>
      <c r="C396" s="46" t="s">
        <v>3332</v>
      </c>
      <c r="D396" s="81" t="s">
        <v>25</v>
      </c>
      <c r="E396" s="81" t="s">
        <v>3328</v>
      </c>
      <c r="F396" s="213" t="s">
        <v>138</v>
      </c>
      <c r="G396" s="221" t="s">
        <v>3333</v>
      </c>
      <c r="H396" s="81">
        <v>75.0</v>
      </c>
      <c r="I396" s="81">
        <v>375.0</v>
      </c>
      <c r="J396" s="81">
        <v>5.0</v>
      </c>
      <c r="K396" s="81">
        <v>5.0</v>
      </c>
      <c r="L396" s="81">
        <v>0.0</v>
      </c>
      <c r="M396" s="81" t="s">
        <v>3334</v>
      </c>
      <c r="N396" s="81" t="s">
        <v>28</v>
      </c>
      <c r="O396" s="81" t="s">
        <v>3218</v>
      </c>
      <c r="P396" s="81" t="s">
        <v>66</v>
      </c>
      <c r="Q396" s="81">
        <v>5.0</v>
      </c>
      <c r="R396" s="46"/>
    </row>
    <row r="397" ht="15.75" customHeight="1">
      <c r="A397" s="211">
        <v>12.0</v>
      </c>
      <c r="B397" s="46" t="s">
        <v>3335</v>
      </c>
      <c r="C397" s="46" t="s">
        <v>3336</v>
      </c>
      <c r="D397" s="81" t="s">
        <v>25</v>
      </c>
      <c r="E397" s="81" t="s">
        <v>3328</v>
      </c>
      <c r="F397" s="213" t="s">
        <v>138</v>
      </c>
      <c r="G397" s="221" t="s">
        <v>3337</v>
      </c>
      <c r="H397" s="81">
        <v>50.0</v>
      </c>
      <c r="I397" s="81">
        <v>250.0</v>
      </c>
      <c r="J397" s="81">
        <v>5.0</v>
      </c>
      <c r="K397" s="81">
        <v>5.0</v>
      </c>
      <c r="L397" s="81">
        <v>0.0</v>
      </c>
      <c r="M397" s="81" t="s">
        <v>27</v>
      </c>
      <c r="N397" s="81" t="s">
        <v>28</v>
      </c>
      <c r="O397" s="81" t="s">
        <v>3218</v>
      </c>
      <c r="P397" s="81" t="s">
        <v>66</v>
      </c>
      <c r="Q397" s="81">
        <v>5.0</v>
      </c>
      <c r="R397" s="46"/>
    </row>
    <row r="398" ht="15.75" customHeight="1">
      <c r="A398" s="211">
        <v>13.0</v>
      </c>
      <c r="B398" s="46" t="s">
        <v>3338</v>
      </c>
      <c r="C398" s="46" t="s">
        <v>3339</v>
      </c>
      <c r="D398" s="81" t="s">
        <v>25</v>
      </c>
      <c r="E398" s="81" t="s">
        <v>3328</v>
      </c>
      <c r="F398" s="213" t="s">
        <v>138</v>
      </c>
      <c r="G398" s="221" t="s">
        <v>3340</v>
      </c>
      <c r="H398" s="81">
        <v>75.0</v>
      </c>
      <c r="I398" s="81">
        <v>375.0</v>
      </c>
      <c r="J398" s="81">
        <v>5.0</v>
      </c>
      <c r="K398" s="81">
        <v>5.0</v>
      </c>
      <c r="L398" s="81">
        <v>0.0</v>
      </c>
      <c r="M398" s="81" t="s">
        <v>27</v>
      </c>
      <c r="N398" s="81" t="s">
        <v>28</v>
      </c>
      <c r="O398" s="81" t="s">
        <v>3218</v>
      </c>
      <c r="P398" s="81" t="s">
        <v>66</v>
      </c>
      <c r="Q398" s="81">
        <v>5.0</v>
      </c>
      <c r="R398" s="46"/>
    </row>
    <row r="399" ht="15.75" customHeight="1">
      <c r="A399" s="181"/>
      <c r="B399" s="182" t="s">
        <v>3341</v>
      </c>
      <c r="C399" s="182"/>
      <c r="D399" s="22"/>
      <c r="E399" s="22"/>
      <c r="F399" s="209"/>
      <c r="G399" s="210"/>
      <c r="H399" s="22"/>
      <c r="I399" s="22"/>
      <c r="J399" s="22"/>
      <c r="K399" s="22"/>
      <c r="L399" s="22"/>
      <c r="M399" s="22"/>
      <c r="N399" s="22"/>
      <c r="O399" s="22"/>
      <c r="P399" s="22"/>
      <c r="Q399" s="209"/>
      <c r="R399" s="22"/>
    </row>
    <row r="400" ht="15.75" customHeight="1">
      <c r="A400" s="211">
        <v>1.0</v>
      </c>
      <c r="B400" s="46" t="s">
        <v>3342</v>
      </c>
      <c r="C400" s="46" t="s">
        <v>3343</v>
      </c>
      <c r="D400" s="81" t="s">
        <v>25</v>
      </c>
      <c r="E400" s="81" t="s">
        <v>3344</v>
      </c>
      <c r="F400" s="213"/>
      <c r="G400" s="221">
        <v>780.0</v>
      </c>
      <c r="H400" s="81">
        <v>15.0</v>
      </c>
      <c r="I400" s="81">
        <v>75.0</v>
      </c>
      <c r="J400" s="81">
        <v>7.0</v>
      </c>
      <c r="K400" s="81">
        <v>7.0</v>
      </c>
      <c r="L400" s="81">
        <v>0.0</v>
      </c>
      <c r="M400" s="81" t="s">
        <v>3345</v>
      </c>
      <c r="N400" s="81" t="s">
        <v>3346</v>
      </c>
      <c r="O400" s="81">
        <v>15.0</v>
      </c>
      <c r="P400" s="81" t="s">
        <v>66</v>
      </c>
      <c r="Q400" s="81">
        <v>60.0</v>
      </c>
      <c r="R400" s="46"/>
    </row>
    <row r="401" ht="15.75" customHeight="1">
      <c r="A401" s="211">
        <v>2.0</v>
      </c>
      <c r="B401" s="46" t="s">
        <v>3347</v>
      </c>
      <c r="C401" s="46" t="s">
        <v>3348</v>
      </c>
      <c r="D401" s="81" t="s">
        <v>25</v>
      </c>
      <c r="E401" s="81" t="s">
        <v>647</v>
      </c>
      <c r="F401" s="213"/>
      <c r="G401" s="221">
        <v>780.0</v>
      </c>
      <c r="H401" s="81">
        <v>15.0</v>
      </c>
      <c r="I401" s="81">
        <v>75.0</v>
      </c>
      <c r="J401" s="81">
        <v>7.0</v>
      </c>
      <c r="K401" s="81">
        <v>7.0</v>
      </c>
      <c r="L401" s="81">
        <v>0.0</v>
      </c>
      <c r="M401" s="81" t="s">
        <v>3345</v>
      </c>
      <c r="N401" s="81" t="s">
        <v>3349</v>
      </c>
      <c r="O401" s="81">
        <v>15.0</v>
      </c>
      <c r="P401" s="81" t="s">
        <v>66</v>
      </c>
      <c r="Q401" s="81">
        <v>60.0</v>
      </c>
      <c r="R401" s="46"/>
    </row>
    <row r="402" ht="15.75" customHeight="1">
      <c r="A402" s="211">
        <v>3.0</v>
      </c>
      <c r="B402" s="46" t="s">
        <v>3350</v>
      </c>
      <c r="C402" s="46" t="s">
        <v>3351</v>
      </c>
      <c r="D402" s="81" t="s">
        <v>25</v>
      </c>
      <c r="E402" s="81" t="s">
        <v>647</v>
      </c>
      <c r="F402" s="213"/>
      <c r="G402" s="221">
        <v>945.0</v>
      </c>
      <c r="H402" s="81">
        <v>20.0</v>
      </c>
      <c r="I402" s="81">
        <v>100.0</v>
      </c>
      <c r="J402" s="81">
        <v>7.0</v>
      </c>
      <c r="K402" s="81">
        <v>7.0</v>
      </c>
      <c r="L402" s="81">
        <v>6.0</v>
      </c>
      <c r="M402" s="81" t="s">
        <v>3345</v>
      </c>
      <c r="N402" s="81" t="s">
        <v>3346</v>
      </c>
      <c r="O402" s="81">
        <v>20.0</v>
      </c>
      <c r="P402" s="81" t="s">
        <v>29</v>
      </c>
      <c r="Q402" s="81">
        <v>0.0</v>
      </c>
      <c r="R402" s="46"/>
    </row>
    <row r="403" ht="15.75" customHeight="1">
      <c r="A403" s="211">
        <v>4.0</v>
      </c>
      <c r="B403" s="46" t="s">
        <v>3352</v>
      </c>
      <c r="C403" s="46" t="s">
        <v>3353</v>
      </c>
      <c r="D403" s="81" t="s">
        <v>25</v>
      </c>
      <c r="E403" s="81" t="s">
        <v>3344</v>
      </c>
      <c r="F403" s="213"/>
      <c r="G403" s="221">
        <v>1560.0</v>
      </c>
      <c r="H403" s="81">
        <v>7.0</v>
      </c>
      <c r="I403" s="81">
        <v>7.0</v>
      </c>
      <c r="J403" s="81">
        <v>0.0</v>
      </c>
      <c r="K403" s="81">
        <v>0.0</v>
      </c>
      <c r="L403" s="81">
        <v>0.0</v>
      </c>
      <c r="M403" s="81" t="s">
        <v>3354</v>
      </c>
      <c r="N403" s="81" t="s">
        <v>3349</v>
      </c>
      <c r="O403" s="81">
        <v>30.0</v>
      </c>
      <c r="P403" s="81" t="s">
        <v>29</v>
      </c>
      <c r="Q403" s="81">
        <v>0.0</v>
      </c>
      <c r="R403" s="46"/>
    </row>
    <row r="404" ht="15.75" customHeight="1">
      <c r="A404" s="211">
        <v>5.0</v>
      </c>
      <c r="B404" s="46" t="s">
        <v>3355</v>
      </c>
      <c r="C404" s="46" t="s">
        <v>3356</v>
      </c>
      <c r="D404" s="81" t="s">
        <v>25</v>
      </c>
      <c r="E404" s="81" t="s">
        <v>3344</v>
      </c>
      <c r="F404" s="213"/>
      <c r="G404" s="221">
        <v>625.0</v>
      </c>
      <c r="H404" s="81">
        <v>10.0</v>
      </c>
      <c r="I404" s="81">
        <v>60.0</v>
      </c>
      <c r="J404" s="81">
        <v>7.0</v>
      </c>
      <c r="K404" s="81">
        <v>7.0</v>
      </c>
      <c r="L404" s="81">
        <v>0.0</v>
      </c>
      <c r="M404" s="81" t="s">
        <v>3354</v>
      </c>
      <c r="N404" s="81" t="s">
        <v>3349</v>
      </c>
      <c r="O404" s="81">
        <v>15.0</v>
      </c>
      <c r="P404" s="81" t="s">
        <v>29</v>
      </c>
      <c r="Q404" s="81">
        <v>0.0</v>
      </c>
      <c r="R404" s="46"/>
    </row>
    <row r="405" ht="15.75" customHeight="1">
      <c r="A405" s="211">
        <v>6.0</v>
      </c>
      <c r="B405" s="46" t="s">
        <v>3357</v>
      </c>
      <c r="C405" s="46" t="s">
        <v>3358</v>
      </c>
      <c r="D405" s="81" t="s">
        <v>25</v>
      </c>
      <c r="E405" s="81" t="s">
        <v>3344</v>
      </c>
      <c r="F405" s="213"/>
      <c r="G405" s="221">
        <v>780.0</v>
      </c>
      <c r="H405" s="81">
        <v>15.0</v>
      </c>
      <c r="I405" s="81">
        <v>75.0</v>
      </c>
      <c r="J405" s="81">
        <v>7.0</v>
      </c>
      <c r="K405" s="81">
        <v>7.0</v>
      </c>
      <c r="L405" s="81">
        <v>0.0</v>
      </c>
      <c r="M405" s="81" t="s">
        <v>3354</v>
      </c>
      <c r="N405" s="81" t="s">
        <v>3349</v>
      </c>
      <c r="O405" s="81" t="s">
        <v>3349</v>
      </c>
      <c r="P405" s="81" t="s">
        <v>29</v>
      </c>
      <c r="Q405" s="81">
        <v>0.0</v>
      </c>
      <c r="R405" s="46"/>
    </row>
    <row r="406" ht="15.75" customHeight="1">
      <c r="A406" s="211">
        <v>7.0</v>
      </c>
      <c r="B406" s="46" t="s">
        <v>3359</v>
      </c>
      <c r="C406" s="46" t="s">
        <v>3360</v>
      </c>
      <c r="D406" s="81" t="s">
        <v>25</v>
      </c>
      <c r="E406" s="81" t="s">
        <v>3344</v>
      </c>
      <c r="F406" s="213"/>
      <c r="G406" s="221">
        <v>780.0</v>
      </c>
      <c r="H406" s="81">
        <v>15.0</v>
      </c>
      <c r="I406" s="81">
        <v>75.0</v>
      </c>
      <c r="J406" s="81">
        <v>7.0</v>
      </c>
      <c r="K406" s="81">
        <v>7.0</v>
      </c>
      <c r="L406" s="81">
        <v>0.0</v>
      </c>
      <c r="M406" s="81" t="s">
        <v>3354</v>
      </c>
      <c r="N406" s="81" t="s">
        <v>3349</v>
      </c>
      <c r="O406" s="81">
        <v>15.0</v>
      </c>
      <c r="P406" s="81" t="s">
        <v>29</v>
      </c>
      <c r="Q406" s="81">
        <v>0.0</v>
      </c>
      <c r="R406" s="46"/>
    </row>
    <row r="407" ht="15.75" customHeight="1">
      <c r="A407" s="211">
        <v>8.0</v>
      </c>
      <c r="B407" s="46" t="s">
        <v>3361</v>
      </c>
      <c r="C407" s="46" t="s">
        <v>3362</v>
      </c>
      <c r="D407" s="81" t="s">
        <v>25</v>
      </c>
      <c r="E407" s="81" t="s">
        <v>3344</v>
      </c>
      <c r="F407" s="213"/>
      <c r="G407" s="221">
        <v>780.0</v>
      </c>
      <c r="H407" s="81">
        <v>15.0</v>
      </c>
      <c r="I407" s="81">
        <v>75.0</v>
      </c>
      <c r="J407" s="81">
        <v>7.0</v>
      </c>
      <c r="K407" s="81">
        <v>7.0</v>
      </c>
      <c r="L407" s="81">
        <v>0.0</v>
      </c>
      <c r="M407" s="81" t="s">
        <v>3354</v>
      </c>
      <c r="N407" s="81" t="s">
        <v>3349</v>
      </c>
      <c r="O407" s="81">
        <v>15.0</v>
      </c>
      <c r="P407" s="81" t="s">
        <v>29</v>
      </c>
      <c r="Q407" s="81">
        <v>0.0</v>
      </c>
      <c r="R407" s="46"/>
    </row>
    <row r="408" ht="15.75" customHeight="1">
      <c r="A408" s="211">
        <v>9.0</v>
      </c>
      <c r="B408" s="46" t="s">
        <v>3363</v>
      </c>
      <c r="C408" s="46" t="s">
        <v>3364</v>
      </c>
      <c r="D408" s="81" t="s">
        <v>25</v>
      </c>
      <c r="E408" s="81" t="s">
        <v>3344</v>
      </c>
      <c r="F408" s="213"/>
      <c r="G408" s="221">
        <v>780.0</v>
      </c>
      <c r="H408" s="81">
        <v>15.0</v>
      </c>
      <c r="I408" s="81">
        <v>75.0</v>
      </c>
      <c r="J408" s="81">
        <v>7.0</v>
      </c>
      <c r="K408" s="81">
        <v>7.0</v>
      </c>
      <c r="L408" s="81">
        <v>0.0</v>
      </c>
      <c r="M408" s="81" t="s">
        <v>3354</v>
      </c>
      <c r="N408" s="81" t="s">
        <v>3349</v>
      </c>
      <c r="O408" s="81">
        <v>15.0</v>
      </c>
      <c r="P408" s="81" t="s">
        <v>29</v>
      </c>
      <c r="Q408" s="81">
        <v>0.0</v>
      </c>
      <c r="R408" s="46"/>
    </row>
    <row r="409" ht="15.75" customHeight="1">
      <c r="A409" s="181"/>
      <c r="B409" s="182" t="s">
        <v>3365</v>
      </c>
      <c r="C409" s="182"/>
      <c r="D409" s="22"/>
      <c r="E409" s="22"/>
      <c r="F409" s="209"/>
      <c r="G409" s="210"/>
      <c r="H409" s="22"/>
      <c r="I409" s="22"/>
      <c r="J409" s="22"/>
      <c r="K409" s="22"/>
      <c r="L409" s="22"/>
      <c r="M409" s="22"/>
      <c r="N409" s="22"/>
      <c r="O409" s="22"/>
      <c r="P409" s="22"/>
      <c r="Q409" s="209"/>
      <c r="R409" s="22"/>
    </row>
    <row r="410" ht="15.75" customHeight="1">
      <c r="A410" s="211">
        <v>1.0</v>
      </c>
      <c r="B410" s="46" t="s">
        <v>3366</v>
      </c>
      <c r="C410" s="46" t="s">
        <v>3367</v>
      </c>
      <c r="D410" s="81" t="s">
        <v>25</v>
      </c>
      <c r="E410" s="81" t="s">
        <v>647</v>
      </c>
      <c r="F410" s="213" t="s">
        <v>401</v>
      </c>
      <c r="G410" s="221" t="s">
        <v>3368</v>
      </c>
      <c r="H410" s="81">
        <v>100.0</v>
      </c>
      <c r="I410" s="81">
        <v>500.0</v>
      </c>
      <c r="J410" s="81">
        <v>1.0</v>
      </c>
      <c r="K410" s="81">
        <v>1.0</v>
      </c>
      <c r="L410" s="81">
        <v>0.0</v>
      </c>
      <c r="M410" s="81" t="s">
        <v>3369</v>
      </c>
      <c r="N410" s="81">
        <v>0.0</v>
      </c>
      <c r="O410" s="81">
        <v>500.0</v>
      </c>
      <c r="P410" s="81" t="s">
        <v>29</v>
      </c>
      <c r="Q410" s="81">
        <v>0.0</v>
      </c>
      <c r="R410" s="46"/>
    </row>
    <row r="411" ht="15.75" customHeight="1">
      <c r="A411" s="211">
        <v>2.0</v>
      </c>
      <c r="B411" s="46" t="s">
        <v>3370</v>
      </c>
      <c r="C411" s="46" t="s">
        <v>3371</v>
      </c>
      <c r="D411" s="81" t="s">
        <v>25</v>
      </c>
      <c r="E411" s="81" t="s">
        <v>647</v>
      </c>
      <c r="F411" s="213" t="s">
        <v>401</v>
      </c>
      <c r="G411" s="221" t="s">
        <v>3372</v>
      </c>
      <c r="H411" s="81">
        <v>50.0</v>
      </c>
      <c r="I411" s="81">
        <v>445.0</v>
      </c>
      <c r="J411" s="81">
        <v>1.0</v>
      </c>
      <c r="K411" s="81">
        <v>1.0</v>
      </c>
      <c r="L411" s="81">
        <v>0.0</v>
      </c>
      <c r="M411" s="81" t="s">
        <v>3369</v>
      </c>
      <c r="N411" s="81">
        <v>0.0</v>
      </c>
      <c r="O411" s="81">
        <v>500.0</v>
      </c>
      <c r="P411" s="81" t="s">
        <v>29</v>
      </c>
      <c r="Q411" s="81">
        <v>0.0</v>
      </c>
      <c r="R411" s="46"/>
    </row>
    <row r="412" ht="15.75" customHeight="1">
      <c r="A412" s="211">
        <v>3.0</v>
      </c>
      <c r="B412" s="46" t="s">
        <v>3373</v>
      </c>
      <c r="C412" s="46" t="s">
        <v>3374</v>
      </c>
      <c r="D412" s="81" t="s">
        <v>25</v>
      </c>
      <c r="E412" s="81" t="s">
        <v>647</v>
      </c>
      <c r="F412" s="213" t="s">
        <v>401</v>
      </c>
      <c r="G412" s="221" t="s">
        <v>3375</v>
      </c>
      <c r="H412" s="81">
        <v>50.0</v>
      </c>
      <c r="I412" s="81">
        <v>360.0</v>
      </c>
      <c r="J412" s="81">
        <v>1.0</v>
      </c>
      <c r="K412" s="81">
        <v>1.0</v>
      </c>
      <c r="L412" s="81">
        <v>0.0</v>
      </c>
      <c r="M412" s="81" t="s">
        <v>3369</v>
      </c>
      <c r="N412" s="81">
        <v>0.0</v>
      </c>
      <c r="O412" s="81">
        <v>500.0</v>
      </c>
      <c r="P412" s="81" t="s">
        <v>29</v>
      </c>
      <c r="Q412" s="81">
        <v>0.0</v>
      </c>
      <c r="R412" s="46"/>
    </row>
    <row r="413" ht="15.75" customHeight="1">
      <c r="A413" s="211">
        <v>4.0</v>
      </c>
      <c r="B413" s="46" t="s">
        <v>3376</v>
      </c>
      <c r="C413" s="46" t="s">
        <v>3377</v>
      </c>
      <c r="D413" s="81" t="s">
        <v>25</v>
      </c>
      <c r="E413" s="81" t="s">
        <v>647</v>
      </c>
      <c r="F413" s="213" t="s">
        <v>401</v>
      </c>
      <c r="G413" s="221" t="s">
        <v>3378</v>
      </c>
      <c r="H413" s="81">
        <v>50.0</v>
      </c>
      <c r="I413" s="81">
        <v>470.0</v>
      </c>
      <c r="J413" s="81">
        <v>1.0</v>
      </c>
      <c r="K413" s="81">
        <v>1.0</v>
      </c>
      <c r="L413" s="81">
        <v>0.0</v>
      </c>
      <c r="M413" s="81" t="s">
        <v>3369</v>
      </c>
      <c r="N413" s="81">
        <v>0.0</v>
      </c>
      <c r="O413" s="81">
        <v>500.0</v>
      </c>
      <c r="P413" s="81" t="s">
        <v>29</v>
      </c>
      <c r="Q413" s="81">
        <v>0.0</v>
      </c>
      <c r="R413" s="46"/>
    </row>
    <row r="414" ht="15.75" customHeight="1">
      <c r="A414" s="211">
        <v>5.0</v>
      </c>
      <c r="B414" s="46" t="s">
        <v>3379</v>
      </c>
      <c r="C414" s="46" t="s">
        <v>3380</v>
      </c>
      <c r="D414" s="81" t="s">
        <v>25</v>
      </c>
      <c r="E414" s="81" t="s">
        <v>647</v>
      </c>
      <c r="F414" s="213" t="s">
        <v>401</v>
      </c>
      <c r="G414" s="221" t="s">
        <v>3381</v>
      </c>
      <c r="H414" s="81">
        <v>50.0</v>
      </c>
      <c r="I414" s="81">
        <v>340.0</v>
      </c>
      <c r="J414" s="81">
        <v>1.0</v>
      </c>
      <c r="K414" s="81">
        <v>1.0</v>
      </c>
      <c r="L414" s="81">
        <v>0.0</v>
      </c>
      <c r="M414" s="81" t="s">
        <v>3369</v>
      </c>
      <c r="N414" s="81">
        <v>0.0</v>
      </c>
      <c r="O414" s="81">
        <v>500.0</v>
      </c>
      <c r="P414" s="81" t="s">
        <v>29</v>
      </c>
      <c r="Q414" s="81">
        <v>0.0</v>
      </c>
      <c r="R414" s="46"/>
    </row>
    <row r="415" ht="15.75" customHeight="1">
      <c r="A415" s="211">
        <v>6.0</v>
      </c>
      <c r="B415" s="46" t="s">
        <v>3382</v>
      </c>
      <c r="C415" s="46" t="s">
        <v>3383</v>
      </c>
      <c r="D415" s="81" t="s">
        <v>25</v>
      </c>
      <c r="E415" s="81" t="s">
        <v>647</v>
      </c>
      <c r="F415" s="213" t="s">
        <v>401</v>
      </c>
      <c r="G415" s="221" t="s">
        <v>3384</v>
      </c>
      <c r="H415" s="81">
        <v>100.0</v>
      </c>
      <c r="I415" s="81">
        <v>520.0</v>
      </c>
      <c r="J415" s="81">
        <v>1.0</v>
      </c>
      <c r="K415" s="81">
        <v>1.0</v>
      </c>
      <c r="L415" s="81">
        <v>0.0</v>
      </c>
      <c r="M415" s="81" t="s">
        <v>3369</v>
      </c>
      <c r="N415" s="81">
        <v>0.0</v>
      </c>
      <c r="O415" s="81">
        <v>500.0</v>
      </c>
      <c r="P415" s="81" t="s">
        <v>29</v>
      </c>
      <c r="Q415" s="81">
        <v>0.0</v>
      </c>
      <c r="R415" s="46"/>
    </row>
    <row r="416" ht="15.75" customHeight="1">
      <c r="A416" s="211">
        <v>7.0</v>
      </c>
      <c r="B416" s="46" t="s">
        <v>3385</v>
      </c>
      <c r="C416" s="46" t="s">
        <v>3386</v>
      </c>
      <c r="D416" s="81" t="s">
        <v>25</v>
      </c>
      <c r="E416" s="81" t="s">
        <v>647</v>
      </c>
      <c r="F416" s="213" t="s">
        <v>401</v>
      </c>
      <c r="G416" s="221" t="s">
        <v>3387</v>
      </c>
      <c r="H416" s="81">
        <v>50.0</v>
      </c>
      <c r="I416" s="81">
        <v>480.0</v>
      </c>
      <c r="J416" s="81">
        <v>1.0</v>
      </c>
      <c r="K416" s="81">
        <v>1.0</v>
      </c>
      <c r="L416" s="81">
        <v>0.0</v>
      </c>
      <c r="M416" s="81" t="s">
        <v>3369</v>
      </c>
      <c r="N416" s="81">
        <v>0.0</v>
      </c>
      <c r="O416" s="81">
        <v>500.0</v>
      </c>
      <c r="P416" s="81" t="s">
        <v>29</v>
      </c>
      <c r="Q416" s="81">
        <v>0.0</v>
      </c>
      <c r="R416" s="46"/>
    </row>
    <row r="417" ht="15.75" customHeight="1">
      <c r="A417" s="211">
        <v>8.0</v>
      </c>
      <c r="B417" s="46" t="s">
        <v>3388</v>
      </c>
      <c r="C417" s="46" t="s">
        <v>3389</v>
      </c>
      <c r="D417" s="81" t="s">
        <v>25</v>
      </c>
      <c r="E417" s="81" t="s">
        <v>647</v>
      </c>
      <c r="F417" s="213" t="s">
        <v>401</v>
      </c>
      <c r="G417" s="221" t="s">
        <v>3390</v>
      </c>
      <c r="H417" s="81">
        <v>50.0</v>
      </c>
      <c r="I417" s="81">
        <v>630.0</v>
      </c>
      <c r="J417" s="81">
        <v>1.0</v>
      </c>
      <c r="K417" s="81">
        <v>1.0</v>
      </c>
      <c r="L417" s="81">
        <v>0.0</v>
      </c>
      <c r="M417" s="81" t="s">
        <v>3369</v>
      </c>
      <c r="N417" s="81">
        <v>0.0</v>
      </c>
      <c r="O417" s="81">
        <v>500.0</v>
      </c>
      <c r="P417" s="81" t="s">
        <v>29</v>
      </c>
      <c r="Q417" s="81">
        <v>0.0</v>
      </c>
      <c r="R417" s="46"/>
    </row>
    <row r="418" ht="15.75" customHeight="1">
      <c r="A418" s="211">
        <v>9.0</v>
      </c>
      <c r="B418" s="46" t="s">
        <v>3391</v>
      </c>
      <c r="C418" s="46" t="s">
        <v>3392</v>
      </c>
      <c r="D418" s="81" t="s">
        <v>25</v>
      </c>
      <c r="E418" s="81" t="s">
        <v>647</v>
      </c>
      <c r="F418" s="213" t="s">
        <v>401</v>
      </c>
      <c r="G418" s="221" t="s">
        <v>3393</v>
      </c>
      <c r="H418" s="81">
        <v>50.0</v>
      </c>
      <c r="I418" s="81">
        <v>345.0</v>
      </c>
      <c r="J418" s="81">
        <v>1.0</v>
      </c>
      <c r="K418" s="81">
        <v>1.0</v>
      </c>
      <c r="L418" s="81">
        <v>0.0</v>
      </c>
      <c r="M418" s="81" t="s">
        <v>3369</v>
      </c>
      <c r="N418" s="81">
        <v>0.0</v>
      </c>
      <c r="O418" s="81">
        <v>500.0</v>
      </c>
      <c r="P418" s="81" t="s">
        <v>29</v>
      </c>
      <c r="Q418" s="81">
        <v>0.0</v>
      </c>
      <c r="R418" s="46"/>
    </row>
    <row r="419" ht="15.75" customHeight="1">
      <c r="A419" s="211">
        <v>10.0</v>
      </c>
      <c r="B419" s="46" t="s">
        <v>3394</v>
      </c>
      <c r="C419" s="46" t="s">
        <v>3395</v>
      </c>
      <c r="D419" s="81" t="s">
        <v>25</v>
      </c>
      <c r="E419" s="81" t="s">
        <v>647</v>
      </c>
      <c r="F419" s="213" t="s">
        <v>401</v>
      </c>
      <c r="G419" s="221" t="s">
        <v>3396</v>
      </c>
      <c r="H419" s="81">
        <v>100.0</v>
      </c>
      <c r="I419" s="81">
        <v>390.0</v>
      </c>
      <c r="J419" s="81">
        <v>1.0</v>
      </c>
      <c r="K419" s="81">
        <v>1.0</v>
      </c>
      <c r="L419" s="81">
        <v>0.0</v>
      </c>
      <c r="M419" s="81" t="s">
        <v>3369</v>
      </c>
      <c r="N419" s="81">
        <v>0.0</v>
      </c>
      <c r="O419" s="81">
        <v>500.0</v>
      </c>
      <c r="P419" s="81" t="s">
        <v>29</v>
      </c>
      <c r="Q419" s="81">
        <v>0.0</v>
      </c>
      <c r="R419" s="46"/>
    </row>
    <row r="420" ht="15.75" customHeight="1">
      <c r="A420" s="211">
        <v>11.0</v>
      </c>
      <c r="B420" s="46" t="s">
        <v>3397</v>
      </c>
      <c r="C420" s="46" t="s">
        <v>3398</v>
      </c>
      <c r="D420" s="81" t="s">
        <v>25</v>
      </c>
      <c r="E420" s="81" t="s">
        <v>647</v>
      </c>
      <c r="F420" s="213" t="s">
        <v>401</v>
      </c>
      <c r="G420" s="221" t="s">
        <v>3399</v>
      </c>
      <c r="H420" s="81">
        <v>50.0</v>
      </c>
      <c r="I420" s="81">
        <v>340.0</v>
      </c>
      <c r="J420" s="81">
        <v>1.0</v>
      </c>
      <c r="K420" s="81">
        <v>1.0</v>
      </c>
      <c r="L420" s="81">
        <v>0.0</v>
      </c>
      <c r="M420" s="81" t="s">
        <v>3369</v>
      </c>
      <c r="N420" s="81">
        <v>0.0</v>
      </c>
      <c r="O420" s="81">
        <v>500.0</v>
      </c>
      <c r="P420" s="81" t="s">
        <v>29</v>
      </c>
      <c r="Q420" s="81">
        <v>0.0</v>
      </c>
      <c r="R420" s="46"/>
    </row>
    <row r="421" ht="15.75" customHeight="1">
      <c r="A421" s="211">
        <v>13.0</v>
      </c>
      <c r="B421" s="46" t="s">
        <v>3400</v>
      </c>
      <c r="C421" s="46" t="s">
        <v>3401</v>
      </c>
      <c r="D421" s="81" t="s">
        <v>25</v>
      </c>
      <c r="E421" s="81" t="s">
        <v>647</v>
      </c>
      <c r="F421" s="213" t="s">
        <v>401</v>
      </c>
      <c r="G421" s="221" t="s">
        <v>3402</v>
      </c>
      <c r="H421" s="81">
        <v>50.0</v>
      </c>
      <c r="I421" s="81">
        <v>310.0</v>
      </c>
      <c r="J421" s="81">
        <v>1.0</v>
      </c>
      <c r="K421" s="81">
        <v>1.0</v>
      </c>
      <c r="L421" s="81">
        <v>0.0</v>
      </c>
      <c r="M421" s="81" t="s">
        <v>3369</v>
      </c>
      <c r="N421" s="81">
        <v>0.0</v>
      </c>
      <c r="O421" s="81">
        <v>500.0</v>
      </c>
      <c r="P421" s="81" t="s">
        <v>29</v>
      </c>
      <c r="Q421" s="81">
        <v>0.0</v>
      </c>
      <c r="R421" s="46"/>
    </row>
    <row r="422" ht="15.75" customHeight="1">
      <c r="A422" s="211">
        <v>14.0</v>
      </c>
      <c r="B422" s="46" t="s">
        <v>3403</v>
      </c>
      <c r="C422" s="46" t="s">
        <v>3404</v>
      </c>
      <c r="D422" s="81" t="s">
        <v>25</v>
      </c>
      <c r="E422" s="81" t="s">
        <v>647</v>
      </c>
      <c r="F422" s="213" t="s">
        <v>401</v>
      </c>
      <c r="G422" s="221" t="s">
        <v>3405</v>
      </c>
      <c r="H422" s="81">
        <v>50.0</v>
      </c>
      <c r="I422" s="81">
        <v>370.0</v>
      </c>
      <c r="J422" s="81">
        <v>1.0</v>
      </c>
      <c r="K422" s="81">
        <v>1.0</v>
      </c>
      <c r="L422" s="81">
        <v>0.0</v>
      </c>
      <c r="M422" s="81" t="s">
        <v>3369</v>
      </c>
      <c r="N422" s="81">
        <v>0.0</v>
      </c>
      <c r="O422" s="81">
        <v>500.0</v>
      </c>
      <c r="P422" s="81" t="s">
        <v>29</v>
      </c>
      <c r="Q422" s="81">
        <v>0.0</v>
      </c>
      <c r="R422" s="46"/>
    </row>
    <row r="423" ht="15.75" customHeight="1">
      <c r="A423" s="211">
        <v>15.0</v>
      </c>
      <c r="B423" s="46" t="s">
        <v>3406</v>
      </c>
      <c r="C423" s="46" t="s">
        <v>3407</v>
      </c>
      <c r="D423" s="81" t="s">
        <v>25</v>
      </c>
      <c r="E423" s="81" t="s">
        <v>647</v>
      </c>
      <c r="F423" s="213" t="s">
        <v>401</v>
      </c>
      <c r="G423" s="221" t="s">
        <v>3408</v>
      </c>
      <c r="H423" s="81">
        <v>100.0</v>
      </c>
      <c r="I423" s="81">
        <v>420.0</v>
      </c>
      <c r="J423" s="81">
        <v>1.0</v>
      </c>
      <c r="K423" s="81">
        <v>1.0</v>
      </c>
      <c r="L423" s="81">
        <v>0.0</v>
      </c>
      <c r="M423" s="81" t="s">
        <v>3369</v>
      </c>
      <c r="N423" s="81">
        <v>0.0</v>
      </c>
      <c r="O423" s="81">
        <v>500.0</v>
      </c>
      <c r="P423" s="81" t="s">
        <v>29</v>
      </c>
      <c r="Q423" s="81">
        <v>0.0</v>
      </c>
      <c r="R423" s="46"/>
    </row>
    <row r="424" ht="15.75" customHeight="1">
      <c r="A424" s="211">
        <v>16.0</v>
      </c>
      <c r="B424" s="46" t="s">
        <v>3409</v>
      </c>
      <c r="C424" s="46" t="s">
        <v>3410</v>
      </c>
      <c r="D424" s="81" t="s">
        <v>25</v>
      </c>
      <c r="E424" s="81" t="s">
        <v>647</v>
      </c>
      <c r="F424" s="213" t="s">
        <v>401</v>
      </c>
      <c r="G424" s="221" t="s">
        <v>3411</v>
      </c>
      <c r="H424" s="81">
        <v>50.0</v>
      </c>
      <c r="I424" s="81">
        <v>490.0</v>
      </c>
      <c r="J424" s="81">
        <v>1.0</v>
      </c>
      <c r="K424" s="81">
        <v>1.0</v>
      </c>
      <c r="L424" s="81">
        <v>0.0</v>
      </c>
      <c r="M424" s="81" t="s">
        <v>3369</v>
      </c>
      <c r="N424" s="81">
        <v>0.0</v>
      </c>
      <c r="O424" s="81">
        <v>500.0</v>
      </c>
      <c r="P424" s="81" t="s">
        <v>29</v>
      </c>
      <c r="Q424" s="81">
        <v>0.0</v>
      </c>
      <c r="R424" s="46"/>
    </row>
    <row r="425" ht="15.75" customHeight="1">
      <c r="A425" s="211">
        <v>17.0</v>
      </c>
      <c r="B425" s="46" t="s">
        <v>3412</v>
      </c>
      <c r="C425" s="46" t="s">
        <v>3413</v>
      </c>
      <c r="D425" s="81" t="s">
        <v>25</v>
      </c>
      <c r="E425" s="81" t="s">
        <v>647</v>
      </c>
      <c r="F425" s="213" t="s">
        <v>401</v>
      </c>
      <c r="G425" s="221" t="s">
        <v>3414</v>
      </c>
      <c r="H425" s="81">
        <v>50.0</v>
      </c>
      <c r="I425" s="81">
        <v>490.0</v>
      </c>
      <c r="J425" s="81">
        <v>1.0</v>
      </c>
      <c r="K425" s="81">
        <v>1.0</v>
      </c>
      <c r="L425" s="81">
        <v>0.0</v>
      </c>
      <c r="M425" s="81" t="s">
        <v>3369</v>
      </c>
      <c r="N425" s="81">
        <v>0.0</v>
      </c>
      <c r="O425" s="81">
        <v>500.0</v>
      </c>
      <c r="P425" s="81" t="s">
        <v>29</v>
      </c>
      <c r="Q425" s="81">
        <v>0.0</v>
      </c>
      <c r="R425" s="46"/>
    </row>
    <row r="426" ht="15.75" customHeight="1">
      <c r="A426" s="211">
        <v>18.0</v>
      </c>
      <c r="B426" s="46" t="s">
        <v>3415</v>
      </c>
      <c r="C426" s="46" t="s">
        <v>3416</v>
      </c>
      <c r="D426" s="81" t="s">
        <v>25</v>
      </c>
      <c r="E426" s="81" t="s">
        <v>647</v>
      </c>
      <c r="F426" s="213" t="s">
        <v>401</v>
      </c>
      <c r="G426" s="221" t="s">
        <v>3417</v>
      </c>
      <c r="H426" s="81">
        <v>100.0</v>
      </c>
      <c r="I426" s="81">
        <v>500.0</v>
      </c>
      <c r="J426" s="81">
        <v>1.0</v>
      </c>
      <c r="K426" s="81">
        <v>1.0</v>
      </c>
      <c r="L426" s="81">
        <v>0.0</v>
      </c>
      <c r="M426" s="81" t="s">
        <v>3369</v>
      </c>
      <c r="N426" s="81">
        <v>0.0</v>
      </c>
      <c r="O426" s="81">
        <v>500.0</v>
      </c>
      <c r="P426" s="81" t="s">
        <v>29</v>
      </c>
      <c r="Q426" s="81">
        <v>0.0</v>
      </c>
      <c r="R426" s="46"/>
    </row>
    <row r="427" ht="15.75" customHeight="1">
      <c r="A427" s="211">
        <v>19.0</v>
      </c>
      <c r="B427" s="46" t="s">
        <v>3418</v>
      </c>
      <c r="C427" s="46" t="s">
        <v>3419</v>
      </c>
      <c r="D427" s="81" t="s">
        <v>25</v>
      </c>
      <c r="E427" s="81" t="s">
        <v>647</v>
      </c>
      <c r="F427" s="213" t="s">
        <v>401</v>
      </c>
      <c r="G427" s="221" t="s">
        <v>3420</v>
      </c>
      <c r="H427" s="81">
        <v>50.0</v>
      </c>
      <c r="I427" s="81">
        <v>300.0</v>
      </c>
      <c r="J427" s="81">
        <v>1.0</v>
      </c>
      <c r="K427" s="81">
        <v>1.0</v>
      </c>
      <c r="L427" s="81">
        <v>0.0</v>
      </c>
      <c r="M427" s="81" t="s">
        <v>3369</v>
      </c>
      <c r="N427" s="81">
        <v>0.0</v>
      </c>
      <c r="O427" s="81">
        <v>500.0</v>
      </c>
      <c r="P427" s="81" t="s">
        <v>29</v>
      </c>
      <c r="Q427" s="81">
        <v>0.0</v>
      </c>
      <c r="R427" s="46"/>
    </row>
    <row r="428" ht="15.75" customHeight="1">
      <c r="A428" s="211">
        <v>20.0</v>
      </c>
      <c r="B428" s="46" t="s">
        <v>3421</v>
      </c>
      <c r="C428" s="46" t="s">
        <v>3422</v>
      </c>
      <c r="D428" s="81" t="s">
        <v>25</v>
      </c>
      <c r="E428" s="81" t="s">
        <v>647</v>
      </c>
      <c r="F428" s="213" t="s">
        <v>401</v>
      </c>
      <c r="G428" s="221" t="s">
        <v>3423</v>
      </c>
      <c r="H428" s="81">
        <v>100.0</v>
      </c>
      <c r="I428" s="81">
        <v>500.0</v>
      </c>
      <c r="J428" s="81">
        <v>1.0</v>
      </c>
      <c r="K428" s="81">
        <v>1.0</v>
      </c>
      <c r="L428" s="81">
        <v>0.0</v>
      </c>
      <c r="M428" s="81" t="s">
        <v>3369</v>
      </c>
      <c r="N428" s="81">
        <v>0.0</v>
      </c>
      <c r="O428" s="81">
        <v>500.0</v>
      </c>
      <c r="P428" s="81" t="s">
        <v>29</v>
      </c>
      <c r="Q428" s="81">
        <v>0.0</v>
      </c>
      <c r="R428" s="46"/>
    </row>
    <row r="429" ht="15.75" customHeight="1">
      <c r="A429" s="211">
        <v>21.0</v>
      </c>
      <c r="B429" s="46" t="s">
        <v>3424</v>
      </c>
      <c r="C429" s="46" t="s">
        <v>3425</v>
      </c>
      <c r="D429" s="81" t="s">
        <v>25</v>
      </c>
      <c r="E429" s="81" t="s">
        <v>647</v>
      </c>
      <c r="F429" s="213" t="s">
        <v>401</v>
      </c>
      <c r="G429" s="221" t="s">
        <v>3426</v>
      </c>
      <c r="H429" s="81">
        <v>50.0</v>
      </c>
      <c r="I429" s="81">
        <v>300.0</v>
      </c>
      <c r="J429" s="81">
        <v>1.0</v>
      </c>
      <c r="K429" s="81">
        <v>1.0</v>
      </c>
      <c r="L429" s="81">
        <v>0.0</v>
      </c>
      <c r="M429" s="81" t="s">
        <v>3369</v>
      </c>
      <c r="N429" s="81">
        <v>0.0</v>
      </c>
      <c r="O429" s="81">
        <v>500.0</v>
      </c>
      <c r="P429" s="81" t="s">
        <v>29</v>
      </c>
      <c r="Q429" s="81">
        <v>0.0</v>
      </c>
      <c r="R429" s="46"/>
    </row>
    <row r="430" ht="15.75" customHeight="1">
      <c r="A430" s="211">
        <v>22.0</v>
      </c>
      <c r="B430" s="46" t="s">
        <v>3427</v>
      </c>
      <c r="C430" s="46" t="s">
        <v>3428</v>
      </c>
      <c r="D430" s="81" t="s">
        <v>25</v>
      </c>
      <c r="E430" s="81" t="s">
        <v>647</v>
      </c>
      <c r="F430" s="213" t="s">
        <v>401</v>
      </c>
      <c r="G430" s="221" t="s">
        <v>3429</v>
      </c>
      <c r="H430" s="81">
        <v>50.0</v>
      </c>
      <c r="I430" s="81">
        <v>250.0</v>
      </c>
      <c r="J430" s="81">
        <v>1.0</v>
      </c>
      <c r="K430" s="81">
        <v>1.0</v>
      </c>
      <c r="L430" s="81">
        <v>0.0</v>
      </c>
      <c r="M430" s="81" t="s">
        <v>3369</v>
      </c>
      <c r="N430" s="81">
        <v>0.0</v>
      </c>
      <c r="O430" s="81">
        <v>500.0</v>
      </c>
      <c r="P430" s="81" t="s">
        <v>29</v>
      </c>
      <c r="Q430" s="81">
        <v>0.0</v>
      </c>
      <c r="R430" s="46"/>
    </row>
    <row r="431" ht="15.75" customHeight="1">
      <c r="A431" s="211">
        <v>23.0</v>
      </c>
      <c r="B431" s="46" t="s">
        <v>3430</v>
      </c>
      <c r="C431" s="46" t="s">
        <v>3431</v>
      </c>
      <c r="D431" s="81" t="s">
        <v>25</v>
      </c>
      <c r="E431" s="81" t="s">
        <v>647</v>
      </c>
      <c r="F431" s="213" t="s">
        <v>401</v>
      </c>
      <c r="G431" s="221" t="s">
        <v>3432</v>
      </c>
      <c r="H431" s="81">
        <v>50.0</v>
      </c>
      <c r="I431" s="81">
        <v>300.0</v>
      </c>
      <c r="J431" s="81">
        <v>1.0</v>
      </c>
      <c r="K431" s="81">
        <v>1.0</v>
      </c>
      <c r="L431" s="81">
        <v>0.0</v>
      </c>
      <c r="M431" s="81" t="s">
        <v>3369</v>
      </c>
      <c r="N431" s="81">
        <v>0.0</v>
      </c>
      <c r="O431" s="81">
        <v>500.0</v>
      </c>
      <c r="P431" s="81" t="s">
        <v>29</v>
      </c>
      <c r="Q431" s="81">
        <v>0.0</v>
      </c>
      <c r="R431" s="46"/>
    </row>
    <row r="432" ht="15.75" customHeight="1">
      <c r="A432" s="211">
        <v>24.0</v>
      </c>
      <c r="B432" s="46" t="s">
        <v>3433</v>
      </c>
      <c r="C432" s="46" t="s">
        <v>3434</v>
      </c>
      <c r="D432" s="81" t="s">
        <v>25</v>
      </c>
      <c r="E432" s="81" t="s">
        <v>647</v>
      </c>
      <c r="F432" s="213" t="s">
        <v>401</v>
      </c>
      <c r="G432" s="221" t="s">
        <v>3435</v>
      </c>
      <c r="H432" s="81">
        <v>50.0</v>
      </c>
      <c r="I432" s="81">
        <v>200.0</v>
      </c>
      <c r="J432" s="81">
        <v>1.0</v>
      </c>
      <c r="K432" s="81">
        <v>1.0</v>
      </c>
      <c r="L432" s="81">
        <v>0.0</v>
      </c>
      <c r="M432" s="81" t="s">
        <v>3369</v>
      </c>
      <c r="N432" s="81">
        <v>0.0</v>
      </c>
      <c r="O432" s="81">
        <v>500.0</v>
      </c>
      <c r="P432" s="81" t="s">
        <v>29</v>
      </c>
      <c r="Q432" s="81">
        <v>0.0</v>
      </c>
      <c r="R432" s="46"/>
    </row>
    <row r="433" ht="15.75" customHeight="1">
      <c r="A433" s="211">
        <v>25.0</v>
      </c>
      <c r="B433" s="46" t="s">
        <v>3436</v>
      </c>
      <c r="C433" s="46" t="s">
        <v>3437</v>
      </c>
      <c r="D433" s="81" t="s">
        <v>25</v>
      </c>
      <c r="E433" s="81" t="s">
        <v>647</v>
      </c>
      <c r="F433" s="213" t="s">
        <v>401</v>
      </c>
      <c r="G433" s="221" t="s">
        <v>3438</v>
      </c>
      <c r="H433" s="81">
        <v>50.0</v>
      </c>
      <c r="I433" s="81">
        <v>300.0</v>
      </c>
      <c r="J433" s="81">
        <v>1.0</v>
      </c>
      <c r="K433" s="81">
        <v>1.0</v>
      </c>
      <c r="L433" s="81">
        <v>0.0</v>
      </c>
      <c r="M433" s="81" t="s">
        <v>3369</v>
      </c>
      <c r="N433" s="81">
        <v>0.0</v>
      </c>
      <c r="O433" s="81">
        <v>500.0</v>
      </c>
      <c r="P433" s="81" t="s">
        <v>29</v>
      </c>
      <c r="Q433" s="81">
        <v>0.0</v>
      </c>
      <c r="R433" s="46"/>
    </row>
    <row r="434" ht="15.75" customHeight="1">
      <c r="A434" s="211">
        <v>26.0</v>
      </c>
      <c r="B434" s="46" t="s">
        <v>3439</v>
      </c>
      <c r="C434" s="46" t="s">
        <v>3422</v>
      </c>
      <c r="D434" s="81" t="s">
        <v>25</v>
      </c>
      <c r="E434" s="81" t="s">
        <v>647</v>
      </c>
      <c r="F434" s="213" t="s">
        <v>401</v>
      </c>
      <c r="G434" s="221" t="s">
        <v>3440</v>
      </c>
      <c r="H434" s="81">
        <v>50.0</v>
      </c>
      <c r="I434" s="81">
        <v>300.0</v>
      </c>
      <c r="J434" s="81">
        <v>1.0</v>
      </c>
      <c r="K434" s="81">
        <v>1.0</v>
      </c>
      <c r="L434" s="81">
        <v>0.0</v>
      </c>
      <c r="M434" s="81" t="s">
        <v>3369</v>
      </c>
      <c r="N434" s="81">
        <v>0.0</v>
      </c>
      <c r="O434" s="81">
        <v>500.0</v>
      </c>
      <c r="P434" s="81" t="s">
        <v>29</v>
      </c>
      <c r="Q434" s="81">
        <v>0.0</v>
      </c>
      <c r="R434" s="46"/>
    </row>
    <row r="435" ht="15.75" customHeight="1">
      <c r="A435" s="211">
        <v>27.0</v>
      </c>
      <c r="B435" s="46" t="s">
        <v>3441</v>
      </c>
      <c r="C435" s="46" t="s">
        <v>3442</v>
      </c>
      <c r="D435" s="81" t="s">
        <v>25</v>
      </c>
      <c r="E435" s="81" t="s">
        <v>647</v>
      </c>
      <c r="F435" s="213" t="s">
        <v>401</v>
      </c>
      <c r="G435" s="221" t="s">
        <v>3435</v>
      </c>
      <c r="H435" s="81">
        <v>50.0</v>
      </c>
      <c r="I435" s="81">
        <v>200.0</v>
      </c>
      <c r="J435" s="81">
        <v>1.0</v>
      </c>
      <c r="K435" s="81">
        <v>1.0</v>
      </c>
      <c r="L435" s="81">
        <v>0.0</v>
      </c>
      <c r="M435" s="81" t="s">
        <v>3369</v>
      </c>
      <c r="N435" s="81">
        <v>0.0</v>
      </c>
      <c r="O435" s="81">
        <v>500.0</v>
      </c>
      <c r="P435" s="81" t="s">
        <v>29</v>
      </c>
      <c r="Q435" s="81">
        <v>0.0</v>
      </c>
      <c r="R435" s="46"/>
    </row>
    <row r="436" ht="15.75" customHeight="1">
      <c r="A436" s="211">
        <v>28.0</v>
      </c>
      <c r="B436" s="46" t="s">
        <v>3443</v>
      </c>
      <c r="C436" s="46" t="s">
        <v>3444</v>
      </c>
      <c r="D436" s="81" t="s">
        <v>25</v>
      </c>
      <c r="E436" s="81" t="s">
        <v>647</v>
      </c>
      <c r="F436" s="213" t="s">
        <v>401</v>
      </c>
      <c r="G436" s="221" t="s">
        <v>3426</v>
      </c>
      <c r="H436" s="81">
        <v>50.0</v>
      </c>
      <c r="I436" s="81">
        <v>300.0</v>
      </c>
      <c r="J436" s="81">
        <v>1.0</v>
      </c>
      <c r="K436" s="81">
        <v>1.0</v>
      </c>
      <c r="L436" s="81">
        <v>0.0</v>
      </c>
      <c r="M436" s="81" t="s">
        <v>3369</v>
      </c>
      <c r="N436" s="81">
        <v>0.0</v>
      </c>
      <c r="O436" s="81">
        <v>500.0</v>
      </c>
      <c r="P436" s="81" t="s">
        <v>29</v>
      </c>
      <c r="Q436" s="81">
        <v>0.0</v>
      </c>
      <c r="R436" s="46"/>
    </row>
    <row r="437" ht="15.75" customHeight="1">
      <c r="A437" s="211">
        <v>29.0</v>
      </c>
      <c r="B437" s="46" t="s">
        <v>3445</v>
      </c>
      <c r="C437" s="46" t="s">
        <v>3446</v>
      </c>
      <c r="D437" s="81" t="s">
        <v>25</v>
      </c>
      <c r="E437" s="81" t="s">
        <v>647</v>
      </c>
      <c r="F437" s="213" t="s">
        <v>401</v>
      </c>
      <c r="G437" s="221" t="s">
        <v>3399</v>
      </c>
      <c r="H437" s="81">
        <v>50.0</v>
      </c>
      <c r="I437" s="81">
        <v>300.0</v>
      </c>
      <c r="J437" s="81">
        <v>1.0</v>
      </c>
      <c r="K437" s="81">
        <v>1.0</v>
      </c>
      <c r="L437" s="81">
        <v>0.0</v>
      </c>
      <c r="M437" s="81" t="s">
        <v>3369</v>
      </c>
      <c r="N437" s="81">
        <v>0.0</v>
      </c>
      <c r="O437" s="81">
        <v>500.0</v>
      </c>
      <c r="P437" s="81" t="s">
        <v>29</v>
      </c>
      <c r="Q437" s="81">
        <v>0.0</v>
      </c>
      <c r="R437" s="46"/>
    </row>
    <row r="438" ht="15.75" customHeight="1">
      <c r="A438" s="211">
        <v>30.0</v>
      </c>
      <c r="B438" s="46" t="s">
        <v>3447</v>
      </c>
      <c r="C438" s="46" t="s">
        <v>3448</v>
      </c>
      <c r="D438" s="81" t="s">
        <v>25</v>
      </c>
      <c r="E438" s="81" t="s">
        <v>647</v>
      </c>
      <c r="F438" s="213" t="s">
        <v>401</v>
      </c>
      <c r="G438" s="221" t="s">
        <v>3449</v>
      </c>
      <c r="H438" s="81">
        <v>50.0</v>
      </c>
      <c r="I438" s="81">
        <v>300.0</v>
      </c>
      <c r="J438" s="81">
        <v>1.0</v>
      </c>
      <c r="K438" s="81">
        <v>1.0</v>
      </c>
      <c r="L438" s="81">
        <v>0.0</v>
      </c>
      <c r="M438" s="81" t="s">
        <v>3369</v>
      </c>
      <c r="N438" s="81">
        <v>0.0</v>
      </c>
      <c r="O438" s="81">
        <v>500.0</v>
      </c>
      <c r="P438" s="81" t="s">
        <v>29</v>
      </c>
      <c r="Q438" s="81">
        <v>0.0</v>
      </c>
      <c r="R438" s="46"/>
    </row>
    <row r="439" ht="15.75" customHeight="1">
      <c r="A439" s="211">
        <v>31.0</v>
      </c>
      <c r="B439" s="46" t="s">
        <v>3450</v>
      </c>
      <c r="C439" s="46" t="s">
        <v>3367</v>
      </c>
      <c r="D439" s="81" t="s">
        <v>25</v>
      </c>
      <c r="E439" s="81" t="s">
        <v>647</v>
      </c>
      <c r="F439" s="213" t="s">
        <v>401</v>
      </c>
      <c r="G439" s="221" t="s">
        <v>3451</v>
      </c>
      <c r="H439" s="81">
        <v>300.0</v>
      </c>
      <c r="I439" s="81">
        <v>3000.0</v>
      </c>
      <c r="J439" s="81">
        <v>3.0</v>
      </c>
      <c r="K439" s="81">
        <v>3.0</v>
      </c>
      <c r="L439" s="81">
        <v>1.0</v>
      </c>
      <c r="M439" s="81" t="s">
        <v>3369</v>
      </c>
      <c r="N439" s="81">
        <v>0.0</v>
      </c>
      <c r="O439" s="81">
        <v>1500.0</v>
      </c>
      <c r="P439" s="81" t="s">
        <v>29</v>
      </c>
      <c r="Q439" s="81">
        <v>0.0</v>
      </c>
      <c r="R439" s="46"/>
    </row>
    <row r="440" ht="15.75" customHeight="1">
      <c r="A440" s="211">
        <v>32.0</v>
      </c>
      <c r="B440" s="46" t="s">
        <v>3452</v>
      </c>
      <c r="C440" s="46" t="s">
        <v>3453</v>
      </c>
      <c r="D440" s="81" t="s">
        <v>25</v>
      </c>
      <c r="E440" s="81" t="s">
        <v>647</v>
      </c>
      <c r="F440" s="213" t="s">
        <v>401</v>
      </c>
      <c r="G440" s="221" t="s">
        <v>3426</v>
      </c>
      <c r="H440" s="81">
        <v>50.0</v>
      </c>
      <c r="I440" s="81">
        <v>300.0</v>
      </c>
      <c r="J440" s="81">
        <v>1.0</v>
      </c>
      <c r="K440" s="81">
        <v>1.0</v>
      </c>
      <c r="L440" s="81">
        <v>0.0</v>
      </c>
      <c r="M440" s="81" t="s">
        <v>3369</v>
      </c>
      <c r="N440" s="81">
        <v>0.0</v>
      </c>
      <c r="O440" s="81">
        <v>500.0</v>
      </c>
      <c r="P440" s="81" t="s">
        <v>29</v>
      </c>
      <c r="Q440" s="81">
        <v>0.0</v>
      </c>
      <c r="R440" s="46"/>
    </row>
    <row r="441" ht="15.75" customHeight="1">
      <c r="A441" s="211">
        <v>33.0</v>
      </c>
      <c r="B441" s="46" t="s">
        <v>3454</v>
      </c>
      <c r="C441" s="46" t="s">
        <v>3446</v>
      </c>
      <c r="D441" s="81" t="s">
        <v>25</v>
      </c>
      <c r="E441" s="81" t="s">
        <v>647</v>
      </c>
      <c r="F441" s="213" t="s">
        <v>401</v>
      </c>
      <c r="G441" s="221" t="s">
        <v>3368</v>
      </c>
      <c r="H441" s="81">
        <v>100.0</v>
      </c>
      <c r="I441" s="81">
        <v>100.0</v>
      </c>
      <c r="J441" s="81">
        <v>2.0</v>
      </c>
      <c r="K441" s="81">
        <v>2.0</v>
      </c>
      <c r="L441" s="81">
        <v>0.0</v>
      </c>
      <c r="M441" s="81" t="s">
        <v>3369</v>
      </c>
      <c r="N441" s="81">
        <v>0.0</v>
      </c>
      <c r="O441" s="81">
        <v>1000.0</v>
      </c>
      <c r="P441" s="81" t="s">
        <v>29</v>
      </c>
      <c r="Q441" s="81">
        <v>0.0</v>
      </c>
      <c r="R441" s="46"/>
    </row>
    <row r="442" ht="15.75" customHeight="1">
      <c r="A442" s="181"/>
      <c r="B442" s="182" t="s">
        <v>3455</v>
      </c>
      <c r="C442" s="182"/>
      <c r="D442" s="22"/>
      <c r="E442" s="22"/>
      <c r="F442" s="209"/>
      <c r="G442" s="210"/>
      <c r="H442" s="22"/>
      <c r="I442" s="22"/>
      <c r="J442" s="22"/>
      <c r="K442" s="22"/>
      <c r="L442" s="22"/>
      <c r="M442" s="22"/>
      <c r="N442" s="22"/>
      <c r="O442" s="22"/>
      <c r="P442" s="22"/>
      <c r="Q442" s="209"/>
      <c r="R442" s="22"/>
    </row>
    <row r="443" ht="15.75" customHeight="1">
      <c r="A443" s="211">
        <v>1.0</v>
      </c>
      <c r="B443" s="46" t="s">
        <v>3456</v>
      </c>
      <c r="C443" s="46" t="s">
        <v>3457</v>
      </c>
      <c r="D443" s="81" t="s">
        <v>401</v>
      </c>
      <c r="E443" s="81" t="s">
        <v>471</v>
      </c>
      <c r="F443" s="213"/>
      <c r="G443" s="221" t="s">
        <v>3458</v>
      </c>
      <c r="H443" s="81">
        <v>31.0</v>
      </c>
      <c r="I443" s="81">
        <v>155.0</v>
      </c>
      <c r="J443" s="81">
        <v>3.0</v>
      </c>
      <c r="K443" s="81">
        <v>3.0</v>
      </c>
      <c r="L443" s="81" t="s">
        <v>3459</v>
      </c>
      <c r="M443" s="81" t="s">
        <v>3460</v>
      </c>
      <c r="N443" s="81" t="s">
        <v>138</v>
      </c>
      <c r="O443" s="81">
        <v>150.0</v>
      </c>
      <c r="P443" s="81" t="s">
        <v>29</v>
      </c>
      <c r="Q443" s="81">
        <v>30.0</v>
      </c>
      <c r="R443" s="46"/>
    </row>
    <row r="444" ht="15.75" customHeight="1">
      <c r="A444" s="181"/>
      <c r="B444" s="182" t="s">
        <v>3461</v>
      </c>
      <c r="C444" s="182"/>
      <c r="D444" s="22"/>
      <c r="E444" s="22"/>
      <c r="F444" s="209"/>
      <c r="G444" s="210"/>
      <c r="H444" s="22"/>
      <c r="I444" s="22"/>
      <c r="J444" s="22"/>
      <c r="K444" s="22"/>
      <c r="L444" s="22"/>
      <c r="M444" s="22"/>
      <c r="N444" s="22"/>
      <c r="O444" s="22"/>
      <c r="P444" s="22"/>
      <c r="Q444" s="209"/>
      <c r="R444" s="22"/>
    </row>
    <row r="445" ht="15.75" customHeight="1">
      <c r="A445" s="211">
        <v>1.0</v>
      </c>
      <c r="B445" s="212" t="s">
        <v>288</v>
      </c>
      <c r="C445" s="212" t="s">
        <v>3462</v>
      </c>
      <c r="D445" s="235" t="s">
        <v>401</v>
      </c>
      <c r="E445" s="235" t="s">
        <v>465</v>
      </c>
      <c r="F445" s="236" t="s">
        <v>1137</v>
      </c>
      <c r="G445" s="225">
        <v>300.0</v>
      </c>
      <c r="H445" s="237">
        <v>20.0</v>
      </c>
      <c r="I445" s="226">
        <v>230.0</v>
      </c>
      <c r="J445" s="226">
        <v>5.0</v>
      </c>
      <c r="K445" s="226">
        <v>5.0</v>
      </c>
      <c r="L445" s="238">
        <v>0.0</v>
      </c>
      <c r="M445" s="212" t="s">
        <v>3463</v>
      </c>
      <c r="N445" s="238">
        <v>0.0</v>
      </c>
      <c r="O445" s="237">
        <v>20.0</v>
      </c>
      <c r="P445" s="49" t="s">
        <v>29</v>
      </c>
      <c r="Q445" s="239">
        <v>0.0</v>
      </c>
      <c r="R445" s="46"/>
    </row>
    <row r="446" ht="15.75" customHeight="1">
      <c r="A446" s="211">
        <v>2.0</v>
      </c>
      <c r="B446" s="212" t="s">
        <v>3464</v>
      </c>
      <c r="C446" s="212" t="s">
        <v>3465</v>
      </c>
      <c r="D446" s="235" t="s">
        <v>401</v>
      </c>
      <c r="E446" s="235" t="s">
        <v>465</v>
      </c>
      <c r="F446" s="236" t="s">
        <v>1137</v>
      </c>
      <c r="G446" s="225">
        <v>1000.0</v>
      </c>
      <c r="H446" s="237">
        <v>20.0</v>
      </c>
      <c r="I446" s="226">
        <v>770.0</v>
      </c>
      <c r="J446" s="226">
        <v>2.0</v>
      </c>
      <c r="K446" s="226">
        <v>2.0</v>
      </c>
      <c r="L446" s="49">
        <v>2.0</v>
      </c>
      <c r="M446" s="212" t="s">
        <v>3463</v>
      </c>
      <c r="N446" s="238">
        <v>0.0</v>
      </c>
      <c r="O446" s="237">
        <v>20.0</v>
      </c>
      <c r="P446" s="49" t="s">
        <v>29</v>
      </c>
      <c r="Q446" s="239">
        <v>0.0</v>
      </c>
      <c r="R446" s="46"/>
    </row>
    <row r="447" ht="15.75" customHeight="1">
      <c r="A447" s="211">
        <v>3.0</v>
      </c>
      <c r="B447" s="212" t="s">
        <v>3466</v>
      </c>
      <c r="C447" s="212" t="s">
        <v>3465</v>
      </c>
      <c r="D447" s="235" t="s">
        <v>401</v>
      </c>
      <c r="E447" s="235" t="s">
        <v>465</v>
      </c>
      <c r="F447" s="236" t="s">
        <v>1137</v>
      </c>
      <c r="G447" s="225">
        <v>1813.0</v>
      </c>
      <c r="H447" s="237">
        <v>70.0</v>
      </c>
      <c r="I447" s="226">
        <v>1394.0</v>
      </c>
      <c r="J447" s="49">
        <v>2.0</v>
      </c>
      <c r="K447" s="49">
        <v>2.0</v>
      </c>
      <c r="L447" s="240">
        <v>2.0</v>
      </c>
      <c r="M447" s="212" t="s">
        <v>3463</v>
      </c>
      <c r="N447" s="238">
        <v>0.0</v>
      </c>
      <c r="O447" s="237">
        <v>70.0</v>
      </c>
      <c r="P447" s="49" t="s">
        <v>29</v>
      </c>
      <c r="Q447" s="239">
        <v>0.0</v>
      </c>
      <c r="R447" s="46"/>
    </row>
    <row r="448" ht="15.75" customHeight="1">
      <c r="A448" s="211">
        <v>4.0</v>
      </c>
      <c r="B448" s="212" t="s">
        <v>3467</v>
      </c>
      <c r="C448" s="212" t="s">
        <v>3465</v>
      </c>
      <c r="D448" s="235" t="s">
        <v>401</v>
      </c>
      <c r="E448" s="235" t="s">
        <v>465</v>
      </c>
      <c r="F448" s="236" t="s">
        <v>1137</v>
      </c>
      <c r="G448" s="225">
        <v>343.0</v>
      </c>
      <c r="H448" s="237">
        <v>25.0</v>
      </c>
      <c r="I448" s="226">
        <v>263.0</v>
      </c>
      <c r="J448" s="226">
        <v>2.0</v>
      </c>
      <c r="K448" s="226">
        <v>2.0</v>
      </c>
      <c r="L448" s="238">
        <v>0.0</v>
      </c>
      <c r="M448" s="212" t="s">
        <v>3463</v>
      </c>
      <c r="N448" s="238">
        <v>0.0</v>
      </c>
      <c r="O448" s="237">
        <v>25.0</v>
      </c>
      <c r="P448" s="49" t="s">
        <v>29</v>
      </c>
      <c r="Q448" s="239">
        <v>0.0</v>
      </c>
      <c r="R448" s="46"/>
    </row>
    <row r="449" ht="15.75" customHeight="1">
      <c r="A449" s="211">
        <v>5.0</v>
      </c>
      <c r="B449" s="212" t="s">
        <v>3468</v>
      </c>
      <c r="C449" s="212" t="s">
        <v>3469</v>
      </c>
      <c r="D449" s="235" t="s">
        <v>401</v>
      </c>
      <c r="E449" s="235" t="s">
        <v>465</v>
      </c>
      <c r="F449" s="236" t="s">
        <v>1137</v>
      </c>
      <c r="G449" s="225">
        <v>2000.0</v>
      </c>
      <c r="H449" s="237">
        <v>20.0</v>
      </c>
      <c r="I449" s="226">
        <v>1538.0</v>
      </c>
      <c r="J449" s="226">
        <v>1.0</v>
      </c>
      <c r="K449" s="226">
        <v>1.0</v>
      </c>
      <c r="L449" s="238">
        <v>0.0</v>
      </c>
      <c r="M449" s="212" t="s">
        <v>3463</v>
      </c>
      <c r="N449" s="238">
        <v>0.0</v>
      </c>
      <c r="O449" s="237">
        <v>20.0</v>
      </c>
      <c r="P449" s="49" t="s">
        <v>29</v>
      </c>
      <c r="Q449" s="239">
        <v>0.0</v>
      </c>
      <c r="R449" s="46"/>
    </row>
    <row r="450" ht="15.75" customHeight="1">
      <c r="A450" s="211">
        <v>6.0</v>
      </c>
      <c r="B450" s="212" t="s">
        <v>3470</v>
      </c>
      <c r="C450" s="212" t="s">
        <v>3471</v>
      </c>
      <c r="D450" s="235" t="s">
        <v>401</v>
      </c>
      <c r="E450" s="235" t="s">
        <v>465</v>
      </c>
      <c r="F450" s="236" t="s">
        <v>1137</v>
      </c>
      <c r="G450" s="225">
        <v>490.0</v>
      </c>
      <c r="H450" s="237">
        <v>25.0</v>
      </c>
      <c r="I450" s="226">
        <v>376.0</v>
      </c>
      <c r="J450" s="226">
        <v>5.0</v>
      </c>
      <c r="K450" s="226">
        <v>5.0</v>
      </c>
      <c r="L450" s="238">
        <v>0.0</v>
      </c>
      <c r="M450" s="212" t="s">
        <v>3463</v>
      </c>
      <c r="N450" s="238">
        <v>0.0</v>
      </c>
      <c r="O450" s="237">
        <v>25.0</v>
      </c>
      <c r="P450" s="49" t="s">
        <v>29</v>
      </c>
      <c r="Q450" s="239">
        <v>0.0</v>
      </c>
      <c r="R450" s="46"/>
    </row>
    <row r="451" ht="15.75" customHeight="1">
      <c r="A451" s="211">
        <v>7.0</v>
      </c>
      <c r="B451" s="212" t="s">
        <v>3472</v>
      </c>
      <c r="C451" s="212" t="s">
        <v>3469</v>
      </c>
      <c r="D451" s="235" t="s">
        <v>401</v>
      </c>
      <c r="E451" s="241" t="s">
        <v>3473</v>
      </c>
      <c r="F451" s="236" t="s">
        <v>1137</v>
      </c>
      <c r="G451" s="225">
        <v>30000.0</v>
      </c>
      <c r="H451" s="237">
        <v>60.0</v>
      </c>
      <c r="I451" s="226">
        <v>10000.0</v>
      </c>
      <c r="J451" s="226">
        <v>0.0</v>
      </c>
      <c r="K451" s="226">
        <v>0.0</v>
      </c>
      <c r="L451" s="238">
        <v>0.0</v>
      </c>
      <c r="M451" s="212" t="s">
        <v>3463</v>
      </c>
      <c r="N451" s="238">
        <v>0.0</v>
      </c>
      <c r="O451" s="237">
        <v>60.0</v>
      </c>
      <c r="P451" s="49" t="s">
        <v>29</v>
      </c>
      <c r="Q451" s="239">
        <v>0.0</v>
      </c>
      <c r="R451" s="46"/>
    </row>
    <row r="452" ht="15.75" customHeight="1">
      <c r="A452" s="181"/>
      <c r="B452" s="182" t="s">
        <v>3474</v>
      </c>
      <c r="C452" s="182"/>
      <c r="D452" s="22"/>
      <c r="E452" s="22"/>
      <c r="F452" s="209"/>
      <c r="G452" s="210"/>
      <c r="H452" s="22"/>
      <c r="I452" s="22"/>
      <c r="J452" s="22"/>
      <c r="K452" s="22"/>
      <c r="L452" s="22"/>
      <c r="M452" s="22"/>
      <c r="N452" s="22"/>
      <c r="O452" s="22"/>
      <c r="P452" s="22"/>
      <c r="Q452" s="209"/>
      <c r="R452" s="22"/>
    </row>
    <row r="453" ht="15.75" customHeight="1">
      <c r="A453" s="211">
        <v>1.0</v>
      </c>
      <c r="B453" s="242" t="s">
        <v>3475</v>
      </c>
      <c r="C453" s="242" t="s">
        <v>3476</v>
      </c>
      <c r="D453" s="235" t="s">
        <v>25</v>
      </c>
      <c r="E453" s="235" t="s">
        <v>3477</v>
      </c>
      <c r="F453" s="243"/>
      <c r="G453" s="244">
        <v>1456.0</v>
      </c>
      <c r="H453" s="245">
        <v>105.0</v>
      </c>
      <c r="I453" s="240">
        <v>505.0</v>
      </c>
      <c r="J453" s="240">
        <v>1.0</v>
      </c>
      <c r="K453" s="240">
        <v>1.0</v>
      </c>
      <c r="L453" s="238">
        <v>1.0</v>
      </c>
      <c r="M453" s="246" t="s">
        <v>3478</v>
      </c>
      <c r="N453" s="49" t="s">
        <v>143</v>
      </c>
      <c r="O453" s="238">
        <v>1500.0</v>
      </c>
      <c r="P453" s="49" t="s">
        <v>29</v>
      </c>
      <c r="Q453" s="114">
        <v>0.0</v>
      </c>
      <c r="R453" s="46"/>
    </row>
    <row r="454" ht="15.75" customHeight="1">
      <c r="A454" s="211">
        <v>2.0</v>
      </c>
      <c r="B454" s="212" t="s">
        <v>3479</v>
      </c>
      <c r="C454" s="212" t="s">
        <v>3480</v>
      </c>
      <c r="D454" s="235" t="s">
        <v>25</v>
      </c>
      <c r="E454" s="235" t="s">
        <v>3477</v>
      </c>
      <c r="F454" s="243"/>
      <c r="G454" s="244" t="s">
        <v>3481</v>
      </c>
      <c r="H454" s="247" t="s">
        <v>3481</v>
      </c>
      <c r="I454" s="247" t="s">
        <v>3481</v>
      </c>
      <c r="J454" s="247" t="s">
        <v>3481</v>
      </c>
      <c r="K454" s="247" t="s">
        <v>3481</v>
      </c>
      <c r="L454" s="247" t="s">
        <v>3481</v>
      </c>
      <c r="M454" s="246" t="s">
        <v>3478</v>
      </c>
      <c r="N454" s="238" t="s">
        <v>427</v>
      </c>
      <c r="O454" s="238">
        <v>500.0</v>
      </c>
      <c r="P454" s="49" t="s">
        <v>29</v>
      </c>
      <c r="Q454" s="114">
        <v>0.0</v>
      </c>
      <c r="R454" s="46"/>
    </row>
    <row r="455" ht="15.75" customHeight="1">
      <c r="A455" s="211">
        <v>3.0</v>
      </c>
      <c r="B455" s="212" t="s">
        <v>3482</v>
      </c>
      <c r="C455" s="212" t="s">
        <v>3483</v>
      </c>
      <c r="D455" s="235" t="s">
        <v>25</v>
      </c>
      <c r="E455" s="235" t="s">
        <v>3477</v>
      </c>
      <c r="F455" s="243"/>
      <c r="G455" s="244" t="s">
        <v>3481</v>
      </c>
      <c r="H455" s="247" t="s">
        <v>3481</v>
      </c>
      <c r="I455" s="247" t="s">
        <v>3481</v>
      </c>
      <c r="J455" s="247" t="s">
        <v>3481</v>
      </c>
      <c r="K455" s="247" t="s">
        <v>3481</v>
      </c>
      <c r="L455" s="247" t="s">
        <v>3481</v>
      </c>
      <c r="M455" s="246" t="s">
        <v>3478</v>
      </c>
      <c r="N455" s="49" t="s">
        <v>3484</v>
      </c>
      <c r="O455" s="248">
        <v>500.0</v>
      </c>
      <c r="P455" s="49" t="s">
        <v>29</v>
      </c>
      <c r="Q455" s="114">
        <v>0.0</v>
      </c>
      <c r="R455" s="46"/>
    </row>
    <row r="456" ht="15.75" customHeight="1">
      <c r="A456" s="211">
        <v>4.0</v>
      </c>
      <c r="B456" s="212" t="s">
        <v>3485</v>
      </c>
      <c r="C456" s="212" t="s">
        <v>3486</v>
      </c>
      <c r="D456" s="235" t="s">
        <v>25</v>
      </c>
      <c r="E456" s="235" t="s">
        <v>3477</v>
      </c>
      <c r="F456" s="243"/>
      <c r="G456" s="244">
        <v>400.0</v>
      </c>
      <c r="H456" s="245">
        <v>50.0</v>
      </c>
      <c r="I456" s="240">
        <v>250.0</v>
      </c>
      <c r="J456" s="240">
        <v>1.0</v>
      </c>
      <c r="K456" s="240">
        <v>1.0</v>
      </c>
      <c r="L456" s="238">
        <v>0.0</v>
      </c>
      <c r="M456" s="246" t="s">
        <v>3478</v>
      </c>
      <c r="N456" s="49" t="s">
        <v>143</v>
      </c>
      <c r="O456" s="248">
        <v>500.0</v>
      </c>
      <c r="P456" s="49" t="s">
        <v>29</v>
      </c>
      <c r="Q456" s="114">
        <v>0.0</v>
      </c>
      <c r="R456" s="46"/>
    </row>
    <row r="457" ht="15.75" customHeight="1">
      <c r="A457" s="211">
        <v>5.0</v>
      </c>
      <c r="B457" s="212" t="s">
        <v>3487</v>
      </c>
      <c r="C457" s="212" t="s">
        <v>3488</v>
      </c>
      <c r="D457" s="235" t="s">
        <v>25</v>
      </c>
      <c r="E457" s="235" t="s">
        <v>3477</v>
      </c>
      <c r="F457" s="243"/>
      <c r="G457" s="244" t="s">
        <v>3481</v>
      </c>
      <c r="H457" s="247" t="s">
        <v>3481</v>
      </c>
      <c r="I457" s="247" t="s">
        <v>3481</v>
      </c>
      <c r="J457" s="247" t="s">
        <v>3481</v>
      </c>
      <c r="K457" s="247" t="s">
        <v>3481</v>
      </c>
      <c r="L457" s="247" t="s">
        <v>3481</v>
      </c>
      <c r="M457" s="246" t="s">
        <v>3478</v>
      </c>
      <c r="N457" s="49" t="s">
        <v>143</v>
      </c>
      <c r="O457" s="248">
        <v>500.0</v>
      </c>
      <c r="P457" s="49" t="s">
        <v>29</v>
      </c>
      <c r="Q457" s="114">
        <v>0.0</v>
      </c>
      <c r="R457" s="46"/>
    </row>
    <row r="458" ht="15.75" customHeight="1">
      <c r="A458" s="211">
        <v>6.0</v>
      </c>
      <c r="B458" s="212" t="s">
        <v>3489</v>
      </c>
      <c r="C458" s="212" t="s">
        <v>3488</v>
      </c>
      <c r="D458" s="235" t="s">
        <v>25</v>
      </c>
      <c r="E458" s="235" t="s">
        <v>3477</v>
      </c>
      <c r="F458" s="243"/>
      <c r="G458" s="244">
        <v>150.0</v>
      </c>
      <c r="H458" s="245">
        <v>10.0</v>
      </c>
      <c r="I458" s="240">
        <v>50.0</v>
      </c>
      <c r="J458" s="240">
        <v>0.0</v>
      </c>
      <c r="K458" s="240">
        <v>0.0</v>
      </c>
      <c r="L458" s="238">
        <v>1.0</v>
      </c>
      <c r="M458" s="246" t="s">
        <v>3478</v>
      </c>
      <c r="N458" s="49" t="s">
        <v>143</v>
      </c>
      <c r="O458" s="238">
        <v>100.0</v>
      </c>
      <c r="P458" s="49" t="s">
        <v>29</v>
      </c>
      <c r="Q458" s="114">
        <v>0.0</v>
      </c>
      <c r="R458" s="46"/>
    </row>
    <row r="459" ht="15.75" customHeight="1">
      <c r="A459" s="211">
        <v>7.0</v>
      </c>
      <c r="B459" s="212" t="s">
        <v>3490</v>
      </c>
      <c r="C459" s="212" t="s">
        <v>3491</v>
      </c>
      <c r="D459" s="235" t="s">
        <v>25</v>
      </c>
      <c r="E459" s="235" t="s">
        <v>3477</v>
      </c>
      <c r="F459" s="243"/>
      <c r="G459" s="244">
        <v>300.0</v>
      </c>
      <c r="H459" s="245">
        <v>40.0</v>
      </c>
      <c r="I459" s="240">
        <v>200.0</v>
      </c>
      <c r="J459" s="240">
        <v>0.0</v>
      </c>
      <c r="K459" s="240">
        <v>0.0</v>
      </c>
      <c r="L459" s="238">
        <v>1.0</v>
      </c>
      <c r="M459" s="246" t="s">
        <v>3478</v>
      </c>
      <c r="N459" s="238" t="s">
        <v>427</v>
      </c>
      <c r="O459" s="238">
        <v>100.0</v>
      </c>
      <c r="P459" s="49" t="s">
        <v>29</v>
      </c>
      <c r="Q459" s="114">
        <v>0.0</v>
      </c>
      <c r="R459" s="46"/>
    </row>
    <row r="460" ht="15.75" customHeight="1">
      <c r="A460" s="211">
        <v>8.0</v>
      </c>
      <c r="B460" s="212" t="s">
        <v>2766</v>
      </c>
      <c r="C460" s="212" t="s">
        <v>3491</v>
      </c>
      <c r="D460" s="235" t="s">
        <v>25</v>
      </c>
      <c r="E460" s="235" t="s">
        <v>3477</v>
      </c>
      <c r="F460" s="243"/>
      <c r="G460" s="244">
        <v>300.0</v>
      </c>
      <c r="H460" s="245">
        <v>40.0</v>
      </c>
      <c r="I460" s="240">
        <v>200.0</v>
      </c>
      <c r="J460" s="240">
        <v>0.0</v>
      </c>
      <c r="K460" s="240">
        <v>0.0</v>
      </c>
      <c r="L460" s="238">
        <v>1.0</v>
      </c>
      <c r="M460" s="246" t="s">
        <v>3478</v>
      </c>
      <c r="N460" s="238" t="s">
        <v>427</v>
      </c>
      <c r="O460" s="238">
        <v>100.0</v>
      </c>
      <c r="P460" s="49" t="s">
        <v>29</v>
      </c>
      <c r="Q460" s="114">
        <v>0.0</v>
      </c>
      <c r="R460" s="46"/>
    </row>
    <row r="461" ht="15.75" customHeight="1">
      <c r="A461" s="211">
        <v>9.0</v>
      </c>
      <c r="B461" s="212" t="s">
        <v>3489</v>
      </c>
      <c r="C461" s="212" t="s">
        <v>3492</v>
      </c>
      <c r="D461" s="235" t="s">
        <v>25</v>
      </c>
      <c r="E461" s="235" t="s">
        <v>3477</v>
      </c>
      <c r="F461" s="243"/>
      <c r="G461" s="244">
        <v>450.0</v>
      </c>
      <c r="H461" s="245">
        <v>55.0</v>
      </c>
      <c r="I461" s="240">
        <v>275.0</v>
      </c>
      <c r="J461" s="240">
        <v>0.0</v>
      </c>
      <c r="K461" s="240">
        <v>0.0</v>
      </c>
      <c r="L461" s="238">
        <v>1.0</v>
      </c>
      <c r="M461" s="246" t="s">
        <v>3478</v>
      </c>
      <c r="N461" s="49" t="s">
        <v>143</v>
      </c>
      <c r="O461" s="238">
        <v>100.0</v>
      </c>
      <c r="P461" s="49" t="s">
        <v>29</v>
      </c>
      <c r="Q461" s="114">
        <v>0.0</v>
      </c>
      <c r="R461" s="46"/>
    </row>
    <row r="462" ht="15.75" customHeight="1">
      <c r="A462" s="211">
        <v>10.0</v>
      </c>
      <c r="B462" s="212" t="s">
        <v>3490</v>
      </c>
      <c r="C462" s="212" t="s">
        <v>3493</v>
      </c>
      <c r="D462" s="235" t="s">
        <v>25</v>
      </c>
      <c r="E462" s="235" t="s">
        <v>3494</v>
      </c>
      <c r="F462" s="243"/>
      <c r="G462" s="244">
        <v>300.0</v>
      </c>
      <c r="H462" s="245">
        <v>15.0</v>
      </c>
      <c r="I462" s="240">
        <v>75.0</v>
      </c>
      <c r="J462" s="240">
        <v>0.0</v>
      </c>
      <c r="K462" s="240">
        <v>0.0</v>
      </c>
      <c r="L462" s="238">
        <v>1.0</v>
      </c>
      <c r="M462" s="246" t="s">
        <v>3478</v>
      </c>
      <c r="N462" s="49" t="s">
        <v>3484</v>
      </c>
      <c r="O462" s="238">
        <v>100.0</v>
      </c>
      <c r="P462" s="49" t="s">
        <v>29</v>
      </c>
      <c r="Q462" s="114">
        <v>0.0</v>
      </c>
      <c r="R462" s="46"/>
    </row>
    <row r="463" ht="15.75" customHeight="1">
      <c r="A463" s="211">
        <v>11.0</v>
      </c>
      <c r="B463" s="212" t="s">
        <v>2776</v>
      </c>
      <c r="C463" s="212" t="s">
        <v>3495</v>
      </c>
      <c r="D463" s="235" t="s">
        <v>25</v>
      </c>
      <c r="E463" s="235" t="s">
        <v>3477</v>
      </c>
      <c r="F463" s="243"/>
      <c r="G463" s="244">
        <v>300.0</v>
      </c>
      <c r="H463" s="245">
        <v>15.0</v>
      </c>
      <c r="I463" s="240">
        <v>75.0</v>
      </c>
      <c r="J463" s="240">
        <v>0.0</v>
      </c>
      <c r="K463" s="240">
        <v>0.0</v>
      </c>
      <c r="L463" s="238">
        <v>1.0</v>
      </c>
      <c r="M463" s="246" t="s">
        <v>3478</v>
      </c>
      <c r="N463" s="49" t="s">
        <v>143</v>
      </c>
      <c r="O463" s="238">
        <v>100.0</v>
      </c>
      <c r="P463" s="49" t="s">
        <v>29</v>
      </c>
      <c r="Q463" s="114">
        <v>0.0</v>
      </c>
      <c r="R463" s="46"/>
    </row>
    <row r="464" ht="15.75" customHeight="1">
      <c r="A464" s="211">
        <v>12.0</v>
      </c>
      <c r="B464" s="212" t="s">
        <v>3496</v>
      </c>
      <c r="C464" s="212" t="s">
        <v>3495</v>
      </c>
      <c r="D464" s="235" t="s">
        <v>25</v>
      </c>
      <c r="E464" s="235" t="s">
        <v>3477</v>
      </c>
      <c r="F464" s="243"/>
      <c r="G464" s="244" t="s">
        <v>3481</v>
      </c>
      <c r="H464" s="247" t="s">
        <v>3481</v>
      </c>
      <c r="I464" s="247" t="s">
        <v>3481</v>
      </c>
      <c r="J464" s="247" t="s">
        <v>3481</v>
      </c>
      <c r="K464" s="247" t="s">
        <v>3481</v>
      </c>
      <c r="L464" s="247" t="s">
        <v>3481</v>
      </c>
      <c r="M464" s="246" t="s">
        <v>3478</v>
      </c>
      <c r="N464" s="49" t="s">
        <v>143</v>
      </c>
      <c r="O464" s="247">
        <v>500.0</v>
      </c>
      <c r="P464" s="49" t="s">
        <v>29</v>
      </c>
      <c r="Q464" s="114">
        <v>0.0</v>
      </c>
      <c r="R464" s="46"/>
    </row>
    <row r="465" ht="15.75" customHeight="1">
      <c r="A465" s="211">
        <v>13.0</v>
      </c>
      <c r="B465" s="212" t="s">
        <v>3497</v>
      </c>
      <c r="C465" s="212" t="s">
        <v>3498</v>
      </c>
      <c r="D465" s="235" t="s">
        <v>25</v>
      </c>
      <c r="E465" s="235" t="s">
        <v>3477</v>
      </c>
      <c r="F465" s="243"/>
      <c r="G465" s="244" t="s">
        <v>3481</v>
      </c>
      <c r="H465" s="247" t="s">
        <v>3481</v>
      </c>
      <c r="I465" s="247" t="s">
        <v>3481</v>
      </c>
      <c r="J465" s="247" t="s">
        <v>3481</v>
      </c>
      <c r="K465" s="247" t="s">
        <v>3481</v>
      </c>
      <c r="L465" s="247" t="s">
        <v>3481</v>
      </c>
      <c r="M465" s="246" t="s">
        <v>3478</v>
      </c>
      <c r="N465" s="49" t="s">
        <v>143</v>
      </c>
      <c r="O465" s="247">
        <v>500.0</v>
      </c>
      <c r="P465" s="49" t="s">
        <v>29</v>
      </c>
      <c r="Q465" s="114">
        <v>0.0</v>
      </c>
      <c r="R465" s="46"/>
    </row>
    <row r="466" ht="15.75" customHeight="1">
      <c r="A466" s="211">
        <v>14.0</v>
      </c>
      <c r="B466" s="212" t="s">
        <v>3499</v>
      </c>
      <c r="C466" s="212" t="s">
        <v>3500</v>
      </c>
      <c r="D466" s="235" t="s">
        <v>25</v>
      </c>
      <c r="E466" s="235" t="s">
        <v>3477</v>
      </c>
      <c r="F466" s="243"/>
      <c r="G466" s="244" t="s">
        <v>3481</v>
      </c>
      <c r="H466" s="247" t="s">
        <v>3481</v>
      </c>
      <c r="I466" s="247" t="s">
        <v>3481</v>
      </c>
      <c r="J466" s="247" t="s">
        <v>3481</v>
      </c>
      <c r="K466" s="247" t="s">
        <v>3481</v>
      </c>
      <c r="L466" s="247" t="s">
        <v>3481</v>
      </c>
      <c r="M466" s="246" t="s">
        <v>3478</v>
      </c>
      <c r="N466" s="238" t="s">
        <v>427</v>
      </c>
      <c r="O466" s="247">
        <v>500.0</v>
      </c>
      <c r="P466" s="49" t="s">
        <v>29</v>
      </c>
      <c r="Q466" s="114">
        <v>0.0</v>
      </c>
      <c r="R466" s="46"/>
    </row>
    <row r="467" ht="15.75" customHeight="1">
      <c r="A467" s="211">
        <v>15.0</v>
      </c>
      <c r="B467" s="212" t="s">
        <v>3501</v>
      </c>
      <c r="C467" s="212" t="s">
        <v>3498</v>
      </c>
      <c r="D467" s="235" t="s">
        <v>25</v>
      </c>
      <c r="E467" s="235" t="s">
        <v>3477</v>
      </c>
      <c r="F467" s="243"/>
      <c r="G467" s="244" t="s">
        <v>3481</v>
      </c>
      <c r="H467" s="247" t="s">
        <v>3481</v>
      </c>
      <c r="I467" s="247" t="s">
        <v>3481</v>
      </c>
      <c r="J467" s="247" t="s">
        <v>3481</v>
      </c>
      <c r="K467" s="247" t="s">
        <v>3481</v>
      </c>
      <c r="L467" s="247" t="s">
        <v>3481</v>
      </c>
      <c r="M467" s="246" t="s">
        <v>3478</v>
      </c>
      <c r="N467" s="238" t="s">
        <v>427</v>
      </c>
      <c r="O467" s="247">
        <v>500.0</v>
      </c>
      <c r="P467" s="49" t="s">
        <v>29</v>
      </c>
      <c r="Q467" s="114">
        <v>0.0</v>
      </c>
      <c r="R467" s="46"/>
    </row>
    <row r="468" ht="15.75" customHeight="1">
      <c r="A468" s="211">
        <v>16.0</v>
      </c>
      <c r="B468" s="212" t="s">
        <v>3502</v>
      </c>
      <c r="C468" s="212" t="s">
        <v>3503</v>
      </c>
      <c r="D468" s="235" t="s">
        <v>25</v>
      </c>
      <c r="E468" s="235" t="s">
        <v>3477</v>
      </c>
      <c r="F468" s="243"/>
      <c r="G468" s="244">
        <v>400.0</v>
      </c>
      <c r="H468" s="245">
        <v>40.0</v>
      </c>
      <c r="I468" s="240">
        <v>400.0</v>
      </c>
      <c r="J468" s="240">
        <v>0.0</v>
      </c>
      <c r="K468" s="240">
        <v>0.0</v>
      </c>
      <c r="L468" s="238">
        <v>1.0</v>
      </c>
      <c r="M468" s="246" t="s">
        <v>3478</v>
      </c>
      <c r="N468" s="238" t="s">
        <v>427</v>
      </c>
      <c r="O468" s="238">
        <v>500.0</v>
      </c>
      <c r="P468" s="49" t="s">
        <v>29</v>
      </c>
      <c r="Q468" s="114">
        <v>0.0</v>
      </c>
      <c r="R468" s="46"/>
    </row>
    <row r="469" ht="15.75" customHeight="1">
      <c r="A469" s="211">
        <v>17.0</v>
      </c>
      <c r="B469" s="212" t="s">
        <v>1171</v>
      </c>
      <c r="C469" s="212" t="s">
        <v>3504</v>
      </c>
      <c r="D469" s="235" t="s">
        <v>25</v>
      </c>
      <c r="E469" s="235" t="s">
        <v>3477</v>
      </c>
      <c r="F469" s="243"/>
      <c r="G469" s="244">
        <v>60.0</v>
      </c>
      <c r="H469" s="245">
        <v>6.0</v>
      </c>
      <c r="I469" s="240">
        <v>30.0</v>
      </c>
      <c r="J469" s="240">
        <v>0.0</v>
      </c>
      <c r="K469" s="240">
        <v>0.0</v>
      </c>
      <c r="L469" s="238">
        <v>1.0</v>
      </c>
      <c r="M469" s="246" t="s">
        <v>3478</v>
      </c>
      <c r="N469" s="238" t="s">
        <v>427</v>
      </c>
      <c r="O469" s="238">
        <v>100.0</v>
      </c>
      <c r="P469" s="49" t="s">
        <v>29</v>
      </c>
      <c r="Q469" s="114">
        <v>0.0</v>
      </c>
      <c r="R469" s="46"/>
    </row>
    <row r="470" ht="15.75" customHeight="1">
      <c r="A470" s="211">
        <v>18.0</v>
      </c>
      <c r="B470" s="212" t="s">
        <v>2847</v>
      </c>
      <c r="C470" s="212" t="s">
        <v>3505</v>
      </c>
      <c r="D470" s="235" t="s">
        <v>25</v>
      </c>
      <c r="E470" s="235" t="s">
        <v>3477</v>
      </c>
      <c r="F470" s="243"/>
      <c r="G470" s="244" t="s">
        <v>3481</v>
      </c>
      <c r="H470" s="247" t="s">
        <v>3481</v>
      </c>
      <c r="I470" s="247" t="s">
        <v>3481</v>
      </c>
      <c r="J470" s="247" t="s">
        <v>3481</v>
      </c>
      <c r="K470" s="247" t="s">
        <v>3481</v>
      </c>
      <c r="L470" s="247" t="s">
        <v>3481</v>
      </c>
      <c r="M470" s="246" t="s">
        <v>3478</v>
      </c>
      <c r="N470" s="238" t="s">
        <v>427</v>
      </c>
      <c r="O470" s="238">
        <v>500.0</v>
      </c>
      <c r="P470" s="49" t="s">
        <v>29</v>
      </c>
      <c r="Q470" s="114">
        <v>0.0</v>
      </c>
      <c r="R470" s="46"/>
    </row>
    <row r="471" ht="15.75" customHeight="1">
      <c r="A471" s="211">
        <v>19.0</v>
      </c>
      <c r="B471" s="212" t="s">
        <v>3475</v>
      </c>
      <c r="C471" s="212" t="s">
        <v>3476</v>
      </c>
      <c r="D471" s="235" t="s">
        <v>25</v>
      </c>
      <c r="E471" s="235" t="s">
        <v>3477</v>
      </c>
      <c r="F471" s="243"/>
      <c r="G471" s="244">
        <v>1456.0</v>
      </c>
      <c r="H471" s="247">
        <v>105.0</v>
      </c>
      <c r="I471" s="247">
        <v>505.0</v>
      </c>
      <c r="J471" s="247">
        <v>1.0</v>
      </c>
      <c r="K471" s="247">
        <v>1.0</v>
      </c>
      <c r="L471" s="247">
        <v>1.0</v>
      </c>
      <c r="M471" s="246" t="s">
        <v>3478</v>
      </c>
      <c r="N471" s="238" t="s">
        <v>427</v>
      </c>
      <c r="O471" s="238">
        <v>500.0</v>
      </c>
      <c r="P471" s="49" t="s">
        <v>29</v>
      </c>
      <c r="Q471" s="114">
        <v>0.0</v>
      </c>
      <c r="R471" s="46"/>
    </row>
    <row r="472" ht="15.75" customHeight="1">
      <c r="A472" s="211">
        <v>20.0</v>
      </c>
      <c r="B472" s="212" t="s">
        <v>3506</v>
      </c>
      <c r="C472" s="212" t="s">
        <v>3476</v>
      </c>
      <c r="D472" s="235" t="s">
        <v>25</v>
      </c>
      <c r="E472" s="235" t="s">
        <v>3477</v>
      </c>
      <c r="F472" s="243"/>
      <c r="G472" s="244">
        <v>800.0</v>
      </c>
      <c r="H472" s="247">
        <v>80.0</v>
      </c>
      <c r="I472" s="247">
        <v>400.0</v>
      </c>
      <c r="J472" s="247">
        <v>1.0</v>
      </c>
      <c r="K472" s="247">
        <v>1.0</v>
      </c>
      <c r="L472" s="247">
        <v>0.0</v>
      </c>
      <c r="M472" s="246" t="s">
        <v>3478</v>
      </c>
      <c r="N472" s="238" t="s">
        <v>427</v>
      </c>
      <c r="O472" s="238">
        <v>500.0</v>
      </c>
      <c r="P472" s="49" t="s">
        <v>66</v>
      </c>
      <c r="Q472" s="114">
        <v>4.0</v>
      </c>
      <c r="R472" s="46"/>
    </row>
    <row r="473" ht="15.75" customHeight="1">
      <c r="A473" s="211">
        <v>21.0</v>
      </c>
      <c r="B473" s="212" t="s">
        <v>3507</v>
      </c>
      <c r="C473" s="212" t="s">
        <v>3476</v>
      </c>
      <c r="D473" s="235" t="s">
        <v>25</v>
      </c>
      <c r="E473" s="235" t="s">
        <v>3477</v>
      </c>
      <c r="F473" s="243"/>
      <c r="G473" s="244" t="s">
        <v>3481</v>
      </c>
      <c r="H473" s="247" t="s">
        <v>3481</v>
      </c>
      <c r="I473" s="247" t="s">
        <v>3481</v>
      </c>
      <c r="J473" s="247" t="s">
        <v>3481</v>
      </c>
      <c r="K473" s="247" t="s">
        <v>3481</v>
      </c>
      <c r="L473" s="247" t="s">
        <v>3481</v>
      </c>
      <c r="M473" s="246" t="s">
        <v>3478</v>
      </c>
      <c r="N473" s="238" t="s">
        <v>427</v>
      </c>
      <c r="O473" s="238">
        <v>500.0</v>
      </c>
      <c r="P473" s="49" t="s">
        <v>29</v>
      </c>
      <c r="Q473" s="114">
        <v>0.0</v>
      </c>
      <c r="R473" s="46"/>
    </row>
    <row r="474" ht="15.75" customHeight="1">
      <c r="A474" s="211">
        <v>22.0</v>
      </c>
      <c r="B474" s="212" t="s">
        <v>3508</v>
      </c>
      <c r="C474" s="212" t="s">
        <v>3476</v>
      </c>
      <c r="D474" s="235" t="s">
        <v>25</v>
      </c>
      <c r="E474" s="235" t="s">
        <v>3477</v>
      </c>
      <c r="F474" s="243"/>
      <c r="G474" s="244" t="s">
        <v>3481</v>
      </c>
      <c r="H474" s="247" t="s">
        <v>3481</v>
      </c>
      <c r="I474" s="247" t="s">
        <v>3481</v>
      </c>
      <c r="J474" s="247" t="s">
        <v>3481</v>
      </c>
      <c r="K474" s="247" t="s">
        <v>3481</v>
      </c>
      <c r="L474" s="247" t="s">
        <v>3481</v>
      </c>
      <c r="M474" s="246" t="s">
        <v>3478</v>
      </c>
      <c r="N474" s="238" t="s">
        <v>427</v>
      </c>
      <c r="O474" s="238">
        <v>500.0</v>
      </c>
      <c r="P474" s="49" t="s">
        <v>66</v>
      </c>
      <c r="Q474" s="249" t="s">
        <v>3509</v>
      </c>
      <c r="R474" s="46"/>
    </row>
    <row r="475" ht="15.75" customHeight="1">
      <c r="A475" s="211">
        <v>23.0</v>
      </c>
      <c r="B475" s="212" t="s">
        <v>3510</v>
      </c>
      <c r="C475" s="212" t="s">
        <v>3511</v>
      </c>
      <c r="D475" s="235" t="s">
        <v>25</v>
      </c>
      <c r="E475" s="235" t="s">
        <v>3477</v>
      </c>
      <c r="F475" s="243"/>
      <c r="G475" s="244">
        <v>200.0</v>
      </c>
      <c r="H475" s="245">
        <v>20.0</v>
      </c>
      <c r="I475" s="240">
        <v>200.0</v>
      </c>
      <c r="J475" s="240">
        <v>0.0</v>
      </c>
      <c r="K475" s="240">
        <v>0.0</v>
      </c>
      <c r="L475" s="238">
        <v>1.0</v>
      </c>
      <c r="M475" s="246" t="s">
        <v>3478</v>
      </c>
      <c r="N475" s="238" t="s">
        <v>427</v>
      </c>
      <c r="O475" s="238">
        <v>500.0</v>
      </c>
      <c r="P475" s="49" t="s">
        <v>29</v>
      </c>
      <c r="Q475" s="114">
        <v>0.0</v>
      </c>
      <c r="R475" s="46"/>
    </row>
    <row r="476" ht="15.75" customHeight="1">
      <c r="A476" s="211">
        <v>24.0</v>
      </c>
      <c r="B476" s="212" t="s">
        <v>3512</v>
      </c>
      <c r="C476" s="212" t="s">
        <v>3513</v>
      </c>
      <c r="D476" s="235" t="s">
        <v>25</v>
      </c>
      <c r="E476" s="235" t="s">
        <v>3494</v>
      </c>
      <c r="F476" s="243"/>
      <c r="G476" s="244">
        <v>200.0</v>
      </c>
      <c r="H476" s="245">
        <v>20.0</v>
      </c>
      <c r="I476" s="240">
        <v>200.0</v>
      </c>
      <c r="J476" s="240">
        <v>1.0</v>
      </c>
      <c r="K476" s="240">
        <v>1.0</v>
      </c>
      <c r="L476" s="238">
        <v>0.0</v>
      </c>
      <c r="M476" s="246" t="s">
        <v>3478</v>
      </c>
      <c r="N476" s="238" t="s">
        <v>427</v>
      </c>
      <c r="O476" s="238">
        <v>500.0</v>
      </c>
      <c r="P476" s="49" t="s">
        <v>29</v>
      </c>
      <c r="Q476" s="114">
        <v>0.0</v>
      </c>
      <c r="R476" s="46"/>
    </row>
    <row r="477" ht="15.75" customHeight="1">
      <c r="A477" s="211">
        <v>25.0</v>
      </c>
      <c r="B477" s="212" t="s">
        <v>3514</v>
      </c>
      <c r="C477" s="212" t="s">
        <v>3515</v>
      </c>
      <c r="D477" s="235" t="s">
        <v>25</v>
      </c>
      <c r="E477" s="235" t="s">
        <v>3494</v>
      </c>
      <c r="F477" s="243"/>
      <c r="G477" s="244">
        <v>70.0</v>
      </c>
      <c r="H477" s="245">
        <v>7.0</v>
      </c>
      <c r="I477" s="240">
        <v>35.0</v>
      </c>
      <c r="J477" s="240">
        <v>0.0</v>
      </c>
      <c r="K477" s="240">
        <v>0.0</v>
      </c>
      <c r="L477" s="238">
        <v>1.0</v>
      </c>
      <c r="M477" s="246" t="s">
        <v>3478</v>
      </c>
      <c r="N477" s="49" t="s">
        <v>143</v>
      </c>
      <c r="O477" s="238">
        <v>100.0</v>
      </c>
      <c r="P477" s="49" t="s">
        <v>29</v>
      </c>
      <c r="Q477" s="114">
        <v>0.0</v>
      </c>
      <c r="R477" s="46"/>
    </row>
    <row r="478" ht="15.75" customHeight="1">
      <c r="A478" s="211">
        <v>26.0</v>
      </c>
      <c r="B478" s="212" t="s">
        <v>3516</v>
      </c>
      <c r="C478" s="212" t="s">
        <v>3515</v>
      </c>
      <c r="D478" s="235" t="s">
        <v>25</v>
      </c>
      <c r="E478" s="235" t="s">
        <v>3477</v>
      </c>
      <c r="F478" s="243"/>
      <c r="G478" s="244" t="s">
        <v>3481</v>
      </c>
      <c r="H478" s="247" t="s">
        <v>3481</v>
      </c>
      <c r="I478" s="247" t="s">
        <v>3481</v>
      </c>
      <c r="J478" s="247" t="s">
        <v>3481</v>
      </c>
      <c r="K478" s="247" t="s">
        <v>3481</v>
      </c>
      <c r="L478" s="247" t="s">
        <v>3481</v>
      </c>
      <c r="M478" s="246" t="s">
        <v>3478</v>
      </c>
      <c r="N478" s="238" t="s">
        <v>427</v>
      </c>
      <c r="O478" s="238">
        <v>500.0</v>
      </c>
      <c r="P478" s="49" t="s">
        <v>29</v>
      </c>
      <c r="Q478" s="114">
        <v>0.0</v>
      </c>
      <c r="R478" s="46"/>
    </row>
    <row r="479" ht="15.75" customHeight="1">
      <c r="A479" s="211">
        <v>27.0</v>
      </c>
      <c r="B479" s="212" t="s">
        <v>3517</v>
      </c>
      <c r="C479" s="212" t="s">
        <v>3518</v>
      </c>
      <c r="D479" s="235" t="s">
        <v>25</v>
      </c>
      <c r="E479" s="235" t="s">
        <v>3477</v>
      </c>
      <c r="F479" s="243"/>
      <c r="G479" s="244" t="s">
        <v>3481</v>
      </c>
      <c r="H479" s="247" t="s">
        <v>3481</v>
      </c>
      <c r="I479" s="247" t="s">
        <v>3481</v>
      </c>
      <c r="J479" s="247" t="s">
        <v>3481</v>
      </c>
      <c r="K479" s="247" t="s">
        <v>3481</v>
      </c>
      <c r="L479" s="247" t="s">
        <v>3481</v>
      </c>
      <c r="M479" s="246" t="s">
        <v>3478</v>
      </c>
      <c r="N479" s="238" t="s">
        <v>427</v>
      </c>
      <c r="O479" s="238">
        <v>100.0</v>
      </c>
      <c r="P479" s="49" t="s">
        <v>29</v>
      </c>
      <c r="Q479" s="114">
        <v>0.0</v>
      </c>
      <c r="R479" s="46"/>
    </row>
    <row r="480" ht="15.75" customHeight="1">
      <c r="A480" s="211">
        <v>28.0</v>
      </c>
      <c r="B480" s="212" t="s">
        <v>3519</v>
      </c>
      <c r="C480" s="212" t="s">
        <v>3518</v>
      </c>
      <c r="D480" s="235" t="s">
        <v>25</v>
      </c>
      <c r="E480" s="235" t="s">
        <v>3477</v>
      </c>
      <c r="F480" s="243"/>
      <c r="G480" s="244">
        <v>400.0</v>
      </c>
      <c r="H480" s="245">
        <v>40.0</v>
      </c>
      <c r="I480" s="240">
        <v>200.0</v>
      </c>
      <c r="J480" s="240">
        <v>1.0</v>
      </c>
      <c r="K480" s="240">
        <v>1.0</v>
      </c>
      <c r="L480" s="238">
        <v>1.0</v>
      </c>
      <c r="M480" s="246" t="s">
        <v>3478</v>
      </c>
      <c r="N480" s="238" t="s">
        <v>427</v>
      </c>
      <c r="O480" s="238">
        <v>500.0</v>
      </c>
      <c r="P480" s="49" t="s">
        <v>29</v>
      </c>
      <c r="Q480" s="114">
        <v>0.0</v>
      </c>
      <c r="R480" s="46"/>
    </row>
    <row r="481" ht="15.75" customHeight="1">
      <c r="A481" s="211">
        <v>29.0</v>
      </c>
      <c r="B481" s="212" t="s">
        <v>3490</v>
      </c>
      <c r="C481" s="212" t="s">
        <v>3520</v>
      </c>
      <c r="D481" s="235" t="s">
        <v>25</v>
      </c>
      <c r="E481" s="235" t="s">
        <v>3477</v>
      </c>
      <c r="F481" s="243"/>
      <c r="G481" s="244">
        <v>42.0</v>
      </c>
      <c r="H481" s="245">
        <v>4.0</v>
      </c>
      <c r="I481" s="240">
        <v>20.0</v>
      </c>
      <c r="J481" s="240">
        <v>0.0</v>
      </c>
      <c r="K481" s="240">
        <v>0.0</v>
      </c>
      <c r="L481" s="238">
        <v>1.0</v>
      </c>
      <c r="M481" s="246" t="s">
        <v>3478</v>
      </c>
      <c r="N481" s="238" t="s">
        <v>427</v>
      </c>
      <c r="O481" s="238">
        <v>100.0</v>
      </c>
      <c r="P481" s="49" t="s">
        <v>29</v>
      </c>
      <c r="Q481" s="114">
        <v>0.0</v>
      </c>
      <c r="R481" s="46"/>
    </row>
    <row r="482" ht="15.75" customHeight="1">
      <c r="A482" s="250">
        <v>30.0</v>
      </c>
      <c r="B482" s="28" t="s">
        <v>3490</v>
      </c>
      <c r="C482" s="28" t="s">
        <v>3521</v>
      </c>
      <c r="D482" s="59" t="s">
        <v>25</v>
      </c>
      <c r="E482" s="235" t="s">
        <v>3477</v>
      </c>
      <c r="F482" s="251"/>
      <c r="G482" s="252">
        <v>400.0</v>
      </c>
      <c r="H482" s="253">
        <v>40.0</v>
      </c>
      <c r="I482" s="254">
        <v>200.0</v>
      </c>
      <c r="J482" s="254">
        <v>1.0</v>
      </c>
      <c r="K482" s="254">
        <v>1.0</v>
      </c>
      <c r="L482" s="255">
        <v>1.0</v>
      </c>
      <c r="M482" s="246" t="s">
        <v>3478</v>
      </c>
      <c r="N482" s="255" t="s">
        <v>427</v>
      </c>
      <c r="O482" s="255">
        <v>100.0</v>
      </c>
      <c r="P482" s="49" t="s">
        <v>29</v>
      </c>
      <c r="Q482" s="114">
        <v>0.0</v>
      </c>
      <c r="R482" s="33"/>
    </row>
    <row r="483" ht="15.75" customHeight="1">
      <c r="A483" s="250">
        <v>31.0</v>
      </c>
      <c r="B483" s="28" t="s">
        <v>3522</v>
      </c>
      <c r="C483" s="256" t="s">
        <v>3523</v>
      </c>
      <c r="D483" s="59" t="s">
        <v>25</v>
      </c>
      <c r="E483" s="235" t="s">
        <v>3477</v>
      </c>
      <c r="F483" s="59"/>
      <c r="G483" s="257" t="s">
        <v>3481</v>
      </c>
      <c r="H483" s="258" t="s">
        <v>3481</v>
      </c>
      <c r="I483" s="258" t="s">
        <v>3481</v>
      </c>
      <c r="J483" s="258" t="s">
        <v>3481</v>
      </c>
      <c r="K483" s="258" t="s">
        <v>3481</v>
      </c>
      <c r="L483" s="258" t="s">
        <v>3481</v>
      </c>
      <c r="M483" s="246" t="s">
        <v>3478</v>
      </c>
      <c r="N483" s="74" t="s">
        <v>143</v>
      </c>
      <c r="O483" s="259">
        <v>100.0</v>
      </c>
      <c r="P483" s="49" t="s">
        <v>29</v>
      </c>
      <c r="Q483" s="114">
        <v>0.0</v>
      </c>
      <c r="R483" s="74"/>
    </row>
    <row r="484" ht="15.75" customHeight="1">
      <c r="A484" s="250">
        <v>32.0</v>
      </c>
      <c r="B484" s="28" t="s">
        <v>3490</v>
      </c>
      <c r="C484" s="256" t="s">
        <v>3524</v>
      </c>
      <c r="D484" s="59" t="s">
        <v>25</v>
      </c>
      <c r="E484" s="235" t="s">
        <v>3494</v>
      </c>
      <c r="F484" s="59"/>
      <c r="G484" s="257">
        <v>72.0</v>
      </c>
      <c r="H484" s="260">
        <v>7.0</v>
      </c>
      <c r="I484" s="261">
        <v>35.0</v>
      </c>
      <c r="J484" s="253">
        <v>1.0</v>
      </c>
      <c r="K484" s="254">
        <v>1.0</v>
      </c>
      <c r="L484" s="254">
        <v>1.0</v>
      </c>
      <c r="M484" s="246" t="s">
        <v>3478</v>
      </c>
      <c r="N484" s="74" t="s">
        <v>143</v>
      </c>
      <c r="O484" s="259">
        <v>100.0</v>
      </c>
      <c r="P484" s="49" t="s">
        <v>29</v>
      </c>
      <c r="Q484" s="114">
        <v>0.0</v>
      </c>
      <c r="R484" s="74"/>
    </row>
    <row r="485" ht="15.75" customHeight="1">
      <c r="A485" s="250">
        <v>33.0</v>
      </c>
      <c r="B485" s="28" t="s">
        <v>3525</v>
      </c>
      <c r="C485" s="256" t="s">
        <v>3524</v>
      </c>
      <c r="D485" s="59" t="s">
        <v>25</v>
      </c>
      <c r="E485" s="235" t="s">
        <v>3494</v>
      </c>
      <c r="F485" s="59"/>
      <c r="G485" s="257">
        <v>350.0</v>
      </c>
      <c r="H485" s="260">
        <v>50.0</v>
      </c>
      <c r="I485" s="261">
        <v>250.0</v>
      </c>
      <c r="J485" s="253">
        <v>0.0</v>
      </c>
      <c r="K485" s="254">
        <v>0.0</v>
      </c>
      <c r="L485" s="254">
        <v>1.0</v>
      </c>
      <c r="M485" s="246" t="s">
        <v>3478</v>
      </c>
      <c r="N485" s="74" t="s">
        <v>143</v>
      </c>
      <c r="O485" s="259">
        <v>100.0</v>
      </c>
      <c r="P485" s="49" t="s">
        <v>29</v>
      </c>
      <c r="Q485" s="114">
        <v>0.0</v>
      </c>
      <c r="R485" s="74"/>
    </row>
    <row r="486" ht="15.75" customHeight="1">
      <c r="A486" s="250">
        <v>34.0</v>
      </c>
      <c r="B486" s="28" t="s">
        <v>68</v>
      </c>
      <c r="C486" s="256" t="s">
        <v>3524</v>
      </c>
      <c r="D486" s="59" t="s">
        <v>25</v>
      </c>
      <c r="E486" s="235" t="s">
        <v>3526</v>
      </c>
      <c r="F486" s="59"/>
      <c r="G486" s="257">
        <v>60.0</v>
      </c>
      <c r="H486" s="260">
        <v>5.0</v>
      </c>
      <c r="I486" s="261">
        <v>25.0</v>
      </c>
      <c r="J486" s="253">
        <v>0.0</v>
      </c>
      <c r="K486" s="254">
        <v>0.0</v>
      </c>
      <c r="L486" s="254">
        <v>1.0</v>
      </c>
      <c r="M486" s="246" t="s">
        <v>3478</v>
      </c>
      <c r="N486" s="74" t="s">
        <v>143</v>
      </c>
      <c r="O486" s="259">
        <v>100.0</v>
      </c>
      <c r="P486" s="49" t="s">
        <v>29</v>
      </c>
      <c r="Q486" s="114">
        <v>0.0</v>
      </c>
      <c r="R486" s="74"/>
    </row>
    <row r="487" ht="15.75" customHeight="1">
      <c r="A487" s="181"/>
      <c r="B487" s="182" t="s">
        <v>1254</v>
      </c>
      <c r="C487" s="182" t="s">
        <v>552</v>
      </c>
      <c r="D487" s="22"/>
      <c r="E487" s="22"/>
      <c r="F487" s="209"/>
      <c r="G487" s="210"/>
      <c r="H487" s="22"/>
      <c r="I487" s="22"/>
      <c r="J487" s="22"/>
      <c r="K487" s="22"/>
      <c r="L487" s="22"/>
      <c r="M487" s="22"/>
      <c r="N487" s="22"/>
      <c r="O487" s="22"/>
      <c r="P487" s="22"/>
      <c r="Q487" s="209"/>
      <c r="R487" s="22"/>
    </row>
    <row r="488" ht="15.75" customHeight="1">
      <c r="A488" s="211">
        <v>1.0</v>
      </c>
      <c r="B488" s="212" t="s">
        <v>3527</v>
      </c>
      <c r="C488" s="212" t="s">
        <v>3528</v>
      </c>
      <c r="D488" s="235" t="s">
        <v>25</v>
      </c>
      <c r="E488" s="235" t="s">
        <v>647</v>
      </c>
      <c r="F488" s="243"/>
      <c r="G488" s="225">
        <v>48.0</v>
      </c>
      <c r="H488" s="237">
        <v>4.0</v>
      </c>
      <c r="I488" s="226">
        <v>19.0</v>
      </c>
      <c r="J488" s="226">
        <v>0.0</v>
      </c>
      <c r="K488" s="226">
        <v>0.0</v>
      </c>
      <c r="L488" s="49">
        <v>1.0</v>
      </c>
      <c r="M488" s="212" t="s">
        <v>27</v>
      </c>
      <c r="N488" s="49" t="s">
        <v>138</v>
      </c>
      <c r="O488" s="49">
        <v>240.0</v>
      </c>
      <c r="P488" s="49" t="s">
        <v>335</v>
      </c>
      <c r="Q488" s="114">
        <v>0.0</v>
      </c>
      <c r="R488" s="46"/>
    </row>
    <row r="489" ht="15.75" customHeight="1">
      <c r="A489" s="211">
        <v>2.0</v>
      </c>
      <c r="B489" s="212" t="s">
        <v>3529</v>
      </c>
      <c r="C489" s="212" t="s">
        <v>3528</v>
      </c>
      <c r="D489" s="235" t="s">
        <v>25</v>
      </c>
      <c r="E489" s="235" t="s">
        <v>647</v>
      </c>
      <c r="F489" s="243"/>
      <c r="G489" s="225">
        <v>30.0</v>
      </c>
      <c r="H489" s="237">
        <v>2.0</v>
      </c>
      <c r="I489" s="226">
        <v>12.0</v>
      </c>
      <c r="J489" s="226">
        <v>0.0</v>
      </c>
      <c r="K489" s="226">
        <v>0.0</v>
      </c>
      <c r="L489" s="49">
        <v>1.0</v>
      </c>
      <c r="M489" s="212" t="s">
        <v>27</v>
      </c>
      <c r="N489" s="49" t="s">
        <v>138</v>
      </c>
      <c r="O489" s="49">
        <v>150.0</v>
      </c>
      <c r="P489" s="49" t="s">
        <v>47</v>
      </c>
      <c r="Q489" s="114">
        <v>3.0</v>
      </c>
      <c r="R489" s="46"/>
    </row>
    <row r="490" ht="15.75" customHeight="1">
      <c r="A490" s="211">
        <v>3.0</v>
      </c>
      <c r="B490" s="212" t="s">
        <v>3530</v>
      </c>
      <c r="C490" s="212" t="s">
        <v>3531</v>
      </c>
      <c r="D490" s="235" t="s">
        <v>25</v>
      </c>
      <c r="E490" s="235" t="s">
        <v>647</v>
      </c>
      <c r="F490" s="243"/>
      <c r="G490" s="225">
        <v>30.0</v>
      </c>
      <c r="H490" s="237">
        <v>2.0</v>
      </c>
      <c r="I490" s="226">
        <v>12.0</v>
      </c>
      <c r="J490" s="226">
        <v>0.0</v>
      </c>
      <c r="K490" s="226">
        <v>0.0</v>
      </c>
      <c r="L490" s="49">
        <v>1.0</v>
      </c>
      <c r="M490" s="212" t="s">
        <v>27</v>
      </c>
      <c r="N490" s="49" t="s">
        <v>138</v>
      </c>
      <c r="O490" s="49">
        <v>150.0</v>
      </c>
      <c r="P490" s="49" t="s">
        <v>335</v>
      </c>
      <c r="Q490" s="114">
        <v>0.0</v>
      </c>
      <c r="R490" s="46"/>
    </row>
    <row r="491" ht="15.75" customHeight="1">
      <c r="A491" s="211">
        <v>4.0</v>
      </c>
      <c r="B491" s="212" t="s">
        <v>3532</v>
      </c>
      <c r="C491" s="212" t="s">
        <v>3531</v>
      </c>
      <c r="D491" s="235" t="s">
        <v>25</v>
      </c>
      <c r="E491" s="235" t="s">
        <v>647</v>
      </c>
      <c r="F491" s="243"/>
      <c r="G491" s="225">
        <v>24.0</v>
      </c>
      <c r="H491" s="237">
        <v>2.0</v>
      </c>
      <c r="I491" s="226">
        <v>10.0</v>
      </c>
      <c r="J491" s="226">
        <v>0.0</v>
      </c>
      <c r="K491" s="226">
        <v>0.0</v>
      </c>
      <c r="L491" s="49">
        <v>1.0</v>
      </c>
      <c r="M491" s="212" t="s">
        <v>27</v>
      </c>
      <c r="N491" s="49" t="s">
        <v>138</v>
      </c>
      <c r="O491" s="49">
        <v>60.0</v>
      </c>
      <c r="P491" s="49" t="s">
        <v>47</v>
      </c>
      <c r="Q491" s="114">
        <v>2.0</v>
      </c>
      <c r="R491" s="46"/>
    </row>
    <row r="492" ht="15.75" customHeight="1">
      <c r="A492" s="211">
        <v>5.0</v>
      </c>
      <c r="B492" s="212" t="s">
        <v>3533</v>
      </c>
      <c r="C492" s="212" t="s">
        <v>3531</v>
      </c>
      <c r="D492" s="235" t="s">
        <v>25</v>
      </c>
      <c r="E492" s="235" t="s">
        <v>647</v>
      </c>
      <c r="F492" s="243"/>
      <c r="G492" s="225">
        <v>96.0</v>
      </c>
      <c r="H492" s="237">
        <v>8.0</v>
      </c>
      <c r="I492" s="226">
        <v>38.0</v>
      </c>
      <c r="J492" s="226">
        <v>0.0</v>
      </c>
      <c r="K492" s="226">
        <v>0.0</v>
      </c>
      <c r="L492" s="49">
        <v>1.0</v>
      </c>
      <c r="M492" s="212" t="s">
        <v>27</v>
      </c>
      <c r="N492" s="49" t="s">
        <v>138</v>
      </c>
      <c r="O492" s="49">
        <v>120.0</v>
      </c>
      <c r="P492" s="49" t="s">
        <v>335</v>
      </c>
      <c r="Q492" s="114">
        <v>0.0</v>
      </c>
      <c r="R492" s="46"/>
    </row>
    <row r="493" ht="15.75" customHeight="1">
      <c r="A493" s="211">
        <v>6.0</v>
      </c>
      <c r="B493" s="212" t="s">
        <v>3534</v>
      </c>
      <c r="C493" s="212" t="s">
        <v>3535</v>
      </c>
      <c r="D493" s="235" t="s">
        <v>25</v>
      </c>
      <c r="E493" s="235" t="s">
        <v>647</v>
      </c>
      <c r="F493" s="243"/>
      <c r="G493" s="225">
        <v>42.0</v>
      </c>
      <c r="H493" s="237">
        <v>3.0</v>
      </c>
      <c r="I493" s="226">
        <v>17.0</v>
      </c>
      <c r="J493" s="226">
        <v>0.0</v>
      </c>
      <c r="K493" s="226">
        <v>0.0</v>
      </c>
      <c r="L493" s="49">
        <v>1.0</v>
      </c>
      <c r="M493" s="212" t="s">
        <v>27</v>
      </c>
      <c r="N493" s="49" t="s">
        <v>138</v>
      </c>
      <c r="O493" s="49">
        <v>210.0</v>
      </c>
      <c r="P493" s="49" t="s">
        <v>335</v>
      </c>
      <c r="Q493" s="114">
        <v>0.0</v>
      </c>
      <c r="R493" s="46"/>
    </row>
    <row r="494" ht="15.75" customHeight="1">
      <c r="A494" s="211">
        <v>7.0</v>
      </c>
      <c r="B494" s="212" t="s">
        <v>3536</v>
      </c>
      <c r="C494" s="212" t="s">
        <v>3535</v>
      </c>
      <c r="D494" s="235" t="s">
        <v>25</v>
      </c>
      <c r="E494" s="235" t="s">
        <v>647</v>
      </c>
      <c r="F494" s="243"/>
      <c r="G494" s="225">
        <v>34.8</v>
      </c>
      <c r="H494" s="237">
        <v>3.0</v>
      </c>
      <c r="I494" s="226">
        <v>14.0</v>
      </c>
      <c r="J494" s="226">
        <v>0.0</v>
      </c>
      <c r="K494" s="226">
        <v>0.0</v>
      </c>
      <c r="L494" s="49">
        <v>1.0</v>
      </c>
      <c r="M494" s="212" t="s">
        <v>27</v>
      </c>
      <c r="N494" s="49" t="s">
        <v>138</v>
      </c>
      <c r="O494" s="49">
        <v>174.0</v>
      </c>
      <c r="P494" s="49" t="s">
        <v>335</v>
      </c>
      <c r="Q494" s="114">
        <v>0.0</v>
      </c>
      <c r="R494" s="46"/>
    </row>
    <row r="495" ht="15.75" customHeight="1">
      <c r="A495" s="211">
        <v>8.0</v>
      </c>
      <c r="B495" s="212" t="s">
        <v>3537</v>
      </c>
      <c r="C495" s="212" t="s">
        <v>3535</v>
      </c>
      <c r="D495" s="235" t="s">
        <v>25</v>
      </c>
      <c r="E495" s="235" t="s">
        <v>647</v>
      </c>
      <c r="F495" s="243"/>
      <c r="G495" s="225">
        <v>20.0</v>
      </c>
      <c r="H495" s="237">
        <v>2.0</v>
      </c>
      <c r="I495" s="226">
        <v>8.0</v>
      </c>
      <c r="J495" s="226">
        <v>0.0</v>
      </c>
      <c r="K495" s="226">
        <v>0.0</v>
      </c>
      <c r="L495" s="49">
        <v>1.0</v>
      </c>
      <c r="M495" s="212" t="s">
        <v>27</v>
      </c>
      <c r="N495" s="49" t="s">
        <v>138</v>
      </c>
      <c r="O495" s="49">
        <v>100.0</v>
      </c>
      <c r="P495" s="49" t="s">
        <v>335</v>
      </c>
      <c r="Q495" s="114">
        <v>0.0</v>
      </c>
      <c r="R495" s="46"/>
    </row>
    <row r="496" ht="15.75" customHeight="1">
      <c r="A496" s="211">
        <v>9.0</v>
      </c>
      <c r="B496" s="212" t="s">
        <v>3538</v>
      </c>
      <c r="C496" s="212" t="s">
        <v>3535</v>
      </c>
      <c r="D496" s="235" t="s">
        <v>25</v>
      </c>
      <c r="E496" s="235" t="s">
        <v>647</v>
      </c>
      <c r="F496" s="243"/>
      <c r="G496" s="225">
        <v>30.0</v>
      </c>
      <c r="H496" s="237">
        <v>2.0</v>
      </c>
      <c r="I496" s="226">
        <v>12.0</v>
      </c>
      <c r="J496" s="226">
        <v>0.0</v>
      </c>
      <c r="K496" s="226">
        <v>0.0</v>
      </c>
      <c r="L496" s="49">
        <v>1.0</v>
      </c>
      <c r="M496" s="212" t="s">
        <v>27</v>
      </c>
      <c r="N496" s="49" t="s">
        <v>138</v>
      </c>
      <c r="O496" s="49">
        <v>150.0</v>
      </c>
      <c r="P496" s="49" t="s">
        <v>47</v>
      </c>
      <c r="Q496" s="114">
        <v>3.0</v>
      </c>
      <c r="R496" s="46"/>
    </row>
    <row r="497" ht="15.75" customHeight="1">
      <c r="A497" s="211">
        <v>10.0</v>
      </c>
      <c r="B497" s="212" t="s">
        <v>3539</v>
      </c>
      <c r="C497" s="212" t="s">
        <v>3535</v>
      </c>
      <c r="D497" s="235" t="s">
        <v>25</v>
      </c>
      <c r="E497" s="235" t="s">
        <v>647</v>
      </c>
      <c r="F497" s="243"/>
      <c r="G497" s="225">
        <v>96.0</v>
      </c>
      <c r="H497" s="237">
        <v>8.0</v>
      </c>
      <c r="I497" s="226">
        <v>38.0</v>
      </c>
      <c r="J497" s="226">
        <v>0.0</v>
      </c>
      <c r="K497" s="226">
        <v>0.0</v>
      </c>
      <c r="L497" s="49">
        <v>1.0</v>
      </c>
      <c r="M497" s="212" t="s">
        <v>27</v>
      </c>
      <c r="N497" s="49" t="s">
        <v>138</v>
      </c>
      <c r="O497" s="49">
        <v>480.0</v>
      </c>
      <c r="P497" s="49" t="s">
        <v>335</v>
      </c>
      <c r="Q497" s="114">
        <v>0.0</v>
      </c>
      <c r="R497" s="46"/>
    </row>
    <row r="498" ht="15.75" customHeight="1">
      <c r="A498" s="211">
        <v>11.0</v>
      </c>
      <c r="B498" s="212" t="s">
        <v>3540</v>
      </c>
      <c r="C498" s="212" t="s">
        <v>3541</v>
      </c>
      <c r="D498" s="235" t="s">
        <v>25</v>
      </c>
      <c r="E498" s="235" t="s">
        <v>647</v>
      </c>
      <c r="F498" s="243"/>
      <c r="G498" s="225">
        <v>42.0</v>
      </c>
      <c r="H498" s="237">
        <v>3.0</v>
      </c>
      <c r="I498" s="226">
        <v>17.0</v>
      </c>
      <c r="J498" s="226">
        <v>0.0</v>
      </c>
      <c r="K498" s="226">
        <v>0.0</v>
      </c>
      <c r="L498" s="49">
        <v>1.0</v>
      </c>
      <c r="M498" s="212" t="s">
        <v>27</v>
      </c>
      <c r="N498" s="49" t="s">
        <v>138</v>
      </c>
      <c r="O498" s="49">
        <v>210.0</v>
      </c>
      <c r="P498" s="49" t="s">
        <v>335</v>
      </c>
      <c r="Q498" s="114">
        <v>0.0</v>
      </c>
      <c r="R498" s="46"/>
    </row>
    <row r="499" ht="15.75" customHeight="1">
      <c r="A499" s="211">
        <v>12.0</v>
      </c>
      <c r="B499" s="212" t="s">
        <v>3542</v>
      </c>
      <c r="C499" s="212" t="s">
        <v>3541</v>
      </c>
      <c r="D499" s="235" t="s">
        <v>25</v>
      </c>
      <c r="E499" s="235" t="s">
        <v>647</v>
      </c>
      <c r="F499" s="243"/>
      <c r="G499" s="225">
        <v>37.2</v>
      </c>
      <c r="H499" s="237">
        <v>3.0</v>
      </c>
      <c r="I499" s="226">
        <v>15.0</v>
      </c>
      <c r="J499" s="226">
        <v>0.0</v>
      </c>
      <c r="K499" s="226">
        <v>0.0</v>
      </c>
      <c r="L499" s="49">
        <v>1.0</v>
      </c>
      <c r="M499" s="212" t="s">
        <v>27</v>
      </c>
      <c r="N499" s="49" t="s">
        <v>138</v>
      </c>
      <c r="O499" s="49">
        <v>186.0</v>
      </c>
      <c r="P499" s="49" t="s">
        <v>47</v>
      </c>
      <c r="Q499" s="114">
        <v>3.0</v>
      </c>
      <c r="R499" s="46"/>
    </row>
    <row r="500" ht="15.75" customHeight="1">
      <c r="A500" s="211">
        <v>13.0</v>
      </c>
      <c r="B500" s="212" t="s">
        <v>3543</v>
      </c>
      <c r="C500" s="212" t="s">
        <v>3541</v>
      </c>
      <c r="D500" s="235" t="s">
        <v>25</v>
      </c>
      <c r="E500" s="235" t="s">
        <v>647</v>
      </c>
      <c r="F500" s="243"/>
      <c r="G500" s="225">
        <v>38.4</v>
      </c>
      <c r="H500" s="237">
        <v>3.0</v>
      </c>
      <c r="I500" s="226">
        <v>15.0</v>
      </c>
      <c r="J500" s="226">
        <v>0.0</v>
      </c>
      <c r="K500" s="226">
        <v>0.0</v>
      </c>
      <c r="L500" s="49">
        <v>1.0</v>
      </c>
      <c r="M500" s="212" t="s">
        <v>27</v>
      </c>
      <c r="N500" s="49" t="s">
        <v>138</v>
      </c>
      <c r="O500" s="49">
        <v>192.0</v>
      </c>
      <c r="P500" s="49" t="s">
        <v>47</v>
      </c>
      <c r="Q500" s="114">
        <v>3.0</v>
      </c>
      <c r="R500" s="46"/>
    </row>
    <row r="501" ht="15.75" customHeight="1">
      <c r="A501" s="211">
        <v>14.0</v>
      </c>
      <c r="B501" s="212" t="s">
        <v>3544</v>
      </c>
      <c r="C501" s="212" t="s">
        <v>3541</v>
      </c>
      <c r="D501" s="235" t="s">
        <v>25</v>
      </c>
      <c r="E501" s="235" t="s">
        <v>647</v>
      </c>
      <c r="F501" s="243"/>
      <c r="G501" s="225">
        <v>192.0</v>
      </c>
      <c r="H501" s="237">
        <v>15.0</v>
      </c>
      <c r="I501" s="226">
        <v>77.0</v>
      </c>
      <c r="J501" s="226">
        <v>0.0</v>
      </c>
      <c r="K501" s="226">
        <v>0.0</v>
      </c>
      <c r="L501" s="49">
        <v>1.0</v>
      </c>
      <c r="M501" s="212" t="s">
        <v>27</v>
      </c>
      <c r="N501" s="49" t="s">
        <v>138</v>
      </c>
      <c r="O501" s="49">
        <v>96.0</v>
      </c>
      <c r="P501" s="49" t="s">
        <v>335</v>
      </c>
      <c r="Q501" s="114">
        <v>0.0</v>
      </c>
      <c r="R501" s="46"/>
    </row>
    <row r="502" ht="15.75" customHeight="1">
      <c r="A502" s="211">
        <v>15.0</v>
      </c>
      <c r="B502" s="212" t="s">
        <v>3545</v>
      </c>
      <c r="C502" s="212" t="s">
        <v>3546</v>
      </c>
      <c r="D502" s="235" t="s">
        <v>25</v>
      </c>
      <c r="E502" s="235" t="s">
        <v>647</v>
      </c>
      <c r="F502" s="243"/>
      <c r="G502" s="225">
        <v>30.0</v>
      </c>
      <c r="H502" s="237">
        <v>2.0</v>
      </c>
      <c r="I502" s="226">
        <v>12.0</v>
      </c>
      <c r="J502" s="226">
        <v>0.0</v>
      </c>
      <c r="K502" s="226">
        <v>0.0</v>
      </c>
      <c r="L502" s="49">
        <v>1.0</v>
      </c>
      <c r="M502" s="212" t="s">
        <v>27</v>
      </c>
      <c r="N502" s="49" t="s">
        <v>138</v>
      </c>
      <c r="O502" s="49">
        <v>150.0</v>
      </c>
      <c r="P502" s="49" t="s">
        <v>335</v>
      </c>
      <c r="Q502" s="114">
        <v>0.0</v>
      </c>
      <c r="R502" s="46"/>
    </row>
    <row r="503" ht="15.75" customHeight="1">
      <c r="A503" s="211">
        <v>16.0</v>
      </c>
      <c r="B503" s="212" t="s">
        <v>3547</v>
      </c>
      <c r="C503" s="212" t="s">
        <v>3546</v>
      </c>
      <c r="D503" s="235" t="s">
        <v>25</v>
      </c>
      <c r="E503" s="235" t="s">
        <v>647</v>
      </c>
      <c r="F503" s="243"/>
      <c r="G503" s="225">
        <v>25.0</v>
      </c>
      <c r="H503" s="237">
        <v>1.0</v>
      </c>
      <c r="I503" s="226">
        <v>7.0</v>
      </c>
      <c r="J503" s="226">
        <v>0.0</v>
      </c>
      <c r="K503" s="226">
        <v>0.0</v>
      </c>
      <c r="L503" s="49">
        <v>1.0</v>
      </c>
      <c r="M503" s="212" t="s">
        <v>27</v>
      </c>
      <c r="N503" s="49" t="s">
        <v>138</v>
      </c>
      <c r="O503" s="49">
        <v>125.0</v>
      </c>
      <c r="P503" s="49" t="s">
        <v>335</v>
      </c>
      <c r="Q503" s="114">
        <v>0.0</v>
      </c>
      <c r="R503" s="46"/>
    </row>
    <row r="504" ht="15.75" customHeight="1">
      <c r="A504" s="211">
        <v>17.0</v>
      </c>
      <c r="B504" s="212" t="s">
        <v>3548</v>
      </c>
      <c r="C504" s="212" t="s">
        <v>3546</v>
      </c>
      <c r="D504" s="235" t="s">
        <v>25</v>
      </c>
      <c r="E504" s="235" t="s">
        <v>647</v>
      </c>
      <c r="F504" s="243"/>
      <c r="G504" s="225">
        <v>18.0</v>
      </c>
      <c r="H504" s="237">
        <v>3.0</v>
      </c>
      <c r="I504" s="226">
        <v>15.0</v>
      </c>
      <c r="J504" s="226">
        <v>0.0</v>
      </c>
      <c r="K504" s="226">
        <v>0.0</v>
      </c>
      <c r="L504" s="49">
        <v>1.0</v>
      </c>
      <c r="M504" s="212" t="s">
        <v>27</v>
      </c>
      <c r="N504" s="49" t="s">
        <v>138</v>
      </c>
      <c r="O504" s="49">
        <v>90.0</v>
      </c>
      <c r="P504" s="49" t="s">
        <v>47</v>
      </c>
      <c r="Q504" s="114">
        <v>3.0</v>
      </c>
      <c r="R504" s="46"/>
    </row>
    <row r="505" ht="15.75" customHeight="1">
      <c r="A505" s="211">
        <v>18.0</v>
      </c>
      <c r="B505" s="212" t="s">
        <v>3549</v>
      </c>
      <c r="C505" s="212" t="s">
        <v>3546</v>
      </c>
      <c r="D505" s="235" t="s">
        <v>25</v>
      </c>
      <c r="E505" s="235" t="s">
        <v>647</v>
      </c>
      <c r="F505" s="243"/>
      <c r="G505" s="225">
        <v>45.0</v>
      </c>
      <c r="H505" s="237">
        <v>4.0</v>
      </c>
      <c r="I505" s="226">
        <v>18.0</v>
      </c>
      <c r="J505" s="226">
        <v>0.0</v>
      </c>
      <c r="K505" s="226">
        <v>0.0</v>
      </c>
      <c r="L505" s="49">
        <v>1.0</v>
      </c>
      <c r="M505" s="212" t="s">
        <v>27</v>
      </c>
      <c r="N505" s="49" t="s">
        <v>138</v>
      </c>
      <c r="O505" s="49">
        <v>225.0</v>
      </c>
      <c r="P505" s="49" t="s">
        <v>47</v>
      </c>
      <c r="Q505" s="114">
        <v>4.0</v>
      </c>
      <c r="R505" s="46"/>
    </row>
    <row r="506" ht="15.75" customHeight="1">
      <c r="A506" s="211">
        <v>19.0</v>
      </c>
      <c r="B506" s="212" t="s">
        <v>3550</v>
      </c>
      <c r="C506" s="212" t="s">
        <v>3546</v>
      </c>
      <c r="D506" s="235" t="s">
        <v>25</v>
      </c>
      <c r="E506" s="235" t="s">
        <v>647</v>
      </c>
      <c r="F506" s="243"/>
      <c r="G506" s="225">
        <v>30.8</v>
      </c>
      <c r="H506" s="237">
        <v>2.0</v>
      </c>
      <c r="I506" s="226">
        <v>12.0</v>
      </c>
      <c r="J506" s="226">
        <v>0.0</v>
      </c>
      <c r="K506" s="226">
        <v>0.0</v>
      </c>
      <c r="L506" s="49">
        <v>1.0</v>
      </c>
      <c r="M506" s="212" t="s">
        <v>27</v>
      </c>
      <c r="N506" s="49" t="s">
        <v>138</v>
      </c>
      <c r="O506" s="49">
        <v>154.0</v>
      </c>
      <c r="P506" s="49" t="s">
        <v>47</v>
      </c>
      <c r="Q506" s="114">
        <v>3.0</v>
      </c>
      <c r="R506" s="46"/>
    </row>
    <row r="507" ht="15.75" customHeight="1">
      <c r="A507" s="211">
        <v>20.0</v>
      </c>
      <c r="B507" s="212" t="s">
        <v>3551</v>
      </c>
      <c r="C507" s="212" t="s">
        <v>3546</v>
      </c>
      <c r="D507" s="235" t="s">
        <v>25</v>
      </c>
      <c r="E507" s="235" t="s">
        <v>647</v>
      </c>
      <c r="F507" s="243"/>
      <c r="G507" s="225">
        <v>22.0</v>
      </c>
      <c r="H507" s="237">
        <v>2.0</v>
      </c>
      <c r="I507" s="226">
        <v>9.0</v>
      </c>
      <c r="J507" s="226">
        <v>0.0</v>
      </c>
      <c r="K507" s="226">
        <v>0.0</v>
      </c>
      <c r="L507" s="49">
        <v>1.0</v>
      </c>
      <c r="M507" s="212" t="s">
        <v>27</v>
      </c>
      <c r="N507" s="49" t="s">
        <v>138</v>
      </c>
      <c r="O507" s="49">
        <v>110.0</v>
      </c>
      <c r="P507" s="49" t="s">
        <v>47</v>
      </c>
      <c r="Q507" s="114">
        <v>2.0</v>
      </c>
      <c r="R507" s="46"/>
    </row>
    <row r="508" ht="15.75" customHeight="1">
      <c r="A508" s="211">
        <v>21.0</v>
      </c>
      <c r="B508" s="212" t="s">
        <v>3552</v>
      </c>
      <c r="C508" s="212" t="s">
        <v>3546</v>
      </c>
      <c r="D508" s="235" t="s">
        <v>25</v>
      </c>
      <c r="E508" s="235" t="s">
        <v>647</v>
      </c>
      <c r="F508" s="243"/>
      <c r="G508" s="225">
        <v>96.0</v>
      </c>
      <c r="H508" s="237">
        <v>8.0</v>
      </c>
      <c r="I508" s="226">
        <v>38.0</v>
      </c>
      <c r="J508" s="226">
        <v>0.0</v>
      </c>
      <c r="K508" s="226">
        <v>0.0</v>
      </c>
      <c r="L508" s="49">
        <v>1.0</v>
      </c>
      <c r="M508" s="212" t="s">
        <v>27</v>
      </c>
      <c r="N508" s="49" t="s">
        <v>138</v>
      </c>
      <c r="O508" s="49">
        <v>480.0</v>
      </c>
      <c r="P508" s="49" t="s">
        <v>335</v>
      </c>
      <c r="Q508" s="114">
        <v>0.0</v>
      </c>
      <c r="R508" s="46"/>
    </row>
    <row r="509" ht="15.75" customHeight="1">
      <c r="A509" s="211">
        <v>22.0</v>
      </c>
      <c r="B509" s="212" t="s">
        <v>3553</v>
      </c>
      <c r="C509" s="212" t="s">
        <v>3546</v>
      </c>
      <c r="D509" s="235" t="s">
        <v>25</v>
      </c>
      <c r="E509" s="235" t="s">
        <v>647</v>
      </c>
      <c r="F509" s="243"/>
      <c r="G509" s="225">
        <v>96.0</v>
      </c>
      <c r="H509" s="237">
        <v>8.0</v>
      </c>
      <c r="I509" s="226">
        <v>38.0</v>
      </c>
      <c r="J509" s="226">
        <v>0.0</v>
      </c>
      <c r="K509" s="226">
        <v>0.0</v>
      </c>
      <c r="L509" s="49">
        <v>1.0</v>
      </c>
      <c r="M509" s="212" t="s">
        <v>27</v>
      </c>
      <c r="N509" s="49" t="s">
        <v>138</v>
      </c>
      <c r="O509" s="49">
        <v>480.0</v>
      </c>
      <c r="P509" s="49" t="s">
        <v>335</v>
      </c>
      <c r="Q509" s="114">
        <v>0.0</v>
      </c>
      <c r="R509" s="46"/>
    </row>
    <row r="510" ht="15.75" customHeight="1">
      <c r="A510" s="211">
        <v>23.0</v>
      </c>
      <c r="B510" s="212" t="s">
        <v>3554</v>
      </c>
      <c r="C510" s="212" t="s">
        <v>3555</v>
      </c>
      <c r="D510" s="235" t="s">
        <v>25</v>
      </c>
      <c r="E510" s="235" t="s">
        <v>647</v>
      </c>
      <c r="F510" s="243"/>
      <c r="G510" s="225">
        <v>35.0</v>
      </c>
      <c r="H510" s="237">
        <v>3.0</v>
      </c>
      <c r="I510" s="226">
        <v>14.0</v>
      </c>
      <c r="J510" s="226">
        <v>0.0</v>
      </c>
      <c r="K510" s="226">
        <v>0.0</v>
      </c>
      <c r="L510" s="49">
        <v>1.0</v>
      </c>
      <c r="M510" s="212" t="s">
        <v>27</v>
      </c>
      <c r="N510" s="49" t="s">
        <v>138</v>
      </c>
      <c r="O510" s="49">
        <v>175.0</v>
      </c>
      <c r="P510" s="49" t="s">
        <v>335</v>
      </c>
      <c r="Q510" s="114">
        <v>0.0</v>
      </c>
      <c r="R510" s="46"/>
    </row>
    <row r="511" ht="15.75" customHeight="1">
      <c r="A511" s="211">
        <v>24.0</v>
      </c>
      <c r="B511" s="212" t="s">
        <v>3556</v>
      </c>
      <c r="C511" s="212" t="s">
        <v>3555</v>
      </c>
      <c r="D511" s="235" t="s">
        <v>25</v>
      </c>
      <c r="E511" s="235" t="s">
        <v>647</v>
      </c>
      <c r="F511" s="243"/>
      <c r="G511" s="225">
        <v>20.0</v>
      </c>
      <c r="H511" s="237">
        <v>2.0</v>
      </c>
      <c r="I511" s="226">
        <v>8.0</v>
      </c>
      <c r="J511" s="226">
        <v>0.0</v>
      </c>
      <c r="K511" s="226">
        <v>0.0</v>
      </c>
      <c r="L511" s="49">
        <v>1.0</v>
      </c>
      <c r="M511" s="212" t="s">
        <v>27</v>
      </c>
      <c r="N511" s="49" t="s">
        <v>138</v>
      </c>
      <c r="O511" s="49">
        <v>10.0</v>
      </c>
      <c r="P511" s="49" t="s">
        <v>335</v>
      </c>
      <c r="Q511" s="114">
        <v>0.0</v>
      </c>
      <c r="R511" s="46"/>
    </row>
    <row r="512" ht="15.75" customHeight="1">
      <c r="A512" s="211">
        <v>25.0</v>
      </c>
      <c r="B512" s="212" t="s">
        <v>3557</v>
      </c>
      <c r="C512" s="212" t="s">
        <v>3555</v>
      </c>
      <c r="D512" s="235" t="s">
        <v>25</v>
      </c>
      <c r="E512" s="235" t="s">
        <v>647</v>
      </c>
      <c r="F512" s="243"/>
      <c r="G512" s="225">
        <v>48.0</v>
      </c>
      <c r="H512" s="237">
        <v>4.0</v>
      </c>
      <c r="I512" s="226">
        <v>19.0</v>
      </c>
      <c r="J512" s="226">
        <v>0.0</v>
      </c>
      <c r="K512" s="226">
        <v>0.0</v>
      </c>
      <c r="L512" s="49">
        <v>1.0</v>
      </c>
      <c r="M512" s="212" t="s">
        <v>27</v>
      </c>
      <c r="N512" s="49" t="s">
        <v>138</v>
      </c>
      <c r="O512" s="49">
        <v>240.0</v>
      </c>
      <c r="P512" s="49" t="s">
        <v>47</v>
      </c>
      <c r="Q512" s="114">
        <v>4.0</v>
      </c>
      <c r="R512" s="46"/>
    </row>
    <row r="513" ht="15.75" customHeight="1">
      <c r="A513" s="211">
        <v>26.0</v>
      </c>
      <c r="B513" s="212" t="s">
        <v>3558</v>
      </c>
      <c r="C513" s="212" t="s">
        <v>3555</v>
      </c>
      <c r="D513" s="235" t="s">
        <v>25</v>
      </c>
      <c r="E513" s="235" t="s">
        <v>647</v>
      </c>
      <c r="F513" s="243"/>
      <c r="G513" s="225">
        <v>96.0</v>
      </c>
      <c r="H513" s="237">
        <v>8.0</v>
      </c>
      <c r="I513" s="226">
        <v>38.0</v>
      </c>
      <c r="J513" s="226">
        <v>0.0</v>
      </c>
      <c r="K513" s="226">
        <v>0.0</v>
      </c>
      <c r="L513" s="49">
        <v>1.0</v>
      </c>
      <c r="M513" s="212" t="s">
        <v>27</v>
      </c>
      <c r="N513" s="49" t="s">
        <v>138</v>
      </c>
      <c r="O513" s="49">
        <v>480.0</v>
      </c>
      <c r="P513" s="49" t="s">
        <v>335</v>
      </c>
      <c r="Q513" s="114">
        <v>0.0</v>
      </c>
      <c r="R513" s="46"/>
    </row>
    <row r="514" ht="15.75" customHeight="1">
      <c r="A514" s="211">
        <v>27.0</v>
      </c>
      <c r="B514" s="212" t="s">
        <v>3559</v>
      </c>
      <c r="C514" s="212" t="s">
        <v>3560</v>
      </c>
      <c r="D514" s="235" t="s">
        <v>25</v>
      </c>
      <c r="E514" s="235" t="s">
        <v>647</v>
      </c>
      <c r="F514" s="243"/>
      <c r="G514" s="225" t="s">
        <v>3561</v>
      </c>
      <c r="H514" s="237">
        <v>60.0</v>
      </c>
      <c r="I514" s="226">
        <v>300.0</v>
      </c>
      <c r="J514" s="226">
        <v>1.0</v>
      </c>
      <c r="K514" s="226">
        <v>1.0</v>
      </c>
      <c r="L514" s="49">
        <v>1.0</v>
      </c>
      <c r="M514" s="212" t="s">
        <v>27</v>
      </c>
      <c r="N514" s="49" t="s">
        <v>138</v>
      </c>
      <c r="O514" s="49">
        <v>3840.0</v>
      </c>
      <c r="P514" s="49" t="s">
        <v>47</v>
      </c>
      <c r="Q514" s="114">
        <v>16.0</v>
      </c>
      <c r="R514" s="46"/>
    </row>
    <row r="515" ht="15.75" customHeight="1">
      <c r="A515" s="211">
        <v>29.0</v>
      </c>
      <c r="B515" s="212" t="s">
        <v>3562</v>
      </c>
      <c r="C515" s="212" t="s">
        <v>3560</v>
      </c>
      <c r="D515" s="235" t="s">
        <v>25</v>
      </c>
      <c r="E515" s="235" t="s">
        <v>647</v>
      </c>
      <c r="F515" s="243"/>
      <c r="G515" s="225">
        <v>90.0</v>
      </c>
      <c r="H515" s="237">
        <v>7.0</v>
      </c>
      <c r="I515" s="226">
        <v>36.0</v>
      </c>
      <c r="J515" s="226">
        <v>0.0</v>
      </c>
      <c r="K515" s="226">
        <v>0.0</v>
      </c>
      <c r="L515" s="49">
        <v>1.0</v>
      </c>
      <c r="M515" s="212" t="s">
        <v>27</v>
      </c>
      <c r="N515" s="49" t="s">
        <v>138</v>
      </c>
      <c r="O515" s="49">
        <v>450.0</v>
      </c>
      <c r="P515" s="49" t="s">
        <v>335</v>
      </c>
      <c r="Q515" s="114">
        <v>0.0</v>
      </c>
      <c r="R515" s="46"/>
    </row>
    <row r="516" ht="15.75" customHeight="1">
      <c r="A516" s="211">
        <v>30.0</v>
      </c>
      <c r="B516" s="212" t="s">
        <v>3563</v>
      </c>
      <c r="C516" s="212" t="s">
        <v>3560</v>
      </c>
      <c r="D516" s="235" t="s">
        <v>25</v>
      </c>
      <c r="E516" s="235" t="s">
        <v>647</v>
      </c>
      <c r="F516" s="243"/>
      <c r="G516" s="225">
        <v>84.0</v>
      </c>
      <c r="H516" s="237">
        <v>7.0</v>
      </c>
      <c r="I516" s="226">
        <v>34.0</v>
      </c>
      <c r="J516" s="226">
        <v>0.0</v>
      </c>
      <c r="K516" s="226">
        <v>0.0</v>
      </c>
      <c r="L516" s="49">
        <v>1.0</v>
      </c>
      <c r="M516" s="212" t="s">
        <v>27</v>
      </c>
      <c r="N516" s="49" t="s">
        <v>138</v>
      </c>
      <c r="O516" s="49">
        <v>420.0</v>
      </c>
      <c r="P516" s="49" t="s">
        <v>335</v>
      </c>
      <c r="Q516" s="114">
        <v>0.0</v>
      </c>
      <c r="R516" s="46"/>
    </row>
    <row r="517" ht="15.75" customHeight="1">
      <c r="A517" s="211">
        <v>31.0</v>
      </c>
      <c r="B517" s="212" t="s">
        <v>3564</v>
      </c>
      <c r="C517" s="212" t="s">
        <v>3560</v>
      </c>
      <c r="D517" s="235" t="s">
        <v>25</v>
      </c>
      <c r="E517" s="235" t="s">
        <v>647</v>
      </c>
      <c r="F517" s="243"/>
      <c r="G517" s="225">
        <v>48.0</v>
      </c>
      <c r="H517" s="237">
        <v>4.0</v>
      </c>
      <c r="I517" s="226">
        <v>19.0</v>
      </c>
      <c r="J517" s="226">
        <v>0.0</v>
      </c>
      <c r="K517" s="226">
        <v>0.0</v>
      </c>
      <c r="L517" s="49">
        <v>1.0</v>
      </c>
      <c r="M517" s="212" t="s">
        <v>27</v>
      </c>
      <c r="N517" s="49" t="s">
        <v>138</v>
      </c>
      <c r="O517" s="49">
        <v>240.0</v>
      </c>
      <c r="P517" s="49" t="s">
        <v>47</v>
      </c>
      <c r="Q517" s="114">
        <v>4.0</v>
      </c>
      <c r="R517" s="46"/>
    </row>
    <row r="518" ht="15.75" customHeight="1">
      <c r="A518" s="211">
        <v>32.0</v>
      </c>
      <c r="B518" s="212" t="s">
        <v>3565</v>
      </c>
      <c r="C518" s="212" t="s">
        <v>3560</v>
      </c>
      <c r="D518" s="235" t="s">
        <v>25</v>
      </c>
      <c r="E518" s="235" t="s">
        <v>647</v>
      </c>
      <c r="F518" s="243"/>
      <c r="G518" s="225">
        <v>96.0</v>
      </c>
      <c r="H518" s="237">
        <v>8.0</v>
      </c>
      <c r="I518" s="226">
        <v>38.0</v>
      </c>
      <c r="J518" s="226">
        <v>0.0</v>
      </c>
      <c r="K518" s="226">
        <v>0.0</v>
      </c>
      <c r="L518" s="49">
        <v>1.0</v>
      </c>
      <c r="M518" s="212" t="s">
        <v>27</v>
      </c>
      <c r="N518" s="49" t="s">
        <v>138</v>
      </c>
      <c r="O518" s="49">
        <v>480.0</v>
      </c>
      <c r="P518" s="49" t="s">
        <v>335</v>
      </c>
      <c r="Q518" s="114">
        <v>0.0</v>
      </c>
      <c r="R518" s="46"/>
    </row>
    <row r="519" ht="15.75" customHeight="1">
      <c r="A519" s="211">
        <v>33.0</v>
      </c>
      <c r="B519" s="212" t="s">
        <v>3566</v>
      </c>
      <c r="C519" s="212" t="s">
        <v>3560</v>
      </c>
      <c r="D519" s="235" t="s">
        <v>25</v>
      </c>
      <c r="E519" s="235" t="s">
        <v>647</v>
      </c>
      <c r="F519" s="243"/>
      <c r="G519" s="225">
        <v>288.0</v>
      </c>
      <c r="H519" s="237">
        <v>23.0</v>
      </c>
      <c r="I519" s="226">
        <v>115.0</v>
      </c>
      <c r="J519" s="226">
        <v>2.0</v>
      </c>
      <c r="K519" s="226">
        <v>2.0</v>
      </c>
      <c r="L519" s="49">
        <v>1.0</v>
      </c>
      <c r="M519" s="212" t="s">
        <v>27</v>
      </c>
      <c r="N519" s="49" t="s">
        <v>138</v>
      </c>
      <c r="O519" s="49">
        <v>1440.0</v>
      </c>
      <c r="P519" s="49" t="s">
        <v>335</v>
      </c>
      <c r="Q519" s="114">
        <v>0.0</v>
      </c>
      <c r="R519" s="46"/>
    </row>
    <row r="520" ht="15.75" customHeight="1">
      <c r="A520" s="211">
        <v>34.0</v>
      </c>
      <c r="B520" s="212" t="s">
        <v>3567</v>
      </c>
      <c r="C520" s="212" t="s">
        <v>3568</v>
      </c>
      <c r="D520" s="235" t="s">
        <v>25</v>
      </c>
      <c r="E520" s="235" t="s">
        <v>647</v>
      </c>
      <c r="F520" s="243"/>
      <c r="G520" s="225">
        <v>72.0</v>
      </c>
      <c r="H520" s="237">
        <v>6.0</v>
      </c>
      <c r="I520" s="226">
        <v>29.0</v>
      </c>
      <c r="J520" s="226">
        <v>0.0</v>
      </c>
      <c r="K520" s="226">
        <v>0.0</v>
      </c>
      <c r="L520" s="49">
        <v>1.0</v>
      </c>
      <c r="M520" s="212" t="s">
        <v>27</v>
      </c>
      <c r="N520" s="49" t="s">
        <v>138</v>
      </c>
      <c r="O520" s="49">
        <v>360.0</v>
      </c>
      <c r="P520" s="49" t="s">
        <v>335</v>
      </c>
      <c r="Q520" s="114">
        <v>0.0</v>
      </c>
      <c r="R520" s="46"/>
    </row>
    <row r="521" ht="15.75" customHeight="1">
      <c r="A521" s="211">
        <v>35.0</v>
      </c>
      <c r="B521" s="212" t="s">
        <v>3569</v>
      </c>
      <c r="C521" s="212" t="s">
        <v>3568</v>
      </c>
      <c r="D521" s="235" t="s">
        <v>25</v>
      </c>
      <c r="E521" s="235" t="s">
        <v>647</v>
      </c>
      <c r="F521" s="243"/>
      <c r="G521" s="225">
        <v>25.0</v>
      </c>
      <c r="H521" s="237">
        <v>2.0</v>
      </c>
      <c r="I521" s="226">
        <v>10.0</v>
      </c>
      <c r="J521" s="226">
        <v>0.0</v>
      </c>
      <c r="K521" s="226">
        <v>0.0</v>
      </c>
      <c r="L521" s="49">
        <v>1.0</v>
      </c>
      <c r="M521" s="212" t="s">
        <v>27</v>
      </c>
      <c r="N521" s="49" t="s">
        <v>138</v>
      </c>
      <c r="O521" s="49">
        <v>125.0</v>
      </c>
      <c r="P521" s="49" t="s">
        <v>335</v>
      </c>
      <c r="Q521" s="114">
        <v>0.0</v>
      </c>
      <c r="R521" s="46"/>
    </row>
    <row r="522" ht="15.75" customHeight="1">
      <c r="A522" s="211">
        <v>36.0</v>
      </c>
      <c r="B522" s="212" t="s">
        <v>3570</v>
      </c>
      <c r="C522" s="212" t="s">
        <v>3568</v>
      </c>
      <c r="D522" s="235" t="s">
        <v>25</v>
      </c>
      <c r="E522" s="235" t="s">
        <v>647</v>
      </c>
      <c r="F522" s="243"/>
      <c r="G522" s="225">
        <v>23.1</v>
      </c>
      <c r="H522" s="237">
        <v>2.0</v>
      </c>
      <c r="I522" s="226">
        <v>9.0</v>
      </c>
      <c r="J522" s="226">
        <v>0.0</v>
      </c>
      <c r="K522" s="226">
        <v>0.0</v>
      </c>
      <c r="L522" s="49">
        <v>1.0</v>
      </c>
      <c r="M522" s="212" t="s">
        <v>27</v>
      </c>
      <c r="N522" s="49" t="s">
        <v>138</v>
      </c>
      <c r="O522" s="49">
        <v>116.0</v>
      </c>
      <c r="P522" s="49" t="s">
        <v>47</v>
      </c>
      <c r="Q522" s="114">
        <v>2.0</v>
      </c>
      <c r="R522" s="46"/>
    </row>
    <row r="523" ht="15.75" customHeight="1">
      <c r="A523" s="211">
        <v>37.0</v>
      </c>
      <c r="B523" s="212" t="s">
        <v>3571</v>
      </c>
      <c r="C523" s="212" t="s">
        <v>3568</v>
      </c>
      <c r="D523" s="235" t="s">
        <v>25</v>
      </c>
      <c r="E523" s="235" t="s">
        <v>647</v>
      </c>
      <c r="F523" s="243"/>
      <c r="G523" s="225">
        <v>33.6</v>
      </c>
      <c r="H523" s="237">
        <v>3.0</v>
      </c>
      <c r="I523" s="226">
        <v>13.0</v>
      </c>
      <c r="J523" s="226">
        <v>0.0</v>
      </c>
      <c r="K523" s="226">
        <v>0.0</v>
      </c>
      <c r="L523" s="49">
        <v>1.0</v>
      </c>
      <c r="M523" s="212" t="s">
        <v>27</v>
      </c>
      <c r="N523" s="49" t="s">
        <v>138</v>
      </c>
      <c r="O523" s="49">
        <v>168.0</v>
      </c>
      <c r="P523" s="49" t="s">
        <v>47</v>
      </c>
      <c r="Q523" s="114">
        <v>3.0</v>
      </c>
      <c r="R523" s="46"/>
    </row>
    <row r="524" ht="15.75" customHeight="1">
      <c r="A524" s="211">
        <v>38.0</v>
      </c>
      <c r="B524" s="212" t="s">
        <v>3572</v>
      </c>
      <c r="C524" s="212" t="s">
        <v>3568</v>
      </c>
      <c r="D524" s="235" t="s">
        <v>25</v>
      </c>
      <c r="E524" s="235" t="s">
        <v>647</v>
      </c>
      <c r="F524" s="243"/>
      <c r="G524" s="225">
        <v>30.0</v>
      </c>
      <c r="H524" s="237">
        <v>2.0</v>
      </c>
      <c r="I524" s="226">
        <v>12.0</v>
      </c>
      <c r="J524" s="226">
        <v>0.0</v>
      </c>
      <c r="K524" s="226">
        <v>0.0</v>
      </c>
      <c r="L524" s="49">
        <v>1.0</v>
      </c>
      <c r="M524" s="212" t="s">
        <v>27</v>
      </c>
      <c r="N524" s="49" t="s">
        <v>138</v>
      </c>
      <c r="O524" s="49">
        <v>150.0</v>
      </c>
      <c r="P524" s="49" t="s">
        <v>47</v>
      </c>
      <c r="Q524" s="114">
        <v>3.0</v>
      </c>
      <c r="R524" s="46"/>
    </row>
    <row r="525" ht="15.75" customHeight="1">
      <c r="A525" s="211">
        <v>39.0</v>
      </c>
      <c r="B525" s="212" t="s">
        <v>3573</v>
      </c>
      <c r="C525" s="212" t="s">
        <v>3568</v>
      </c>
      <c r="D525" s="235" t="s">
        <v>25</v>
      </c>
      <c r="E525" s="235" t="s">
        <v>647</v>
      </c>
      <c r="F525" s="243"/>
      <c r="G525" s="225">
        <v>30.0</v>
      </c>
      <c r="H525" s="237">
        <v>2.0</v>
      </c>
      <c r="I525" s="226">
        <v>12.0</v>
      </c>
      <c r="J525" s="226">
        <v>0.0</v>
      </c>
      <c r="K525" s="226">
        <v>0.0</v>
      </c>
      <c r="L525" s="49">
        <v>1.0</v>
      </c>
      <c r="M525" s="212" t="s">
        <v>27</v>
      </c>
      <c r="N525" s="49" t="s">
        <v>138</v>
      </c>
      <c r="O525" s="49">
        <v>150.0</v>
      </c>
      <c r="P525" s="49" t="s">
        <v>47</v>
      </c>
      <c r="Q525" s="114">
        <v>2.0</v>
      </c>
      <c r="R525" s="46"/>
    </row>
    <row r="526" ht="15.75" customHeight="1">
      <c r="A526" s="211">
        <v>40.0</v>
      </c>
      <c r="B526" s="212" t="s">
        <v>3574</v>
      </c>
      <c r="C526" s="212" t="s">
        <v>3568</v>
      </c>
      <c r="D526" s="235" t="s">
        <v>25</v>
      </c>
      <c r="E526" s="235" t="s">
        <v>647</v>
      </c>
      <c r="F526" s="243"/>
      <c r="G526" s="225">
        <v>96.0</v>
      </c>
      <c r="H526" s="237">
        <v>8.0</v>
      </c>
      <c r="I526" s="226">
        <v>38.0</v>
      </c>
      <c r="J526" s="226">
        <v>0.0</v>
      </c>
      <c r="K526" s="226">
        <v>0.0</v>
      </c>
      <c r="L526" s="49">
        <v>1.0</v>
      </c>
      <c r="M526" s="212" t="s">
        <v>27</v>
      </c>
      <c r="N526" s="49" t="s">
        <v>138</v>
      </c>
      <c r="O526" s="49">
        <v>480.0</v>
      </c>
      <c r="P526" s="49" t="s">
        <v>335</v>
      </c>
      <c r="Q526" s="114">
        <v>0.0</v>
      </c>
      <c r="R526" s="46"/>
    </row>
    <row r="527" ht="15.75" customHeight="1">
      <c r="A527" s="211">
        <v>41.0</v>
      </c>
      <c r="B527" s="212" t="s">
        <v>3575</v>
      </c>
      <c r="C527" s="212" t="s">
        <v>3568</v>
      </c>
      <c r="D527" s="235" t="s">
        <v>25</v>
      </c>
      <c r="E527" s="235" t="s">
        <v>647</v>
      </c>
      <c r="F527" s="243"/>
      <c r="G527" s="225">
        <v>576.0</v>
      </c>
      <c r="H527" s="237">
        <v>46.0</v>
      </c>
      <c r="I527" s="226">
        <v>230.0</v>
      </c>
      <c r="J527" s="226">
        <v>3.0</v>
      </c>
      <c r="K527" s="226">
        <v>3.0</v>
      </c>
      <c r="L527" s="49">
        <v>0.0</v>
      </c>
      <c r="M527" s="212" t="s">
        <v>27</v>
      </c>
      <c r="N527" s="49" t="s">
        <v>138</v>
      </c>
      <c r="O527" s="49">
        <v>2880.0</v>
      </c>
      <c r="P527" s="49" t="s">
        <v>335</v>
      </c>
      <c r="Q527" s="114">
        <v>0.0</v>
      </c>
      <c r="R527" s="46"/>
    </row>
    <row r="528" ht="15.75" customHeight="1">
      <c r="A528" s="211">
        <v>42.0</v>
      </c>
      <c r="B528" s="212" t="s">
        <v>3576</v>
      </c>
      <c r="C528" s="212" t="s">
        <v>3577</v>
      </c>
      <c r="D528" s="235" t="s">
        <v>25</v>
      </c>
      <c r="E528" s="235" t="s">
        <v>647</v>
      </c>
      <c r="F528" s="243"/>
      <c r="G528" s="225">
        <v>42.0</v>
      </c>
      <c r="H528" s="237">
        <v>3.0</v>
      </c>
      <c r="I528" s="226">
        <v>14.0</v>
      </c>
      <c r="J528" s="226">
        <v>0.0</v>
      </c>
      <c r="K528" s="226">
        <v>0.0</v>
      </c>
      <c r="L528" s="49">
        <v>1.0</v>
      </c>
      <c r="M528" s="212" t="s">
        <v>27</v>
      </c>
      <c r="N528" s="49" t="s">
        <v>138</v>
      </c>
      <c r="O528" s="49">
        <v>210.0</v>
      </c>
      <c r="P528" s="49" t="s">
        <v>335</v>
      </c>
      <c r="Q528" s="114">
        <v>0.0</v>
      </c>
      <c r="R528" s="46"/>
    </row>
    <row r="529" ht="15.75" customHeight="1">
      <c r="A529" s="211">
        <v>43.0</v>
      </c>
      <c r="B529" s="212" t="s">
        <v>3578</v>
      </c>
      <c r="C529" s="212" t="s">
        <v>3577</v>
      </c>
      <c r="D529" s="235" t="s">
        <v>25</v>
      </c>
      <c r="E529" s="235" t="s">
        <v>647</v>
      </c>
      <c r="F529" s="243"/>
      <c r="G529" s="225">
        <v>63.7</v>
      </c>
      <c r="H529" s="237">
        <v>5.0</v>
      </c>
      <c r="I529" s="226">
        <v>25.0</v>
      </c>
      <c r="J529" s="226">
        <v>0.0</v>
      </c>
      <c r="K529" s="226">
        <v>0.0</v>
      </c>
      <c r="L529" s="49">
        <v>1.0</v>
      </c>
      <c r="M529" s="212" t="s">
        <v>27</v>
      </c>
      <c r="N529" s="49" t="s">
        <v>138</v>
      </c>
      <c r="O529" s="49">
        <v>319.0</v>
      </c>
      <c r="P529" s="49" t="s">
        <v>47</v>
      </c>
      <c r="Q529" s="114">
        <v>6.0</v>
      </c>
      <c r="R529" s="46"/>
    </row>
    <row r="530" ht="15.75" customHeight="1">
      <c r="A530" s="211">
        <v>44.0</v>
      </c>
      <c r="B530" s="212" t="s">
        <v>3579</v>
      </c>
      <c r="C530" s="212" t="s">
        <v>3577</v>
      </c>
      <c r="D530" s="235" t="s">
        <v>25</v>
      </c>
      <c r="E530" s="235" t="s">
        <v>647</v>
      </c>
      <c r="F530" s="243"/>
      <c r="G530" s="225">
        <v>96.0</v>
      </c>
      <c r="H530" s="237">
        <v>8.0</v>
      </c>
      <c r="I530" s="226">
        <v>38.0</v>
      </c>
      <c r="J530" s="226">
        <v>0.0</v>
      </c>
      <c r="K530" s="226">
        <v>0.0</v>
      </c>
      <c r="L530" s="49">
        <v>1.0</v>
      </c>
      <c r="M530" s="212" t="s">
        <v>27</v>
      </c>
      <c r="N530" s="49" t="s">
        <v>138</v>
      </c>
      <c r="O530" s="49">
        <v>480.0</v>
      </c>
      <c r="P530" s="49" t="s">
        <v>335</v>
      </c>
      <c r="Q530" s="114">
        <v>0.0</v>
      </c>
      <c r="R530" s="46"/>
    </row>
    <row r="531" ht="15.75" customHeight="1">
      <c r="A531" s="211">
        <v>45.0</v>
      </c>
      <c r="B531" s="212" t="s">
        <v>3580</v>
      </c>
      <c r="C531" s="212" t="s">
        <v>3581</v>
      </c>
      <c r="D531" s="235" t="s">
        <v>25</v>
      </c>
      <c r="E531" s="235" t="s">
        <v>647</v>
      </c>
      <c r="F531" s="243"/>
      <c r="G531" s="225">
        <v>35.0</v>
      </c>
      <c r="H531" s="237">
        <v>3.0</v>
      </c>
      <c r="I531" s="226">
        <v>17.0</v>
      </c>
      <c r="J531" s="226">
        <v>0.0</v>
      </c>
      <c r="K531" s="226">
        <v>0.0</v>
      </c>
      <c r="L531" s="49">
        <v>1.0</v>
      </c>
      <c r="M531" s="212" t="s">
        <v>27</v>
      </c>
      <c r="N531" s="49" t="s">
        <v>138</v>
      </c>
      <c r="O531" s="49">
        <v>175.0</v>
      </c>
      <c r="P531" s="49" t="s">
        <v>335</v>
      </c>
      <c r="Q531" s="114">
        <v>0.0</v>
      </c>
      <c r="R531" s="46"/>
    </row>
    <row r="532" ht="15.75" customHeight="1">
      <c r="A532" s="211">
        <v>46.0</v>
      </c>
      <c r="B532" s="212" t="s">
        <v>3582</v>
      </c>
      <c r="C532" s="212" t="s">
        <v>3581</v>
      </c>
      <c r="D532" s="235" t="s">
        <v>25</v>
      </c>
      <c r="E532" s="235" t="s">
        <v>647</v>
      </c>
      <c r="F532" s="243"/>
      <c r="G532" s="225">
        <v>20.0</v>
      </c>
      <c r="H532" s="237">
        <v>2.0</v>
      </c>
      <c r="I532" s="226">
        <v>8.0</v>
      </c>
      <c r="J532" s="226">
        <v>0.0</v>
      </c>
      <c r="K532" s="226">
        <v>0.0</v>
      </c>
      <c r="L532" s="49">
        <v>1.0</v>
      </c>
      <c r="M532" s="212" t="s">
        <v>27</v>
      </c>
      <c r="N532" s="49" t="s">
        <v>138</v>
      </c>
      <c r="O532" s="49">
        <v>100.0</v>
      </c>
      <c r="P532" s="49" t="s">
        <v>335</v>
      </c>
      <c r="Q532" s="114">
        <v>0.0</v>
      </c>
      <c r="R532" s="46"/>
    </row>
    <row r="533" ht="15.75" customHeight="1">
      <c r="A533" s="211">
        <v>47.0</v>
      </c>
      <c r="B533" s="212" t="s">
        <v>3583</v>
      </c>
      <c r="C533" s="212" t="s">
        <v>3581</v>
      </c>
      <c r="D533" s="235" t="s">
        <v>25</v>
      </c>
      <c r="E533" s="235" t="s">
        <v>647</v>
      </c>
      <c r="F533" s="243"/>
      <c r="G533" s="225">
        <v>46.8</v>
      </c>
      <c r="H533" s="237">
        <v>4.0</v>
      </c>
      <c r="I533" s="226">
        <v>19.0</v>
      </c>
      <c r="J533" s="226">
        <v>0.0</v>
      </c>
      <c r="K533" s="226">
        <v>0.0</v>
      </c>
      <c r="L533" s="49">
        <v>1.0</v>
      </c>
      <c r="M533" s="212" t="s">
        <v>27</v>
      </c>
      <c r="N533" s="49" t="s">
        <v>138</v>
      </c>
      <c r="O533" s="49">
        <v>234.0</v>
      </c>
      <c r="P533" s="49" t="s">
        <v>47</v>
      </c>
      <c r="Q533" s="114">
        <v>4.0</v>
      </c>
      <c r="R533" s="46"/>
    </row>
    <row r="534" ht="15.75" customHeight="1">
      <c r="A534" s="211">
        <v>48.0</v>
      </c>
      <c r="B534" s="212" t="s">
        <v>3584</v>
      </c>
      <c r="C534" s="212" t="s">
        <v>3581</v>
      </c>
      <c r="D534" s="235" t="s">
        <v>25</v>
      </c>
      <c r="E534" s="235" t="s">
        <v>647</v>
      </c>
      <c r="F534" s="243"/>
      <c r="G534" s="225">
        <v>96.0</v>
      </c>
      <c r="H534" s="237">
        <v>8.0</v>
      </c>
      <c r="I534" s="226">
        <v>38.0</v>
      </c>
      <c r="J534" s="226">
        <v>0.0</v>
      </c>
      <c r="K534" s="226">
        <v>0.0</v>
      </c>
      <c r="L534" s="49">
        <v>1.0</v>
      </c>
      <c r="M534" s="212" t="s">
        <v>27</v>
      </c>
      <c r="N534" s="49" t="s">
        <v>138</v>
      </c>
      <c r="O534" s="49">
        <v>480.0</v>
      </c>
      <c r="P534" s="49" t="s">
        <v>335</v>
      </c>
      <c r="Q534" s="114">
        <v>0.0</v>
      </c>
      <c r="R534" s="46"/>
    </row>
    <row r="535" ht="15.75" customHeight="1">
      <c r="A535" s="211">
        <v>49.0</v>
      </c>
      <c r="B535" s="212" t="s">
        <v>3585</v>
      </c>
      <c r="C535" s="212" t="s">
        <v>3586</v>
      </c>
      <c r="D535" s="235" t="s">
        <v>25</v>
      </c>
      <c r="E535" s="235" t="s">
        <v>647</v>
      </c>
      <c r="F535" s="243"/>
      <c r="G535" s="225">
        <v>32.0</v>
      </c>
      <c r="H535" s="237">
        <v>3.0</v>
      </c>
      <c r="I535" s="226">
        <v>13.0</v>
      </c>
      <c r="J535" s="226">
        <v>0.0</v>
      </c>
      <c r="K535" s="226">
        <v>0.0</v>
      </c>
      <c r="L535" s="49">
        <v>1.0</v>
      </c>
      <c r="M535" s="212" t="s">
        <v>27</v>
      </c>
      <c r="N535" s="49" t="s">
        <v>138</v>
      </c>
      <c r="O535" s="49">
        <v>160.0</v>
      </c>
      <c r="P535" s="49" t="s">
        <v>335</v>
      </c>
      <c r="Q535" s="114">
        <v>0.0</v>
      </c>
      <c r="R535" s="46"/>
    </row>
    <row r="536" ht="15.75" customHeight="1">
      <c r="A536" s="211">
        <v>50.0</v>
      </c>
      <c r="B536" s="212" t="s">
        <v>3587</v>
      </c>
      <c r="C536" s="212" t="s">
        <v>3586</v>
      </c>
      <c r="D536" s="235" t="s">
        <v>25</v>
      </c>
      <c r="E536" s="235" t="s">
        <v>647</v>
      </c>
      <c r="F536" s="243"/>
      <c r="G536" s="225">
        <v>25.0</v>
      </c>
      <c r="H536" s="237">
        <v>2.0</v>
      </c>
      <c r="I536" s="226">
        <v>10.0</v>
      </c>
      <c r="J536" s="226">
        <v>0.0</v>
      </c>
      <c r="K536" s="226">
        <v>0.0</v>
      </c>
      <c r="L536" s="49">
        <v>1.0</v>
      </c>
      <c r="M536" s="212" t="s">
        <v>27</v>
      </c>
      <c r="N536" s="49" t="s">
        <v>138</v>
      </c>
      <c r="O536" s="49">
        <v>125.0</v>
      </c>
      <c r="P536" s="49" t="s">
        <v>335</v>
      </c>
      <c r="Q536" s="114">
        <v>0.0</v>
      </c>
      <c r="R536" s="46"/>
    </row>
    <row r="537" ht="15.75" customHeight="1">
      <c r="A537" s="211">
        <v>51.0</v>
      </c>
      <c r="B537" s="212" t="s">
        <v>3588</v>
      </c>
      <c r="C537" s="212" t="s">
        <v>3586</v>
      </c>
      <c r="D537" s="235" t="s">
        <v>25</v>
      </c>
      <c r="E537" s="235" t="s">
        <v>647</v>
      </c>
      <c r="F537" s="243"/>
      <c r="G537" s="225">
        <v>47.5</v>
      </c>
      <c r="H537" s="237">
        <v>4.0</v>
      </c>
      <c r="I537" s="226">
        <v>19.0</v>
      </c>
      <c r="J537" s="226">
        <v>0.0</v>
      </c>
      <c r="K537" s="226">
        <v>0.0</v>
      </c>
      <c r="L537" s="49">
        <v>0.0</v>
      </c>
      <c r="M537" s="212" t="s">
        <v>27</v>
      </c>
      <c r="N537" s="49" t="s">
        <v>138</v>
      </c>
      <c r="O537" s="49">
        <v>238.0</v>
      </c>
      <c r="P537" s="49" t="s">
        <v>47</v>
      </c>
      <c r="Q537" s="114">
        <v>4.0</v>
      </c>
      <c r="R537" s="46"/>
    </row>
    <row r="538" ht="15.75" customHeight="1">
      <c r="A538" s="211">
        <v>52.0</v>
      </c>
      <c r="B538" s="212" t="s">
        <v>3589</v>
      </c>
      <c r="C538" s="212" t="s">
        <v>3590</v>
      </c>
      <c r="D538" s="235" t="s">
        <v>25</v>
      </c>
      <c r="E538" s="235" t="s">
        <v>647</v>
      </c>
      <c r="F538" s="243"/>
      <c r="G538" s="225">
        <v>42.0</v>
      </c>
      <c r="H538" s="237">
        <v>3.0</v>
      </c>
      <c r="I538" s="226">
        <v>14.0</v>
      </c>
      <c r="J538" s="226">
        <v>0.0</v>
      </c>
      <c r="K538" s="226">
        <v>0.0</v>
      </c>
      <c r="L538" s="49">
        <v>1.0</v>
      </c>
      <c r="M538" s="212" t="s">
        <v>27</v>
      </c>
      <c r="N538" s="49" t="s">
        <v>138</v>
      </c>
      <c r="O538" s="49">
        <v>210.0</v>
      </c>
      <c r="P538" s="49" t="s">
        <v>335</v>
      </c>
      <c r="Q538" s="114">
        <v>0.0</v>
      </c>
      <c r="R538" s="46"/>
    </row>
    <row r="539" ht="15.75" customHeight="1">
      <c r="A539" s="211">
        <v>53.0</v>
      </c>
      <c r="B539" s="212" t="s">
        <v>3591</v>
      </c>
      <c r="C539" s="212" t="s">
        <v>3590</v>
      </c>
      <c r="D539" s="235" t="s">
        <v>25</v>
      </c>
      <c r="E539" s="235" t="s">
        <v>647</v>
      </c>
      <c r="F539" s="243"/>
      <c r="G539" s="225">
        <v>36.0</v>
      </c>
      <c r="H539" s="237">
        <v>3.0</v>
      </c>
      <c r="I539" s="226">
        <v>14.0</v>
      </c>
      <c r="J539" s="226">
        <v>0.0</v>
      </c>
      <c r="K539" s="226">
        <v>0.0</v>
      </c>
      <c r="L539" s="49">
        <v>1.0</v>
      </c>
      <c r="M539" s="212" t="s">
        <v>27</v>
      </c>
      <c r="N539" s="49" t="s">
        <v>138</v>
      </c>
      <c r="O539" s="49">
        <v>180.0</v>
      </c>
      <c r="P539" s="49" t="s">
        <v>47</v>
      </c>
      <c r="Q539" s="114">
        <v>3.0</v>
      </c>
      <c r="R539" s="46"/>
    </row>
    <row r="540" ht="15.75" customHeight="1">
      <c r="A540" s="211">
        <v>54.0</v>
      </c>
      <c r="B540" s="212" t="s">
        <v>3592</v>
      </c>
      <c r="C540" s="212" t="s">
        <v>3590</v>
      </c>
      <c r="D540" s="235" t="s">
        <v>25</v>
      </c>
      <c r="E540" s="235" t="s">
        <v>647</v>
      </c>
      <c r="F540" s="243"/>
      <c r="G540" s="225">
        <v>96.0</v>
      </c>
      <c r="H540" s="237">
        <v>8.0</v>
      </c>
      <c r="I540" s="226">
        <v>38.0</v>
      </c>
      <c r="J540" s="226">
        <v>0.0</v>
      </c>
      <c r="K540" s="226">
        <v>0.0</v>
      </c>
      <c r="L540" s="49">
        <v>1.0</v>
      </c>
      <c r="M540" s="212" t="s">
        <v>27</v>
      </c>
      <c r="N540" s="49" t="s">
        <v>138</v>
      </c>
      <c r="O540" s="49">
        <v>480.0</v>
      </c>
      <c r="P540" s="49" t="s">
        <v>335</v>
      </c>
      <c r="Q540" s="114">
        <v>0.0</v>
      </c>
      <c r="R540" s="46"/>
    </row>
    <row r="541" ht="15.75" customHeight="1">
      <c r="A541" s="211">
        <v>55.0</v>
      </c>
      <c r="B541" s="212" t="s">
        <v>3593</v>
      </c>
      <c r="C541" s="212" t="s">
        <v>3594</v>
      </c>
      <c r="D541" s="235" t="s">
        <v>25</v>
      </c>
      <c r="E541" s="235" t="s">
        <v>647</v>
      </c>
      <c r="F541" s="243"/>
      <c r="G541" s="225">
        <v>42.0</v>
      </c>
      <c r="H541" s="237">
        <v>3.0</v>
      </c>
      <c r="I541" s="226">
        <v>17.0</v>
      </c>
      <c r="J541" s="226">
        <v>0.0</v>
      </c>
      <c r="K541" s="226">
        <v>0.0</v>
      </c>
      <c r="L541" s="49">
        <v>1.0</v>
      </c>
      <c r="M541" s="212" t="s">
        <v>27</v>
      </c>
      <c r="N541" s="49" t="s">
        <v>138</v>
      </c>
      <c r="O541" s="49">
        <v>210.0</v>
      </c>
      <c r="P541" s="49" t="s">
        <v>335</v>
      </c>
      <c r="Q541" s="114">
        <v>0.0</v>
      </c>
      <c r="R541" s="46"/>
    </row>
    <row r="542" ht="15.75" customHeight="1">
      <c r="A542" s="211">
        <v>56.0</v>
      </c>
      <c r="B542" s="212" t="s">
        <v>3595</v>
      </c>
      <c r="C542" s="212" t="s">
        <v>3594</v>
      </c>
      <c r="D542" s="235" t="s">
        <v>25</v>
      </c>
      <c r="E542" s="235" t="s">
        <v>647</v>
      </c>
      <c r="F542" s="243"/>
      <c r="G542" s="225">
        <v>14.0</v>
      </c>
      <c r="H542" s="237">
        <v>1.0</v>
      </c>
      <c r="I542" s="226">
        <v>6.0</v>
      </c>
      <c r="J542" s="226">
        <v>0.0</v>
      </c>
      <c r="K542" s="226">
        <v>0.0</v>
      </c>
      <c r="L542" s="49">
        <v>1.0</v>
      </c>
      <c r="M542" s="212" t="s">
        <v>27</v>
      </c>
      <c r="N542" s="49" t="s">
        <v>138</v>
      </c>
      <c r="O542" s="49">
        <v>70.0</v>
      </c>
      <c r="P542" s="49" t="s">
        <v>47</v>
      </c>
      <c r="Q542" s="114">
        <v>1.0</v>
      </c>
      <c r="R542" s="46"/>
    </row>
    <row r="543" ht="15.75" customHeight="1">
      <c r="A543" s="211">
        <v>57.0</v>
      </c>
      <c r="B543" s="212" t="s">
        <v>3596</v>
      </c>
      <c r="C543" s="212" t="s">
        <v>3594</v>
      </c>
      <c r="D543" s="235" t="s">
        <v>25</v>
      </c>
      <c r="E543" s="235" t="s">
        <v>647</v>
      </c>
      <c r="F543" s="243"/>
      <c r="G543" s="225">
        <v>48.0</v>
      </c>
      <c r="H543" s="237">
        <v>4.0</v>
      </c>
      <c r="I543" s="226">
        <v>19.0</v>
      </c>
      <c r="J543" s="226">
        <v>0.0</v>
      </c>
      <c r="K543" s="226">
        <v>0.0</v>
      </c>
      <c r="L543" s="49">
        <v>1.0</v>
      </c>
      <c r="M543" s="212" t="s">
        <v>27</v>
      </c>
      <c r="N543" s="49" t="s">
        <v>138</v>
      </c>
      <c r="O543" s="49">
        <v>240.0</v>
      </c>
      <c r="P543" s="49" t="s">
        <v>335</v>
      </c>
      <c r="Q543" s="114">
        <v>0.0</v>
      </c>
      <c r="R543" s="46"/>
    </row>
    <row r="544" ht="15.75" customHeight="1">
      <c r="A544" s="211">
        <v>58.0</v>
      </c>
      <c r="B544" s="212" t="s">
        <v>3597</v>
      </c>
      <c r="C544" s="212" t="s">
        <v>3594</v>
      </c>
      <c r="D544" s="235" t="s">
        <v>25</v>
      </c>
      <c r="E544" s="235" t="s">
        <v>647</v>
      </c>
      <c r="F544" s="243"/>
      <c r="G544" s="225">
        <v>96.0</v>
      </c>
      <c r="H544" s="237">
        <v>8.0</v>
      </c>
      <c r="I544" s="226">
        <v>38.0</v>
      </c>
      <c r="J544" s="226">
        <v>0.0</v>
      </c>
      <c r="K544" s="226">
        <v>0.0</v>
      </c>
      <c r="L544" s="49">
        <v>1.0</v>
      </c>
      <c r="M544" s="212" t="s">
        <v>27</v>
      </c>
      <c r="N544" s="49" t="s">
        <v>138</v>
      </c>
      <c r="O544" s="49">
        <v>480.0</v>
      </c>
      <c r="P544" s="49" t="s">
        <v>335</v>
      </c>
      <c r="Q544" s="114">
        <v>0.0</v>
      </c>
      <c r="R544" s="46"/>
    </row>
    <row r="545" ht="15.75" customHeight="1">
      <c r="A545" s="211">
        <v>59.0</v>
      </c>
      <c r="B545" s="212" t="s">
        <v>3598</v>
      </c>
      <c r="C545" s="212" t="s">
        <v>3599</v>
      </c>
      <c r="D545" s="235" t="s">
        <v>25</v>
      </c>
      <c r="E545" s="235" t="s">
        <v>647</v>
      </c>
      <c r="F545" s="243"/>
      <c r="G545" s="225">
        <v>42.0</v>
      </c>
      <c r="H545" s="237">
        <v>3.0</v>
      </c>
      <c r="I545" s="226">
        <v>17.0</v>
      </c>
      <c r="J545" s="226">
        <v>0.0</v>
      </c>
      <c r="K545" s="226">
        <v>0.0</v>
      </c>
      <c r="L545" s="49">
        <v>1.0</v>
      </c>
      <c r="M545" s="212" t="s">
        <v>27</v>
      </c>
      <c r="N545" s="49" t="s">
        <v>138</v>
      </c>
      <c r="O545" s="49">
        <v>210.0</v>
      </c>
      <c r="P545" s="49" t="s">
        <v>335</v>
      </c>
      <c r="Q545" s="114">
        <v>0.0</v>
      </c>
      <c r="R545" s="46"/>
    </row>
    <row r="546" ht="15.75" customHeight="1">
      <c r="A546" s="211">
        <v>60.0</v>
      </c>
      <c r="B546" s="212" t="s">
        <v>3600</v>
      </c>
      <c r="C546" s="212" t="s">
        <v>3599</v>
      </c>
      <c r="D546" s="235" t="s">
        <v>25</v>
      </c>
      <c r="E546" s="235" t="s">
        <v>647</v>
      </c>
      <c r="F546" s="243"/>
      <c r="G546" s="225">
        <v>14.0</v>
      </c>
      <c r="H546" s="237">
        <v>1.0</v>
      </c>
      <c r="I546" s="226">
        <v>4.0</v>
      </c>
      <c r="J546" s="226">
        <v>0.0</v>
      </c>
      <c r="K546" s="226">
        <v>0.0</v>
      </c>
      <c r="L546" s="49">
        <v>1.0</v>
      </c>
      <c r="M546" s="212" t="s">
        <v>27</v>
      </c>
      <c r="N546" s="49" t="s">
        <v>138</v>
      </c>
      <c r="O546" s="49">
        <v>70.0</v>
      </c>
      <c r="P546" s="49" t="s">
        <v>335</v>
      </c>
      <c r="Q546" s="114">
        <v>0.0</v>
      </c>
      <c r="R546" s="46"/>
    </row>
    <row r="547" ht="15.75" customHeight="1">
      <c r="A547" s="211">
        <v>61.0</v>
      </c>
      <c r="B547" s="212" t="s">
        <v>3601</v>
      </c>
      <c r="C547" s="212" t="s">
        <v>3599</v>
      </c>
      <c r="D547" s="235" t="s">
        <v>25</v>
      </c>
      <c r="E547" s="235" t="s">
        <v>647</v>
      </c>
      <c r="F547" s="243"/>
      <c r="G547" s="225">
        <v>61.2</v>
      </c>
      <c r="H547" s="237">
        <v>5.0</v>
      </c>
      <c r="I547" s="226">
        <v>24.0</v>
      </c>
      <c r="J547" s="226">
        <v>0.0</v>
      </c>
      <c r="K547" s="226">
        <v>0.0</v>
      </c>
      <c r="L547" s="49">
        <v>1.0</v>
      </c>
      <c r="M547" s="212" t="s">
        <v>27</v>
      </c>
      <c r="N547" s="49" t="s">
        <v>138</v>
      </c>
      <c r="O547" s="49">
        <v>306.0</v>
      </c>
      <c r="P547" s="49" t="s">
        <v>47</v>
      </c>
      <c r="Q547" s="114">
        <v>5.0</v>
      </c>
      <c r="R547" s="46"/>
    </row>
    <row r="548" ht="15.75" customHeight="1">
      <c r="A548" s="211">
        <v>62.0</v>
      </c>
      <c r="B548" s="212" t="s">
        <v>3602</v>
      </c>
      <c r="C548" s="212" t="s">
        <v>3599</v>
      </c>
      <c r="D548" s="235" t="s">
        <v>25</v>
      </c>
      <c r="E548" s="235" t="s">
        <v>647</v>
      </c>
      <c r="F548" s="243"/>
      <c r="G548" s="225">
        <v>49.5</v>
      </c>
      <c r="H548" s="237">
        <v>4.0</v>
      </c>
      <c r="I548" s="226">
        <v>20.0</v>
      </c>
      <c r="J548" s="226">
        <v>0.0</v>
      </c>
      <c r="K548" s="226">
        <v>0.0</v>
      </c>
      <c r="L548" s="49">
        <v>1.0</v>
      </c>
      <c r="M548" s="212" t="s">
        <v>27</v>
      </c>
      <c r="N548" s="49" t="s">
        <v>138</v>
      </c>
      <c r="O548" s="49">
        <v>248.0</v>
      </c>
      <c r="P548" s="49" t="s">
        <v>47</v>
      </c>
      <c r="Q548" s="114">
        <v>4.0</v>
      </c>
      <c r="R548" s="46"/>
    </row>
    <row r="549" ht="15.75" customHeight="1">
      <c r="A549" s="211">
        <v>63.0</v>
      </c>
      <c r="B549" s="212" t="s">
        <v>3603</v>
      </c>
      <c r="C549" s="212" t="s">
        <v>3599</v>
      </c>
      <c r="D549" s="235" t="s">
        <v>25</v>
      </c>
      <c r="E549" s="235" t="s">
        <v>647</v>
      </c>
      <c r="F549" s="243"/>
      <c r="G549" s="225">
        <v>96.0</v>
      </c>
      <c r="H549" s="237">
        <v>8.0</v>
      </c>
      <c r="I549" s="226">
        <v>38.0</v>
      </c>
      <c r="J549" s="226">
        <v>0.0</v>
      </c>
      <c r="K549" s="226">
        <v>0.0</v>
      </c>
      <c r="L549" s="49">
        <v>1.0</v>
      </c>
      <c r="M549" s="212" t="s">
        <v>27</v>
      </c>
      <c r="N549" s="49" t="s">
        <v>138</v>
      </c>
      <c r="O549" s="49">
        <v>480.0</v>
      </c>
      <c r="P549" s="49" t="s">
        <v>335</v>
      </c>
      <c r="Q549" s="114">
        <v>0.0</v>
      </c>
      <c r="R549" s="46"/>
    </row>
    <row r="550" ht="15.75" customHeight="1">
      <c r="A550" s="181"/>
      <c r="B550" s="182" t="s">
        <v>3604</v>
      </c>
      <c r="C550" s="182"/>
      <c r="D550" s="22"/>
      <c r="E550" s="22"/>
      <c r="F550" s="209"/>
      <c r="G550" s="210"/>
      <c r="H550" s="22"/>
      <c r="I550" s="22"/>
      <c r="J550" s="22"/>
      <c r="K550" s="22"/>
      <c r="L550" s="22"/>
      <c r="M550" s="22"/>
      <c r="N550" s="22"/>
      <c r="O550" s="22"/>
      <c r="P550" s="22"/>
      <c r="Q550" s="209"/>
      <c r="R550" s="22"/>
    </row>
    <row r="551" ht="15.75" customHeight="1">
      <c r="A551" s="211">
        <v>1.0</v>
      </c>
      <c r="B551" s="212" t="s">
        <v>3605</v>
      </c>
      <c r="C551" s="212" t="s">
        <v>3606</v>
      </c>
      <c r="D551" s="235" t="s">
        <v>2000</v>
      </c>
      <c r="E551" s="235" t="s">
        <v>3607</v>
      </c>
      <c r="F551" s="243"/>
      <c r="G551" s="225" t="s">
        <v>3608</v>
      </c>
      <c r="H551" s="245">
        <v>3.0</v>
      </c>
      <c r="I551" s="226">
        <v>16.0</v>
      </c>
      <c r="J551" s="226">
        <v>1.0</v>
      </c>
      <c r="K551" s="226">
        <v>1.0</v>
      </c>
      <c r="L551" s="238">
        <v>0.0</v>
      </c>
      <c r="M551" s="242" t="s">
        <v>1902</v>
      </c>
      <c r="N551" s="262" t="s">
        <v>3609</v>
      </c>
      <c r="O551" s="238">
        <v>500.0</v>
      </c>
      <c r="P551" s="49" t="s">
        <v>29</v>
      </c>
      <c r="Q551" s="239">
        <v>0.0</v>
      </c>
      <c r="R551" s="46"/>
    </row>
    <row r="552" ht="15.75" customHeight="1">
      <c r="A552" s="211">
        <v>2.0</v>
      </c>
      <c r="B552" s="212" t="s">
        <v>3610</v>
      </c>
      <c r="C552" s="212" t="s">
        <v>3611</v>
      </c>
      <c r="D552" s="235" t="s">
        <v>2000</v>
      </c>
      <c r="E552" s="235" t="s">
        <v>3607</v>
      </c>
      <c r="F552" s="243"/>
      <c r="G552" s="225" t="s">
        <v>3612</v>
      </c>
      <c r="H552" s="245">
        <v>25.0</v>
      </c>
      <c r="I552" s="226">
        <v>127.0</v>
      </c>
      <c r="J552" s="226">
        <v>1.0</v>
      </c>
      <c r="K552" s="226">
        <v>1.0</v>
      </c>
      <c r="L552" s="238">
        <v>0.0</v>
      </c>
      <c r="M552" s="242" t="s">
        <v>1902</v>
      </c>
      <c r="N552" s="262" t="s">
        <v>3609</v>
      </c>
      <c r="O552" s="238">
        <v>100.0</v>
      </c>
      <c r="P552" s="49" t="s">
        <v>29</v>
      </c>
      <c r="Q552" s="239">
        <v>0.0</v>
      </c>
      <c r="R552" s="46"/>
    </row>
    <row r="553" ht="15.75" customHeight="1">
      <c r="A553" s="211">
        <v>3.0</v>
      </c>
      <c r="B553" s="212" t="s">
        <v>3613</v>
      </c>
      <c r="C553" s="212" t="s">
        <v>3614</v>
      </c>
      <c r="D553" s="235" t="s">
        <v>2000</v>
      </c>
      <c r="E553" s="235" t="s">
        <v>3607</v>
      </c>
      <c r="F553" s="243"/>
      <c r="G553" s="225" t="s">
        <v>3615</v>
      </c>
      <c r="H553" s="245">
        <v>23.0</v>
      </c>
      <c r="I553" s="226">
        <v>117.0</v>
      </c>
      <c r="J553" s="226">
        <v>1.0</v>
      </c>
      <c r="K553" s="226">
        <v>1.0</v>
      </c>
      <c r="L553" s="238">
        <v>0.0</v>
      </c>
      <c r="M553" s="242" t="s">
        <v>1902</v>
      </c>
      <c r="N553" s="262" t="s">
        <v>3609</v>
      </c>
      <c r="O553" s="238">
        <v>100.0</v>
      </c>
      <c r="P553" s="49" t="s">
        <v>29</v>
      </c>
      <c r="Q553" s="239">
        <v>0.0</v>
      </c>
      <c r="R553" s="46"/>
    </row>
    <row r="554" ht="15.75" customHeight="1">
      <c r="A554" s="211">
        <v>4.0</v>
      </c>
      <c r="B554" s="212" t="s">
        <v>3616</v>
      </c>
      <c r="C554" s="212" t="s">
        <v>3617</v>
      </c>
      <c r="D554" s="235" t="s">
        <v>2000</v>
      </c>
      <c r="E554" s="235" t="s">
        <v>3607</v>
      </c>
      <c r="F554" s="243"/>
      <c r="G554" s="225" t="s">
        <v>3618</v>
      </c>
      <c r="H554" s="245">
        <v>6.0</v>
      </c>
      <c r="I554" s="226">
        <v>29.0</v>
      </c>
      <c r="J554" s="226">
        <v>1.0</v>
      </c>
      <c r="K554" s="226">
        <v>1.0</v>
      </c>
      <c r="L554" s="238">
        <v>0.0</v>
      </c>
      <c r="M554" s="242" t="s">
        <v>1902</v>
      </c>
      <c r="N554" s="262" t="s">
        <v>3609</v>
      </c>
      <c r="O554" s="238">
        <v>200.0</v>
      </c>
      <c r="P554" s="49" t="s">
        <v>29</v>
      </c>
      <c r="Q554" s="239">
        <v>0.0</v>
      </c>
      <c r="R554" s="46"/>
    </row>
    <row r="555" ht="15.75" customHeight="1">
      <c r="A555" s="211">
        <v>5.0</v>
      </c>
      <c r="B555" s="212" t="s">
        <v>3619</v>
      </c>
      <c r="C555" s="212" t="s">
        <v>3620</v>
      </c>
      <c r="D555" s="235" t="s">
        <v>2000</v>
      </c>
      <c r="E555" s="235" t="s">
        <v>3607</v>
      </c>
      <c r="F555" s="243"/>
      <c r="G555" s="225" t="s">
        <v>3621</v>
      </c>
      <c r="H555" s="245">
        <v>26.0</v>
      </c>
      <c r="I555" s="226">
        <v>134.0</v>
      </c>
      <c r="J555" s="226">
        <v>1.0</v>
      </c>
      <c r="K555" s="226">
        <v>1.0</v>
      </c>
      <c r="L555" s="238">
        <v>0.0</v>
      </c>
      <c r="M555" s="242" t="s">
        <v>1902</v>
      </c>
      <c r="N555" s="262" t="s">
        <v>3609</v>
      </c>
      <c r="O555" s="238">
        <v>200.0</v>
      </c>
      <c r="P555" s="49" t="s">
        <v>29</v>
      </c>
      <c r="Q555" s="239">
        <v>0.0</v>
      </c>
      <c r="R555" s="46"/>
    </row>
    <row r="556" ht="15.75" customHeight="1">
      <c r="A556" s="211">
        <v>6.0</v>
      </c>
      <c r="B556" s="212" t="s">
        <v>3622</v>
      </c>
      <c r="C556" s="212" t="s">
        <v>3623</v>
      </c>
      <c r="D556" s="235" t="s">
        <v>2000</v>
      </c>
      <c r="E556" s="235" t="s">
        <v>3607</v>
      </c>
      <c r="F556" s="243"/>
      <c r="G556" s="225" t="s">
        <v>3624</v>
      </c>
      <c r="H556" s="245">
        <v>5.0</v>
      </c>
      <c r="I556" s="226">
        <v>28.0</v>
      </c>
      <c r="J556" s="226">
        <v>1.0</v>
      </c>
      <c r="K556" s="226">
        <v>1.0</v>
      </c>
      <c r="L556" s="238">
        <v>0.0</v>
      </c>
      <c r="M556" s="242" t="s">
        <v>1902</v>
      </c>
      <c r="N556" s="262" t="s">
        <v>3609</v>
      </c>
      <c r="O556" s="238">
        <v>100.0</v>
      </c>
      <c r="P556" s="49" t="s">
        <v>29</v>
      </c>
      <c r="Q556" s="239">
        <v>0.0</v>
      </c>
      <c r="R556" s="46"/>
    </row>
    <row r="557" ht="15.75" customHeight="1">
      <c r="A557" s="211">
        <v>7.0</v>
      </c>
      <c r="B557" s="212" t="s">
        <v>3625</v>
      </c>
      <c r="C557" s="212" t="s">
        <v>3626</v>
      </c>
      <c r="D557" s="235" t="s">
        <v>2000</v>
      </c>
      <c r="E557" s="235" t="s">
        <v>3607</v>
      </c>
      <c r="F557" s="243"/>
      <c r="G557" s="225" t="s">
        <v>3627</v>
      </c>
      <c r="H557" s="245">
        <v>25.0</v>
      </c>
      <c r="I557" s="226">
        <v>125.0</v>
      </c>
      <c r="J557" s="226">
        <v>1.0</v>
      </c>
      <c r="K557" s="226">
        <v>1.0</v>
      </c>
      <c r="L557" s="238">
        <v>0.0</v>
      </c>
      <c r="M557" s="242" t="s">
        <v>1902</v>
      </c>
      <c r="N557" s="262" t="s">
        <v>3609</v>
      </c>
      <c r="O557" s="238">
        <v>100.0</v>
      </c>
      <c r="P557" s="49" t="s">
        <v>29</v>
      </c>
      <c r="Q557" s="239">
        <v>0.0</v>
      </c>
      <c r="R557" s="46"/>
    </row>
    <row r="558" ht="15.75" customHeight="1">
      <c r="A558" s="211">
        <v>8.0</v>
      </c>
      <c r="B558" s="212" t="s">
        <v>3628</v>
      </c>
      <c r="C558" s="212" t="s">
        <v>3629</v>
      </c>
      <c r="D558" s="235" t="s">
        <v>2000</v>
      </c>
      <c r="E558" s="235" t="s">
        <v>3607</v>
      </c>
      <c r="F558" s="243"/>
      <c r="G558" s="225" t="s">
        <v>3627</v>
      </c>
      <c r="H558" s="245">
        <v>25.0</v>
      </c>
      <c r="I558" s="226">
        <v>125.0</v>
      </c>
      <c r="J558" s="226">
        <v>1.0</v>
      </c>
      <c r="K558" s="226">
        <v>1.0</v>
      </c>
      <c r="L558" s="238">
        <v>0.0</v>
      </c>
      <c r="M558" s="242" t="s">
        <v>1902</v>
      </c>
      <c r="N558" s="262" t="s">
        <v>3609</v>
      </c>
      <c r="O558" s="238">
        <v>100.0</v>
      </c>
      <c r="P558" s="49" t="s">
        <v>29</v>
      </c>
      <c r="Q558" s="239">
        <v>0.0</v>
      </c>
      <c r="R558" s="46"/>
    </row>
    <row r="559" ht="15.75" customHeight="1">
      <c r="A559" s="211">
        <v>9.0</v>
      </c>
      <c r="B559" s="212" t="s">
        <v>3630</v>
      </c>
      <c r="C559" s="212" t="s">
        <v>3631</v>
      </c>
      <c r="D559" s="235" t="s">
        <v>2000</v>
      </c>
      <c r="E559" s="235" t="s">
        <v>3607</v>
      </c>
      <c r="F559" s="243"/>
      <c r="G559" s="225" t="s">
        <v>3624</v>
      </c>
      <c r="H559" s="245">
        <v>5.0</v>
      </c>
      <c r="I559" s="226">
        <v>28.0</v>
      </c>
      <c r="J559" s="226">
        <v>1.0</v>
      </c>
      <c r="K559" s="226">
        <v>1.0</v>
      </c>
      <c r="L559" s="238">
        <v>0.0</v>
      </c>
      <c r="M559" s="242" t="s">
        <v>1902</v>
      </c>
      <c r="N559" s="262" t="s">
        <v>3609</v>
      </c>
      <c r="O559" s="238">
        <v>100.0</v>
      </c>
      <c r="P559" s="49" t="s">
        <v>29</v>
      </c>
      <c r="Q559" s="239">
        <v>0.0</v>
      </c>
      <c r="R559" s="46"/>
    </row>
    <row r="560" ht="15.75" customHeight="1">
      <c r="A560" s="211">
        <v>10.0</v>
      </c>
      <c r="B560" s="212" t="s">
        <v>3632</v>
      </c>
      <c r="C560" s="212" t="s">
        <v>3633</v>
      </c>
      <c r="D560" s="235" t="s">
        <v>2000</v>
      </c>
      <c r="E560" s="235" t="s">
        <v>3607</v>
      </c>
      <c r="F560" s="243"/>
      <c r="G560" s="225" t="s">
        <v>3634</v>
      </c>
      <c r="H560" s="245">
        <v>2.0</v>
      </c>
      <c r="I560" s="240">
        <v>10.0</v>
      </c>
      <c r="J560" s="240">
        <v>0.0</v>
      </c>
      <c r="K560" s="240">
        <v>0.0</v>
      </c>
      <c r="L560" s="238">
        <v>1.0</v>
      </c>
      <c r="M560" s="242" t="s">
        <v>1902</v>
      </c>
      <c r="N560" s="262" t="s">
        <v>3609</v>
      </c>
      <c r="O560" s="238">
        <v>200.0</v>
      </c>
      <c r="P560" s="49" t="s">
        <v>29</v>
      </c>
      <c r="Q560" s="239">
        <v>0.0</v>
      </c>
      <c r="R560" s="46"/>
    </row>
    <row r="561" ht="15.75" customHeight="1">
      <c r="A561" s="211">
        <v>11.0</v>
      </c>
      <c r="B561" s="212" t="s">
        <v>3635</v>
      </c>
      <c r="C561" s="212" t="s">
        <v>3636</v>
      </c>
      <c r="D561" s="235" t="s">
        <v>2000</v>
      </c>
      <c r="E561" s="235" t="s">
        <v>3607</v>
      </c>
      <c r="F561" s="243"/>
      <c r="G561" s="225" t="s">
        <v>3621</v>
      </c>
      <c r="H561" s="245">
        <v>26.0</v>
      </c>
      <c r="I561" s="226">
        <v>134.0</v>
      </c>
      <c r="J561" s="226">
        <v>1.0</v>
      </c>
      <c r="K561" s="226">
        <v>1.0</v>
      </c>
      <c r="L561" s="238">
        <v>0.0</v>
      </c>
      <c r="M561" s="242" t="s">
        <v>1902</v>
      </c>
      <c r="N561" s="262" t="s">
        <v>3609</v>
      </c>
      <c r="O561" s="238">
        <v>200.0</v>
      </c>
      <c r="P561" s="49" t="s">
        <v>29</v>
      </c>
      <c r="Q561" s="239">
        <v>0.0</v>
      </c>
      <c r="R561" s="46"/>
    </row>
    <row r="562" ht="15.75" customHeight="1">
      <c r="A562" s="211">
        <v>12.0</v>
      </c>
      <c r="B562" s="212" t="s">
        <v>3637</v>
      </c>
      <c r="C562" s="212" t="s">
        <v>3638</v>
      </c>
      <c r="D562" s="235" t="s">
        <v>2000</v>
      </c>
      <c r="E562" s="235" t="s">
        <v>3607</v>
      </c>
      <c r="F562" s="243"/>
      <c r="G562" s="225" t="s">
        <v>3627</v>
      </c>
      <c r="H562" s="245">
        <v>25.0</v>
      </c>
      <c r="I562" s="226">
        <v>125.0</v>
      </c>
      <c r="J562" s="226">
        <v>1.0</v>
      </c>
      <c r="K562" s="226">
        <v>1.0</v>
      </c>
      <c r="L562" s="238">
        <v>0.0</v>
      </c>
      <c r="M562" s="242" t="s">
        <v>1902</v>
      </c>
      <c r="N562" s="262" t="s">
        <v>3609</v>
      </c>
      <c r="O562" s="238">
        <v>200.0</v>
      </c>
      <c r="P562" s="49" t="s">
        <v>29</v>
      </c>
      <c r="Q562" s="239">
        <v>0.0</v>
      </c>
      <c r="R562" s="46"/>
    </row>
    <row r="563" ht="15.75" customHeight="1">
      <c r="A563" s="211">
        <v>13.0</v>
      </c>
      <c r="B563" s="212" t="s">
        <v>3639</v>
      </c>
      <c r="C563" s="212" t="s">
        <v>3640</v>
      </c>
      <c r="D563" s="235" t="s">
        <v>2000</v>
      </c>
      <c r="E563" s="235" t="s">
        <v>3607</v>
      </c>
      <c r="F563" s="243"/>
      <c r="G563" s="225" t="s">
        <v>3627</v>
      </c>
      <c r="H563" s="245">
        <v>25.0</v>
      </c>
      <c r="I563" s="226">
        <v>125.0</v>
      </c>
      <c r="J563" s="226">
        <v>1.0</v>
      </c>
      <c r="K563" s="226">
        <v>1.0</v>
      </c>
      <c r="L563" s="238">
        <v>0.0</v>
      </c>
      <c r="M563" s="242" t="s">
        <v>1902</v>
      </c>
      <c r="N563" s="262" t="s">
        <v>3609</v>
      </c>
      <c r="O563" s="238">
        <v>100.0</v>
      </c>
      <c r="P563" s="49" t="s">
        <v>29</v>
      </c>
      <c r="Q563" s="239">
        <v>0.0</v>
      </c>
      <c r="R563" s="46"/>
    </row>
    <row r="564" ht="15.75" customHeight="1">
      <c r="A564" s="211">
        <v>14.0</v>
      </c>
      <c r="B564" s="212" t="s">
        <v>3641</v>
      </c>
      <c r="C564" s="212" t="s">
        <v>3642</v>
      </c>
      <c r="D564" s="235" t="s">
        <v>2000</v>
      </c>
      <c r="E564" s="235" t="s">
        <v>3607</v>
      </c>
      <c r="F564" s="243"/>
      <c r="G564" s="225" t="s">
        <v>3643</v>
      </c>
      <c r="H564" s="245">
        <v>6.0</v>
      </c>
      <c r="I564" s="226">
        <v>34.0</v>
      </c>
      <c r="J564" s="226">
        <v>1.0</v>
      </c>
      <c r="K564" s="226">
        <v>1.0</v>
      </c>
      <c r="L564" s="238">
        <v>0.0</v>
      </c>
      <c r="M564" s="242" t="s">
        <v>1902</v>
      </c>
      <c r="N564" s="262" t="s">
        <v>3609</v>
      </c>
      <c r="O564" s="238">
        <v>500.0</v>
      </c>
      <c r="P564" s="49" t="s">
        <v>29</v>
      </c>
      <c r="Q564" s="239">
        <v>0.0</v>
      </c>
      <c r="R564" s="46"/>
    </row>
    <row r="565" ht="15.75" customHeight="1">
      <c r="A565" s="211">
        <v>15.0</v>
      </c>
      <c r="B565" s="212" t="s">
        <v>3644</v>
      </c>
      <c r="C565" s="212" t="s">
        <v>3645</v>
      </c>
      <c r="D565" s="235" t="s">
        <v>2000</v>
      </c>
      <c r="E565" s="235" t="s">
        <v>3607</v>
      </c>
      <c r="F565" s="243"/>
      <c r="G565" s="225" t="s">
        <v>3627</v>
      </c>
      <c r="H565" s="245">
        <v>25.0</v>
      </c>
      <c r="I565" s="226">
        <v>125.0</v>
      </c>
      <c r="J565" s="226">
        <v>1.0</v>
      </c>
      <c r="K565" s="226">
        <v>1.0</v>
      </c>
      <c r="L565" s="238">
        <v>0.0</v>
      </c>
      <c r="M565" s="242" t="s">
        <v>1902</v>
      </c>
      <c r="N565" s="262" t="s">
        <v>3609</v>
      </c>
      <c r="O565" s="238">
        <v>200.0</v>
      </c>
      <c r="P565" s="49" t="s">
        <v>29</v>
      </c>
      <c r="Q565" s="239">
        <v>0.0</v>
      </c>
      <c r="R565" s="46"/>
    </row>
    <row r="566" ht="15.75" customHeight="1">
      <c r="A566" s="211">
        <v>16.0</v>
      </c>
      <c r="B566" s="212" t="s">
        <v>3646</v>
      </c>
      <c r="C566" s="212" t="s">
        <v>3647</v>
      </c>
      <c r="D566" s="235" t="s">
        <v>2000</v>
      </c>
      <c r="E566" s="235" t="s">
        <v>3607</v>
      </c>
      <c r="F566" s="243"/>
      <c r="G566" s="225" t="s">
        <v>3648</v>
      </c>
      <c r="H566" s="245">
        <v>4.0</v>
      </c>
      <c r="I566" s="226">
        <v>20.0</v>
      </c>
      <c r="J566" s="240">
        <v>0.0</v>
      </c>
      <c r="K566" s="240">
        <v>0.0</v>
      </c>
      <c r="L566" s="238">
        <v>1.0</v>
      </c>
      <c r="M566" s="242" t="s">
        <v>1902</v>
      </c>
      <c r="N566" s="262" t="s">
        <v>3609</v>
      </c>
      <c r="O566" s="238">
        <v>100.0</v>
      </c>
      <c r="P566" s="49" t="s">
        <v>29</v>
      </c>
      <c r="Q566" s="239">
        <v>0.0</v>
      </c>
      <c r="R566" s="46"/>
    </row>
    <row r="567" ht="15.75" customHeight="1">
      <c r="A567" s="211">
        <v>17.0</v>
      </c>
      <c r="B567" s="212" t="s">
        <v>3649</v>
      </c>
      <c r="C567" s="212" t="s">
        <v>3650</v>
      </c>
      <c r="D567" s="235" t="s">
        <v>2000</v>
      </c>
      <c r="E567" s="235" t="s">
        <v>3607</v>
      </c>
      <c r="F567" s="243"/>
      <c r="G567" s="225" t="s">
        <v>3612</v>
      </c>
      <c r="H567" s="245">
        <v>25.0</v>
      </c>
      <c r="I567" s="226">
        <v>127.0</v>
      </c>
      <c r="J567" s="226">
        <v>1.0</v>
      </c>
      <c r="K567" s="226">
        <v>1.0</v>
      </c>
      <c r="L567" s="238">
        <v>0.0</v>
      </c>
      <c r="M567" s="242" t="s">
        <v>1902</v>
      </c>
      <c r="N567" s="262" t="s">
        <v>3609</v>
      </c>
      <c r="O567" s="238">
        <v>500.0</v>
      </c>
      <c r="P567" s="49" t="s">
        <v>29</v>
      </c>
      <c r="Q567" s="239">
        <v>0.0</v>
      </c>
      <c r="R567" s="46"/>
    </row>
    <row r="568" ht="15.75" customHeight="1">
      <c r="A568" s="211">
        <v>18.0</v>
      </c>
      <c r="B568" s="212" t="s">
        <v>3651</v>
      </c>
      <c r="C568" s="212" t="s">
        <v>3652</v>
      </c>
      <c r="D568" s="235" t="s">
        <v>2000</v>
      </c>
      <c r="E568" s="235" t="s">
        <v>3607</v>
      </c>
      <c r="F568" s="243"/>
      <c r="G568" s="225" t="s">
        <v>3653</v>
      </c>
      <c r="H568" s="245">
        <v>3.0</v>
      </c>
      <c r="I568" s="226">
        <v>15.0</v>
      </c>
      <c r="J568" s="226">
        <v>1.0</v>
      </c>
      <c r="K568" s="226">
        <v>1.0</v>
      </c>
      <c r="L568" s="238">
        <v>0.0</v>
      </c>
      <c r="M568" s="242" t="s">
        <v>1902</v>
      </c>
      <c r="N568" s="262" t="s">
        <v>3609</v>
      </c>
      <c r="O568" s="238">
        <v>2000.0</v>
      </c>
      <c r="P568" s="49" t="s">
        <v>29</v>
      </c>
      <c r="Q568" s="239">
        <v>0.0</v>
      </c>
      <c r="R568" s="46"/>
    </row>
    <row r="569" ht="15.75" customHeight="1">
      <c r="A569" s="211">
        <v>19.0</v>
      </c>
      <c r="B569" s="212" t="s">
        <v>3654</v>
      </c>
      <c r="C569" s="212" t="s">
        <v>3652</v>
      </c>
      <c r="D569" s="235" t="s">
        <v>2000</v>
      </c>
      <c r="E569" s="235" t="s">
        <v>3607</v>
      </c>
      <c r="F569" s="243"/>
      <c r="G569" s="225" t="s">
        <v>3653</v>
      </c>
      <c r="H569" s="245">
        <v>3.0</v>
      </c>
      <c r="I569" s="226">
        <v>17.0</v>
      </c>
      <c r="J569" s="240">
        <v>0.0</v>
      </c>
      <c r="K569" s="240">
        <v>0.0</v>
      </c>
      <c r="L569" s="238">
        <v>1.0</v>
      </c>
      <c r="M569" s="242" t="s">
        <v>1902</v>
      </c>
      <c r="N569" s="262" t="s">
        <v>3609</v>
      </c>
      <c r="O569" s="238">
        <v>100.0</v>
      </c>
      <c r="P569" s="49" t="s">
        <v>29</v>
      </c>
      <c r="Q569" s="239">
        <v>0.0</v>
      </c>
      <c r="R569" s="46"/>
    </row>
    <row r="570" ht="15.75" customHeight="1">
      <c r="A570" s="211">
        <v>20.0</v>
      </c>
      <c r="B570" s="212" t="s">
        <v>3655</v>
      </c>
      <c r="C570" s="212" t="s">
        <v>3656</v>
      </c>
      <c r="D570" s="235" t="s">
        <v>2000</v>
      </c>
      <c r="E570" s="235" t="s">
        <v>3607</v>
      </c>
      <c r="F570" s="243"/>
      <c r="G570" s="225" t="s">
        <v>3657</v>
      </c>
      <c r="H570" s="245">
        <v>1000.0</v>
      </c>
      <c r="I570" s="240">
        <v>5000.0</v>
      </c>
      <c r="J570" s="226">
        <v>2.0</v>
      </c>
      <c r="K570" s="226">
        <v>2.0</v>
      </c>
      <c r="L570" s="238">
        <v>0.0</v>
      </c>
      <c r="M570" s="242" t="s">
        <v>1902</v>
      </c>
      <c r="N570" s="262" t="s">
        <v>3609</v>
      </c>
      <c r="O570" s="263">
        <v>10000.0</v>
      </c>
      <c r="P570" s="49" t="s">
        <v>29</v>
      </c>
      <c r="Q570" s="239">
        <v>0.0</v>
      </c>
      <c r="R570" s="46"/>
    </row>
    <row r="571" ht="15.75" customHeight="1">
      <c r="A571" s="211">
        <v>21.0</v>
      </c>
      <c r="B571" s="212" t="s">
        <v>3658</v>
      </c>
      <c r="C571" s="212" t="s">
        <v>3656</v>
      </c>
      <c r="D571" s="235" t="s">
        <v>2000</v>
      </c>
      <c r="E571" s="235" t="s">
        <v>3607</v>
      </c>
      <c r="F571" s="243"/>
      <c r="G571" s="225" t="s">
        <v>3653</v>
      </c>
      <c r="H571" s="245">
        <v>3.0</v>
      </c>
      <c r="I571" s="226">
        <v>15.0</v>
      </c>
      <c r="J571" s="240">
        <v>0.0</v>
      </c>
      <c r="K571" s="240">
        <v>0.0</v>
      </c>
      <c r="L571" s="238">
        <v>1.0</v>
      </c>
      <c r="M571" s="242" t="s">
        <v>1902</v>
      </c>
      <c r="N571" s="262" t="s">
        <v>3609</v>
      </c>
      <c r="O571" s="238">
        <v>100.0</v>
      </c>
      <c r="P571" s="49" t="s">
        <v>29</v>
      </c>
      <c r="Q571" s="239">
        <v>0.0</v>
      </c>
      <c r="R571" s="46"/>
    </row>
    <row r="572" ht="15.75" customHeight="1">
      <c r="A572" s="211">
        <v>22.0</v>
      </c>
      <c r="B572" s="212" t="s">
        <v>3659</v>
      </c>
      <c r="C572" s="212" t="s">
        <v>3660</v>
      </c>
      <c r="D572" s="235" t="s">
        <v>2000</v>
      </c>
      <c r="E572" s="235" t="s">
        <v>3607</v>
      </c>
      <c r="F572" s="243"/>
      <c r="G572" s="225" t="s">
        <v>3634</v>
      </c>
      <c r="H572" s="245">
        <v>3.0</v>
      </c>
      <c r="I572" s="226">
        <v>17.0</v>
      </c>
      <c r="J572" s="226">
        <v>1.0</v>
      </c>
      <c r="K572" s="226">
        <v>1.0</v>
      </c>
      <c r="L572" s="238">
        <v>0.0</v>
      </c>
      <c r="M572" s="242" t="s">
        <v>1902</v>
      </c>
      <c r="N572" s="262" t="s">
        <v>3609</v>
      </c>
      <c r="O572" s="238">
        <v>100.0</v>
      </c>
      <c r="P572" s="49" t="s">
        <v>29</v>
      </c>
      <c r="Q572" s="239">
        <v>0.0</v>
      </c>
      <c r="R572" s="46"/>
    </row>
    <row r="573" ht="15.75" customHeight="1">
      <c r="A573" s="211">
        <v>23.0</v>
      </c>
      <c r="B573" s="212" t="s">
        <v>3661</v>
      </c>
      <c r="C573" s="212" t="s">
        <v>3662</v>
      </c>
      <c r="D573" s="235" t="s">
        <v>2000</v>
      </c>
      <c r="E573" s="235" t="s">
        <v>3607</v>
      </c>
      <c r="F573" s="243"/>
      <c r="G573" s="225" t="s">
        <v>3663</v>
      </c>
      <c r="H573" s="245">
        <v>4.0</v>
      </c>
      <c r="I573" s="226">
        <v>22.0</v>
      </c>
      <c r="J573" s="226">
        <v>1.0</v>
      </c>
      <c r="K573" s="226">
        <v>1.0</v>
      </c>
      <c r="L573" s="238">
        <v>0.0</v>
      </c>
      <c r="M573" s="242" t="s">
        <v>1902</v>
      </c>
      <c r="N573" s="262" t="s">
        <v>3609</v>
      </c>
      <c r="O573" s="238">
        <v>100.0</v>
      </c>
      <c r="P573" s="49" t="s">
        <v>29</v>
      </c>
      <c r="Q573" s="239">
        <v>0.0</v>
      </c>
      <c r="R573" s="46"/>
    </row>
    <row r="574" ht="15.75" customHeight="1">
      <c r="A574" s="211">
        <v>24.0</v>
      </c>
      <c r="B574" s="212" t="s">
        <v>3664</v>
      </c>
      <c r="C574" s="212" t="s">
        <v>3665</v>
      </c>
      <c r="D574" s="235" t="s">
        <v>2000</v>
      </c>
      <c r="E574" s="235" t="s">
        <v>3607</v>
      </c>
      <c r="F574" s="243"/>
      <c r="G574" s="244" t="s">
        <v>3666</v>
      </c>
      <c r="H574" s="245">
        <v>8.0</v>
      </c>
      <c r="I574" s="240">
        <v>44.0</v>
      </c>
      <c r="J574" s="226">
        <v>1.0</v>
      </c>
      <c r="K574" s="226">
        <v>1.0</v>
      </c>
      <c r="L574" s="238">
        <v>0.0</v>
      </c>
      <c r="M574" s="242" t="s">
        <v>1902</v>
      </c>
      <c r="N574" s="262" t="s">
        <v>3609</v>
      </c>
      <c r="O574" s="238">
        <v>50.0</v>
      </c>
      <c r="P574" s="49" t="s">
        <v>29</v>
      </c>
      <c r="Q574" s="239">
        <v>0.0</v>
      </c>
      <c r="R574" s="46"/>
    </row>
    <row r="575" ht="15.75" customHeight="1">
      <c r="A575" s="211">
        <v>25.0</v>
      </c>
      <c r="B575" s="212" t="s">
        <v>3667</v>
      </c>
      <c r="C575" s="212" t="s">
        <v>3668</v>
      </c>
      <c r="D575" s="235" t="s">
        <v>2000</v>
      </c>
      <c r="E575" s="235" t="s">
        <v>3607</v>
      </c>
      <c r="F575" s="243"/>
      <c r="G575" s="225" t="s">
        <v>3669</v>
      </c>
      <c r="H575" s="245">
        <v>25.0</v>
      </c>
      <c r="I575" s="226">
        <v>127.0</v>
      </c>
      <c r="J575" s="226">
        <v>1.0</v>
      </c>
      <c r="K575" s="226">
        <v>1.0</v>
      </c>
      <c r="L575" s="238">
        <v>0.0</v>
      </c>
      <c r="M575" s="242" t="s">
        <v>1902</v>
      </c>
      <c r="N575" s="262" t="s">
        <v>3609</v>
      </c>
      <c r="O575" s="238">
        <v>50.0</v>
      </c>
      <c r="P575" s="49" t="s">
        <v>29</v>
      </c>
      <c r="Q575" s="239">
        <v>0.0</v>
      </c>
      <c r="R575" s="46"/>
    </row>
    <row r="576" ht="15.75" customHeight="1">
      <c r="A576" s="211">
        <v>26.0</v>
      </c>
      <c r="B576" s="212" t="s">
        <v>3670</v>
      </c>
      <c r="C576" s="212" t="s">
        <v>3671</v>
      </c>
      <c r="D576" s="235" t="s">
        <v>2000</v>
      </c>
      <c r="E576" s="235" t="s">
        <v>3607</v>
      </c>
      <c r="F576" s="243"/>
      <c r="G576" s="225" t="s">
        <v>3672</v>
      </c>
      <c r="H576" s="245">
        <v>26.0</v>
      </c>
      <c r="I576" s="226">
        <v>134.0</v>
      </c>
      <c r="J576" s="226">
        <v>1.0</v>
      </c>
      <c r="K576" s="226">
        <v>1.0</v>
      </c>
      <c r="L576" s="238">
        <v>0.0</v>
      </c>
      <c r="M576" s="242" t="s">
        <v>1902</v>
      </c>
      <c r="N576" s="262" t="s">
        <v>3609</v>
      </c>
      <c r="O576" s="238">
        <v>100.0</v>
      </c>
      <c r="P576" s="49" t="s">
        <v>29</v>
      </c>
      <c r="Q576" s="239">
        <v>0.0</v>
      </c>
      <c r="R576" s="46"/>
    </row>
    <row r="577" ht="15.75" customHeight="1">
      <c r="A577" s="211">
        <v>27.0</v>
      </c>
      <c r="B577" s="212" t="s">
        <v>3673</v>
      </c>
      <c r="C577" s="212" t="s">
        <v>3671</v>
      </c>
      <c r="D577" s="235" t="s">
        <v>2000</v>
      </c>
      <c r="E577" s="235" t="s">
        <v>3607</v>
      </c>
      <c r="F577" s="243"/>
      <c r="G577" s="225" t="s">
        <v>3634</v>
      </c>
      <c r="H577" s="245">
        <v>3.0</v>
      </c>
      <c r="I577" s="226">
        <v>17.0</v>
      </c>
      <c r="J577" s="226">
        <v>1.0</v>
      </c>
      <c r="K577" s="226">
        <v>1.0</v>
      </c>
      <c r="L577" s="238">
        <v>0.0</v>
      </c>
      <c r="M577" s="242" t="s">
        <v>1902</v>
      </c>
      <c r="N577" s="262" t="s">
        <v>3609</v>
      </c>
      <c r="O577" s="238">
        <v>100.0</v>
      </c>
      <c r="P577" s="49" t="s">
        <v>29</v>
      </c>
      <c r="Q577" s="239">
        <v>0.0</v>
      </c>
      <c r="R577" s="46"/>
    </row>
    <row r="578" ht="15.75" customHeight="1">
      <c r="A578" s="181"/>
      <c r="B578" s="182" t="s">
        <v>3674</v>
      </c>
      <c r="C578" s="182"/>
      <c r="D578" s="22"/>
      <c r="E578" s="182"/>
      <c r="F578" s="209"/>
      <c r="G578" s="210"/>
      <c r="H578" s="22"/>
      <c r="I578" s="22"/>
      <c r="J578" s="22"/>
      <c r="K578" s="22"/>
      <c r="L578" s="22"/>
      <c r="M578" s="22"/>
      <c r="N578" s="22"/>
      <c r="O578" s="22"/>
      <c r="P578" s="22"/>
      <c r="Q578" s="209"/>
      <c r="R578" s="22"/>
    </row>
    <row r="579" ht="15.75" customHeight="1">
      <c r="A579" s="211">
        <v>1.0</v>
      </c>
      <c r="B579" s="212" t="s">
        <v>2790</v>
      </c>
      <c r="C579" s="212" t="s">
        <v>3675</v>
      </c>
      <c r="D579" s="235" t="s">
        <v>2000</v>
      </c>
      <c r="E579" s="235" t="s">
        <v>3676</v>
      </c>
      <c r="F579" s="243"/>
      <c r="G579" s="244">
        <v>230.0</v>
      </c>
      <c r="H579" s="245">
        <v>38.0</v>
      </c>
      <c r="I579" s="226">
        <v>150.0</v>
      </c>
      <c r="J579" s="226">
        <v>0.0</v>
      </c>
      <c r="K579" s="226">
        <v>0.0</v>
      </c>
      <c r="L579" s="49">
        <v>2.0</v>
      </c>
      <c r="M579" s="81" t="s">
        <v>3369</v>
      </c>
      <c r="N579" s="49" t="s">
        <v>138</v>
      </c>
      <c r="O579" s="49" t="s">
        <v>3481</v>
      </c>
      <c r="P579" s="49" t="s">
        <v>29</v>
      </c>
      <c r="Q579" s="114" t="s">
        <v>2645</v>
      </c>
      <c r="R579" s="46"/>
    </row>
    <row r="580" ht="15.75" customHeight="1">
      <c r="A580" s="211">
        <v>2.0</v>
      </c>
      <c r="B580" s="212" t="s">
        <v>3677</v>
      </c>
      <c r="C580" s="212" t="s">
        <v>3678</v>
      </c>
      <c r="D580" s="235" t="s">
        <v>2000</v>
      </c>
      <c r="E580" s="235" t="s">
        <v>3676</v>
      </c>
      <c r="F580" s="243"/>
      <c r="G580" s="225">
        <v>250.0</v>
      </c>
      <c r="H580" s="245">
        <v>44.0</v>
      </c>
      <c r="I580" s="226">
        <v>130.0</v>
      </c>
      <c r="J580" s="226">
        <v>0.0</v>
      </c>
      <c r="K580" s="226">
        <v>0.0</v>
      </c>
      <c r="L580" s="49">
        <v>4.0</v>
      </c>
      <c r="M580" s="81" t="s">
        <v>3369</v>
      </c>
      <c r="N580" s="49" t="s">
        <v>138</v>
      </c>
      <c r="O580" s="49" t="s">
        <v>3481</v>
      </c>
      <c r="P580" s="49" t="s">
        <v>29</v>
      </c>
      <c r="Q580" s="114"/>
      <c r="R580" s="46"/>
    </row>
    <row r="581" ht="15.75" customHeight="1">
      <c r="A581" s="211">
        <v>3.0</v>
      </c>
      <c r="B581" s="212" t="s">
        <v>3490</v>
      </c>
      <c r="C581" s="212" t="s">
        <v>3678</v>
      </c>
      <c r="D581" s="235" t="s">
        <v>2000</v>
      </c>
      <c r="E581" s="235" t="s">
        <v>3676</v>
      </c>
      <c r="F581" s="243"/>
      <c r="G581" s="225">
        <v>50.0</v>
      </c>
      <c r="H581" s="245">
        <v>10.0</v>
      </c>
      <c r="I581" s="226">
        <v>40.0</v>
      </c>
      <c r="J581" s="226">
        <v>0.0</v>
      </c>
      <c r="K581" s="226">
        <v>0.0</v>
      </c>
      <c r="L581" s="49">
        <v>1.0</v>
      </c>
      <c r="M581" s="81" t="s">
        <v>3369</v>
      </c>
      <c r="N581" s="49" t="s">
        <v>138</v>
      </c>
      <c r="O581" s="49" t="s">
        <v>3481</v>
      </c>
      <c r="P581" s="49" t="s">
        <v>29</v>
      </c>
      <c r="Q581" s="114"/>
      <c r="R581" s="46"/>
    </row>
    <row r="582" ht="15.75" customHeight="1">
      <c r="A582" s="211">
        <v>4.0</v>
      </c>
      <c r="B582" s="212" t="s">
        <v>3525</v>
      </c>
      <c r="C582" s="212" t="s">
        <v>3678</v>
      </c>
      <c r="D582" s="235" t="s">
        <v>2000</v>
      </c>
      <c r="E582" s="235" t="s">
        <v>3676</v>
      </c>
      <c r="F582" s="243"/>
      <c r="G582" s="225">
        <v>75.0</v>
      </c>
      <c r="H582" s="245">
        <v>1.0</v>
      </c>
      <c r="I582" s="226">
        <v>4.0</v>
      </c>
      <c r="J582" s="226">
        <v>0.0</v>
      </c>
      <c r="K582" s="226">
        <v>0.0</v>
      </c>
      <c r="L582" s="49">
        <v>1.0</v>
      </c>
      <c r="M582" s="81" t="s">
        <v>3369</v>
      </c>
      <c r="N582" s="49" t="s">
        <v>138</v>
      </c>
      <c r="O582" s="49" t="s">
        <v>3481</v>
      </c>
      <c r="P582" s="49" t="s">
        <v>29</v>
      </c>
      <c r="Q582" s="114"/>
      <c r="R582" s="46"/>
    </row>
    <row r="583" ht="15.75" customHeight="1">
      <c r="A583" s="211">
        <v>5.0</v>
      </c>
      <c r="B583" s="212" t="s">
        <v>2300</v>
      </c>
      <c r="C583" s="212" t="s">
        <v>3679</v>
      </c>
      <c r="D583" s="235" t="s">
        <v>2000</v>
      </c>
      <c r="E583" s="235" t="s">
        <v>3676</v>
      </c>
      <c r="F583" s="243"/>
      <c r="G583" s="244">
        <v>85.0</v>
      </c>
      <c r="H583" s="237">
        <v>30.0</v>
      </c>
      <c r="I583" s="240">
        <v>90.0</v>
      </c>
      <c r="J583" s="226">
        <v>0.0</v>
      </c>
      <c r="K583" s="226">
        <v>0.0</v>
      </c>
      <c r="L583" s="49">
        <v>5.0</v>
      </c>
      <c r="M583" s="81" t="s">
        <v>3369</v>
      </c>
      <c r="N583" s="49" t="s">
        <v>138</v>
      </c>
      <c r="O583" s="49" t="s">
        <v>3481</v>
      </c>
      <c r="P583" s="49" t="s">
        <v>29</v>
      </c>
      <c r="Q583" s="114"/>
      <c r="R583" s="46"/>
    </row>
    <row r="584" ht="15.75" customHeight="1">
      <c r="A584" s="211">
        <v>6.0</v>
      </c>
      <c r="B584" s="212" t="s">
        <v>2781</v>
      </c>
      <c r="C584" s="212" t="s">
        <v>3678</v>
      </c>
      <c r="D584" s="235" t="s">
        <v>2000</v>
      </c>
      <c r="E584" s="235" t="s">
        <v>3676</v>
      </c>
      <c r="F584" s="243"/>
      <c r="G584" s="225">
        <v>225.0</v>
      </c>
      <c r="H584" s="245">
        <v>40.0</v>
      </c>
      <c r="I584" s="240">
        <v>130.0</v>
      </c>
      <c r="J584" s="226">
        <v>0.0</v>
      </c>
      <c r="K584" s="226">
        <v>0.0</v>
      </c>
      <c r="L584" s="49">
        <v>2.0</v>
      </c>
      <c r="M584" s="81" t="s">
        <v>3369</v>
      </c>
      <c r="N584" s="49" t="s">
        <v>138</v>
      </c>
      <c r="O584" s="49" t="s">
        <v>3481</v>
      </c>
      <c r="P584" s="49" t="s">
        <v>29</v>
      </c>
      <c r="Q584" s="114"/>
      <c r="R584" s="46"/>
    </row>
    <row r="585" ht="15.75" customHeight="1">
      <c r="A585" s="211">
        <v>7.0</v>
      </c>
      <c r="B585" s="212" t="s">
        <v>3680</v>
      </c>
      <c r="C585" s="212" t="s">
        <v>3678</v>
      </c>
      <c r="D585" s="235" t="s">
        <v>2000</v>
      </c>
      <c r="E585" s="235" t="s">
        <v>3676</v>
      </c>
      <c r="F585" s="243"/>
      <c r="G585" s="225">
        <v>100.0</v>
      </c>
      <c r="H585" s="237">
        <v>15.0</v>
      </c>
      <c r="I585" s="240">
        <v>45.0</v>
      </c>
      <c r="J585" s="226">
        <v>0.0</v>
      </c>
      <c r="K585" s="226">
        <v>0.0</v>
      </c>
      <c r="L585" s="49">
        <v>1.0</v>
      </c>
      <c r="M585" s="81" t="s">
        <v>3369</v>
      </c>
      <c r="N585" s="49" t="s">
        <v>138</v>
      </c>
      <c r="O585" s="49" t="s">
        <v>3481</v>
      </c>
      <c r="P585" s="49" t="s">
        <v>29</v>
      </c>
      <c r="Q585" s="114"/>
      <c r="R585" s="46"/>
    </row>
    <row r="586" ht="15.75" customHeight="1">
      <c r="A586" s="211">
        <v>8.0</v>
      </c>
      <c r="B586" s="212" t="s">
        <v>3681</v>
      </c>
      <c r="C586" s="212" t="s">
        <v>3678</v>
      </c>
      <c r="D586" s="235" t="s">
        <v>2000</v>
      </c>
      <c r="E586" s="235" t="s">
        <v>3676</v>
      </c>
      <c r="F586" s="243"/>
      <c r="G586" s="244">
        <v>54.0</v>
      </c>
      <c r="H586" s="245">
        <v>6.0</v>
      </c>
      <c r="I586" s="240">
        <v>30.0</v>
      </c>
      <c r="J586" s="226">
        <v>0.0</v>
      </c>
      <c r="K586" s="226">
        <v>0.0</v>
      </c>
      <c r="L586" s="49">
        <v>1.0</v>
      </c>
      <c r="M586" s="81" t="s">
        <v>3369</v>
      </c>
      <c r="N586" s="49" t="s">
        <v>138</v>
      </c>
      <c r="O586" s="49" t="s">
        <v>3481</v>
      </c>
      <c r="P586" s="49" t="s">
        <v>29</v>
      </c>
      <c r="Q586" s="114"/>
      <c r="R586" s="46"/>
    </row>
    <row r="587" ht="15.75" customHeight="1">
      <c r="A587" s="211">
        <v>9.0</v>
      </c>
      <c r="B587" s="212" t="s">
        <v>3682</v>
      </c>
      <c r="C587" s="212" t="s">
        <v>3678</v>
      </c>
      <c r="D587" s="235" t="s">
        <v>2000</v>
      </c>
      <c r="E587" s="235" t="s">
        <v>3676</v>
      </c>
      <c r="F587" s="243"/>
      <c r="G587" s="244">
        <v>450.0</v>
      </c>
      <c r="H587" s="245">
        <v>35.0</v>
      </c>
      <c r="I587" s="240">
        <v>120.0</v>
      </c>
      <c r="J587" s="226">
        <v>0.0</v>
      </c>
      <c r="K587" s="226">
        <v>0.0</v>
      </c>
      <c r="L587" s="49">
        <v>1.0</v>
      </c>
      <c r="M587" s="81" t="s">
        <v>3369</v>
      </c>
      <c r="N587" s="49" t="s">
        <v>138</v>
      </c>
      <c r="O587" s="49" t="s">
        <v>3481</v>
      </c>
      <c r="P587" s="49" t="s">
        <v>29</v>
      </c>
      <c r="Q587" s="114"/>
      <c r="R587" s="46"/>
    </row>
    <row r="588" ht="15.75" customHeight="1">
      <c r="A588" s="211">
        <v>10.0</v>
      </c>
      <c r="B588" s="212" t="s">
        <v>3683</v>
      </c>
      <c r="C588" s="212" t="s">
        <v>3684</v>
      </c>
      <c r="D588" s="235" t="s">
        <v>2000</v>
      </c>
      <c r="E588" s="235" t="s">
        <v>3676</v>
      </c>
      <c r="F588" s="243"/>
      <c r="G588" s="225">
        <v>200.0</v>
      </c>
      <c r="H588" s="237">
        <v>8.0</v>
      </c>
      <c r="I588" s="240">
        <v>32.0</v>
      </c>
      <c r="J588" s="226">
        <v>0.0</v>
      </c>
      <c r="K588" s="226">
        <v>0.0</v>
      </c>
      <c r="L588" s="49">
        <v>8.0</v>
      </c>
      <c r="M588" s="81" t="s">
        <v>3369</v>
      </c>
      <c r="N588" s="49" t="s">
        <v>138</v>
      </c>
      <c r="O588" s="49" t="s">
        <v>3481</v>
      </c>
      <c r="P588" s="49" t="s">
        <v>29</v>
      </c>
      <c r="Q588" s="114"/>
      <c r="R588" s="46"/>
    </row>
    <row r="589" ht="15.75" customHeight="1">
      <c r="A589" s="211">
        <v>11.0</v>
      </c>
      <c r="B589" s="212" t="s">
        <v>1171</v>
      </c>
      <c r="C589" s="212" t="s">
        <v>3684</v>
      </c>
      <c r="D589" s="235" t="s">
        <v>2000</v>
      </c>
      <c r="E589" s="235" t="s">
        <v>3676</v>
      </c>
      <c r="F589" s="243"/>
      <c r="G589" s="225">
        <v>75.0</v>
      </c>
      <c r="H589" s="245">
        <v>4.0</v>
      </c>
      <c r="I589" s="226">
        <v>15.0</v>
      </c>
      <c r="J589" s="226">
        <v>0.0</v>
      </c>
      <c r="K589" s="226">
        <v>0.0</v>
      </c>
      <c r="L589" s="49">
        <v>3.0</v>
      </c>
      <c r="M589" s="81" t="s">
        <v>3369</v>
      </c>
      <c r="N589" s="49" t="s">
        <v>138</v>
      </c>
      <c r="O589" s="49" t="s">
        <v>3481</v>
      </c>
      <c r="P589" s="49" t="s">
        <v>29</v>
      </c>
      <c r="Q589" s="114"/>
      <c r="R589" s="46"/>
    </row>
    <row r="590" ht="15.75" customHeight="1">
      <c r="A590" s="211">
        <v>12.0</v>
      </c>
      <c r="B590" s="212" t="s">
        <v>3685</v>
      </c>
      <c r="C590" s="212" t="s">
        <v>3686</v>
      </c>
      <c r="D590" s="235" t="s">
        <v>2000</v>
      </c>
      <c r="E590" s="241" t="s">
        <v>3687</v>
      </c>
      <c r="F590" s="243"/>
      <c r="G590" s="225">
        <v>200.0</v>
      </c>
      <c r="H590" s="237">
        <v>20.0</v>
      </c>
      <c r="I590" s="240">
        <v>65.0</v>
      </c>
      <c r="J590" s="226">
        <v>0.0</v>
      </c>
      <c r="K590" s="226">
        <v>0.0</v>
      </c>
      <c r="L590" s="49">
        <v>8.0</v>
      </c>
      <c r="M590" s="81" t="s">
        <v>3369</v>
      </c>
      <c r="N590" s="49" t="s">
        <v>138</v>
      </c>
      <c r="O590" s="49" t="s">
        <v>3481</v>
      </c>
      <c r="P590" s="49" t="s">
        <v>29</v>
      </c>
      <c r="Q590" s="114"/>
      <c r="R590" s="46"/>
    </row>
    <row r="591" ht="15.75" customHeight="1">
      <c r="A591" s="211">
        <v>13.0</v>
      </c>
      <c r="B591" s="212" t="s">
        <v>3688</v>
      </c>
      <c r="C591" s="212" t="s">
        <v>3678</v>
      </c>
      <c r="D591" s="235" t="s">
        <v>2000</v>
      </c>
      <c r="E591" s="241" t="s">
        <v>3689</v>
      </c>
      <c r="F591" s="243"/>
      <c r="G591" s="225">
        <v>125.0</v>
      </c>
      <c r="H591" s="237">
        <v>15.0</v>
      </c>
      <c r="I591" s="240">
        <v>50.0</v>
      </c>
      <c r="J591" s="226">
        <v>0.0</v>
      </c>
      <c r="K591" s="226">
        <v>0.0</v>
      </c>
      <c r="L591" s="49">
        <v>5.0</v>
      </c>
      <c r="M591" s="81" t="s">
        <v>3369</v>
      </c>
      <c r="N591" s="49" t="s">
        <v>138</v>
      </c>
      <c r="O591" s="49" t="s">
        <v>3481</v>
      </c>
      <c r="P591" s="49" t="s">
        <v>29</v>
      </c>
      <c r="Q591" s="114"/>
      <c r="R591" s="46"/>
    </row>
    <row r="592" ht="15.75" customHeight="1">
      <c r="A592" s="211">
        <v>14.0</v>
      </c>
      <c r="B592" s="212" t="s">
        <v>3690</v>
      </c>
      <c r="C592" s="212" t="s">
        <v>3691</v>
      </c>
      <c r="D592" s="235" t="s">
        <v>2000</v>
      </c>
      <c r="E592" s="241" t="s">
        <v>3692</v>
      </c>
      <c r="F592" s="243"/>
      <c r="G592" s="225">
        <v>250.0</v>
      </c>
      <c r="H592" s="237">
        <v>15.0</v>
      </c>
      <c r="I592" s="240">
        <v>65.0</v>
      </c>
      <c r="J592" s="226">
        <v>0.0</v>
      </c>
      <c r="K592" s="226">
        <v>0.0</v>
      </c>
      <c r="L592" s="49">
        <v>7.0</v>
      </c>
      <c r="M592" s="81" t="s">
        <v>3369</v>
      </c>
      <c r="N592" s="49" t="s">
        <v>138</v>
      </c>
      <c r="O592" s="49" t="s">
        <v>3481</v>
      </c>
      <c r="P592" s="49" t="s">
        <v>29</v>
      </c>
      <c r="Q592" s="114"/>
      <c r="R592" s="46"/>
    </row>
    <row r="593" ht="15.75" customHeight="1">
      <c r="A593" s="211">
        <v>15.0</v>
      </c>
      <c r="B593" s="212" t="s">
        <v>3693</v>
      </c>
      <c r="C593" s="212" t="s">
        <v>3694</v>
      </c>
      <c r="D593" s="235" t="s">
        <v>2000</v>
      </c>
      <c r="E593" s="241" t="s">
        <v>3692</v>
      </c>
      <c r="F593" s="243"/>
      <c r="G593" s="225">
        <v>75.0</v>
      </c>
      <c r="H593" s="237">
        <v>20.0</v>
      </c>
      <c r="I593" s="240">
        <v>60.0</v>
      </c>
      <c r="J593" s="226">
        <v>0.0</v>
      </c>
      <c r="K593" s="226">
        <v>0.0</v>
      </c>
      <c r="L593" s="49">
        <v>4.0</v>
      </c>
      <c r="M593" s="81" t="s">
        <v>3369</v>
      </c>
      <c r="N593" s="49" t="s">
        <v>138</v>
      </c>
      <c r="O593" s="49" t="s">
        <v>3481</v>
      </c>
      <c r="P593" s="49" t="s">
        <v>29</v>
      </c>
      <c r="Q593" s="114"/>
      <c r="R593" s="46"/>
    </row>
    <row r="594" ht="15.75" customHeight="1">
      <c r="A594" s="211">
        <v>16.0</v>
      </c>
      <c r="B594" s="212" t="s">
        <v>3695</v>
      </c>
      <c r="C594" s="212" t="s">
        <v>3696</v>
      </c>
      <c r="D594" s="235" t="s">
        <v>2000</v>
      </c>
      <c r="E594" s="241" t="s">
        <v>3692</v>
      </c>
      <c r="F594" s="243"/>
      <c r="G594" s="225">
        <v>125.0</v>
      </c>
      <c r="H594" s="237">
        <v>25.0</v>
      </c>
      <c r="I594" s="240">
        <v>80.0</v>
      </c>
      <c r="J594" s="226">
        <v>0.0</v>
      </c>
      <c r="K594" s="226">
        <v>0.0</v>
      </c>
      <c r="L594" s="49">
        <v>5.0</v>
      </c>
      <c r="M594" s="81" t="s">
        <v>3369</v>
      </c>
      <c r="N594" s="49" t="s">
        <v>138</v>
      </c>
      <c r="O594" s="49" t="s">
        <v>3481</v>
      </c>
      <c r="P594" s="49" t="s">
        <v>29</v>
      </c>
      <c r="Q594" s="114"/>
      <c r="R594" s="46"/>
    </row>
    <row r="595" ht="15.75" customHeight="1">
      <c r="A595" s="211">
        <v>17.0</v>
      </c>
      <c r="B595" s="242" t="s">
        <v>3697</v>
      </c>
      <c r="C595" s="242" t="s">
        <v>3696</v>
      </c>
      <c r="D595" s="241" t="s">
        <v>2000</v>
      </c>
      <c r="E595" s="241" t="s">
        <v>3692</v>
      </c>
      <c r="F595" s="243"/>
      <c r="G595" s="244">
        <v>400.0</v>
      </c>
      <c r="H595" s="245">
        <v>150.0</v>
      </c>
      <c r="I595" s="240">
        <v>600.0</v>
      </c>
      <c r="J595" s="240">
        <v>1.0</v>
      </c>
      <c r="K595" s="240">
        <v>1.0</v>
      </c>
      <c r="L595" s="238">
        <v>8.0</v>
      </c>
      <c r="M595" s="81" t="s">
        <v>3369</v>
      </c>
      <c r="N595" s="49" t="s">
        <v>138</v>
      </c>
      <c r="O595" s="49" t="s">
        <v>3481</v>
      </c>
      <c r="P595" s="49" t="s">
        <v>29</v>
      </c>
      <c r="Q595" s="114"/>
      <c r="R595" s="46"/>
    </row>
    <row r="596" ht="15.75" customHeight="1">
      <c r="A596" s="211">
        <v>18.0</v>
      </c>
      <c r="B596" s="212" t="s">
        <v>3698</v>
      </c>
      <c r="C596" s="212" t="s">
        <v>3696</v>
      </c>
      <c r="D596" s="235" t="s">
        <v>2000</v>
      </c>
      <c r="E596" s="241" t="s">
        <v>3692</v>
      </c>
      <c r="F596" s="243"/>
      <c r="G596" s="225">
        <v>100.0</v>
      </c>
      <c r="H596" s="237">
        <v>20.0</v>
      </c>
      <c r="I596" s="240">
        <v>58.0</v>
      </c>
      <c r="J596" s="226">
        <v>0.0</v>
      </c>
      <c r="K596" s="226">
        <v>0.0</v>
      </c>
      <c r="L596" s="49">
        <v>3.0</v>
      </c>
      <c r="M596" s="81" t="s">
        <v>3369</v>
      </c>
      <c r="N596" s="49" t="s">
        <v>138</v>
      </c>
      <c r="O596" s="49" t="s">
        <v>3481</v>
      </c>
      <c r="P596" s="49" t="s">
        <v>29</v>
      </c>
      <c r="Q596" s="114"/>
      <c r="R596" s="46"/>
    </row>
    <row r="597" ht="15.75" customHeight="1">
      <c r="A597" s="211">
        <v>19.0</v>
      </c>
      <c r="B597" s="212" t="s">
        <v>3699</v>
      </c>
      <c r="C597" s="212" t="s">
        <v>3700</v>
      </c>
      <c r="D597" s="235" t="s">
        <v>2000</v>
      </c>
      <c r="E597" s="241" t="s">
        <v>3692</v>
      </c>
      <c r="F597" s="243"/>
      <c r="G597" s="225">
        <v>200.0</v>
      </c>
      <c r="H597" s="237">
        <v>20.0</v>
      </c>
      <c r="I597" s="240">
        <v>60.0</v>
      </c>
      <c r="J597" s="226">
        <v>0.0</v>
      </c>
      <c r="K597" s="226">
        <v>0.0</v>
      </c>
      <c r="L597" s="49">
        <v>8.0</v>
      </c>
      <c r="M597" s="81" t="s">
        <v>3369</v>
      </c>
      <c r="N597" s="49" t="s">
        <v>138</v>
      </c>
      <c r="O597" s="49" t="s">
        <v>3481</v>
      </c>
      <c r="P597" s="49" t="s">
        <v>29</v>
      </c>
      <c r="Q597" s="114"/>
      <c r="R597" s="46"/>
    </row>
    <row r="598" ht="15.75" customHeight="1">
      <c r="A598" s="211">
        <v>20.0</v>
      </c>
      <c r="B598" s="212" t="s">
        <v>3701</v>
      </c>
      <c r="C598" s="212" t="s">
        <v>3702</v>
      </c>
      <c r="D598" s="235" t="s">
        <v>2000</v>
      </c>
      <c r="E598" s="241" t="s">
        <v>3692</v>
      </c>
      <c r="F598" s="243"/>
      <c r="G598" s="225">
        <v>200.0</v>
      </c>
      <c r="H598" s="237">
        <v>20.0</v>
      </c>
      <c r="I598" s="240">
        <v>65.0</v>
      </c>
      <c r="J598" s="226">
        <v>0.0</v>
      </c>
      <c r="K598" s="226">
        <v>0.0</v>
      </c>
      <c r="L598" s="49">
        <v>8.0</v>
      </c>
      <c r="M598" s="81" t="s">
        <v>3369</v>
      </c>
      <c r="N598" s="49" t="s">
        <v>138</v>
      </c>
      <c r="O598" s="49" t="s">
        <v>3481</v>
      </c>
      <c r="P598" s="49" t="s">
        <v>29</v>
      </c>
      <c r="Q598" s="114"/>
      <c r="R598" s="46"/>
    </row>
    <row r="599" ht="15.75" customHeight="1">
      <c r="A599" s="211">
        <v>21.0</v>
      </c>
      <c r="B599" s="212" t="s">
        <v>3703</v>
      </c>
      <c r="C599" s="212" t="s">
        <v>3704</v>
      </c>
      <c r="D599" s="235" t="s">
        <v>2000</v>
      </c>
      <c r="E599" s="235" t="s">
        <v>3676</v>
      </c>
      <c r="F599" s="243"/>
      <c r="G599" s="225">
        <v>200.0</v>
      </c>
      <c r="H599" s="237">
        <v>20.0</v>
      </c>
      <c r="I599" s="240">
        <v>65.0</v>
      </c>
      <c r="J599" s="226">
        <v>0.0</v>
      </c>
      <c r="K599" s="226">
        <v>0.0</v>
      </c>
      <c r="L599" s="49">
        <v>8.0</v>
      </c>
      <c r="M599" s="81" t="s">
        <v>3369</v>
      </c>
      <c r="N599" s="49" t="s">
        <v>138</v>
      </c>
      <c r="O599" s="49" t="s">
        <v>3481</v>
      </c>
      <c r="P599" s="49" t="s">
        <v>29</v>
      </c>
      <c r="Q599" s="114"/>
      <c r="R599" s="46"/>
    </row>
    <row r="600" ht="15.75" customHeight="1">
      <c r="A600" s="211">
        <v>22.0</v>
      </c>
      <c r="B600" s="212" t="s">
        <v>3705</v>
      </c>
      <c r="C600" s="212" t="s">
        <v>3704</v>
      </c>
      <c r="D600" s="235" t="s">
        <v>2000</v>
      </c>
      <c r="E600" s="235" t="s">
        <v>3676</v>
      </c>
      <c r="F600" s="243"/>
      <c r="G600" s="225">
        <v>184.0</v>
      </c>
      <c r="H600" s="237">
        <v>18.0</v>
      </c>
      <c r="I600" s="240">
        <v>54.0</v>
      </c>
      <c r="J600" s="226">
        <v>0.0</v>
      </c>
      <c r="K600" s="226">
        <v>0.0</v>
      </c>
      <c r="L600" s="49">
        <v>7.0</v>
      </c>
      <c r="M600" s="81" t="s">
        <v>3369</v>
      </c>
      <c r="N600" s="49" t="s">
        <v>138</v>
      </c>
      <c r="O600" s="49" t="s">
        <v>3481</v>
      </c>
      <c r="P600" s="49" t="s">
        <v>29</v>
      </c>
      <c r="Q600" s="114"/>
      <c r="R600" s="46"/>
    </row>
    <row r="601" ht="15.75" customHeight="1">
      <c r="A601" s="211">
        <v>23.0</v>
      </c>
      <c r="B601" s="212" t="s">
        <v>3706</v>
      </c>
      <c r="C601" s="212" t="s">
        <v>3704</v>
      </c>
      <c r="D601" s="235" t="s">
        <v>2000</v>
      </c>
      <c r="E601" s="235" t="s">
        <v>3676</v>
      </c>
      <c r="F601" s="243"/>
      <c r="G601" s="225">
        <v>25.0</v>
      </c>
      <c r="H601" s="237">
        <v>4.0</v>
      </c>
      <c r="I601" s="240">
        <v>20.0</v>
      </c>
      <c r="J601" s="226">
        <v>0.0</v>
      </c>
      <c r="K601" s="226">
        <v>0.0</v>
      </c>
      <c r="L601" s="49">
        <v>1.0</v>
      </c>
      <c r="M601" s="81" t="s">
        <v>3369</v>
      </c>
      <c r="N601" s="49" t="s">
        <v>138</v>
      </c>
      <c r="O601" s="49" t="s">
        <v>3481</v>
      </c>
      <c r="P601" s="49" t="s">
        <v>29</v>
      </c>
      <c r="Q601" s="114"/>
      <c r="R601" s="46"/>
    </row>
    <row r="602" ht="15.75" customHeight="1">
      <c r="A602" s="211">
        <v>24.0</v>
      </c>
      <c r="B602" s="212" t="s">
        <v>1171</v>
      </c>
      <c r="C602" s="212" t="s">
        <v>3704</v>
      </c>
      <c r="D602" s="235" t="s">
        <v>2000</v>
      </c>
      <c r="E602" s="235" t="s">
        <v>3676</v>
      </c>
      <c r="F602" s="243"/>
      <c r="G602" s="225">
        <v>25.0</v>
      </c>
      <c r="H602" s="237">
        <v>4.0</v>
      </c>
      <c r="I602" s="240">
        <v>16.0</v>
      </c>
      <c r="J602" s="226">
        <v>0.0</v>
      </c>
      <c r="K602" s="226">
        <v>0.0</v>
      </c>
      <c r="L602" s="49">
        <v>1.0</v>
      </c>
      <c r="M602" s="81" t="s">
        <v>3369</v>
      </c>
      <c r="N602" s="49" t="s">
        <v>138</v>
      </c>
      <c r="O602" s="49" t="s">
        <v>3481</v>
      </c>
      <c r="P602" s="49" t="s">
        <v>29</v>
      </c>
      <c r="Q602" s="114"/>
      <c r="R602" s="46"/>
    </row>
    <row r="603" ht="15.75" customHeight="1">
      <c r="A603" s="211">
        <v>25.0</v>
      </c>
      <c r="B603" s="212" t="s">
        <v>3707</v>
      </c>
      <c r="C603" s="212" t="s">
        <v>3708</v>
      </c>
      <c r="D603" s="235" t="s">
        <v>2000</v>
      </c>
      <c r="E603" s="235" t="s">
        <v>3709</v>
      </c>
      <c r="F603" s="243"/>
      <c r="G603" s="225">
        <v>750.0</v>
      </c>
      <c r="H603" s="237">
        <v>30.0</v>
      </c>
      <c r="I603" s="240">
        <v>85.0</v>
      </c>
      <c r="J603" s="226">
        <v>0.0</v>
      </c>
      <c r="K603" s="226">
        <v>0.0</v>
      </c>
      <c r="L603" s="49">
        <v>12.0</v>
      </c>
      <c r="M603" s="81" t="s">
        <v>3369</v>
      </c>
      <c r="N603" s="49" t="s">
        <v>138</v>
      </c>
      <c r="O603" s="49" t="s">
        <v>3481</v>
      </c>
      <c r="P603" s="49" t="s">
        <v>29</v>
      </c>
      <c r="Q603" s="114"/>
      <c r="R603" s="46"/>
    </row>
    <row r="604" ht="15.75" customHeight="1">
      <c r="A604" s="211">
        <v>26.0</v>
      </c>
      <c r="B604" s="212" t="s">
        <v>3710</v>
      </c>
      <c r="C604" s="212" t="s">
        <v>3708</v>
      </c>
      <c r="D604" s="235" t="s">
        <v>2000</v>
      </c>
      <c r="E604" s="235" t="s">
        <v>3709</v>
      </c>
      <c r="F604" s="243"/>
      <c r="G604" s="225">
        <v>600.0</v>
      </c>
      <c r="H604" s="237">
        <v>28.0</v>
      </c>
      <c r="I604" s="240">
        <v>80.0</v>
      </c>
      <c r="J604" s="226">
        <v>0.0</v>
      </c>
      <c r="K604" s="226">
        <v>0.0</v>
      </c>
      <c r="L604" s="49">
        <v>10.0</v>
      </c>
      <c r="M604" s="81" t="s">
        <v>3369</v>
      </c>
      <c r="N604" s="49" t="s">
        <v>138</v>
      </c>
      <c r="O604" s="49" t="s">
        <v>3481</v>
      </c>
      <c r="P604" s="49" t="s">
        <v>29</v>
      </c>
      <c r="Q604" s="114"/>
      <c r="R604" s="46"/>
    </row>
    <row r="605" ht="15.75" customHeight="1">
      <c r="A605" s="211">
        <v>27.0</v>
      </c>
      <c r="B605" s="212" t="s">
        <v>3711</v>
      </c>
      <c r="C605" s="212" t="s">
        <v>3712</v>
      </c>
      <c r="D605" s="235" t="s">
        <v>2000</v>
      </c>
      <c r="E605" s="235" t="s">
        <v>3676</v>
      </c>
      <c r="F605" s="243"/>
      <c r="G605" s="225">
        <v>100.0</v>
      </c>
      <c r="H605" s="237">
        <v>20.0</v>
      </c>
      <c r="I605" s="240">
        <v>55.0</v>
      </c>
      <c r="J605" s="226">
        <v>0.0</v>
      </c>
      <c r="K605" s="226">
        <v>0.0</v>
      </c>
      <c r="L605" s="49">
        <v>4.0</v>
      </c>
      <c r="M605" s="81" t="s">
        <v>3369</v>
      </c>
      <c r="N605" s="49" t="s">
        <v>138</v>
      </c>
      <c r="O605" s="49" t="s">
        <v>3481</v>
      </c>
      <c r="P605" s="49" t="s">
        <v>29</v>
      </c>
      <c r="Q605" s="114"/>
      <c r="R605" s="46"/>
    </row>
    <row r="606" ht="15.75" customHeight="1">
      <c r="A606" s="211">
        <v>28.0</v>
      </c>
      <c r="B606" s="212" t="s">
        <v>1171</v>
      </c>
      <c r="C606" s="212" t="s">
        <v>3713</v>
      </c>
      <c r="D606" s="235" t="s">
        <v>2000</v>
      </c>
      <c r="E606" s="235" t="s">
        <v>3676</v>
      </c>
      <c r="F606" s="243"/>
      <c r="G606" s="225">
        <v>200.0</v>
      </c>
      <c r="H606" s="237">
        <v>8.0</v>
      </c>
      <c r="I606" s="240">
        <v>32.0</v>
      </c>
      <c r="J606" s="226">
        <v>0.0</v>
      </c>
      <c r="K606" s="226">
        <v>0.0</v>
      </c>
      <c r="L606" s="49">
        <v>8.0</v>
      </c>
      <c r="M606" s="81" t="s">
        <v>3369</v>
      </c>
      <c r="N606" s="49" t="s">
        <v>138</v>
      </c>
      <c r="O606" s="49" t="s">
        <v>3481</v>
      </c>
      <c r="P606" s="49" t="s">
        <v>29</v>
      </c>
      <c r="Q606" s="114"/>
      <c r="R606" s="46"/>
    </row>
    <row r="607" ht="15.75" customHeight="1">
      <c r="A607" s="211">
        <v>29.0</v>
      </c>
      <c r="B607" s="212" t="s">
        <v>3714</v>
      </c>
      <c r="C607" s="212" t="s">
        <v>3713</v>
      </c>
      <c r="D607" s="235" t="s">
        <v>2000</v>
      </c>
      <c r="E607" s="235" t="s">
        <v>3676</v>
      </c>
      <c r="F607" s="243"/>
      <c r="G607" s="225">
        <v>125.0</v>
      </c>
      <c r="H607" s="237">
        <v>15.0</v>
      </c>
      <c r="I607" s="240">
        <v>45.0</v>
      </c>
      <c r="J607" s="226">
        <v>0.0</v>
      </c>
      <c r="K607" s="226">
        <v>0.0</v>
      </c>
      <c r="L607" s="49">
        <v>1.0</v>
      </c>
      <c r="M607" s="81" t="s">
        <v>3369</v>
      </c>
      <c r="N607" s="49" t="s">
        <v>138</v>
      </c>
      <c r="O607" s="49" t="s">
        <v>3481</v>
      </c>
      <c r="P607" s="49" t="s">
        <v>29</v>
      </c>
      <c r="Q607" s="114"/>
      <c r="R607" s="46"/>
    </row>
    <row r="608" ht="15.75" customHeight="1">
      <c r="A608" s="211">
        <v>30.0</v>
      </c>
      <c r="B608" s="212" t="s">
        <v>1171</v>
      </c>
      <c r="C608" s="212" t="s">
        <v>3715</v>
      </c>
      <c r="D608" s="235" t="s">
        <v>2000</v>
      </c>
      <c r="E608" s="235" t="s">
        <v>3676</v>
      </c>
      <c r="F608" s="243"/>
      <c r="G608" s="225">
        <v>100.0</v>
      </c>
      <c r="H608" s="237">
        <v>10.0</v>
      </c>
      <c r="I608" s="240">
        <v>30.0</v>
      </c>
      <c r="J608" s="226">
        <v>0.0</v>
      </c>
      <c r="K608" s="226">
        <v>0.0</v>
      </c>
      <c r="L608" s="49">
        <v>1.0</v>
      </c>
      <c r="M608" s="81" t="s">
        <v>3369</v>
      </c>
      <c r="N608" s="49" t="s">
        <v>138</v>
      </c>
      <c r="O608" s="49" t="s">
        <v>3481</v>
      </c>
      <c r="P608" s="49" t="s">
        <v>29</v>
      </c>
      <c r="Q608" s="114"/>
      <c r="R608" s="46"/>
    </row>
    <row r="609" ht="15.75" customHeight="1">
      <c r="A609" s="211">
        <v>31.0</v>
      </c>
      <c r="B609" s="212" t="s">
        <v>3716</v>
      </c>
      <c r="C609" s="212" t="s">
        <v>3717</v>
      </c>
      <c r="D609" s="235" t="s">
        <v>2000</v>
      </c>
      <c r="E609" s="235" t="s">
        <v>3709</v>
      </c>
      <c r="F609" s="243"/>
      <c r="G609" s="225">
        <v>25.0</v>
      </c>
      <c r="H609" s="237">
        <v>30.0</v>
      </c>
      <c r="I609" s="240">
        <v>85.0</v>
      </c>
      <c r="J609" s="226">
        <v>0.0</v>
      </c>
      <c r="K609" s="226">
        <v>0.0</v>
      </c>
      <c r="L609" s="49">
        <v>1.0</v>
      </c>
      <c r="M609" s="81" t="s">
        <v>3369</v>
      </c>
      <c r="N609" s="49" t="s">
        <v>138</v>
      </c>
      <c r="O609" s="49" t="s">
        <v>3481</v>
      </c>
      <c r="P609" s="49" t="s">
        <v>29</v>
      </c>
      <c r="Q609" s="114"/>
      <c r="R609" s="46"/>
    </row>
    <row r="610" ht="15.75" customHeight="1">
      <c r="A610" s="211">
        <v>32.0</v>
      </c>
      <c r="B610" s="212" t="s">
        <v>1171</v>
      </c>
      <c r="C610" s="212" t="s">
        <v>3718</v>
      </c>
      <c r="D610" s="235" t="s">
        <v>2000</v>
      </c>
      <c r="E610" s="235" t="s">
        <v>3676</v>
      </c>
      <c r="F610" s="243"/>
      <c r="G610" s="225">
        <v>100.0</v>
      </c>
      <c r="H610" s="237">
        <v>10.0</v>
      </c>
      <c r="I610" s="240">
        <v>40.0</v>
      </c>
      <c r="J610" s="226">
        <v>0.0</v>
      </c>
      <c r="K610" s="226">
        <v>0.0</v>
      </c>
      <c r="L610" s="49">
        <v>1.0</v>
      </c>
      <c r="M610" s="81" t="s">
        <v>3369</v>
      </c>
      <c r="N610" s="49" t="s">
        <v>138</v>
      </c>
      <c r="O610" s="49" t="s">
        <v>3481</v>
      </c>
      <c r="P610" s="49" t="s">
        <v>29</v>
      </c>
      <c r="Q610" s="114"/>
      <c r="R610" s="46"/>
    </row>
    <row r="611" ht="15.75" customHeight="1">
      <c r="A611" s="211">
        <v>33.0</v>
      </c>
      <c r="B611" s="212" t="s">
        <v>3719</v>
      </c>
      <c r="C611" s="212" t="s">
        <v>3720</v>
      </c>
      <c r="D611" s="235" t="s">
        <v>2000</v>
      </c>
      <c r="E611" s="235" t="s">
        <v>3676</v>
      </c>
      <c r="F611" s="243"/>
      <c r="G611" s="225">
        <v>100.0</v>
      </c>
      <c r="H611" s="237">
        <v>20.0</v>
      </c>
      <c r="I611" s="240">
        <v>50.0</v>
      </c>
      <c r="J611" s="226">
        <v>0.0</v>
      </c>
      <c r="K611" s="226">
        <v>0.0</v>
      </c>
      <c r="L611" s="49">
        <v>1.0</v>
      </c>
      <c r="M611" s="81" t="s">
        <v>3369</v>
      </c>
      <c r="N611" s="49" t="s">
        <v>138</v>
      </c>
      <c r="O611" s="49" t="s">
        <v>3481</v>
      </c>
      <c r="P611" s="49" t="s">
        <v>29</v>
      </c>
      <c r="Q611" s="114"/>
      <c r="R611" s="46"/>
    </row>
    <row r="612" ht="15.75" customHeight="1">
      <c r="A612" s="211">
        <v>34.0</v>
      </c>
      <c r="B612" s="212" t="s">
        <v>3721</v>
      </c>
      <c r="C612" s="212" t="s">
        <v>3720</v>
      </c>
      <c r="D612" s="235" t="s">
        <v>2000</v>
      </c>
      <c r="E612" s="235" t="s">
        <v>3676</v>
      </c>
      <c r="F612" s="243"/>
      <c r="G612" s="225">
        <v>700.0</v>
      </c>
      <c r="H612" s="237">
        <v>25.0</v>
      </c>
      <c r="I612" s="240">
        <v>105.0</v>
      </c>
      <c r="J612" s="226">
        <v>0.0</v>
      </c>
      <c r="K612" s="226">
        <v>0.0</v>
      </c>
      <c r="L612" s="49">
        <v>1.0</v>
      </c>
      <c r="M612" s="81" t="s">
        <v>3369</v>
      </c>
      <c r="N612" s="49" t="s">
        <v>138</v>
      </c>
      <c r="O612" s="49" t="s">
        <v>3481</v>
      </c>
      <c r="P612" s="49" t="s">
        <v>29</v>
      </c>
      <c r="Q612" s="114"/>
      <c r="R612" s="46"/>
    </row>
    <row r="613" ht="15.75" customHeight="1">
      <c r="A613" s="211">
        <v>35.0</v>
      </c>
      <c r="B613" s="212" t="s">
        <v>3722</v>
      </c>
      <c r="C613" s="212" t="s">
        <v>3723</v>
      </c>
      <c r="D613" s="235" t="s">
        <v>2000</v>
      </c>
      <c r="E613" s="235" t="s">
        <v>3676</v>
      </c>
      <c r="F613" s="243"/>
      <c r="G613" s="225">
        <v>100.0</v>
      </c>
      <c r="H613" s="237">
        <v>10.0</v>
      </c>
      <c r="I613" s="240">
        <v>35.0</v>
      </c>
      <c r="J613" s="226">
        <v>0.0</v>
      </c>
      <c r="K613" s="226">
        <v>0.0</v>
      </c>
      <c r="L613" s="49">
        <v>1.0</v>
      </c>
      <c r="M613" s="81" t="s">
        <v>3369</v>
      </c>
      <c r="N613" s="49" t="s">
        <v>138</v>
      </c>
      <c r="O613" s="49" t="s">
        <v>3481</v>
      </c>
      <c r="P613" s="49" t="s">
        <v>29</v>
      </c>
      <c r="Q613" s="114"/>
      <c r="R613" s="46"/>
    </row>
    <row r="614" ht="15.75" customHeight="1">
      <c r="A614" s="224">
        <v>36.0</v>
      </c>
      <c r="B614" s="212" t="s">
        <v>3711</v>
      </c>
      <c r="C614" s="212" t="s">
        <v>3724</v>
      </c>
      <c r="D614" s="235" t="s">
        <v>2000</v>
      </c>
      <c r="E614" s="235" t="s">
        <v>3676</v>
      </c>
      <c r="F614" s="243"/>
      <c r="G614" s="225">
        <v>375.0</v>
      </c>
      <c r="H614" s="237">
        <v>15.0</v>
      </c>
      <c r="I614" s="240">
        <v>55.0</v>
      </c>
      <c r="J614" s="226">
        <v>0.0</v>
      </c>
      <c r="K614" s="226">
        <v>0.0</v>
      </c>
      <c r="L614" s="49">
        <v>15.0</v>
      </c>
      <c r="M614" s="81" t="s">
        <v>3369</v>
      </c>
      <c r="N614" s="49" t="s">
        <v>138</v>
      </c>
      <c r="O614" s="49" t="s">
        <v>3481</v>
      </c>
      <c r="P614" s="49" t="s">
        <v>29</v>
      </c>
      <c r="Q614" s="114"/>
      <c r="R614" s="46"/>
    </row>
    <row r="615" ht="15.75" customHeight="1">
      <c r="A615" s="224">
        <v>37.0</v>
      </c>
      <c r="B615" s="212" t="s">
        <v>3725</v>
      </c>
      <c r="C615" s="212" t="s">
        <v>3724</v>
      </c>
      <c r="D615" s="235" t="s">
        <v>2000</v>
      </c>
      <c r="E615" s="235" t="s">
        <v>3676</v>
      </c>
      <c r="F615" s="243"/>
      <c r="G615" s="225">
        <v>50.0</v>
      </c>
      <c r="H615" s="237">
        <v>7.0</v>
      </c>
      <c r="I615" s="240">
        <v>30.0</v>
      </c>
      <c r="J615" s="226">
        <v>0.0</v>
      </c>
      <c r="K615" s="226">
        <v>0.0</v>
      </c>
      <c r="L615" s="49">
        <v>1.0</v>
      </c>
      <c r="M615" s="81" t="s">
        <v>3369</v>
      </c>
      <c r="N615" s="49" t="s">
        <v>138</v>
      </c>
      <c r="O615" s="49" t="s">
        <v>3481</v>
      </c>
      <c r="P615" s="49" t="s">
        <v>29</v>
      </c>
      <c r="Q615" s="114"/>
      <c r="R615" s="46"/>
    </row>
    <row r="616" ht="15.75" customHeight="1">
      <c r="A616" s="224">
        <v>38.0</v>
      </c>
      <c r="B616" s="242" t="s">
        <v>3726</v>
      </c>
      <c r="C616" s="212" t="s">
        <v>3727</v>
      </c>
      <c r="D616" s="235" t="s">
        <v>2000</v>
      </c>
      <c r="E616" s="235" t="s">
        <v>3676</v>
      </c>
      <c r="F616" s="243"/>
      <c r="G616" s="225">
        <v>375.0</v>
      </c>
      <c r="H616" s="237">
        <v>15.0</v>
      </c>
      <c r="I616" s="240">
        <v>120.0</v>
      </c>
      <c r="J616" s="226">
        <v>0.0</v>
      </c>
      <c r="K616" s="226">
        <v>0.0</v>
      </c>
      <c r="L616" s="49">
        <v>1.0</v>
      </c>
      <c r="M616" s="81" t="s">
        <v>3369</v>
      </c>
      <c r="N616" s="49" t="s">
        <v>138</v>
      </c>
      <c r="O616" s="49" t="s">
        <v>3481</v>
      </c>
      <c r="P616" s="49" t="s">
        <v>29</v>
      </c>
      <c r="Q616" s="114"/>
      <c r="R616" s="46"/>
    </row>
    <row r="617" ht="15.75" customHeight="1">
      <c r="A617" s="224">
        <v>39.0</v>
      </c>
      <c r="B617" s="212" t="s">
        <v>3728</v>
      </c>
      <c r="C617" s="212" t="s">
        <v>3727</v>
      </c>
      <c r="D617" s="235" t="s">
        <v>2000</v>
      </c>
      <c r="E617" s="235" t="s">
        <v>3676</v>
      </c>
      <c r="F617" s="243"/>
      <c r="G617" s="225">
        <v>200.0</v>
      </c>
      <c r="H617" s="237">
        <v>30.0</v>
      </c>
      <c r="I617" s="240">
        <v>95.0</v>
      </c>
      <c r="J617" s="226">
        <v>0.0</v>
      </c>
      <c r="K617" s="226">
        <v>0.0</v>
      </c>
      <c r="L617" s="49">
        <v>5.0</v>
      </c>
      <c r="M617" s="81" t="s">
        <v>3369</v>
      </c>
      <c r="N617" s="49" t="s">
        <v>138</v>
      </c>
      <c r="O617" s="49" t="s">
        <v>3481</v>
      </c>
      <c r="P617" s="49" t="s">
        <v>29</v>
      </c>
      <c r="Q617" s="114"/>
      <c r="R617" s="46"/>
    </row>
    <row r="618" ht="15.75" customHeight="1">
      <c r="A618" s="224">
        <v>40.0</v>
      </c>
      <c r="B618" s="212" t="s">
        <v>1171</v>
      </c>
      <c r="C618" s="212" t="s">
        <v>3729</v>
      </c>
      <c r="D618" s="235" t="s">
        <v>2000</v>
      </c>
      <c r="E618" s="235" t="s">
        <v>3676</v>
      </c>
      <c r="F618" s="243"/>
      <c r="G618" s="225">
        <v>100.0</v>
      </c>
      <c r="H618" s="237">
        <v>15.0</v>
      </c>
      <c r="I618" s="240">
        <v>45.0</v>
      </c>
      <c r="J618" s="226">
        <v>0.0</v>
      </c>
      <c r="K618" s="226">
        <v>0.0</v>
      </c>
      <c r="L618" s="49">
        <v>4.0</v>
      </c>
      <c r="M618" s="81" t="s">
        <v>3369</v>
      </c>
      <c r="N618" s="49" t="s">
        <v>138</v>
      </c>
      <c r="O618" s="49" t="s">
        <v>3481</v>
      </c>
      <c r="P618" s="49" t="s">
        <v>29</v>
      </c>
      <c r="Q618" s="114"/>
      <c r="R618" s="46"/>
    </row>
    <row r="619" ht="15.75" customHeight="1">
      <c r="A619" s="224">
        <v>41.0</v>
      </c>
      <c r="B619" s="212" t="s">
        <v>3730</v>
      </c>
      <c r="C619" s="212" t="s">
        <v>3729</v>
      </c>
      <c r="D619" s="235" t="s">
        <v>2000</v>
      </c>
      <c r="E619" s="235" t="s">
        <v>3676</v>
      </c>
      <c r="F619" s="243"/>
      <c r="G619" s="225">
        <v>200.0</v>
      </c>
      <c r="H619" s="237">
        <v>30.0</v>
      </c>
      <c r="I619" s="240">
        <v>90.0</v>
      </c>
      <c r="J619" s="226">
        <v>0.0</v>
      </c>
      <c r="K619" s="226">
        <v>0.0</v>
      </c>
      <c r="L619" s="49">
        <v>4.0</v>
      </c>
      <c r="M619" s="81" t="s">
        <v>3369</v>
      </c>
      <c r="N619" s="49" t="s">
        <v>138</v>
      </c>
      <c r="O619" s="49" t="s">
        <v>3481</v>
      </c>
      <c r="P619" s="49" t="s">
        <v>29</v>
      </c>
      <c r="Q619" s="114"/>
      <c r="R619" s="46"/>
    </row>
    <row r="620" ht="15.75" customHeight="1">
      <c r="A620" s="224">
        <v>42.0</v>
      </c>
      <c r="B620" s="212" t="s">
        <v>3731</v>
      </c>
      <c r="C620" s="212" t="s">
        <v>3732</v>
      </c>
      <c r="D620" s="235" t="s">
        <v>2000</v>
      </c>
      <c r="E620" s="235" t="s">
        <v>3676</v>
      </c>
      <c r="F620" s="243"/>
      <c r="G620" s="225">
        <v>100.0</v>
      </c>
      <c r="H620" s="237">
        <v>15.0</v>
      </c>
      <c r="I620" s="240">
        <v>50.0</v>
      </c>
      <c r="J620" s="226">
        <v>0.0</v>
      </c>
      <c r="K620" s="226">
        <v>0.0</v>
      </c>
      <c r="L620" s="49">
        <v>4.0</v>
      </c>
      <c r="M620" s="81" t="s">
        <v>3369</v>
      </c>
      <c r="N620" s="49" t="s">
        <v>138</v>
      </c>
      <c r="O620" s="49" t="s">
        <v>3481</v>
      </c>
      <c r="P620" s="49" t="s">
        <v>29</v>
      </c>
      <c r="Q620" s="114"/>
      <c r="R620" s="46"/>
    </row>
    <row r="621" ht="15.75" customHeight="1">
      <c r="A621" s="224">
        <v>43.0</v>
      </c>
      <c r="B621" s="212" t="s">
        <v>3489</v>
      </c>
      <c r="C621" s="212" t="s">
        <v>3732</v>
      </c>
      <c r="D621" s="235" t="s">
        <v>2000</v>
      </c>
      <c r="E621" s="235" t="s">
        <v>3676</v>
      </c>
      <c r="F621" s="243"/>
      <c r="G621" s="225">
        <v>100.0</v>
      </c>
      <c r="H621" s="237">
        <v>10.0</v>
      </c>
      <c r="I621" s="240">
        <v>40.0</v>
      </c>
      <c r="J621" s="226">
        <v>0.0</v>
      </c>
      <c r="K621" s="226">
        <v>0.0</v>
      </c>
      <c r="L621" s="49">
        <v>1.0</v>
      </c>
      <c r="M621" s="81" t="s">
        <v>3369</v>
      </c>
      <c r="N621" s="49" t="s">
        <v>138</v>
      </c>
      <c r="O621" s="49" t="s">
        <v>3481</v>
      </c>
      <c r="P621" s="49" t="s">
        <v>29</v>
      </c>
      <c r="Q621" s="114"/>
      <c r="R621" s="46"/>
    </row>
    <row r="622" ht="15.75" customHeight="1">
      <c r="A622" s="224">
        <v>44.0</v>
      </c>
      <c r="B622" s="212" t="s">
        <v>3489</v>
      </c>
      <c r="C622" s="212" t="s">
        <v>3733</v>
      </c>
      <c r="D622" s="235" t="s">
        <v>2000</v>
      </c>
      <c r="E622" s="235" t="s">
        <v>3709</v>
      </c>
      <c r="F622" s="243"/>
      <c r="G622" s="225">
        <v>200.0</v>
      </c>
      <c r="H622" s="237">
        <v>101.0</v>
      </c>
      <c r="I622" s="240">
        <v>420.0</v>
      </c>
      <c r="J622" s="226">
        <v>0.0</v>
      </c>
      <c r="K622" s="226">
        <v>0.0</v>
      </c>
      <c r="L622" s="49">
        <v>2.0</v>
      </c>
      <c r="M622" s="81" t="s">
        <v>3369</v>
      </c>
      <c r="N622" s="49" t="s">
        <v>138</v>
      </c>
      <c r="O622" s="49" t="s">
        <v>3481</v>
      </c>
      <c r="P622" s="49" t="s">
        <v>29</v>
      </c>
      <c r="Q622" s="114"/>
      <c r="R622" s="46"/>
    </row>
    <row r="623" ht="15.75" customHeight="1">
      <c r="A623" s="224">
        <v>45.0</v>
      </c>
      <c r="B623" s="212" t="s">
        <v>3734</v>
      </c>
      <c r="C623" s="212" t="s">
        <v>3735</v>
      </c>
      <c r="D623" s="235" t="s">
        <v>2000</v>
      </c>
      <c r="E623" s="235" t="s">
        <v>3709</v>
      </c>
      <c r="F623" s="243"/>
      <c r="G623" s="225">
        <v>400.0</v>
      </c>
      <c r="H623" s="245">
        <v>150.0</v>
      </c>
      <c r="I623" s="226">
        <v>600.0</v>
      </c>
      <c r="J623" s="226">
        <v>2.0</v>
      </c>
      <c r="K623" s="226">
        <v>2.0</v>
      </c>
      <c r="L623" s="49">
        <v>0.0</v>
      </c>
      <c r="M623" s="81" t="s">
        <v>3369</v>
      </c>
      <c r="N623" s="49" t="s">
        <v>138</v>
      </c>
      <c r="O623" s="49" t="s">
        <v>3481</v>
      </c>
      <c r="P623" s="49" t="s">
        <v>29</v>
      </c>
      <c r="Q623" s="114"/>
      <c r="R623" s="46"/>
    </row>
    <row r="624" ht="15.75" customHeight="1">
      <c r="A624" s="224">
        <v>46.0</v>
      </c>
      <c r="B624" s="212" t="s">
        <v>3736</v>
      </c>
      <c r="C624" s="212" t="s">
        <v>3737</v>
      </c>
      <c r="D624" s="235" t="s">
        <v>2000</v>
      </c>
      <c r="E624" s="235" t="s">
        <v>3676</v>
      </c>
      <c r="F624" s="243"/>
      <c r="G624" s="225">
        <v>150.0</v>
      </c>
      <c r="H624" s="237">
        <v>30.0</v>
      </c>
      <c r="I624" s="240">
        <v>90.0</v>
      </c>
      <c r="J624" s="226">
        <v>0.0</v>
      </c>
      <c r="K624" s="226">
        <v>0.0</v>
      </c>
      <c r="L624" s="49">
        <v>4.0</v>
      </c>
      <c r="M624" s="81" t="s">
        <v>3369</v>
      </c>
      <c r="N624" s="49" t="s">
        <v>138</v>
      </c>
      <c r="O624" s="49" t="s">
        <v>3481</v>
      </c>
      <c r="P624" s="49" t="s">
        <v>29</v>
      </c>
      <c r="Q624" s="114"/>
      <c r="R624" s="46"/>
    </row>
    <row r="625" ht="15.75" customHeight="1">
      <c r="A625" s="224">
        <v>47.0</v>
      </c>
      <c r="B625" s="212" t="s">
        <v>3738</v>
      </c>
      <c r="C625" s="212" t="s">
        <v>3739</v>
      </c>
      <c r="D625" s="235" t="s">
        <v>2000</v>
      </c>
      <c r="E625" s="235" t="s">
        <v>3676</v>
      </c>
      <c r="F625" s="243"/>
      <c r="G625" s="225">
        <v>125.0</v>
      </c>
      <c r="H625" s="245">
        <v>18.0</v>
      </c>
      <c r="I625" s="240">
        <v>55.0</v>
      </c>
      <c r="J625" s="226">
        <v>0.0</v>
      </c>
      <c r="K625" s="226">
        <v>0.0</v>
      </c>
      <c r="L625" s="49">
        <v>5.0</v>
      </c>
      <c r="M625" s="81" t="s">
        <v>3369</v>
      </c>
      <c r="N625" s="49" t="s">
        <v>138</v>
      </c>
      <c r="O625" s="49" t="s">
        <v>3481</v>
      </c>
      <c r="P625" s="49" t="s">
        <v>29</v>
      </c>
      <c r="Q625" s="114"/>
      <c r="R625" s="46"/>
    </row>
    <row r="626" ht="15.75" customHeight="1">
      <c r="A626" s="224">
        <v>48.0</v>
      </c>
      <c r="B626" s="212" t="s">
        <v>3740</v>
      </c>
      <c r="C626" s="212" t="s">
        <v>3739</v>
      </c>
      <c r="D626" s="235" t="s">
        <v>2000</v>
      </c>
      <c r="E626" s="235" t="s">
        <v>3676</v>
      </c>
      <c r="F626" s="243"/>
      <c r="G626" s="225">
        <v>50.0</v>
      </c>
      <c r="H626" s="237">
        <v>10.0</v>
      </c>
      <c r="I626" s="240">
        <v>30.0</v>
      </c>
      <c r="J626" s="226">
        <v>1.0</v>
      </c>
      <c r="K626" s="226">
        <v>1.0</v>
      </c>
      <c r="L626" s="49">
        <v>1.0</v>
      </c>
      <c r="M626" s="81" t="s">
        <v>3369</v>
      </c>
      <c r="N626" s="49" t="s">
        <v>138</v>
      </c>
      <c r="O626" s="49" t="s">
        <v>3481</v>
      </c>
      <c r="P626" s="49" t="s">
        <v>29</v>
      </c>
      <c r="Q626" s="114"/>
      <c r="R626" s="46"/>
    </row>
    <row r="627" ht="15.75" customHeight="1">
      <c r="A627" s="224">
        <v>49.0</v>
      </c>
      <c r="B627" s="212" t="s">
        <v>3741</v>
      </c>
      <c r="C627" s="212" t="s">
        <v>3742</v>
      </c>
      <c r="D627" s="235" t="s">
        <v>2000</v>
      </c>
      <c r="E627" s="241" t="s">
        <v>3743</v>
      </c>
      <c r="F627" s="243"/>
      <c r="G627" s="225">
        <v>175.0</v>
      </c>
      <c r="H627" s="237">
        <v>7.0</v>
      </c>
      <c r="I627" s="240">
        <v>45.0</v>
      </c>
      <c r="J627" s="226">
        <v>0.0</v>
      </c>
      <c r="K627" s="226">
        <v>0.0</v>
      </c>
      <c r="L627" s="49">
        <v>6.0</v>
      </c>
      <c r="M627" s="81" t="s">
        <v>3369</v>
      </c>
      <c r="N627" s="49" t="s">
        <v>138</v>
      </c>
      <c r="O627" s="49" t="s">
        <v>3481</v>
      </c>
      <c r="P627" s="49" t="s">
        <v>29</v>
      </c>
      <c r="Q627" s="114"/>
      <c r="R627" s="46"/>
    </row>
    <row r="628" ht="15.75" customHeight="1">
      <c r="A628" s="224">
        <v>50.0</v>
      </c>
      <c r="B628" s="212" t="s">
        <v>3744</v>
      </c>
      <c r="C628" s="212" t="s">
        <v>3742</v>
      </c>
      <c r="D628" s="235" t="s">
        <v>2000</v>
      </c>
      <c r="E628" s="241" t="s">
        <v>3743</v>
      </c>
      <c r="F628" s="243"/>
      <c r="G628" s="225">
        <v>100.0</v>
      </c>
      <c r="H628" s="237">
        <v>3.0</v>
      </c>
      <c r="I628" s="240">
        <v>35.0</v>
      </c>
      <c r="J628" s="226">
        <v>0.0</v>
      </c>
      <c r="K628" s="226">
        <v>0.0</v>
      </c>
      <c r="L628" s="49">
        <v>2.0</v>
      </c>
      <c r="M628" s="81" t="s">
        <v>3369</v>
      </c>
      <c r="N628" s="49" t="s">
        <v>138</v>
      </c>
      <c r="O628" s="49" t="s">
        <v>3481</v>
      </c>
      <c r="P628" s="49" t="s">
        <v>29</v>
      </c>
      <c r="Q628" s="114"/>
      <c r="R628" s="46"/>
    </row>
    <row r="629" ht="15.75" customHeight="1">
      <c r="A629" s="181"/>
      <c r="B629" s="182" t="s">
        <v>3745</v>
      </c>
      <c r="C629" s="182"/>
      <c r="D629" s="22"/>
      <c r="E629" s="22"/>
      <c r="F629" s="209"/>
      <c r="G629" s="210"/>
      <c r="H629" s="22"/>
      <c r="I629" s="22"/>
      <c r="J629" s="22"/>
      <c r="K629" s="22"/>
      <c r="L629" s="22"/>
      <c r="M629" s="22"/>
      <c r="N629" s="22"/>
      <c r="O629" s="22"/>
      <c r="P629" s="22"/>
      <c r="Q629" s="209"/>
      <c r="R629" s="22"/>
    </row>
    <row r="630" ht="15.75" customHeight="1">
      <c r="A630" s="211">
        <v>1.0</v>
      </c>
      <c r="B630" s="34" t="s">
        <v>63</v>
      </c>
      <c r="C630" s="34" t="s">
        <v>3746</v>
      </c>
      <c r="D630" s="57" t="s">
        <v>25</v>
      </c>
      <c r="E630" s="57" t="s">
        <v>647</v>
      </c>
      <c r="F630" s="264"/>
      <c r="G630" s="265" t="s">
        <v>3747</v>
      </c>
      <c r="H630" s="72">
        <v>25.0</v>
      </c>
      <c r="I630" s="42">
        <v>125.0</v>
      </c>
      <c r="J630" s="42">
        <v>12.0</v>
      </c>
      <c r="K630" s="42">
        <v>12.0</v>
      </c>
      <c r="L630" s="70">
        <v>2.0</v>
      </c>
      <c r="M630" s="34" t="s">
        <v>1638</v>
      </c>
      <c r="N630" s="70" t="s">
        <v>3748</v>
      </c>
      <c r="O630" s="70">
        <v>3000.0</v>
      </c>
      <c r="P630" s="70" t="s">
        <v>66</v>
      </c>
      <c r="Q630" s="31">
        <v>40.0</v>
      </c>
      <c r="R630" s="46"/>
    </row>
    <row r="631" ht="15.75" customHeight="1">
      <c r="A631" s="211">
        <v>2.0</v>
      </c>
      <c r="B631" s="34" t="s">
        <v>3749</v>
      </c>
      <c r="C631" s="34" t="s">
        <v>3746</v>
      </c>
      <c r="D631" s="57" t="s">
        <v>25</v>
      </c>
      <c r="E631" s="57" t="s">
        <v>647</v>
      </c>
      <c r="F631" s="264"/>
      <c r="G631" s="265" t="s">
        <v>3750</v>
      </c>
      <c r="H631" s="72">
        <v>20.0</v>
      </c>
      <c r="I631" s="42">
        <v>100.0</v>
      </c>
      <c r="J631" s="42">
        <v>2.0</v>
      </c>
      <c r="K631" s="42">
        <v>2.0</v>
      </c>
      <c r="L631" s="70">
        <v>2.0</v>
      </c>
      <c r="M631" s="34" t="s">
        <v>1638</v>
      </c>
      <c r="N631" s="70" t="s">
        <v>138</v>
      </c>
      <c r="O631" s="70">
        <v>20.0</v>
      </c>
      <c r="P631" s="70" t="s">
        <v>29</v>
      </c>
      <c r="Q631" s="31">
        <v>0.0</v>
      </c>
      <c r="R631" s="46"/>
    </row>
    <row r="632" ht="15.75" customHeight="1">
      <c r="A632" s="211">
        <v>4.0</v>
      </c>
      <c r="B632" s="34" t="s">
        <v>1171</v>
      </c>
      <c r="C632" s="34" t="s">
        <v>3751</v>
      </c>
      <c r="D632" s="57" t="s">
        <v>25</v>
      </c>
      <c r="E632" s="57" t="s">
        <v>647</v>
      </c>
      <c r="F632" s="264"/>
      <c r="G632" s="265" t="s">
        <v>3752</v>
      </c>
      <c r="H632" s="72">
        <v>12.0</v>
      </c>
      <c r="I632" s="42">
        <v>64.0</v>
      </c>
      <c r="J632" s="42">
        <v>2.0</v>
      </c>
      <c r="K632" s="42">
        <v>2.0</v>
      </c>
      <c r="L632" s="70">
        <v>1.0</v>
      </c>
      <c r="M632" s="34" t="s">
        <v>3753</v>
      </c>
      <c r="N632" s="70" t="s">
        <v>138</v>
      </c>
      <c r="O632" s="70">
        <v>20.0</v>
      </c>
      <c r="P632" s="70" t="s">
        <v>29</v>
      </c>
      <c r="Q632" s="31">
        <v>0.0</v>
      </c>
      <c r="R632" s="46"/>
    </row>
    <row r="633" ht="15.75" customHeight="1">
      <c r="A633" s="211">
        <v>5.0</v>
      </c>
      <c r="B633" s="34" t="s">
        <v>1171</v>
      </c>
      <c r="C633" s="34" t="s">
        <v>3754</v>
      </c>
      <c r="D633" s="57" t="s">
        <v>25</v>
      </c>
      <c r="E633" s="57" t="s">
        <v>647</v>
      </c>
      <c r="F633" s="264"/>
      <c r="G633" s="265" t="s">
        <v>3752</v>
      </c>
      <c r="H633" s="72">
        <v>12.0</v>
      </c>
      <c r="I633" s="42">
        <v>64.0</v>
      </c>
      <c r="J633" s="42">
        <v>2.0</v>
      </c>
      <c r="K633" s="42">
        <v>2.0</v>
      </c>
      <c r="L633" s="70">
        <v>1.0</v>
      </c>
      <c r="M633" s="34" t="s">
        <v>3753</v>
      </c>
      <c r="N633" s="70" t="s">
        <v>138</v>
      </c>
      <c r="O633" s="70">
        <v>20.0</v>
      </c>
      <c r="P633" s="70" t="s">
        <v>29</v>
      </c>
      <c r="Q633" s="31">
        <v>0.0</v>
      </c>
      <c r="R633" s="46"/>
    </row>
    <row r="634" ht="15.75" customHeight="1">
      <c r="A634" s="211">
        <v>6.0</v>
      </c>
      <c r="B634" s="34" t="s">
        <v>1171</v>
      </c>
      <c r="C634" s="34" t="s">
        <v>3755</v>
      </c>
      <c r="D634" s="57" t="s">
        <v>25</v>
      </c>
      <c r="E634" s="57" t="s">
        <v>647</v>
      </c>
      <c r="F634" s="264"/>
      <c r="G634" s="265" t="s">
        <v>3752</v>
      </c>
      <c r="H634" s="72">
        <v>12.0</v>
      </c>
      <c r="I634" s="42">
        <v>64.0</v>
      </c>
      <c r="J634" s="42">
        <v>2.0</v>
      </c>
      <c r="K634" s="42">
        <v>2.0</v>
      </c>
      <c r="L634" s="70">
        <v>1.0</v>
      </c>
      <c r="M634" s="34" t="s">
        <v>3753</v>
      </c>
      <c r="N634" s="70" t="s">
        <v>138</v>
      </c>
      <c r="O634" s="70">
        <v>20.0</v>
      </c>
      <c r="P634" s="70" t="s">
        <v>29</v>
      </c>
      <c r="Q634" s="31">
        <v>0.0</v>
      </c>
      <c r="R634" s="46"/>
    </row>
    <row r="635" ht="15.75" customHeight="1">
      <c r="A635" s="211">
        <v>7.0</v>
      </c>
      <c r="B635" s="34" t="s">
        <v>1171</v>
      </c>
      <c r="C635" s="34" t="s">
        <v>3756</v>
      </c>
      <c r="D635" s="57" t="s">
        <v>25</v>
      </c>
      <c r="E635" s="57" t="s">
        <v>647</v>
      </c>
      <c r="F635" s="264"/>
      <c r="G635" s="265" t="s">
        <v>3752</v>
      </c>
      <c r="H635" s="72">
        <v>12.0</v>
      </c>
      <c r="I635" s="42">
        <v>64.0</v>
      </c>
      <c r="J635" s="42">
        <v>2.0</v>
      </c>
      <c r="K635" s="42">
        <v>2.0</v>
      </c>
      <c r="L635" s="70">
        <v>1.0</v>
      </c>
      <c r="M635" s="34" t="s">
        <v>3753</v>
      </c>
      <c r="N635" s="70" t="s">
        <v>138</v>
      </c>
      <c r="O635" s="70">
        <v>20.0</v>
      </c>
      <c r="P635" s="70" t="s">
        <v>29</v>
      </c>
      <c r="Q635" s="31">
        <v>0.0</v>
      </c>
      <c r="R635" s="46"/>
    </row>
    <row r="636" ht="15.75" customHeight="1">
      <c r="A636" s="211">
        <v>8.0</v>
      </c>
      <c r="B636" s="34" t="s">
        <v>1171</v>
      </c>
      <c r="C636" s="34" t="s">
        <v>3757</v>
      </c>
      <c r="D636" s="57" t="s">
        <v>25</v>
      </c>
      <c r="E636" s="57" t="s">
        <v>647</v>
      </c>
      <c r="F636" s="264"/>
      <c r="G636" s="265" t="s">
        <v>3752</v>
      </c>
      <c r="H636" s="72">
        <v>12.0</v>
      </c>
      <c r="I636" s="42">
        <v>64.0</v>
      </c>
      <c r="J636" s="42">
        <v>2.0</v>
      </c>
      <c r="K636" s="42">
        <v>2.0</v>
      </c>
      <c r="L636" s="70">
        <v>1.0</v>
      </c>
      <c r="M636" s="34" t="s">
        <v>3753</v>
      </c>
      <c r="N636" s="70" t="s">
        <v>138</v>
      </c>
      <c r="O636" s="70">
        <v>20.0</v>
      </c>
      <c r="P636" s="70" t="s">
        <v>29</v>
      </c>
      <c r="Q636" s="31">
        <v>0.0</v>
      </c>
      <c r="R636" s="46"/>
    </row>
    <row r="637" ht="15.75" customHeight="1">
      <c r="A637" s="211">
        <v>9.0</v>
      </c>
      <c r="B637" s="34" t="s">
        <v>1171</v>
      </c>
      <c r="C637" s="34" t="s">
        <v>3758</v>
      </c>
      <c r="D637" s="57" t="s">
        <v>25</v>
      </c>
      <c r="E637" s="57" t="s">
        <v>647</v>
      </c>
      <c r="F637" s="264"/>
      <c r="G637" s="265" t="s">
        <v>3752</v>
      </c>
      <c r="H637" s="72">
        <v>12.0</v>
      </c>
      <c r="I637" s="42">
        <v>64.0</v>
      </c>
      <c r="J637" s="42">
        <v>2.0</v>
      </c>
      <c r="K637" s="42">
        <v>2.0</v>
      </c>
      <c r="L637" s="70">
        <v>1.0</v>
      </c>
      <c r="M637" s="34" t="s">
        <v>3753</v>
      </c>
      <c r="N637" s="70" t="s">
        <v>138</v>
      </c>
      <c r="O637" s="70">
        <v>20.0</v>
      </c>
      <c r="P637" s="70" t="s">
        <v>29</v>
      </c>
      <c r="Q637" s="31">
        <v>0.0</v>
      </c>
      <c r="R637" s="46"/>
    </row>
    <row r="638" ht="15.75" customHeight="1">
      <c r="A638" s="211">
        <v>10.0</v>
      </c>
      <c r="B638" s="34" t="s">
        <v>3759</v>
      </c>
      <c r="C638" s="34" t="s">
        <v>3760</v>
      </c>
      <c r="D638" s="57" t="s">
        <v>25</v>
      </c>
      <c r="E638" s="57" t="s">
        <v>647</v>
      </c>
      <c r="F638" s="264"/>
      <c r="G638" s="265" t="s">
        <v>3761</v>
      </c>
      <c r="H638" s="72">
        <v>25.0</v>
      </c>
      <c r="I638" s="42">
        <v>125.0</v>
      </c>
      <c r="J638" s="42">
        <v>5.0</v>
      </c>
      <c r="K638" s="42">
        <v>5.0</v>
      </c>
      <c r="L638" s="70">
        <v>2.0</v>
      </c>
      <c r="M638" s="34" t="s">
        <v>3753</v>
      </c>
      <c r="N638" s="70" t="s">
        <v>138</v>
      </c>
      <c r="O638" s="70">
        <v>20.0</v>
      </c>
      <c r="P638" s="70" t="s">
        <v>29</v>
      </c>
      <c r="Q638" s="31">
        <v>0.0</v>
      </c>
      <c r="R638" s="46"/>
    </row>
    <row r="639" ht="15.75" customHeight="1">
      <c r="A639" s="211">
        <v>11.0</v>
      </c>
      <c r="B639" s="34" t="s">
        <v>3762</v>
      </c>
      <c r="C639" s="34" t="s">
        <v>3763</v>
      </c>
      <c r="D639" s="57" t="s">
        <v>25</v>
      </c>
      <c r="E639" s="57" t="s">
        <v>647</v>
      </c>
      <c r="F639" s="264"/>
      <c r="G639" s="265" t="s">
        <v>3750</v>
      </c>
      <c r="H639" s="72">
        <v>20.0</v>
      </c>
      <c r="I639" s="42">
        <v>100.0</v>
      </c>
      <c r="J639" s="42">
        <v>2.0</v>
      </c>
      <c r="K639" s="42">
        <v>2.0</v>
      </c>
      <c r="L639" s="70">
        <v>2.0</v>
      </c>
      <c r="M639" s="34" t="s">
        <v>3753</v>
      </c>
      <c r="N639" s="70" t="s">
        <v>138</v>
      </c>
      <c r="O639" s="70">
        <v>20.0</v>
      </c>
      <c r="P639" s="70" t="s">
        <v>29</v>
      </c>
      <c r="Q639" s="31">
        <v>0.0</v>
      </c>
      <c r="R639" s="46"/>
    </row>
    <row r="640" ht="15.75" customHeight="1">
      <c r="A640" s="211">
        <v>12.0</v>
      </c>
      <c r="B640" s="34" t="s">
        <v>3764</v>
      </c>
      <c r="C640" s="34" t="s">
        <v>3765</v>
      </c>
      <c r="D640" s="57" t="s">
        <v>25</v>
      </c>
      <c r="E640" s="57" t="s">
        <v>647</v>
      </c>
      <c r="F640" s="264"/>
      <c r="G640" s="265" t="s">
        <v>3750</v>
      </c>
      <c r="H640" s="72">
        <v>20.0</v>
      </c>
      <c r="I640" s="42">
        <v>100.0</v>
      </c>
      <c r="J640" s="42">
        <v>2.0</v>
      </c>
      <c r="K640" s="42">
        <v>2.0</v>
      </c>
      <c r="L640" s="70">
        <v>2.0</v>
      </c>
      <c r="M640" s="34" t="s">
        <v>3753</v>
      </c>
      <c r="N640" s="70" t="s">
        <v>138</v>
      </c>
      <c r="O640" s="70">
        <v>20.0</v>
      </c>
      <c r="P640" s="70" t="s">
        <v>29</v>
      </c>
      <c r="Q640" s="31">
        <v>0.0</v>
      </c>
      <c r="R640" s="46"/>
    </row>
    <row r="641" ht="15.75" customHeight="1">
      <c r="A641" s="211">
        <v>13.0</v>
      </c>
      <c r="B641" s="34" t="s">
        <v>3766</v>
      </c>
      <c r="C641" s="34" t="s">
        <v>3767</v>
      </c>
      <c r="D641" s="57" t="s">
        <v>25</v>
      </c>
      <c r="E641" s="57" t="s">
        <v>647</v>
      </c>
      <c r="F641" s="264"/>
      <c r="G641" s="265" t="s">
        <v>3750</v>
      </c>
      <c r="H641" s="72">
        <v>20.0</v>
      </c>
      <c r="I641" s="42">
        <v>100.0</v>
      </c>
      <c r="J641" s="42">
        <v>2.0</v>
      </c>
      <c r="K641" s="42">
        <v>2.0</v>
      </c>
      <c r="L641" s="70">
        <v>2.0</v>
      </c>
      <c r="M641" s="34" t="s">
        <v>3753</v>
      </c>
      <c r="N641" s="70" t="s">
        <v>138</v>
      </c>
      <c r="O641" s="70">
        <v>20.0</v>
      </c>
      <c r="P641" s="70" t="s">
        <v>29</v>
      </c>
      <c r="Q641" s="31">
        <v>0.0</v>
      </c>
      <c r="R641" s="46"/>
    </row>
    <row r="642" ht="15.75" customHeight="1">
      <c r="A642" s="211">
        <v>14.0</v>
      </c>
      <c r="B642" s="34" t="s">
        <v>3768</v>
      </c>
      <c r="C642" s="34" t="s">
        <v>3758</v>
      </c>
      <c r="D642" s="57" t="s">
        <v>25</v>
      </c>
      <c r="E642" s="57" t="s">
        <v>647</v>
      </c>
      <c r="F642" s="264"/>
      <c r="G642" s="265" t="s">
        <v>3750</v>
      </c>
      <c r="H642" s="72">
        <v>20.0</v>
      </c>
      <c r="I642" s="42">
        <v>100.0</v>
      </c>
      <c r="J642" s="42">
        <v>2.0</v>
      </c>
      <c r="K642" s="42">
        <v>2.0</v>
      </c>
      <c r="L642" s="70">
        <v>2.0</v>
      </c>
      <c r="M642" s="34" t="s">
        <v>3753</v>
      </c>
      <c r="N642" s="70" t="s">
        <v>138</v>
      </c>
      <c r="O642" s="70">
        <v>20.0</v>
      </c>
      <c r="P642" s="70" t="s">
        <v>29</v>
      </c>
      <c r="Q642" s="31">
        <v>0.0</v>
      </c>
      <c r="R642" s="46"/>
    </row>
    <row r="643" ht="15.75" customHeight="1">
      <c r="A643" s="211">
        <v>15.0</v>
      </c>
      <c r="B643" s="34" t="s">
        <v>3769</v>
      </c>
      <c r="C643" s="34" t="s">
        <v>3751</v>
      </c>
      <c r="D643" s="57" t="s">
        <v>25</v>
      </c>
      <c r="E643" s="57" t="s">
        <v>647</v>
      </c>
      <c r="F643" s="264"/>
      <c r="G643" s="265" t="s">
        <v>3750</v>
      </c>
      <c r="H643" s="72">
        <v>20.0</v>
      </c>
      <c r="I643" s="42">
        <v>100.0</v>
      </c>
      <c r="J643" s="42">
        <v>2.0</v>
      </c>
      <c r="K643" s="42">
        <v>2.0</v>
      </c>
      <c r="L643" s="70">
        <v>2.0</v>
      </c>
      <c r="M643" s="34" t="s">
        <v>3753</v>
      </c>
      <c r="N643" s="70" t="s">
        <v>138</v>
      </c>
      <c r="O643" s="70">
        <v>20.0</v>
      </c>
      <c r="P643" s="70" t="s">
        <v>29</v>
      </c>
      <c r="Q643" s="31">
        <v>0.0</v>
      </c>
      <c r="R643" s="46"/>
    </row>
    <row r="644" ht="15.75" customHeight="1">
      <c r="A644" s="211">
        <v>16.0</v>
      </c>
      <c r="B644" s="34" t="s">
        <v>3770</v>
      </c>
      <c r="C644" s="34" t="s">
        <v>3771</v>
      </c>
      <c r="D644" s="57" t="s">
        <v>25</v>
      </c>
      <c r="E644" s="57" t="s">
        <v>647</v>
      </c>
      <c r="F644" s="264"/>
      <c r="G644" s="265" t="s">
        <v>3750</v>
      </c>
      <c r="H644" s="72">
        <v>20.0</v>
      </c>
      <c r="I644" s="42">
        <v>100.0</v>
      </c>
      <c r="J644" s="42">
        <v>2.0</v>
      </c>
      <c r="K644" s="42">
        <v>2.0</v>
      </c>
      <c r="L644" s="70">
        <v>2.0</v>
      </c>
      <c r="M644" s="34" t="s">
        <v>3753</v>
      </c>
      <c r="N644" s="70" t="s">
        <v>138</v>
      </c>
      <c r="O644" s="70">
        <v>20.0</v>
      </c>
      <c r="P644" s="70" t="s">
        <v>29</v>
      </c>
      <c r="Q644" s="31">
        <v>0.0</v>
      </c>
      <c r="R644" s="46"/>
    </row>
    <row r="645" ht="15.75" customHeight="1">
      <c r="A645" s="211">
        <v>17.0</v>
      </c>
      <c r="B645" s="34" t="s">
        <v>3772</v>
      </c>
      <c r="C645" s="34" t="s">
        <v>3773</v>
      </c>
      <c r="D645" s="57" t="s">
        <v>25</v>
      </c>
      <c r="E645" s="57" t="s">
        <v>647</v>
      </c>
      <c r="F645" s="264"/>
      <c r="G645" s="265" t="s">
        <v>3750</v>
      </c>
      <c r="H645" s="72">
        <v>20.0</v>
      </c>
      <c r="I645" s="42">
        <v>100.0</v>
      </c>
      <c r="J645" s="42">
        <v>2.0</v>
      </c>
      <c r="K645" s="42">
        <v>2.0</v>
      </c>
      <c r="L645" s="70">
        <v>2.0</v>
      </c>
      <c r="M645" s="34" t="s">
        <v>3753</v>
      </c>
      <c r="N645" s="70" t="s">
        <v>138</v>
      </c>
      <c r="O645" s="70">
        <v>20.0</v>
      </c>
      <c r="P645" s="70" t="s">
        <v>29</v>
      </c>
      <c r="Q645" s="31">
        <v>0.0</v>
      </c>
      <c r="R645" s="46"/>
    </row>
    <row r="646" ht="15.75" customHeight="1">
      <c r="A646" s="211">
        <v>18.0</v>
      </c>
      <c r="B646" s="34" t="s">
        <v>3774</v>
      </c>
      <c r="C646" s="34" t="s">
        <v>3775</v>
      </c>
      <c r="D646" s="57" t="s">
        <v>25</v>
      </c>
      <c r="E646" s="57" t="s">
        <v>647</v>
      </c>
      <c r="F646" s="264"/>
      <c r="G646" s="265" t="s">
        <v>3750</v>
      </c>
      <c r="H646" s="72">
        <v>20.0</v>
      </c>
      <c r="I646" s="42">
        <v>100.0</v>
      </c>
      <c r="J646" s="42">
        <v>2.0</v>
      </c>
      <c r="K646" s="42">
        <v>2.0</v>
      </c>
      <c r="L646" s="70">
        <v>2.0</v>
      </c>
      <c r="M646" s="34" t="s">
        <v>3753</v>
      </c>
      <c r="N646" s="70" t="s">
        <v>138</v>
      </c>
      <c r="O646" s="70">
        <v>20.0</v>
      </c>
      <c r="P646" s="70" t="s">
        <v>29</v>
      </c>
      <c r="Q646" s="31">
        <v>0.0</v>
      </c>
      <c r="R646" s="46"/>
    </row>
    <row r="647" ht="15.75" customHeight="1">
      <c r="A647" s="211">
        <v>19.0</v>
      </c>
      <c r="B647" s="34" t="s">
        <v>3776</v>
      </c>
      <c r="C647" s="34" t="s">
        <v>3777</v>
      </c>
      <c r="D647" s="57" t="s">
        <v>25</v>
      </c>
      <c r="E647" s="57" t="s">
        <v>647</v>
      </c>
      <c r="F647" s="264"/>
      <c r="G647" s="265" t="s">
        <v>3750</v>
      </c>
      <c r="H647" s="72">
        <v>20.0</v>
      </c>
      <c r="I647" s="42">
        <v>100.0</v>
      </c>
      <c r="J647" s="42">
        <v>2.0</v>
      </c>
      <c r="K647" s="42">
        <v>2.0</v>
      </c>
      <c r="L647" s="70">
        <v>2.0</v>
      </c>
      <c r="M647" s="34" t="s">
        <v>3753</v>
      </c>
      <c r="N647" s="70" t="s">
        <v>138</v>
      </c>
      <c r="O647" s="70">
        <v>20.0</v>
      </c>
      <c r="P647" s="70" t="s">
        <v>29</v>
      </c>
      <c r="Q647" s="31">
        <v>0.0</v>
      </c>
      <c r="R647" s="46"/>
    </row>
    <row r="648" ht="15.75" customHeight="1">
      <c r="A648" s="211">
        <v>20.0</v>
      </c>
      <c r="B648" s="34" t="s">
        <v>3778</v>
      </c>
      <c r="C648" s="34" t="s">
        <v>3779</v>
      </c>
      <c r="D648" s="57" t="s">
        <v>25</v>
      </c>
      <c r="E648" s="57" t="s">
        <v>647</v>
      </c>
      <c r="F648" s="264"/>
      <c r="G648" s="265" t="s">
        <v>3750</v>
      </c>
      <c r="H648" s="72">
        <v>20.0</v>
      </c>
      <c r="I648" s="42">
        <v>100.0</v>
      </c>
      <c r="J648" s="42">
        <v>2.0</v>
      </c>
      <c r="K648" s="42">
        <v>2.0</v>
      </c>
      <c r="L648" s="70">
        <v>2.0</v>
      </c>
      <c r="M648" s="34" t="s">
        <v>3753</v>
      </c>
      <c r="N648" s="70" t="s">
        <v>138</v>
      </c>
      <c r="O648" s="70">
        <v>20.0</v>
      </c>
      <c r="P648" s="70" t="s">
        <v>29</v>
      </c>
      <c r="Q648" s="31">
        <v>0.0</v>
      </c>
      <c r="R648" s="46"/>
    </row>
    <row r="649" ht="15.75" customHeight="1">
      <c r="A649" s="211">
        <v>21.0</v>
      </c>
      <c r="B649" s="34" t="s">
        <v>3780</v>
      </c>
      <c r="C649" s="34" t="s">
        <v>3781</v>
      </c>
      <c r="D649" s="57" t="s">
        <v>25</v>
      </c>
      <c r="E649" s="57" t="s">
        <v>647</v>
      </c>
      <c r="F649" s="264"/>
      <c r="G649" s="265" t="s">
        <v>3750</v>
      </c>
      <c r="H649" s="72">
        <v>20.0</v>
      </c>
      <c r="I649" s="42">
        <v>100.0</v>
      </c>
      <c r="J649" s="42">
        <v>2.0</v>
      </c>
      <c r="K649" s="42">
        <v>2.0</v>
      </c>
      <c r="L649" s="70">
        <v>2.0</v>
      </c>
      <c r="M649" s="34" t="s">
        <v>3753</v>
      </c>
      <c r="N649" s="70" t="s">
        <v>138</v>
      </c>
      <c r="O649" s="70">
        <v>20.0</v>
      </c>
      <c r="P649" s="70" t="s">
        <v>29</v>
      </c>
      <c r="Q649" s="31">
        <v>0.0</v>
      </c>
      <c r="R649" s="46"/>
    </row>
    <row r="650" ht="15.75" customHeight="1">
      <c r="A650" s="211">
        <v>22.0</v>
      </c>
      <c r="B650" s="34" t="s">
        <v>3782</v>
      </c>
      <c r="C650" s="34" t="s">
        <v>3755</v>
      </c>
      <c r="D650" s="57" t="s">
        <v>25</v>
      </c>
      <c r="E650" s="57" t="s">
        <v>647</v>
      </c>
      <c r="F650" s="264"/>
      <c r="G650" s="265" t="s">
        <v>3750</v>
      </c>
      <c r="H650" s="72">
        <v>20.0</v>
      </c>
      <c r="I650" s="42">
        <v>100.0</v>
      </c>
      <c r="J650" s="42">
        <v>2.0</v>
      </c>
      <c r="K650" s="42">
        <v>2.0</v>
      </c>
      <c r="L650" s="70">
        <v>2.0</v>
      </c>
      <c r="M650" s="34" t="s">
        <v>3753</v>
      </c>
      <c r="N650" s="70" t="s">
        <v>138</v>
      </c>
      <c r="O650" s="70">
        <v>20.0</v>
      </c>
      <c r="P650" s="70" t="s">
        <v>29</v>
      </c>
      <c r="Q650" s="31">
        <v>0.0</v>
      </c>
      <c r="R650" s="46"/>
    </row>
    <row r="651" ht="15.75" customHeight="1">
      <c r="A651" s="211">
        <v>23.0</v>
      </c>
      <c r="B651" s="34" t="s">
        <v>3783</v>
      </c>
      <c r="C651" s="34" t="s">
        <v>3784</v>
      </c>
      <c r="D651" s="57" t="s">
        <v>25</v>
      </c>
      <c r="E651" s="57" t="s">
        <v>647</v>
      </c>
      <c r="F651" s="264"/>
      <c r="G651" s="265" t="s">
        <v>3750</v>
      </c>
      <c r="H651" s="72">
        <v>20.0</v>
      </c>
      <c r="I651" s="42">
        <v>100.0</v>
      </c>
      <c r="J651" s="42">
        <v>2.0</v>
      </c>
      <c r="K651" s="42">
        <v>2.0</v>
      </c>
      <c r="L651" s="70">
        <v>2.0</v>
      </c>
      <c r="M651" s="34" t="s">
        <v>3753</v>
      </c>
      <c r="N651" s="70" t="s">
        <v>138</v>
      </c>
      <c r="O651" s="70">
        <v>20.0</v>
      </c>
      <c r="P651" s="70" t="s">
        <v>29</v>
      </c>
      <c r="Q651" s="31">
        <v>0.0</v>
      </c>
      <c r="R651" s="46"/>
    </row>
    <row r="652" ht="15.75" customHeight="1">
      <c r="A652" s="211">
        <v>24.0</v>
      </c>
      <c r="B652" s="34" t="s">
        <v>3785</v>
      </c>
      <c r="C652" s="34" t="s">
        <v>3786</v>
      </c>
      <c r="D652" s="57" t="s">
        <v>25</v>
      </c>
      <c r="E652" s="57" t="s">
        <v>647</v>
      </c>
      <c r="F652" s="264"/>
      <c r="G652" s="265" t="s">
        <v>3750</v>
      </c>
      <c r="H652" s="72">
        <v>20.0</v>
      </c>
      <c r="I652" s="42">
        <v>100.0</v>
      </c>
      <c r="J652" s="42">
        <v>2.0</v>
      </c>
      <c r="K652" s="42">
        <v>2.0</v>
      </c>
      <c r="L652" s="70">
        <v>2.0</v>
      </c>
      <c r="M652" s="34" t="s">
        <v>3753</v>
      </c>
      <c r="N652" s="70" t="s">
        <v>138</v>
      </c>
      <c r="O652" s="70">
        <v>20.0</v>
      </c>
      <c r="P652" s="70" t="s">
        <v>29</v>
      </c>
      <c r="Q652" s="31">
        <v>0.0</v>
      </c>
      <c r="R652" s="46"/>
    </row>
    <row r="653" ht="15.75" customHeight="1">
      <c r="A653" s="211">
        <v>25.0</v>
      </c>
      <c r="B653" s="34" t="s">
        <v>3787</v>
      </c>
      <c r="C653" s="34" t="s">
        <v>3788</v>
      </c>
      <c r="D653" s="57" t="s">
        <v>25</v>
      </c>
      <c r="E653" s="57" t="s">
        <v>647</v>
      </c>
      <c r="F653" s="264"/>
      <c r="G653" s="265" t="s">
        <v>3750</v>
      </c>
      <c r="H653" s="72">
        <v>20.0</v>
      </c>
      <c r="I653" s="42">
        <v>100.0</v>
      </c>
      <c r="J653" s="42">
        <v>2.0</v>
      </c>
      <c r="K653" s="42">
        <v>2.0</v>
      </c>
      <c r="L653" s="70">
        <v>2.0</v>
      </c>
      <c r="M653" s="34" t="s">
        <v>3753</v>
      </c>
      <c r="N653" s="70" t="s">
        <v>138</v>
      </c>
      <c r="O653" s="70">
        <v>20.0</v>
      </c>
      <c r="P653" s="70" t="s">
        <v>29</v>
      </c>
      <c r="Q653" s="31">
        <v>0.0</v>
      </c>
      <c r="R653" s="46"/>
    </row>
    <row r="654" ht="15.75" customHeight="1">
      <c r="A654" s="211">
        <v>26.0</v>
      </c>
      <c r="B654" s="34" t="s">
        <v>3789</v>
      </c>
      <c r="C654" s="34" t="s">
        <v>3760</v>
      </c>
      <c r="D654" s="57" t="s">
        <v>25</v>
      </c>
      <c r="E654" s="57" t="s">
        <v>647</v>
      </c>
      <c r="F654" s="264"/>
      <c r="G654" s="265" t="s">
        <v>3750</v>
      </c>
      <c r="H654" s="72">
        <v>10.0</v>
      </c>
      <c r="I654" s="42">
        <v>50.0</v>
      </c>
      <c r="J654" s="42">
        <v>4.0</v>
      </c>
      <c r="K654" s="42">
        <v>4.0</v>
      </c>
      <c r="L654" s="70">
        <v>4.0</v>
      </c>
      <c r="M654" s="34" t="s">
        <v>3753</v>
      </c>
      <c r="N654" s="70" t="s">
        <v>138</v>
      </c>
      <c r="O654" s="70">
        <v>20.0</v>
      </c>
      <c r="P654" s="70" t="s">
        <v>29</v>
      </c>
      <c r="Q654" s="31">
        <v>0.0</v>
      </c>
      <c r="R654" s="46"/>
    </row>
    <row r="655" ht="15.75" customHeight="1">
      <c r="A655" s="181"/>
      <c r="B655" s="182" t="s">
        <v>3790</v>
      </c>
      <c r="C655" s="182"/>
      <c r="D655" s="22"/>
      <c r="E655" s="22"/>
      <c r="F655" s="209"/>
      <c r="G655" s="210"/>
      <c r="H655" s="22"/>
      <c r="I655" s="22"/>
      <c r="J655" s="22"/>
      <c r="K655" s="22"/>
      <c r="L655" s="22"/>
      <c r="M655" s="22"/>
      <c r="N655" s="22"/>
      <c r="O655" s="22"/>
      <c r="P655" s="22"/>
      <c r="Q655" s="209"/>
      <c r="R655" s="22"/>
    </row>
    <row r="656" ht="15.75" customHeight="1">
      <c r="A656" s="211">
        <v>1.0</v>
      </c>
      <c r="B656" s="34" t="s">
        <v>3791</v>
      </c>
      <c r="C656" s="34" t="s">
        <v>3792</v>
      </c>
      <c r="D656" s="57" t="s">
        <v>2000</v>
      </c>
      <c r="E656" s="57" t="s">
        <v>3793</v>
      </c>
      <c r="F656" s="264"/>
      <c r="G656" s="265">
        <v>5449.0</v>
      </c>
      <c r="H656" s="72">
        <v>100.0</v>
      </c>
      <c r="I656" s="42">
        <v>300.0</v>
      </c>
      <c r="J656" s="42">
        <v>1.0</v>
      </c>
      <c r="K656" s="42">
        <v>1.0</v>
      </c>
      <c r="L656" s="70">
        <v>0.0</v>
      </c>
      <c r="M656" s="34" t="s">
        <v>3794</v>
      </c>
      <c r="N656" s="70" t="s">
        <v>138</v>
      </c>
      <c r="O656" s="70">
        <v>50.0</v>
      </c>
      <c r="P656" s="70" t="s">
        <v>29</v>
      </c>
      <c r="Q656" s="31" t="s">
        <v>2645</v>
      </c>
      <c r="R656" s="46"/>
    </row>
    <row r="657" ht="15.75" customHeight="1">
      <c r="A657" s="211">
        <v>2.0</v>
      </c>
      <c r="B657" s="34" t="s">
        <v>3795</v>
      </c>
      <c r="C657" s="34" t="s">
        <v>3792</v>
      </c>
      <c r="D657" s="57" t="s">
        <v>2000</v>
      </c>
      <c r="E657" s="57" t="s">
        <v>3793</v>
      </c>
      <c r="F657" s="264"/>
      <c r="G657" s="265">
        <v>103.0</v>
      </c>
      <c r="H657" s="72">
        <v>5.0</v>
      </c>
      <c r="I657" s="42">
        <v>25.0</v>
      </c>
      <c r="J657" s="42">
        <v>0.0</v>
      </c>
      <c r="K657" s="42">
        <v>0.0</v>
      </c>
      <c r="L657" s="70">
        <v>1.0</v>
      </c>
      <c r="M657" s="34" t="s">
        <v>3794</v>
      </c>
      <c r="N657" s="70" t="s">
        <v>138</v>
      </c>
      <c r="O657" s="70">
        <v>20.0</v>
      </c>
      <c r="P657" s="70" t="s">
        <v>29</v>
      </c>
      <c r="Q657" s="31" t="s">
        <v>2645</v>
      </c>
      <c r="R657" s="46"/>
    </row>
    <row r="658" ht="15.75" customHeight="1">
      <c r="A658" s="211">
        <v>3.0</v>
      </c>
      <c r="B658" s="34" t="s">
        <v>3796</v>
      </c>
      <c r="C658" s="34" t="s">
        <v>3797</v>
      </c>
      <c r="D658" s="57" t="s">
        <v>2000</v>
      </c>
      <c r="E658" s="57" t="s">
        <v>3798</v>
      </c>
      <c r="F658" s="264"/>
      <c r="G658" s="265">
        <v>4012.0</v>
      </c>
      <c r="H658" s="72">
        <v>100.0</v>
      </c>
      <c r="I658" s="42">
        <v>300.0</v>
      </c>
      <c r="J658" s="42">
        <v>1.0</v>
      </c>
      <c r="K658" s="42">
        <v>1.0</v>
      </c>
      <c r="L658" s="70">
        <v>0.0</v>
      </c>
      <c r="M658" s="34" t="s">
        <v>427</v>
      </c>
      <c r="N658" s="70" t="s">
        <v>138</v>
      </c>
      <c r="O658" s="70">
        <v>50.0</v>
      </c>
      <c r="P658" s="70" t="s">
        <v>29</v>
      </c>
      <c r="Q658" s="31" t="s">
        <v>2645</v>
      </c>
      <c r="R658" s="46"/>
    </row>
    <row r="659" ht="15.75" customHeight="1">
      <c r="A659" s="211">
        <v>4.0</v>
      </c>
      <c r="B659" s="34" t="s">
        <v>3799</v>
      </c>
      <c r="C659" s="34" t="s">
        <v>3800</v>
      </c>
      <c r="D659" s="57" t="s">
        <v>2000</v>
      </c>
      <c r="E659" s="57" t="s">
        <v>3801</v>
      </c>
      <c r="F659" s="264"/>
      <c r="G659" s="265">
        <v>5023.0</v>
      </c>
      <c r="H659" s="72">
        <v>50.0</v>
      </c>
      <c r="I659" s="42">
        <v>200.0</v>
      </c>
      <c r="J659" s="42">
        <v>1.0</v>
      </c>
      <c r="K659" s="42">
        <v>1.0</v>
      </c>
      <c r="L659" s="70">
        <v>0.0</v>
      </c>
      <c r="M659" s="34" t="s">
        <v>427</v>
      </c>
      <c r="N659" s="70" t="s">
        <v>138</v>
      </c>
      <c r="O659" s="70">
        <v>50.0</v>
      </c>
      <c r="P659" s="70" t="s">
        <v>29</v>
      </c>
      <c r="Q659" s="31" t="s">
        <v>2645</v>
      </c>
      <c r="R659" s="46"/>
    </row>
    <row r="660" ht="15.75" customHeight="1">
      <c r="A660" s="211">
        <v>5.0</v>
      </c>
      <c r="B660" s="34" t="s">
        <v>3802</v>
      </c>
      <c r="C660" s="34" t="s">
        <v>3800</v>
      </c>
      <c r="D660" s="57" t="s">
        <v>2000</v>
      </c>
      <c r="E660" s="57" t="s">
        <v>3801</v>
      </c>
      <c r="F660" s="264"/>
      <c r="G660" s="265">
        <v>3757.0</v>
      </c>
      <c r="H660" s="72">
        <v>100.0</v>
      </c>
      <c r="I660" s="42">
        <v>300.0</v>
      </c>
      <c r="J660" s="42">
        <v>1.0</v>
      </c>
      <c r="K660" s="42">
        <v>1.0</v>
      </c>
      <c r="L660" s="70">
        <v>0.0</v>
      </c>
      <c r="M660" s="34" t="s">
        <v>427</v>
      </c>
      <c r="N660" s="70" t="s">
        <v>138</v>
      </c>
      <c r="O660" s="70">
        <v>50.0</v>
      </c>
      <c r="P660" s="70" t="s">
        <v>29</v>
      </c>
      <c r="Q660" s="31" t="s">
        <v>2645</v>
      </c>
      <c r="R660" s="46"/>
    </row>
    <row r="661" ht="15.75" customHeight="1">
      <c r="A661" s="211">
        <v>6.0</v>
      </c>
      <c r="B661" s="34" t="s">
        <v>3803</v>
      </c>
      <c r="C661" s="34" t="s">
        <v>3800</v>
      </c>
      <c r="D661" s="57" t="s">
        <v>2000</v>
      </c>
      <c r="E661" s="57" t="s">
        <v>3801</v>
      </c>
      <c r="F661" s="264"/>
      <c r="G661" s="265">
        <v>52261.0</v>
      </c>
      <c r="H661" s="72">
        <v>150.0</v>
      </c>
      <c r="I661" s="42">
        <v>500.0</v>
      </c>
      <c r="J661" s="42">
        <v>1.0</v>
      </c>
      <c r="K661" s="42">
        <v>1.0</v>
      </c>
      <c r="L661" s="70">
        <v>1.0</v>
      </c>
      <c r="M661" s="34" t="s">
        <v>427</v>
      </c>
      <c r="N661" s="70" t="s">
        <v>138</v>
      </c>
      <c r="O661" s="70">
        <v>100.0</v>
      </c>
      <c r="P661" s="70" t="s">
        <v>29</v>
      </c>
      <c r="Q661" s="31" t="s">
        <v>2645</v>
      </c>
      <c r="R661" s="46"/>
    </row>
    <row r="662" ht="15.75" customHeight="1">
      <c r="A662" s="211">
        <v>7.0</v>
      </c>
      <c r="B662" s="34" t="s">
        <v>3795</v>
      </c>
      <c r="C662" s="34" t="s">
        <v>3804</v>
      </c>
      <c r="D662" s="57" t="s">
        <v>2000</v>
      </c>
      <c r="E662" s="57" t="s">
        <v>3805</v>
      </c>
      <c r="F662" s="264"/>
      <c r="G662" s="265">
        <v>116.0</v>
      </c>
      <c r="H662" s="72">
        <v>50.0</v>
      </c>
      <c r="I662" s="42">
        <v>250.0</v>
      </c>
      <c r="J662" s="42">
        <v>0.0</v>
      </c>
      <c r="K662" s="42">
        <v>0.0</v>
      </c>
      <c r="L662" s="70">
        <v>1.0</v>
      </c>
      <c r="M662" s="34" t="s">
        <v>3794</v>
      </c>
      <c r="N662" s="70" t="s">
        <v>138</v>
      </c>
      <c r="O662" s="70">
        <v>20.0</v>
      </c>
      <c r="P662" s="70" t="s">
        <v>29</v>
      </c>
      <c r="Q662" s="31" t="s">
        <v>2645</v>
      </c>
      <c r="R662" s="46"/>
    </row>
    <row r="663" ht="15.75" customHeight="1">
      <c r="A663" s="211">
        <v>8.0</v>
      </c>
      <c r="B663" s="34" t="s">
        <v>3806</v>
      </c>
      <c r="C663" s="34" t="s">
        <v>3804</v>
      </c>
      <c r="D663" s="57" t="s">
        <v>2000</v>
      </c>
      <c r="E663" s="57" t="s">
        <v>3805</v>
      </c>
      <c r="F663" s="264"/>
      <c r="G663" s="265">
        <v>7238.0</v>
      </c>
      <c r="H663" s="72">
        <v>100.0</v>
      </c>
      <c r="I663" s="42">
        <v>300.0</v>
      </c>
      <c r="J663" s="42">
        <v>1.0</v>
      </c>
      <c r="K663" s="42">
        <v>1.0</v>
      </c>
      <c r="L663" s="70">
        <v>0.0</v>
      </c>
      <c r="M663" s="34" t="s">
        <v>3794</v>
      </c>
      <c r="N663" s="70" t="s">
        <v>138</v>
      </c>
      <c r="O663" s="70">
        <v>50.0</v>
      </c>
      <c r="P663" s="70" t="s">
        <v>29</v>
      </c>
      <c r="Q663" s="31" t="s">
        <v>2645</v>
      </c>
      <c r="R663" s="46"/>
    </row>
    <row r="664" ht="15.75" customHeight="1">
      <c r="A664" s="211">
        <v>9.0</v>
      </c>
      <c r="B664" s="34" t="s">
        <v>3807</v>
      </c>
      <c r="C664" s="34" t="s">
        <v>3804</v>
      </c>
      <c r="D664" s="57" t="s">
        <v>2000</v>
      </c>
      <c r="E664" s="57" t="s">
        <v>3805</v>
      </c>
      <c r="F664" s="264"/>
      <c r="G664" s="265">
        <v>208.0</v>
      </c>
      <c r="H664" s="72">
        <v>30.0</v>
      </c>
      <c r="I664" s="42">
        <v>100.0</v>
      </c>
      <c r="J664" s="42">
        <v>0.0</v>
      </c>
      <c r="K664" s="42">
        <v>0.0</v>
      </c>
      <c r="L664" s="70">
        <v>1.0</v>
      </c>
      <c r="M664" s="34" t="s">
        <v>3794</v>
      </c>
      <c r="N664" s="70" t="s">
        <v>138</v>
      </c>
      <c r="O664" s="70">
        <v>20.0</v>
      </c>
      <c r="P664" s="70" t="s">
        <v>29</v>
      </c>
      <c r="Q664" s="31" t="s">
        <v>2645</v>
      </c>
      <c r="R664" s="46"/>
    </row>
    <row r="665" ht="15.75" customHeight="1">
      <c r="A665" s="211">
        <v>10.0</v>
      </c>
      <c r="B665" s="34" t="s">
        <v>3808</v>
      </c>
      <c r="C665" s="34" t="s">
        <v>3809</v>
      </c>
      <c r="D665" s="57" t="s">
        <v>2000</v>
      </c>
      <c r="E665" s="57" t="s">
        <v>3810</v>
      </c>
      <c r="F665" s="264"/>
      <c r="G665" s="265">
        <v>4976.0</v>
      </c>
      <c r="H665" s="72">
        <v>100.0</v>
      </c>
      <c r="I665" s="42">
        <v>300.0</v>
      </c>
      <c r="J665" s="42">
        <v>1.0</v>
      </c>
      <c r="K665" s="42">
        <v>1.0</v>
      </c>
      <c r="L665" s="70">
        <v>1.0</v>
      </c>
      <c r="M665" s="34" t="s">
        <v>3794</v>
      </c>
      <c r="N665" s="70" t="s">
        <v>138</v>
      </c>
      <c r="O665" s="70">
        <v>50.0</v>
      </c>
      <c r="P665" s="70" t="s">
        <v>29</v>
      </c>
      <c r="Q665" s="31" t="s">
        <v>2645</v>
      </c>
      <c r="R665" s="46"/>
    </row>
    <row r="666" ht="15.75" customHeight="1">
      <c r="A666" s="211">
        <v>11.0</v>
      </c>
      <c r="B666" s="34" t="s">
        <v>3811</v>
      </c>
      <c r="C666" s="34" t="s">
        <v>3809</v>
      </c>
      <c r="D666" s="57" t="s">
        <v>2000</v>
      </c>
      <c r="E666" s="57" t="s">
        <v>3805</v>
      </c>
      <c r="F666" s="264"/>
      <c r="G666" s="265">
        <v>7721.0</v>
      </c>
      <c r="H666" s="72">
        <v>100.0</v>
      </c>
      <c r="I666" s="42">
        <v>400.0</v>
      </c>
      <c r="J666" s="42">
        <v>1.0</v>
      </c>
      <c r="K666" s="42">
        <v>1.0</v>
      </c>
      <c r="L666" s="70">
        <v>0.0</v>
      </c>
      <c r="M666" s="34" t="s">
        <v>3794</v>
      </c>
      <c r="N666" s="70" t="s">
        <v>138</v>
      </c>
      <c r="O666" s="70">
        <v>50.0</v>
      </c>
      <c r="P666" s="70" t="s">
        <v>29</v>
      </c>
      <c r="Q666" s="31" t="s">
        <v>2645</v>
      </c>
      <c r="R666" s="46"/>
    </row>
    <row r="667" ht="15.75" customHeight="1">
      <c r="A667" s="211">
        <v>12.0</v>
      </c>
      <c r="B667" s="34" t="s">
        <v>3812</v>
      </c>
      <c r="C667" s="34" t="s">
        <v>3809</v>
      </c>
      <c r="D667" s="57" t="s">
        <v>2000</v>
      </c>
      <c r="E667" s="57" t="s">
        <v>3805</v>
      </c>
      <c r="F667" s="264"/>
      <c r="G667" s="265">
        <v>408.0</v>
      </c>
      <c r="H667" s="72">
        <v>50.0</v>
      </c>
      <c r="I667" s="42">
        <v>150.0</v>
      </c>
      <c r="J667" s="42">
        <v>0.0</v>
      </c>
      <c r="K667" s="42">
        <v>0.0</v>
      </c>
      <c r="L667" s="70">
        <v>1.0</v>
      </c>
      <c r="M667" s="34" t="s">
        <v>3794</v>
      </c>
      <c r="N667" s="70" t="s">
        <v>138</v>
      </c>
      <c r="O667" s="70">
        <v>20.0</v>
      </c>
      <c r="P667" s="70" t="s">
        <v>29</v>
      </c>
      <c r="Q667" s="31" t="s">
        <v>2645</v>
      </c>
      <c r="R667" s="46"/>
    </row>
    <row r="668" ht="15.75" customHeight="1">
      <c r="A668" s="211">
        <v>13.0</v>
      </c>
      <c r="B668" s="34" t="s">
        <v>3813</v>
      </c>
      <c r="C668" s="34" t="s">
        <v>3814</v>
      </c>
      <c r="D668" s="57" t="s">
        <v>2000</v>
      </c>
      <c r="E668" s="57" t="s">
        <v>3801</v>
      </c>
      <c r="F668" s="264"/>
      <c r="G668" s="265">
        <v>3292.0</v>
      </c>
      <c r="H668" s="72">
        <v>100.0</v>
      </c>
      <c r="I668" s="42">
        <v>300.0</v>
      </c>
      <c r="J668" s="42">
        <v>1.0</v>
      </c>
      <c r="K668" s="42">
        <v>1.0</v>
      </c>
      <c r="L668" s="70">
        <v>0.0</v>
      </c>
      <c r="M668" s="34" t="s">
        <v>427</v>
      </c>
      <c r="N668" s="70" t="s">
        <v>138</v>
      </c>
      <c r="O668" s="70">
        <v>50.0</v>
      </c>
      <c r="P668" s="70" t="s">
        <v>29</v>
      </c>
      <c r="Q668" s="31" t="s">
        <v>2645</v>
      </c>
      <c r="R668" s="46"/>
    </row>
    <row r="669" ht="15.75" customHeight="1">
      <c r="A669" s="211">
        <v>14.0</v>
      </c>
      <c r="B669" s="34" t="s">
        <v>2772</v>
      </c>
      <c r="C669" s="34" t="s">
        <v>3815</v>
      </c>
      <c r="D669" s="57" t="s">
        <v>2000</v>
      </c>
      <c r="E669" s="57" t="s">
        <v>3805</v>
      </c>
      <c r="F669" s="264"/>
      <c r="G669" s="265">
        <v>251.0</v>
      </c>
      <c r="H669" s="72">
        <v>30.0</v>
      </c>
      <c r="I669" s="42">
        <v>100.0</v>
      </c>
      <c r="J669" s="42">
        <v>0.0</v>
      </c>
      <c r="K669" s="42">
        <v>0.0</v>
      </c>
      <c r="L669" s="70">
        <v>1.0</v>
      </c>
      <c r="M669" s="34" t="s">
        <v>3794</v>
      </c>
      <c r="N669" s="70" t="s">
        <v>138</v>
      </c>
      <c r="O669" s="70">
        <v>20.0</v>
      </c>
      <c r="P669" s="70" t="s">
        <v>29</v>
      </c>
      <c r="Q669" s="31" t="s">
        <v>2645</v>
      </c>
      <c r="R669" s="46"/>
    </row>
    <row r="670" ht="15.75" customHeight="1">
      <c r="A670" s="211">
        <v>15.0</v>
      </c>
      <c r="B670" s="34" t="s">
        <v>3816</v>
      </c>
      <c r="C670" s="34" t="s">
        <v>3815</v>
      </c>
      <c r="D670" s="57" t="s">
        <v>2000</v>
      </c>
      <c r="E670" s="57" t="s">
        <v>3805</v>
      </c>
      <c r="F670" s="264"/>
      <c r="G670" s="265">
        <v>1411.0</v>
      </c>
      <c r="H670" s="72">
        <v>50.0</v>
      </c>
      <c r="I670" s="42">
        <v>175.0</v>
      </c>
      <c r="J670" s="42">
        <v>1.0</v>
      </c>
      <c r="K670" s="42">
        <v>1.0</v>
      </c>
      <c r="L670" s="70">
        <v>0.0</v>
      </c>
      <c r="M670" s="34" t="s">
        <v>3794</v>
      </c>
      <c r="N670" s="70" t="s">
        <v>138</v>
      </c>
      <c r="O670" s="70">
        <v>50.0</v>
      </c>
      <c r="P670" s="70" t="s">
        <v>29</v>
      </c>
      <c r="Q670" s="31" t="s">
        <v>2645</v>
      </c>
      <c r="R670" s="46"/>
    </row>
    <row r="671" ht="15.75" customHeight="1">
      <c r="A671" s="211">
        <v>16.0</v>
      </c>
      <c r="B671" s="34" t="s">
        <v>3817</v>
      </c>
      <c r="C671" s="34" t="s">
        <v>3818</v>
      </c>
      <c r="D671" s="57" t="s">
        <v>2000</v>
      </c>
      <c r="E671" s="57" t="s">
        <v>3819</v>
      </c>
      <c r="F671" s="264"/>
      <c r="G671" s="265">
        <v>4782.0</v>
      </c>
      <c r="H671" s="72">
        <v>100.0</v>
      </c>
      <c r="I671" s="42">
        <v>300.0</v>
      </c>
      <c r="J671" s="42">
        <v>1.0</v>
      </c>
      <c r="K671" s="42">
        <v>1.0</v>
      </c>
      <c r="L671" s="70">
        <v>0.0</v>
      </c>
      <c r="M671" s="34" t="s">
        <v>3794</v>
      </c>
      <c r="N671" s="70" t="s">
        <v>138</v>
      </c>
      <c r="O671" s="70">
        <v>50.0</v>
      </c>
      <c r="P671" s="70" t="s">
        <v>29</v>
      </c>
      <c r="Q671" s="31" t="s">
        <v>2645</v>
      </c>
      <c r="R671" s="46"/>
    </row>
    <row r="672" ht="15.75" customHeight="1">
      <c r="A672" s="211">
        <v>17.0</v>
      </c>
      <c r="B672" s="34" t="s">
        <v>2772</v>
      </c>
      <c r="C672" s="34" t="s">
        <v>3820</v>
      </c>
      <c r="D672" s="57" t="s">
        <v>2000</v>
      </c>
      <c r="E672" s="57" t="s">
        <v>3805</v>
      </c>
      <c r="F672" s="264"/>
      <c r="G672" s="265">
        <v>266.0</v>
      </c>
      <c r="H672" s="72">
        <v>40.0</v>
      </c>
      <c r="I672" s="42">
        <v>100.0</v>
      </c>
      <c r="J672" s="42">
        <v>0.0</v>
      </c>
      <c r="K672" s="42">
        <v>0.0</v>
      </c>
      <c r="L672" s="70">
        <v>1.0</v>
      </c>
      <c r="M672" s="34" t="s">
        <v>3794</v>
      </c>
      <c r="N672" s="70" t="s">
        <v>138</v>
      </c>
      <c r="O672" s="70">
        <v>20.0</v>
      </c>
      <c r="P672" s="70" t="s">
        <v>29</v>
      </c>
      <c r="Q672" s="31" t="s">
        <v>2645</v>
      </c>
      <c r="R672" s="46"/>
    </row>
    <row r="673" ht="15.75" customHeight="1">
      <c r="A673" s="211">
        <v>19.0</v>
      </c>
      <c r="B673" s="34" t="s">
        <v>3821</v>
      </c>
      <c r="C673" s="34" t="s">
        <v>3822</v>
      </c>
      <c r="D673" s="57" t="s">
        <v>2000</v>
      </c>
      <c r="E673" s="57" t="s">
        <v>3805</v>
      </c>
      <c r="F673" s="264"/>
      <c r="G673" s="265">
        <v>2333.0</v>
      </c>
      <c r="H673" s="72">
        <v>50.0</v>
      </c>
      <c r="I673" s="42">
        <v>200.0</v>
      </c>
      <c r="J673" s="42">
        <v>1.0</v>
      </c>
      <c r="K673" s="42">
        <v>1.0</v>
      </c>
      <c r="L673" s="70">
        <v>1.0</v>
      </c>
      <c r="M673" s="34" t="s">
        <v>3794</v>
      </c>
      <c r="N673" s="70" t="s">
        <v>138</v>
      </c>
      <c r="O673" s="70">
        <v>50.0</v>
      </c>
      <c r="P673" s="70" t="s">
        <v>29</v>
      </c>
      <c r="Q673" s="31" t="s">
        <v>2645</v>
      </c>
      <c r="R673" s="46"/>
    </row>
    <row r="674" ht="15.75" customHeight="1">
      <c r="A674" s="211">
        <v>18.0</v>
      </c>
      <c r="B674" s="34" t="s">
        <v>3823</v>
      </c>
      <c r="C674" s="34" t="s">
        <v>3820</v>
      </c>
      <c r="D674" s="57" t="s">
        <v>2000</v>
      </c>
      <c r="E674" s="57" t="s">
        <v>3805</v>
      </c>
      <c r="F674" s="264"/>
      <c r="G674" s="265">
        <v>3298.0</v>
      </c>
      <c r="H674" s="72">
        <v>80.0</v>
      </c>
      <c r="I674" s="42">
        <v>250.0</v>
      </c>
      <c r="J674" s="42">
        <v>1.0</v>
      </c>
      <c r="K674" s="42">
        <v>1.0</v>
      </c>
      <c r="L674" s="70">
        <v>1.0</v>
      </c>
      <c r="M674" s="34" t="s">
        <v>3794</v>
      </c>
      <c r="N674" s="70" t="s">
        <v>138</v>
      </c>
      <c r="O674" s="70">
        <v>50.0</v>
      </c>
      <c r="P674" s="70" t="s">
        <v>29</v>
      </c>
      <c r="Q674" s="31" t="s">
        <v>2645</v>
      </c>
      <c r="R674" s="46"/>
    </row>
    <row r="675" ht="15.75" customHeight="1">
      <c r="A675" s="211">
        <v>20.0</v>
      </c>
      <c r="B675" s="34" t="s">
        <v>3824</v>
      </c>
      <c r="C675" s="34" t="s">
        <v>3825</v>
      </c>
      <c r="D675" s="57" t="s">
        <v>2000</v>
      </c>
      <c r="E675" s="57" t="s">
        <v>3801</v>
      </c>
      <c r="F675" s="264"/>
      <c r="G675" s="265">
        <v>3898.0</v>
      </c>
      <c r="H675" s="72">
        <v>100.0</v>
      </c>
      <c r="I675" s="42">
        <v>300.0</v>
      </c>
      <c r="J675" s="42">
        <v>1.0</v>
      </c>
      <c r="K675" s="42">
        <v>1.0</v>
      </c>
      <c r="L675" s="70">
        <v>0.0</v>
      </c>
      <c r="M675" s="34" t="s">
        <v>427</v>
      </c>
      <c r="N675" s="70" t="s">
        <v>138</v>
      </c>
      <c r="O675" s="70">
        <v>50.0</v>
      </c>
      <c r="P675" s="70" t="s">
        <v>29</v>
      </c>
      <c r="Q675" s="31" t="s">
        <v>2645</v>
      </c>
      <c r="R675" s="46"/>
    </row>
    <row r="676" ht="15.75" customHeight="1">
      <c r="A676" s="211">
        <v>21.0</v>
      </c>
      <c r="B676" s="34" t="s">
        <v>3826</v>
      </c>
      <c r="C676" s="34" t="s">
        <v>3760</v>
      </c>
      <c r="D676" s="57" t="s">
        <v>2000</v>
      </c>
      <c r="E676" s="57" t="s">
        <v>3805</v>
      </c>
      <c r="F676" s="264"/>
      <c r="G676" s="265">
        <v>3144.0</v>
      </c>
      <c r="H676" s="72">
        <v>40.0</v>
      </c>
      <c r="I676" s="42">
        <v>200.0</v>
      </c>
      <c r="J676" s="42">
        <v>1.0</v>
      </c>
      <c r="K676" s="42">
        <v>1.0</v>
      </c>
      <c r="L676" s="70">
        <v>0.0</v>
      </c>
      <c r="M676" s="34" t="s">
        <v>3794</v>
      </c>
      <c r="N676" s="70" t="s">
        <v>138</v>
      </c>
      <c r="O676" s="70">
        <v>50.0</v>
      </c>
      <c r="P676" s="70" t="s">
        <v>29</v>
      </c>
      <c r="Q676" s="31" t="s">
        <v>2645</v>
      </c>
      <c r="R676" s="46"/>
    </row>
    <row r="677" ht="15.75" customHeight="1">
      <c r="A677" s="211">
        <v>22.0</v>
      </c>
      <c r="B677" s="34" t="s">
        <v>3795</v>
      </c>
      <c r="C677" s="34" t="s">
        <v>3760</v>
      </c>
      <c r="D677" s="57" t="s">
        <v>2000</v>
      </c>
      <c r="E677" s="57" t="s">
        <v>3805</v>
      </c>
      <c r="F677" s="264"/>
      <c r="G677" s="265">
        <v>132.0</v>
      </c>
      <c r="H677" s="72">
        <v>5.0</v>
      </c>
      <c r="I677" s="42">
        <v>25.0</v>
      </c>
      <c r="J677" s="42">
        <v>0.0</v>
      </c>
      <c r="K677" s="42">
        <v>0.0</v>
      </c>
      <c r="L677" s="70">
        <v>1.0</v>
      </c>
      <c r="M677" s="34" t="s">
        <v>3794</v>
      </c>
      <c r="N677" s="70" t="s">
        <v>138</v>
      </c>
      <c r="O677" s="70">
        <v>20.0</v>
      </c>
      <c r="P677" s="70" t="s">
        <v>29</v>
      </c>
      <c r="Q677" s="31" t="s">
        <v>2645</v>
      </c>
      <c r="R677" s="46"/>
    </row>
    <row r="678" ht="15.75" customHeight="1">
      <c r="A678" s="211">
        <v>23.0</v>
      </c>
      <c r="B678" s="34" t="s">
        <v>3827</v>
      </c>
      <c r="C678" s="34" t="s">
        <v>3760</v>
      </c>
      <c r="D678" s="57" t="s">
        <v>2000</v>
      </c>
      <c r="E678" s="57" t="s">
        <v>3805</v>
      </c>
      <c r="F678" s="264"/>
      <c r="G678" s="265">
        <v>353.0</v>
      </c>
      <c r="H678" s="72">
        <v>5.0</v>
      </c>
      <c r="I678" s="42">
        <v>25.0</v>
      </c>
      <c r="J678" s="42">
        <v>1.0</v>
      </c>
      <c r="K678" s="42">
        <v>1.0</v>
      </c>
      <c r="L678" s="70">
        <v>0.0</v>
      </c>
      <c r="M678" s="34" t="s">
        <v>3794</v>
      </c>
      <c r="N678" s="70" t="s">
        <v>138</v>
      </c>
      <c r="O678" s="70">
        <v>20.0</v>
      </c>
      <c r="P678" s="70" t="s">
        <v>29</v>
      </c>
      <c r="Q678" s="31" t="s">
        <v>2645</v>
      </c>
      <c r="R678" s="46"/>
    </row>
    <row r="679" ht="15.75" customHeight="1">
      <c r="A679" s="211">
        <v>24.0</v>
      </c>
      <c r="B679" s="34" t="s">
        <v>3828</v>
      </c>
      <c r="C679" s="34" t="s">
        <v>3760</v>
      </c>
      <c r="D679" s="57" t="s">
        <v>2000</v>
      </c>
      <c r="E679" s="57" t="s">
        <v>3805</v>
      </c>
      <c r="F679" s="264"/>
      <c r="G679" s="265">
        <v>123.0</v>
      </c>
      <c r="H679" s="72">
        <v>5.0</v>
      </c>
      <c r="I679" s="42">
        <v>25.0</v>
      </c>
      <c r="J679" s="42">
        <v>0.0</v>
      </c>
      <c r="K679" s="42">
        <v>0.0</v>
      </c>
      <c r="L679" s="70">
        <v>1.0</v>
      </c>
      <c r="M679" s="34" t="s">
        <v>3794</v>
      </c>
      <c r="N679" s="70" t="s">
        <v>138</v>
      </c>
      <c r="O679" s="70">
        <v>20.0</v>
      </c>
      <c r="P679" s="70" t="s">
        <v>29</v>
      </c>
      <c r="Q679" s="31" t="s">
        <v>2645</v>
      </c>
      <c r="R679" s="46"/>
    </row>
    <row r="680" ht="15.75" customHeight="1">
      <c r="A680" s="211">
        <v>25.0</v>
      </c>
      <c r="B680" s="34" t="s">
        <v>3829</v>
      </c>
      <c r="C680" s="34" t="s">
        <v>3760</v>
      </c>
      <c r="D680" s="57" t="s">
        <v>2000</v>
      </c>
      <c r="E680" s="57" t="s">
        <v>3805</v>
      </c>
      <c r="F680" s="264"/>
      <c r="G680" s="265">
        <v>516.0</v>
      </c>
      <c r="H680" s="72">
        <v>30.0</v>
      </c>
      <c r="I680" s="42">
        <v>100.0</v>
      </c>
      <c r="J680" s="42">
        <v>3.0</v>
      </c>
      <c r="K680" s="42">
        <v>3.0</v>
      </c>
      <c r="L680" s="70">
        <v>0.0</v>
      </c>
      <c r="M680" s="34" t="s">
        <v>3794</v>
      </c>
      <c r="N680" s="70" t="s">
        <v>138</v>
      </c>
      <c r="O680" s="70">
        <v>50.0</v>
      </c>
      <c r="P680" s="70" t="s">
        <v>29</v>
      </c>
      <c r="Q680" s="31" t="s">
        <v>2645</v>
      </c>
      <c r="R680" s="46"/>
    </row>
    <row r="681" ht="15.75" customHeight="1">
      <c r="A681" s="211">
        <v>26.0</v>
      </c>
      <c r="B681" s="34" t="s">
        <v>3830</v>
      </c>
      <c r="C681" s="34" t="s">
        <v>3760</v>
      </c>
      <c r="D681" s="57" t="s">
        <v>2000</v>
      </c>
      <c r="E681" s="57" t="s">
        <v>3805</v>
      </c>
      <c r="F681" s="264"/>
      <c r="G681" s="265">
        <v>23045.0</v>
      </c>
      <c r="H681" s="72">
        <v>100.0</v>
      </c>
      <c r="I681" s="42">
        <v>400.0</v>
      </c>
      <c r="J681" s="42">
        <v>1.0</v>
      </c>
      <c r="K681" s="42">
        <v>1.0</v>
      </c>
      <c r="L681" s="70">
        <v>0.0</v>
      </c>
      <c r="M681" s="34" t="s">
        <v>3794</v>
      </c>
      <c r="N681" s="70" t="s">
        <v>138</v>
      </c>
      <c r="O681" s="70">
        <v>100.0</v>
      </c>
      <c r="P681" s="70" t="s">
        <v>29</v>
      </c>
      <c r="Q681" s="31" t="s">
        <v>2645</v>
      </c>
      <c r="R681" s="46"/>
    </row>
    <row r="682" ht="15.75" customHeight="1">
      <c r="A682" s="211">
        <v>27.0</v>
      </c>
      <c r="B682" s="34" t="s">
        <v>3831</v>
      </c>
      <c r="C682" s="34" t="s">
        <v>3760</v>
      </c>
      <c r="D682" s="57" t="s">
        <v>2000</v>
      </c>
      <c r="E682" s="57" t="s">
        <v>3832</v>
      </c>
      <c r="F682" s="264"/>
      <c r="G682" s="265">
        <v>725.0</v>
      </c>
      <c r="H682" s="72">
        <v>100.0</v>
      </c>
      <c r="I682" s="42">
        <v>300.0</v>
      </c>
      <c r="J682" s="42">
        <v>1.0</v>
      </c>
      <c r="K682" s="42">
        <v>1.0</v>
      </c>
      <c r="L682" s="70">
        <v>0.0</v>
      </c>
      <c r="M682" s="34" t="s">
        <v>3794</v>
      </c>
      <c r="N682" s="70" t="s">
        <v>138</v>
      </c>
      <c r="O682" s="70">
        <v>100.0</v>
      </c>
      <c r="P682" s="70" t="s">
        <v>29</v>
      </c>
      <c r="Q682" s="31" t="s">
        <v>2645</v>
      </c>
      <c r="R682" s="46"/>
    </row>
    <row r="683" ht="15.75" customHeight="1">
      <c r="A683" s="211">
        <v>28.0</v>
      </c>
      <c r="B683" s="34" t="s">
        <v>3833</v>
      </c>
      <c r="C683" s="34" t="s">
        <v>3834</v>
      </c>
      <c r="D683" s="57" t="s">
        <v>2000</v>
      </c>
      <c r="E683" s="57" t="s">
        <v>3805</v>
      </c>
      <c r="F683" s="264"/>
      <c r="G683" s="265">
        <v>5061.0</v>
      </c>
      <c r="H683" s="72">
        <v>70.0</v>
      </c>
      <c r="I683" s="42">
        <v>250.0</v>
      </c>
      <c r="J683" s="42">
        <v>1.0</v>
      </c>
      <c r="K683" s="42">
        <v>1.0</v>
      </c>
      <c r="L683" s="70">
        <v>0.0</v>
      </c>
      <c r="M683" s="34" t="s">
        <v>427</v>
      </c>
      <c r="N683" s="70" t="s">
        <v>138</v>
      </c>
      <c r="O683" s="70">
        <v>50.0</v>
      </c>
      <c r="P683" s="70" t="s">
        <v>29</v>
      </c>
      <c r="Q683" s="31" t="s">
        <v>2645</v>
      </c>
      <c r="R683" s="46"/>
    </row>
    <row r="684" ht="15.75" customHeight="1">
      <c r="A684" s="181"/>
      <c r="B684" s="182" t="s">
        <v>3835</v>
      </c>
      <c r="C684" s="182"/>
      <c r="D684" s="22"/>
      <c r="E684" s="22"/>
      <c r="F684" s="209"/>
      <c r="G684" s="210"/>
      <c r="H684" s="22"/>
      <c r="I684" s="22"/>
      <c r="J684" s="22"/>
      <c r="K684" s="22"/>
      <c r="L684" s="22"/>
      <c r="M684" s="22"/>
      <c r="N684" s="22"/>
      <c r="O684" s="22"/>
      <c r="P684" s="22"/>
      <c r="Q684" s="209"/>
      <c r="R684" s="22"/>
    </row>
    <row r="685" ht="15.75" customHeight="1">
      <c r="A685" s="211">
        <v>1.0</v>
      </c>
      <c r="B685" s="34" t="s">
        <v>3836</v>
      </c>
      <c r="C685" s="34" t="s">
        <v>3837</v>
      </c>
      <c r="D685" s="57" t="s">
        <v>2000</v>
      </c>
      <c r="E685" s="57" t="s">
        <v>3607</v>
      </c>
      <c r="F685" s="264" t="s">
        <v>138</v>
      </c>
      <c r="G685" s="266" t="s">
        <v>3838</v>
      </c>
      <c r="H685" s="72">
        <v>12.0</v>
      </c>
      <c r="I685" s="31">
        <v>50.0</v>
      </c>
      <c r="J685" s="31">
        <v>0.0</v>
      </c>
      <c r="K685" s="31">
        <v>0.0</v>
      </c>
      <c r="L685" s="72">
        <v>1.0</v>
      </c>
      <c r="M685" s="57" t="s">
        <v>3839</v>
      </c>
      <c r="N685" s="72" t="s">
        <v>138</v>
      </c>
      <c r="O685" s="72">
        <v>20.0</v>
      </c>
      <c r="P685" s="72" t="s">
        <v>29</v>
      </c>
      <c r="Q685" s="31" t="s">
        <v>401</v>
      </c>
      <c r="R685" s="81"/>
    </row>
    <row r="686" ht="15.75" customHeight="1">
      <c r="A686" s="211">
        <v>2.0</v>
      </c>
      <c r="B686" s="34" t="s">
        <v>3840</v>
      </c>
      <c r="C686" s="34" t="s">
        <v>3841</v>
      </c>
      <c r="D686" s="57" t="s">
        <v>2000</v>
      </c>
      <c r="E686" s="57" t="s">
        <v>3607</v>
      </c>
      <c r="F686" s="264" t="s">
        <v>138</v>
      </c>
      <c r="G686" s="266" t="s">
        <v>3842</v>
      </c>
      <c r="H686" s="72">
        <v>12.0</v>
      </c>
      <c r="I686" s="31">
        <v>50.0</v>
      </c>
      <c r="J686" s="31">
        <v>0.0</v>
      </c>
      <c r="K686" s="31">
        <v>0.0</v>
      </c>
      <c r="L686" s="72">
        <v>1.0</v>
      </c>
      <c r="M686" s="57" t="s">
        <v>3839</v>
      </c>
      <c r="N686" s="72" t="s">
        <v>138</v>
      </c>
      <c r="O686" s="72">
        <v>20.0</v>
      </c>
      <c r="P686" s="72" t="s">
        <v>29</v>
      </c>
      <c r="Q686" s="31" t="s">
        <v>401</v>
      </c>
      <c r="R686" s="81"/>
    </row>
    <row r="687" ht="15.75" customHeight="1">
      <c r="A687" s="211">
        <v>3.0</v>
      </c>
      <c r="B687" s="34" t="s">
        <v>3843</v>
      </c>
      <c r="C687" s="34" t="s">
        <v>3841</v>
      </c>
      <c r="D687" s="57" t="s">
        <v>2000</v>
      </c>
      <c r="E687" s="57" t="s">
        <v>3607</v>
      </c>
      <c r="F687" s="264" t="s">
        <v>138</v>
      </c>
      <c r="G687" s="266" t="s">
        <v>3844</v>
      </c>
      <c r="H687" s="72">
        <v>3.0</v>
      </c>
      <c r="I687" s="31">
        <v>20.0</v>
      </c>
      <c r="J687" s="31">
        <v>0.0</v>
      </c>
      <c r="K687" s="31">
        <v>0.0</v>
      </c>
      <c r="L687" s="72">
        <v>1.0</v>
      </c>
      <c r="M687" s="57" t="s">
        <v>3839</v>
      </c>
      <c r="N687" s="72" t="s">
        <v>138</v>
      </c>
      <c r="O687" s="72">
        <v>20.0</v>
      </c>
      <c r="P687" s="72" t="s">
        <v>29</v>
      </c>
      <c r="Q687" s="31" t="s">
        <v>401</v>
      </c>
      <c r="R687" s="81"/>
    </row>
    <row r="688" ht="15.75" customHeight="1">
      <c r="A688" s="211">
        <v>4.0</v>
      </c>
      <c r="B688" s="34" t="s">
        <v>3845</v>
      </c>
      <c r="C688" s="34" t="s">
        <v>3846</v>
      </c>
      <c r="D688" s="57" t="s">
        <v>2000</v>
      </c>
      <c r="E688" s="57" t="s">
        <v>3607</v>
      </c>
      <c r="F688" s="264" t="s">
        <v>138</v>
      </c>
      <c r="G688" s="266" t="s">
        <v>3847</v>
      </c>
      <c r="H688" s="72">
        <v>3.0</v>
      </c>
      <c r="I688" s="31">
        <v>20.0</v>
      </c>
      <c r="J688" s="31">
        <v>0.0</v>
      </c>
      <c r="K688" s="31">
        <v>0.0</v>
      </c>
      <c r="L688" s="72">
        <v>1.0</v>
      </c>
      <c r="M688" s="57" t="s">
        <v>3839</v>
      </c>
      <c r="N688" s="72" t="s">
        <v>138</v>
      </c>
      <c r="O688" s="72">
        <v>20.0</v>
      </c>
      <c r="P688" s="72" t="s">
        <v>29</v>
      </c>
      <c r="Q688" s="31" t="s">
        <v>401</v>
      </c>
      <c r="R688" s="81"/>
    </row>
    <row r="689" ht="15.75" customHeight="1">
      <c r="A689" s="211">
        <v>5.0</v>
      </c>
      <c r="B689" s="34" t="s">
        <v>3848</v>
      </c>
      <c r="C689" s="34" t="s">
        <v>3849</v>
      </c>
      <c r="D689" s="57" t="s">
        <v>2000</v>
      </c>
      <c r="E689" s="57" t="s">
        <v>3607</v>
      </c>
      <c r="F689" s="264" t="s">
        <v>138</v>
      </c>
      <c r="G689" s="266" t="s">
        <v>3850</v>
      </c>
      <c r="H689" s="72">
        <v>20.0</v>
      </c>
      <c r="I689" s="31">
        <v>100.0</v>
      </c>
      <c r="J689" s="31">
        <v>0.0</v>
      </c>
      <c r="K689" s="31">
        <v>0.0</v>
      </c>
      <c r="L689" s="72">
        <v>1.0</v>
      </c>
      <c r="M689" s="57" t="s">
        <v>3839</v>
      </c>
      <c r="N689" s="72" t="s">
        <v>138</v>
      </c>
      <c r="O689" s="72">
        <v>50.0</v>
      </c>
      <c r="P689" s="72" t="s">
        <v>29</v>
      </c>
      <c r="Q689" s="31" t="s">
        <v>401</v>
      </c>
      <c r="R689" s="81"/>
    </row>
    <row r="690" ht="15.75" customHeight="1">
      <c r="A690" s="211">
        <v>6.0</v>
      </c>
      <c r="B690" s="34" t="s">
        <v>3851</v>
      </c>
      <c r="C690" s="34" t="s">
        <v>3852</v>
      </c>
      <c r="D690" s="57" t="s">
        <v>2000</v>
      </c>
      <c r="E690" s="57" t="s">
        <v>3853</v>
      </c>
      <c r="F690" s="264" t="s">
        <v>138</v>
      </c>
      <c r="G690" s="266" t="s">
        <v>3854</v>
      </c>
      <c r="H690" s="72">
        <v>12.0</v>
      </c>
      <c r="I690" s="31">
        <v>50.0</v>
      </c>
      <c r="J690" s="31">
        <v>0.0</v>
      </c>
      <c r="K690" s="31">
        <v>0.0</v>
      </c>
      <c r="L690" s="72">
        <v>1.0</v>
      </c>
      <c r="M690" s="57" t="s">
        <v>3839</v>
      </c>
      <c r="N690" s="72" t="s">
        <v>138</v>
      </c>
      <c r="O690" s="72">
        <v>20.0</v>
      </c>
      <c r="P690" s="72" t="s">
        <v>29</v>
      </c>
      <c r="Q690" s="31" t="s">
        <v>401</v>
      </c>
      <c r="R690" s="81"/>
    </row>
    <row r="691" ht="15.75" customHeight="1">
      <c r="A691" s="211">
        <v>7.0</v>
      </c>
      <c r="B691" s="34" t="s">
        <v>3855</v>
      </c>
      <c r="C691" s="34" t="s">
        <v>3856</v>
      </c>
      <c r="D691" s="57" t="s">
        <v>2000</v>
      </c>
      <c r="E691" s="57" t="s">
        <v>3607</v>
      </c>
      <c r="F691" s="264" t="s">
        <v>138</v>
      </c>
      <c r="G691" s="266" t="s">
        <v>3857</v>
      </c>
      <c r="H691" s="72">
        <v>5.0</v>
      </c>
      <c r="I691" s="31">
        <v>40.0</v>
      </c>
      <c r="J691" s="31">
        <v>0.0</v>
      </c>
      <c r="K691" s="31">
        <v>0.0</v>
      </c>
      <c r="L691" s="72">
        <v>1.0</v>
      </c>
      <c r="M691" s="57" t="s">
        <v>3839</v>
      </c>
      <c r="N691" s="72" t="s">
        <v>138</v>
      </c>
      <c r="O691" s="72">
        <v>20.0</v>
      </c>
      <c r="P691" s="72" t="s">
        <v>29</v>
      </c>
      <c r="Q691" s="31" t="s">
        <v>401</v>
      </c>
      <c r="R691" s="81"/>
    </row>
    <row r="692" ht="15.75" customHeight="1">
      <c r="A692" s="211">
        <v>8.0</v>
      </c>
      <c r="B692" s="34" t="s">
        <v>3858</v>
      </c>
      <c r="C692" s="34" t="s">
        <v>3859</v>
      </c>
      <c r="D692" s="57" t="s">
        <v>2000</v>
      </c>
      <c r="E692" s="57" t="s">
        <v>3607</v>
      </c>
      <c r="F692" s="264" t="s">
        <v>138</v>
      </c>
      <c r="G692" s="266" t="s">
        <v>3860</v>
      </c>
      <c r="H692" s="72">
        <v>5.0</v>
      </c>
      <c r="I692" s="31">
        <v>40.0</v>
      </c>
      <c r="J692" s="31">
        <v>0.0</v>
      </c>
      <c r="K692" s="31">
        <v>0.0</v>
      </c>
      <c r="L692" s="72">
        <v>1.0</v>
      </c>
      <c r="M692" s="57" t="s">
        <v>3839</v>
      </c>
      <c r="N692" s="72" t="s">
        <v>138</v>
      </c>
      <c r="O692" s="72">
        <v>20.0</v>
      </c>
      <c r="P692" s="72" t="s">
        <v>29</v>
      </c>
      <c r="Q692" s="31" t="s">
        <v>401</v>
      </c>
      <c r="R692" s="81"/>
    </row>
    <row r="693" ht="15.75" customHeight="1">
      <c r="A693" s="211">
        <v>9.0</v>
      </c>
      <c r="B693" s="34" t="s">
        <v>3861</v>
      </c>
      <c r="C693" s="34" t="s">
        <v>3862</v>
      </c>
      <c r="D693" s="57" t="s">
        <v>2000</v>
      </c>
      <c r="E693" s="57" t="s">
        <v>3607</v>
      </c>
      <c r="F693" s="264" t="s">
        <v>138</v>
      </c>
      <c r="G693" s="266" t="s">
        <v>3854</v>
      </c>
      <c r="H693" s="72">
        <v>5.0</v>
      </c>
      <c r="I693" s="31">
        <v>40.0</v>
      </c>
      <c r="J693" s="31">
        <v>0.0</v>
      </c>
      <c r="K693" s="31">
        <v>0.0</v>
      </c>
      <c r="L693" s="72">
        <v>1.0</v>
      </c>
      <c r="M693" s="57" t="s">
        <v>3839</v>
      </c>
      <c r="N693" s="72" t="s">
        <v>138</v>
      </c>
      <c r="O693" s="72">
        <v>20.0</v>
      </c>
      <c r="P693" s="72" t="s">
        <v>29</v>
      </c>
      <c r="Q693" s="31" t="s">
        <v>401</v>
      </c>
      <c r="R693" s="81"/>
    </row>
    <row r="694" ht="15.75" customHeight="1">
      <c r="A694" s="211">
        <v>10.0</v>
      </c>
      <c r="B694" s="34" t="s">
        <v>3863</v>
      </c>
      <c r="C694" s="34" t="s">
        <v>3864</v>
      </c>
      <c r="D694" s="57" t="s">
        <v>2000</v>
      </c>
      <c r="E694" s="57" t="s">
        <v>3853</v>
      </c>
      <c r="F694" s="264" t="s">
        <v>138</v>
      </c>
      <c r="G694" s="266" t="s">
        <v>3854</v>
      </c>
      <c r="H694" s="72">
        <v>4.0</v>
      </c>
      <c r="I694" s="31">
        <v>30.0</v>
      </c>
      <c r="J694" s="31">
        <v>0.0</v>
      </c>
      <c r="K694" s="31">
        <v>0.0</v>
      </c>
      <c r="L694" s="72">
        <v>1.0</v>
      </c>
      <c r="M694" s="57" t="s">
        <v>3839</v>
      </c>
      <c r="N694" s="72" t="s">
        <v>138</v>
      </c>
      <c r="O694" s="72">
        <v>20.0</v>
      </c>
      <c r="P694" s="72" t="s">
        <v>29</v>
      </c>
      <c r="Q694" s="31" t="s">
        <v>401</v>
      </c>
      <c r="R694" s="81"/>
    </row>
    <row r="695" ht="15.75" customHeight="1">
      <c r="A695" s="211">
        <v>11.0</v>
      </c>
      <c r="B695" s="34" t="s">
        <v>3865</v>
      </c>
      <c r="C695" s="34" t="s">
        <v>3866</v>
      </c>
      <c r="D695" s="57" t="s">
        <v>2000</v>
      </c>
      <c r="E695" s="57" t="s">
        <v>3853</v>
      </c>
      <c r="F695" s="264" t="s">
        <v>138</v>
      </c>
      <c r="G695" s="266" t="s">
        <v>3867</v>
      </c>
      <c r="H695" s="72">
        <v>10.0</v>
      </c>
      <c r="I695" s="31">
        <v>80.0</v>
      </c>
      <c r="J695" s="31">
        <v>0.0</v>
      </c>
      <c r="K695" s="31">
        <v>0.0</v>
      </c>
      <c r="L695" s="72">
        <v>1.0</v>
      </c>
      <c r="M695" s="57" t="s">
        <v>3839</v>
      </c>
      <c r="N695" s="72" t="s">
        <v>138</v>
      </c>
      <c r="O695" s="72">
        <v>20.0</v>
      </c>
      <c r="P695" s="72" t="s">
        <v>29</v>
      </c>
      <c r="Q695" s="31" t="s">
        <v>401</v>
      </c>
      <c r="R695" s="81"/>
    </row>
    <row r="696" ht="15.75" customHeight="1">
      <c r="A696" s="181"/>
      <c r="B696" s="182" t="s">
        <v>3868</v>
      </c>
      <c r="C696" s="182"/>
      <c r="D696" s="22"/>
      <c r="E696" s="22"/>
      <c r="F696" s="209"/>
      <c r="G696" s="210"/>
      <c r="H696" s="22"/>
      <c r="I696" s="22"/>
      <c r="J696" s="22"/>
      <c r="K696" s="22"/>
      <c r="L696" s="22"/>
      <c r="M696" s="22"/>
      <c r="N696" s="22"/>
      <c r="O696" s="22"/>
      <c r="P696" s="22"/>
      <c r="Q696" s="209"/>
      <c r="R696" s="22"/>
    </row>
    <row r="697" ht="15.75" customHeight="1">
      <c r="A697" s="211">
        <v>1.0</v>
      </c>
      <c r="B697" s="34" t="s">
        <v>43</v>
      </c>
      <c r="C697" s="34" t="s">
        <v>3869</v>
      </c>
      <c r="D697" s="57" t="s">
        <v>2000</v>
      </c>
      <c r="E697" s="57" t="s">
        <v>3607</v>
      </c>
      <c r="F697" s="264"/>
      <c r="G697" s="265">
        <v>173.0</v>
      </c>
      <c r="H697" s="72">
        <v>3.0</v>
      </c>
      <c r="I697" s="42">
        <v>15.0</v>
      </c>
      <c r="J697" s="42">
        <v>0.0</v>
      </c>
      <c r="K697" s="42">
        <v>0.0</v>
      </c>
      <c r="L697" s="70">
        <v>1.0</v>
      </c>
      <c r="M697" s="34" t="s">
        <v>1046</v>
      </c>
      <c r="N697" s="70" t="s">
        <v>138</v>
      </c>
      <c r="O697" s="70">
        <v>15.0</v>
      </c>
      <c r="P697" s="70" t="s">
        <v>335</v>
      </c>
      <c r="Q697" s="31">
        <v>0.0</v>
      </c>
      <c r="R697" s="46"/>
    </row>
    <row r="698" ht="15.75" customHeight="1">
      <c r="A698" s="211">
        <v>2.0</v>
      </c>
      <c r="B698" s="34" t="s">
        <v>3870</v>
      </c>
      <c r="C698" s="34" t="s">
        <v>3871</v>
      </c>
      <c r="D698" s="57" t="s">
        <v>2000</v>
      </c>
      <c r="E698" s="57" t="s">
        <v>3607</v>
      </c>
      <c r="F698" s="264"/>
      <c r="G698" s="265">
        <v>1650.0</v>
      </c>
      <c r="H698" s="72">
        <v>16.0</v>
      </c>
      <c r="I698" s="42">
        <v>80.0</v>
      </c>
      <c r="J698" s="42">
        <v>1.0</v>
      </c>
      <c r="K698" s="42">
        <v>1.0</v>
      </c>
      <c r="L698" s="70">
        <v>0.0</v>
      </c>
      <c r="M698" s="34" t="s">
        <v>1046</v>
      </c>
      <c r="N698" s="70" t="s">
        <v>138</v>
      </c>
      <c r="O698" s="70">
        <v>16.0</v>
      </c>
      <c r="P698" s="70" t="s">
        <v>47</v>
      </c>
      <c r="Q698" s="31">
        <v>11.0</v>
      </c>
      <c r="R698" s="46"/>
    </row>
    <row r="699" ht="15.75" customHeight="1">
      <c r="A699" s="211">
        <v>3.0</v>
      </c>
      <c r="B699" s="34" t="s">
        <v>3872</v>
      </c>
      <c r="C699" s="34" t="s">
        <v>3871</v>
      </c>
      <c r="D699" s="57" t="s">
        <v>2000</v>
      </c>
      <c r="E699" s="57" t="s">
        <v>3607</v>
      </c>
      <c r="F699" s="264"/>
      <c r="G699" s="265">
        <v>286.0</v>
      </c>
      <c r="H699" s="72">
        <v>3.0</v>
      </c>
      <c r="I699" s="42">
        <v>10.0</v>
      </c>
      <c r="J699" s="42">
        <v>1.0</v>
      </c>
      <c r="K699" s="42">
        <v>1.0</v>
      </c>
      <c r="L699" s="70">
        <v>0.0</v>
      </c>
      <c r="M699" s="34" t="s">
        <v>1046</v>
      </c>
      <c r="N699" s="70" t="s">
        <v>138</v>
      </c>
      <c r="O699" s="70">
        <v>15.0</v>
      </c>
      <c r="P699" s="70" t="s">
        <v>335</v>
      </c>
      <c r="Q699" s="31">
        <v>0.0</v>
      </c>
      <c r="R699" s="46"/>
    </row>
    <row r="700" ht="15.75" customHeight="1">
      <c r="A700" s="211">
        <v>4.0</v>
      </c>
      <c r="B700" s="34" t="s">
        <v>2781</v>
      </c>
      <c r="C700" s="34" t="s">
        <v>3871</v>
      </c>
      <c r="D700" s="57" t="s">
        <v>2000</v>
      </c>
      <c r="E700" s="57" t="s">
        <v>3607</v>
      </c>
      <c r="F700" s="264"/>
      <c r="G700" s="265">
        <v>500.0</v>
      </c>
      <c r="H700" s="72">
        <v>3.0</v>
      </c>
      <c r="I700" s="42">
        <v>10.0</v>
      </c>
      <c r="J700" s="42">
        <v>0.0</v>
      </c>
      <c r="K700" s="42">
        <v>0.0</v>
      </c>
      <c r="L700" s="70">
        <v>0.0</v>
      </c>
      <c r="M700" s="34" t="s">
        <v>1046</v>
      </c>
      <c r="N700" s="70" t="s">
        <v>138</v>
      </c>
      <c r="O700" s="70">
        <v>15.0</v>
      </c>
      <c r="P700" s="70" t="s">
        <v>335</v>
      </c>
      <c r="Q700" s="31">
        <v>0.0</v>
      </c>
      <c r="R700" s="46"/>
    </row>
    <row r="701" ht="15.75" customHeight="1">
      <c r="A701" s="211">
        <v>5.0</v>
      </c>
      <c r="B701" s="34" t="s">
        <v>3873</v>
      </c>
      <c r="C701" s="34" t="s">
        <v>3871</v>
      </c>
      <c r="D701" s="57" t="s">
        <v>2000</v>
      </c>
      <c r="E701" s="57" t="s">
        <v>3607</v>
      </c>
      <c r="F701" s="264"/>
      <c r="G701" s="265">
        <v>840.0</v>
      </c>
      <c r="H701" s="72">
        <v>5.0</v>
      </c>
      <c r="I701" s="42">
        <v>20.0</v>
      </c>
      <c r="J701" s="42">
        <v>0.0</v>
      </c>
      <c r="K701" s="42">
        <v>0.0</v>
      </c>
      <c r="L701" s="70">
        <v>8.0</v>
      </c>
      <c r="M701" s="34" t="s">
        <v>1046</v>
      </c>
      <c r="N701" s="70" t="s">
        <v>138</v>
      </c>
      <c r="O701" s="70">
        <v>25.0</v>
      </c>
      <c r="P701" s="70" t="s">
        <v>335</v>
      </c>
      <c r="Q701" s="31">
        <v>0.0</v>
      </c>
      <c r="R701" s="46"/>
    </row>
    <row r="702" ht="15.75" customHeight="1">
      <c r="A702" s="211">
        <v>6.0</v>
      </c>
      <c r="B702" s="34" t="s">
        <v>2934</v>
      </c>
      <c r="C702" s="34" t="s">
        <v>3871</v>
      </c>
      <c r="D702" s="57" t="s">
        <v>2000</v>
      </c>
      <c r="E702" s="57" t="s">
        <v>3607</v>
      </c>
      <c r="F702" s="264"/>
      <c r="G702" s="265">
        <v>200.0</v>
      </c>
      <c r="H702" s="72">
        <v>10.0</v>
      </c>
      <c r="I702" s="42">
        <v>3.0</v>
      </c>
      <c r="J702" s="42">
        <v>1.0</v>
      </c>
      <c r="K702" s="42">
        <v>1.0</v>
      </c>
      <c r="L702" s="70">
        <v>1.0</v>
      </c>
      <c r="M702" s="34" t="s">
        <v>1046</v>
      </c>
      <c r="N702" s="70" t="s">
        <v>138</v>
      </c>
      <c r="O702" s="70">
        <v>15.0</v>
      </c>
      <c r="P702" s="70" t="s">
        <v>335</v>
      </c>
      <c r="Q702" s="31">
        <v>0.0</v>
      </c>
      <c r="R702" s="46"/>
    </row>
    <row r="703" ht="15.75" customHeight="1">
      <c r="A703" s="211">
        <v>7.0</v>
      </c>
      <c r="B703" s="34" t="s">
        <v>3874</v>
      </c>
      <c r="C703" s="34" t="s">
        <v>3871</v>
      </c>
      <c r="D703" s="57" t="s">
        <v>2000</v>
      </c>
      <c r="E703" s="57" t="s">
        <v>3607</v>
      </c>
      <c r="F703" s="264"/>
      <c r="G703" s="265">
        <v>600.0</v>
      </c>
      <c r="H703" s="72">
        <v>5.0</v>
      </c>
      <c r="I703" s="42">
        <v>20.0</v>
      </c>
      <c r="J703" s="42">
        <v>0.0</v>
      </c>
      <c r="K703" s="42">
        <v>0.0</v>
      </c>
      <c r="L703" s="70">
        <v>1.0</v>
      </c>
      <c r="M703" s="34" t="s">
        <v>1046</v>
      </c>
      <c r="N703" s="70" t="s">
        <v>138</v>
      </c>
      <c r="O703" s="70">
        <v>25.0</v>
      </c>
      <c r="P703" s="70" t="s">
        <v>335</v>
      </c>
      <c r="Q703" s="31">
        <v>0.0</v>
      </c>
      <c r="R703" s="46"/>
    </row>
    <row r="704" ht="15.75" customHeight="1">
      <c r="A704" s="211">
        <v>8.0</v>
      </c>
      <c r="B704" s="34" t="s">
        <v>3875</v>
      </c>
      <c r="C704" s="34" t="s">
        <v>3871</v>
      </c>
      <c r="D704" s="57" t="s">
        <v>2000</v>
      </c>
      <c r="E704" s="57" t="s">
        <v>3607</v>
      </c>
      <c r="F704" s="264"/>
      <c r="G704" s="265">
        <v>500.0</v>
      </c>
      <c r="H704" s="72">
        <v>2.0</v>
      </c>
      <c r="I704" s="42">
        <v>6.0</v>
      </c>
      <c r="J704" s="42">
        <v>0.0</v>
      </c>
      <c r="K704" s="42">
        <v>0.0</v>
      </c>
      <c r="L704" s="70">
        <v>0.0</v>
      </c>
      <c r="M704" s="34" t="s">
        <v>138</v>
      </c>
      <c r="N704" s="70" t="s">
        <v>138</v>
      </c>
      <c r="O704" s="70">
        <v>10.0</v>
      </c>
      <c r="P704" s="70" t="s">
        <v>335</v>
      </c>
      <c r="Q704" s="31">
        <v>0.0</v>
      </c>
      <c r="R704" s="46"/>
    </row>
    <row r="705" ht="15.75" customHeight="1">
      <c r="A705" s="211">
        <v>9.0</v>
      </c>
      <c r="B705" s="34" t="s">
        <v>3876</v>
      </c>
      <c r="C705" s="34" t="s">
        <v>3871</v>
      </c>
      <c r="D705" s="57" t="s">
        <v>2000</v>
      </c>
      <c r="E705" s="57" t="s">
        <v>3607</v>
      </c>
      <c r="F705" s="264"/>
      <c r="G705" s="265">
        <v>2100.0</v>
      </c>
      <c r="H705" s="72">
        <v>10.0</v>
      </c>
      <c r="I705" s="42">
        <v>40.0</v>
      </c>
      <c r="J705" s="42">
        <v>1.0</v>
      </c>
      <c r="K705" s="42">
        <v>1.0</v>
      </c>
      <c r="L705" s="70">
        <v>0.0</v>
      </c>
      <c r="M705" s="34" t="s">
        <v>1046</v>
      </c>
      <c r="N705" s="70" t="s">
        <v>138</v>
      </c>
      <c r="O705" s="70">
        <v>50.0</v>
      </c>
      <c r="P705" s="70" t="s">
        <v>335</v>
      </c>
      <c r="Q705" s="31">
        <v>0.0</v>
      </c>
      <c r="R705" s="46"/>
    </row>
    <row r="706" ht="15.75" customHeight="1">
      <c r="A706" s="211">
        <v>10.0</v>
      </c>
      <c r="B706" s="34" t="s">
        <v>801</v>
      </c>
      <c r="C706" s="34" t="s">
        <v>3871</v>
      </c>
      <c r="D706" s="57" t="s">
        <v>2000</v>
      </c>
      <c r="E706" s="57" t="s">
        <v>3607</v>
      </c>
      <c r="F706" s="264"/>
      <c r="G706" s="265">
        <v>124.0</v>
      </c>
      <c r="H706" s="72">
        <v>2.0</v>
      </c>
      <c r="I706" s="42">
        <v>4.0</v>
      </c>
      <c r="J706" s="42">
        <v>0.0</v>
      </c>
      <c r="K706" s="42">
        <v>0.0</v>
      </c>
      <c r="L706" s="70">
        <v>0.0</v>
      </c>
      <c r="M706" s="34" t="s">
        <v>1046</v>
      </c>
      <c r="N706" s="70" t="s">
        <v>138</v>
      </c>
      <c r="O706" s="70">
        <v>10.0</v>
      </c>
      <c r="P706" s="70" t="s">
        <v>335</v>
      </c>
      <c r="Q706" s="31">
        <v>0.0</v>
      </c>
      <c r="R706" s="46"/>
    </row>
    <row r="707" ht="15.75" customHeight="1">
      <c r="A707" s="211">
        <v>11.0</v>
      </c>
      <c r="B707" s="34" t="s">
        <v>1319</v>
      </c>
      <c r="C707" s="34" t="s">
        <v>3877</v>
      </c>
      <c r="D707" s="57" t="s">
        <v>2000</v>
      </c>
      <c r="E707" s="57" t="s">
        <v>3607</v>
      </c>
      <c r="F707" s="264"/>
      <c r="G707" s="265">
        <v>60.0</v>
      </c>
      <c r="H707" s="72">
        <v>8.0</v>
      </c>
      <c r="I707" s="42">
        <v>30.0</v>
      </c>
      <c r="J707" s="42">
        <v>0.0</v>
      </c>
      <c r="K707" s="42">
        <v>0.0</v>
      </c>
      <c r="L707" s="70">
        <v>1.0</v>
      </c>
      <c r="M707" s="34" t="s">
        <v>27</v>
      </c>
      <c r="N707" s="70" t="s">
        <v>138</v>
      </c>
      <c r="O707" s="70">
        <v>40.0</v>
      </c>
      <c r="P707" s="70" t="s">
        <v>335</v>
      </c>
      <c r="Q707" s="31">
        <v>0.0</v>
      </c>
      <c r="R707" s="46"/>
    </row>
    <row r="708" ht="15.75" customHeight="1">
      <c r="A708" s="211">
        <v>12.0</v>
      </c>
      <c r="B708" s="34" t="s">
        <v>1134</v>
      </c>
      <c r="C708" s="34" t="s">
        <v>3877</v>
      </c>
      <c r="D708" s="57" t="s">
        <v>2000</v>
      </c>
      <c r="E708" s="57" t="s">
        <v>3607</v>
      </c>
      <c r="F708" s="264"/>
      <c r="G708" s="265">
        <v>20.0</v>
      </c>
      <c r="H708" s="72">
        <v>2.0</v>
      </c>
      <c r="I708" s="42">
        <v>5.0</v>
      </c>
      <c r="J708" s="42">
        <v>0.0</v>
      </c>
      <c r="K708" s="42">
        <v>0.0</v>
      </c>
      <c r="L708" s="70">
        <v>1.0</v>
      </c>
      <c r="M708" s="34" t="s">
        <v>27</v>
      </c>
      <c r="N708" s="70" t="s">
        <v>138</v>
      </c>
      <c r="O708" s="70">
        <v>10.0</v>
      </c>
      <c r="P708" s="70" t="s">
        <v>335</v>
      </c>
      <c r="Q708" s="31">
        <v>0.0</v>
      </c>
      <c r="R708" s="46"/>
    </row>
    <row r="709" ht="15.75" customHeight="1">
      <c r="A709" s="211">
        <v>13.0</v>
      </c>
      <c r="B709" s="34" t="s">
        <v>68</v>
      </c>
      <c r="C709" s="34" t="s">
        <v>3878</v>
      </c>
      <c r="D709" s="57" t="s">
        <v>2000</v>
      </c>
      <c r="E709" s="57" t="s">
        <v>3607</v>
      </c>
      <c r="F709" s="264"/>
      <c r="G709" s="265">
        <v>30.0</v>
      </c>
      <c r="H709" s="72">
        <v>2.0</v>
      </c>
      <c r="I709" s="42">
        <v>6.0</v>
      </c>
      <c r="J709" s="42">
        <v>0.0</v>
      </c>
      <c r="K709" s="42">
        <v>0.0</v>
      </c>
      <c r="L709" s="70">
        <v>1.0</v>
      </c>
      <c r="M709" s="34" t="s">
        <v>27</v>
      </c>
      <c r="N709" s="70" t="s">
        <v>138</v>
      </c>
      <c r="O709" s="70">
        <v>10.0</v>
      </c>
      <c r="P709" s="70" t="s">
        <v>335</v>
      </c>
      <c r="Q709" s="31">
        <v>0.0</v>
      </c>
      <c r="R709" s="46"/>
    </row>
    <row r="710" ht="15.75" customHeight="1">
      <c r="A710" s="211">
        <v>14.0</v>
      </c>
      <c r="B710" s="34" t="s">
        <v>68</v>
      </c>
      <c r="C710" s="34" t="s">
        <v>3879</v>
      </c>
      <c r="D710" s="57" t="s">
        <v>2000</v>
      </c>
      <c r="E710" s="57" t="s">
        <v>3607</v>
      </c>
      <c r="F710" s="264"/>
      <c r="G710" s="265">
        <v>80.0</v>
      </c>
      <c r="H710" s="72">
        <v>2.0</v>
      </c>
      <c r="I710" s="42">
        <v>6.0</v>
      </c>
      <c r="J710" s="42">
        <v>0.0</v>
      </c>
      <c r="K710" s="42">
        <v>0.0</v>
      </c>
      <c r="L710" s="70">
        <v>1.0</v>
      </c>
      <c r="M710" s="34" t="s">
        <v>27</v>
      </c>
      <c r="N710" s="70" t="s">
        <v>138</v>
      </c>
      <c r="O710" s="70">
        <v>10.0</v>
      </c>
      <c r="P710" s="70" t="s">
        <v>335</v>
      </c>
      <c r="Q710" s="31">
        <v>0.0</v>
      </c>
      <c r="R710" s="46"/>
    </row>
    <row r="711" ht="15.75" customHeight="1">
      <c r="A711" s="211">
        <v>15.0</v>
      </c>
      <c r="B711" s="34" t="s">
        <v>68</v>
      </c>
      <c r="C711" s="34" t="s">
        <v>3880</v>
      </c>
      <c r="D711" s="57" t="s">
        <v>2000</v>
      </c>
      <c r="E711" s="57" t="s">
        <v>3607</v>
      </c>
      <c r="F711" s="264"/>
      <c r="G711" s="265" t="s">
        <v>39</v>
      </c>
      <c r="H711" s="72">
        <v>2.0</v>
      </c>
      <c r="I711" s="42">
        <v>8.0</v>
      </c>
      <c r="J711" s="42">
        <v>0.0</v>
      </c>
      <c r="K711" s="42">
        <v>0.0</v>
      </c>
      <c r="L711" s="70">
        <v>1.0</v>
      </c>
      <c r="M711" s="34" t="s">
        <v>27</v>
      </c>
      <c r="N711" s="70" t="s">
        <v>138</v>
      </c>
      <c r="O711" s="70">
        <v>10.0</v>
      </c>
      <c r="P711" s="70" t="s">
        <v>335</v>
      </c>
      <c r="Q711" s="31">
        <v>0.0</v>
      </c>
      <c r="R711" s="46"/>
    </row>
    <row r="712" ht="15.75" customHeight="1">
      <c r="A712" s="211">
        <v>16.0</v>
      </c>
      <c r="B712" s="34" t="s">
        <v>3881</v>
      </c>
      <c r="C712" s="34" t="s">
        <v>3882</v>
      </c>
      <c r="D712" s="57" t="s">
        <v>2000</v>
      </c>
      <c r="E712" s="57" t="s">
        <v>3607</v>
      </c>
      <c r="F712" s="264"/>
      <c r="G712" s="265">
        <v>154.0</v>
      </c>
      <c r="H712" s="72">
        <v>3.0</v>
      </c>
      <c r="I712" s="42">
        <v>10.0</v>
      </c>
      <c r="J712" s="42">
        <v>0.0</v>
      </c>
      <c r="K712" s="42">
        <v>0.0</v>
      </c>
      <c r="L712" s="70">
        <v>1.0</v>
      </c>
      <c r="M712" s="34" t="s">
        <v>27</v>
      </c>
      <c r="N712" s="70" t="s">
        <v>138</v>
      </c>
      <c r="O712" s="70">
        <v>15.0</v>
      </c>
      <c r="P712" s="70" t="s">
        <v>335</v>
      </c>
      <c r="Q712" s="31">
        <v>0.0</v>
      </c>
      <c r="R712" s="46"/>
    </row>
    <row r="713" ht="15.75" customHeight="1">
      <c r="A713" s="211">
        <v>17.0</v>
      </c>
      <c r="B713" s="34" t="s">
        <v>3883</v>
      </c>
      <c r="C713" s="34" t="s">
        <v>3884</v>
      </c>
      <c r="D713" s="57" t="s">
        <v>2000</v>
      </c>
      <c r="E713" s="57" t="s">
        <v>3607</v>
      </c>
      <c r="F713" s="264"/>
      <c r="G713" s="265">
        <v>120.0</v>
      </c>
      <c r="H713" s="72">
        <v>8.0</v>
      </c>
      <c r="I713" s="42">
        <v>30.0</v>
      </c>
      <c r="J713" s="42">
        <v>0.0</v>
      </c>
      <c r="K713" s="42">
        <v>0.0</v>
      </c>
      <c r="L713" s="70">
        <v>1.0</v>
      </c>
      <c r="M713" s="34" t="s">
        <v>27</v>
      </c>
      <c r="N713" s="70" t="s">
        <v>138</v>
      </c>
      <c r="O713" s="70">
        <v>40.0</v>
      </c>
      <c r="P713" s="70" t="s">
        <v>335</v>
      </c>
      <c r="Q713" s="31">
        <v>0.0</v>
      </c>
      <c r="R713" s="46"/>
    </row>
    <row r="714" ht="15.75" customHeight="1">
      <c r="A714" s="211">
        <v>18.0</v>
      </c>
      <c r="B714" s="34" t="s">
        <v>1134</v>
      </c>
      <c r="C714" s="34" t="s">
        <v>3884</v>
      </c>
      <c r="D714" s="57" t="s">
        <v>2000</v>
      </c>
      <c r="E714" s="57" t="s">
        <v>3607</v>
      </c>
      <c r="F714" s="264"/>
      <c r="G714" s="265">
        <v>90.0</v>
      </c>
      <c r="H714" s="72">
        <v>3.0</v>
      </c>
      <c r="I714" s="42">
        <v>9.0</v>
      </c>
      <c r="J714" s="42">
        <v>0.0</v>
      </c>
      <c r="K714" s="42">
        <v>0.0</v>
      </c>
      <c r="L714" s="70">
        <v>1.0</v>
      </c>
      <c r="M714" s="34" t="s">
        <v>27</v>
      </c>
      <c r="N714" s="70" t="s">
        <v>138</v>
      </c>
      <c r="O714" s="70">
        <v>15.0</v>
      </c>
      <c r="P714" s="70" t="s">
        <v>335</v>
      </c>
      <c r="Q714" s="31">
        <v>0.0</v>
      </c>
      <c r="R714" s="46"/>
    </row>
    <row r="715" ht="15.75" customHeight="1">
      <c r="A715" s="211">
        <v>19.0</v>
      </c>
      <c r="B715" s="34" t="s">
        <v>2772</v>
      </c>
      <c r="C715" s="34" t="s">
        <v>3884</v>
      </c>
      <c r="D715" s="57" t="s">
        <v>2000</v>
      </c>
      <c r="E715" s="57" t="s">
        <v>3607</v>
      </c>
      <c r="F715" s="264"/>
      <c r="G715" s="265" t="s">
        <v>39</v>
      </c>
      <c r="H715" s="72">
        <v>2.0</v>
      </c>
      <c r="I715" s="42">
        <v>5.0</v>
      </c>
      <c r="J715" s="42">
        <v>0.0</v>
      </c>
      <c r="K715" s="42">
        <v>0.0</v>
      </c>
      <c r="L715" s="70">
        <v>1.0</v>
      </c>
      <c r="M715" s="34" t="s">
        <v>27</v>
      </c>
      <c r="N715" s="70" t="s">
        <v>138</v>
      </c>
      <c r="O715" s="70">
        <v>10.0</v>
      </c>
      <c r="P715" s="70" t="s">
        <v>335</v>
      </c>
      <c r="Q715" s="31">
        <v>0.0</v>
      </c>
      <c r="R715" s="46"/>
    </row>
    <row r="716" ht="15.75" customHeight="1">
      <c r="A716" s="211">
        <v>20.0</v>
      </c>
      <c r="B716" s="34" t="s">
        <v>3885</v>
      </c>
      <c r="C716" s="34" t="s">
        <v>3884</v>
      </c>
      <c r="D716" s="57" t="s">
        <v>2000</v>
      </c>
      <c r="E716" s="57" t="s">
        <v>3607</v>
      </c>
      <c r="F716" s="264"/>
      <c r="G716" s="265">
        <v>80.0</v>
      </c>
      <c r="H716" s="72">
        <v>2.0</v>
      </c>
      <c r="I716" s="42">
        <v>6.0</v>
      </c>
      <c r="J716" s="42">
        <v>0.0</v>
      </c>
      <c r="K716" s="42">
        <v>0.0</v>
      </c>
      <c r="L716" s="70">
        <v>1.0</v>
      </c>
      <c r="M716" s="34" t="s">
        <v>27</v>
      </c>
      <c r="N716" s="70" t="s">
        <v>138</v>
      </c>
      <c r="O716" s="70">
        <v>10.0</v>
      </c>
      <c r="P716" s="70" t="s">
        <v>335</v>
      </c>
      <c r="Q716" s="31">
        <v>0.0</v>
      </c>
      <c r="R716" s="46"/>
    </row>
    <row r="717" ht="15.75" customHeight="1">
      <c r="A717" s="211">
        <v>21.0</v>
      </c>
      <c r="B717" s="34" t="s">
        <v>2772</v>
      </c>
      <c r="C717" s="34" t="s">
        <v>3884</v>
      </c>
      <c r="D717" s="57" t="s">
        <v>2000</v>
      </c>
      <c r="E717" s="57" t="s">
        <v>3607</v>
      </c>
      <c r="F717" s="264"/>
      <c r="G717" s="265">
        <v>100.0</v>
      </c>
      <c r="H717" s="72">
        <v>2.0</v>
      </c>
      <c r="I717" s="42">
        <v>10.0</v>
      </c>
      <c r="J717" s="42">
        <v>0.0</v>
      </c>
      <c r="K717" s="42">
        <v>0.0</v>
      </c>
      <c r="L717" s="70">
        <v>1.0</v>
      </c>
      <c r="M717" s="34" t="s">
        <v>27</v>
      </c>
      <c r="N717" s="70" t="s">
        <v>138</v>
      </c>
      <c r="O717" s="70">
        <v>10.0</v>
      </c>
      <c r="P717" s="70" t="s">
        <v>335</v>
      </c>
      <c r="Q717" s="31">
        <v>0.0</v>
      </c>
      <c r="R717" s="46"/>
    </row>
    <row r="718" ht="15.75" customHeight="1">
      <c r="A718" s="211">
        <v>22.0</v>
      </c>
      <c r="B718" s="34" t="s">
        <v>3886</v>
      </c>
      <c r="C718" s="34" t="s">
        <v>3887</v>
      </c>
      <c r="D718" s="57" t="s">
        <v>2000</v>
      </c>
      <c r="E718" s="57" t="s">
        <v>3607</v>
      </c>
      <c r="F718" s="264"/>
      <c r="G718" s="265">
        <v>200.0</v>
      </c>
      <c r="H718" s="72">
        <v>8.0</v>
      </c>
      <c r="I718" s="42">
        <v>30.0</v>
      </c>
      <c r="J718" s="42">
        <v>0.0</v>
      </c>
      <c r="K718" s="42">
        <v>0.0</v>
      </c>
      <c r="L718" s="70">
        <v>1.0</v>
      </c>
      <c r="M718" s="34" t="s">
        <v>3888</v>
      </c>
      <c r="N718" s="70" t="s">
        <v>138</v>
      </c>
      <c r="O718" s="70">
        <v>40.0</v>
      </c>
      <c r="P718" s="70" t="s">
        <v>335</v>
      </c>
      <c r="Q718" s="31">
        <v>0.0</v>
      </c>
      <c r="R718" s="46"/>
    </row>
    <row r="719" ht="15.75" customHeight="1">
      <c r="A719" s="211">
        <v>23.0</v>
      </c>
      <c r="B719" s="34" t="s">
        <v>1134</v>
      </c>
      <c r="C719" s="34" t="s">
        <v>3889</v>
      </c>
      <c r="D719" s="57" t="s">
        <v>2000</v>
      </c>
      <c r="E719" s="57" t="s">
        <v>3607</v>
      </c>
      <c r="F719" s="264"/>
      <c r="G719" s="265" t="s">
        <v>39</v>
      </c>
      <c r="H719" s="72">
        <v>4.0</v>
      </c>
      <c r="I719" s="42">
        <v>15.0</v>
      </c>
      <c r="J719" s="42">
        <v>0.0</v>
      </c>
      <c r="K719" s="42">
        <v>0.0</v>
      </c>
      <c r="L719" s="70">
        <v>1.0</v>
      </c>
      <c r="M719" s="34" t="s">
        <v>3888</v>
      </c>
      <c r="N719" s="70" t="s">
        <v>138</v>
      </c>
      <c r="O719" s="70">
        <v>20.0</v>
      </c>
      <c r="P719" s="70" t="s">
        <v>335</v>
      </c>
      <c r="Q719" s="31">
        <v>0.0</v>
      </c>
      <c r="R719" s="46"/>
    </row>
    <row r="720" ht="15.75" customHeight="1">
      <c r="A720" s="211">
        <v>24.0</v>
      </c>
      <c r="B720" s="34" t="s">
        <v>3883</v>
      </c>
      <c r="C720" s="34" t="s">
        <v>3890</v>
      </c>
      <c r="D720" s="57" t="s">
        <v>2000</v>
      </c>
      <c r="E720" s="57" t="s">
        <v>3607</v>
      </c>
      <c r="F720" s="264"/>
      <c r="G720" s="265">
        <v>50.0</v>
      </c>
      <c r="H720" s="72">
        <v>3.0</v>
      </c>
      <c r="I720" s="42">
        <v>12.0</v>
      </c>
      <c r="J720" s="42">
        <v>0.0</v>
      </c>
      <c r="K720" s="42">
        <v>0.0</v>
      </c>
      <c r="L720" s="70">
        <v>1.0</v>
      </c>
      <c r="M720" s="34" t="s">
        <v>27</v>
      </c>
      <c r="N720" s="70" t="s">
        <v>138</v>
      </c>
      <c r="O720" s="70">
        <v>15.0</v>
      </c>
      <c r="P720" s="70" t="s">
        <v>335</v>
      </c>
      <c r="Q720" s="31">
        <v>0.0</v>
      </c>
      <c r="R720" s="46"/>
    </row>
    <row r="721" ht="15.75" customHeight="1">
      <c r="A721" s="211">
        <v>25.0</v>
      </c>
      <c r="B721" s="34" t="s">
        <v>2772</v>
      </c>
      <c r="C721" s="34" t="s">
        <v>3890</v>
      </c>
      <c r="D721" s="57" t="s">
        <v>2000</v>
      </c>
      <c r="E721" s="57" t="s">
        <v>3607</v>
      </c>
      <c r="F721" s="264"/>
      <c r="G721" s="265">
        <v>96.0</v>
      </c>
      <c r="H721" s="72">
        <v>5.0</v>
      </c>
      <c r="I721" s="42">
        <v>20.0</v>
      </c>
      <c r="J721" s="42">
        <v>0.0</v>
      </c>
      <c r="K721" s="42">
        <v>0.0</v>
      </c>
      <c r="L721" s="70">
        <v>1.0</v>
      </c>
      <c r="M721" s="34" t="s">
        <v>27</v>
      </c>
      <c r="N721" s="70" t="s">
        <v>138</v>
      </c>
      <c r="O721" s="70">
        <v>25.0</v>
      </c>
      <c r="P721" s="70" t="s">
        <v>335</v>
      </c>
      <c r="Q721" s="31">
        <v>0.0</v>
      </c>
      <c r="R721" s="46"/>
    </row>
    <row r="722" ht="15.75" customHeight="1">
      <c r="A722" s="211">
        <v>26.0</v>
      </c>
      <c r="B722" s="34" t="s">
        <v>68</v>
      </c>
      <c r="C722" s="34" t="s">
        <v>3891</v>
      </c>
      <c r="D722" s="57" t="s">
        <v>2000</v>
      </c>
      <c r="E722" s="57" t="s">
        <v>3607</v>
      </c>
      <c r="F722" s="264"/>
      <c r="G722" s="265" t="s">
        <v>39</v>
      </c>
      <c r="H722" s="72">
        <v>2.0</v>
      </c>
      <c r="I722" s="42">
        <v>8.0</v>
      </c>
      <c r="J722" s="42">
        <v>0.0</v>
      </c>
      <c r="K722" s="42">
        <v>0.0</v>
      </c>
      <c r="L722" s="70">
        <v>1.0</v>
      </c>
      <c r="M722" s="34" t="s">
        <v>3892</v>
      </c>
      <c r="N722" s="70" t="s">
        <v>138</v>
      </c>
      <c r="O722" s="70">
        <v>10.0</v>
      </c>
      <c r="P722" s="70" t="s">
        <v>335</v>
      </c>
      <c r="Q722" s="31">
        <v>0.0</v>
      </c>
      <c r="R722" s="46"/>
    </row>
    <row r="723" ht="15.75" customHeight="1">
      <c r="A723" s="211">
        <v>27.0</v>
      </c>
      <c r="B723" s="34" t="s">
        <v>1142</v>
      </c>
      <c r="C723" s="34" t="s">
        <v>3891</v>
      </c>
      <c r="D723" s="57" t="s">
        <v>2000</v>
      </c>
      <c r="E723" s="57" t="s">
        <v>3607</v>
      </c>
      <c r="F723" s="264"/>
      <c r="G723" s="265" t="s">
        <v>39</v>
      </c>
      <c r="H723" s="72">
        <v>1.0</v>
      </c>
      <c r="I723" s="42">
        <v>4.0</v>
      </c>
      <c r="J723" s="42">
        <v>0.0</v>
      </c>
      <c r="K723" s="42">
        <v>0.0</v>
      </c>
      <c r="L723" s="70">
        <v>1.0</v>
      </c>
      <c r="M723" s="34" t="s">
        <v>27</v>
      </c>
      <c r="N723" s="70" t="s">
        <v>138</v>
      </c>
      <c r="O723" s="70">
        <v>5.0</v>
      </c>
      <c r="P723" s="70" t="s">
        <v>335</v>
      </c>
      <c r="Q723" s="31">
        <v>0.0</v>
      </c>
      <c r="R723" s="46"/>
    </row>
    <row r="724" ht="15.75" customHeight="1">
      <c r="A724" s="211">
        <v>28.0</v>
      </c>
      <c r="B724" s="34" t="s">
        <v>68</v>
      </c>
      <c r="C724" s="34" t="s">
        <v>3893</v>
      </c>
      <c r="D724" s="57" t="s">
        <v>2000</v>
      </c>
      <c r="E724" s="57" t="s">
        <v>3607</v>
      </c>
      <c r="F724" s="264"/>
      <c r="G724" s="265">
        <v>720.0</v>
      </c>
      <c r="H724" s="72">
        <v>2.0</v>
      </c>
      <c r="I724" s="42">
        <v>8.0</v>
      </c>
      <c r="J724" s="42">
        <v>0.0</v>
      </c>
      <c r="K724" s="42">
        <v>0.0</v>
      </c>
      <c r="L724" s="70">
        <v>1.0</v>
      </c>
      <c r="M724" s="34" t="s">
        <v>27</v>
      </c>
      <c r="N724" s="70" t="s">
        <v>138</v>
      </c>
      <c r="O724" s="70">
        <v>10.0</v>
      </c>
      <c r="P724" s="70" t="s">
        <v>335</v>
      </c>
      <c r="Q724" s="31">
        <v>0.0</v>
      </c>
      <c r="R724" s="46"/>
    </row>
    <row r="725" ht="15.75" customHeight="1">
      <c r="A725" s="211">
        <v>29.0</v>
      </c>
      <c r="B725" s="34" t="s">
        <v>1134</v>
      </c>
      <c r="C725" s="34" t="s">
        <v>3893</v>
      </c>
      <c r="D725" s="57" t="s">
        <v>2000</v>
      </c>
      <c r="E725" s="57" t="s">
        <v>3607</v>
      </c>
      <c r="F725" s="264"/>
      <c r="G725" s="265">
        <v>80.0</v>
      </c>
      <c r="H725" s="72">
        <v>1.0</v>
      </c>
      <c r="I725" s="42">
        <v>4.0</v>
      </c>
      <c r="J725" s="42">
        <v>0.0</v>
      </c>
      <c r="K725" s="42">
        <v>0.0</v>
      </c>
      <c r="L725" s="70">
        <v>1.0</v>
      </c>
      <c r="M725" s="34" t="s">
        <v>27</v>
      </c>
      <c r="N725" s="70" t="s">
        <v>138</v>
      </c>
      <c r="O725" s="70">
        <v>5.0</v>
      </c>
      <c r="P725" s="70" t="s">
        <v>335</v>
      </c>
      <c r="Q725" s="31">
        <v>0.0</v>
      </c>
      <c r="R725" s="46"/>
    </row>
    <row r="726" ht="15.75" customHeight="1">
      <c r="A726" s="211">
        <v>30.0</v>
      </c>
      <c r="B726" s="34" t="s">
        <v>2772</v>
      </c>
      <c r="C726" s="34" t="s">
        <v>3893</v>
      </c>
      <c r="D726" s="57" t="s">
        <v>2000</v>
      </c>
      <c r="E726" s="57" t="s">
        <v>3607</v>
      </c>
      <c r="F726" s="264"/>
      <c r="G726" s="265">
        <v>63.0</v>
      </c>
      <c r="H726" s="72">
        <v>1.0</v>
      </c>
      <c r="I726" s="42">
        <v>3.0</v>
      </c>
      <c r="J726" s="42">
        <v>0.0</v>
      </c>
      <c r="K726" s="42">
        <v>0.0</v>
      </c>
      <c r="L726" s="70">
        <v>1.0</v>
      </c>
      <c r="M726" s="34" t="s">
        <v>27</v>
      </c>
      <c r="N726" s="70" t="s">
        <v>138</v>
      </c>
      <c r="O726" s="70">
        <v>5.0</v>
      </c>
      <c r="P726" s="70" t="s">
        <v>335</v>
      </c>
      <c r="Q726" s="31">
        <v>0.0</v>
      </c>
      <c r="R726" s="46"/>
    </row>
    <row r="727" ht="15.75" customHeight="1">
      <c r="A727" s="211">
        <v>31.0</v>
      </c>
      <c r="B727" s="34" t="s">
        <v>68</v>
      </c>
      <c r="C727" s="34" t="s">
        <v>3894</v>
      </c>
      <c r="D727" s="57" t="s">
        <v>2000</v>
      </c>
      <c r="E727" s="57" t="s">
        <v>3607</v>
      </c>
      <c r="F727" s="264"/>
      <c r="G727" s="265">
        <v>388.0</v>
      </c>
      <c r="H727" s="72">
        <v>2.0</v>
      </c>
      <c r="I727" s="42">
        <v>8.0</v>
      </c>
      <c r="J727" s="42">
        <v>0.0</v>
      </c>
      <c r="K727" s="42">
        <v>0.0</v>
      </c>
      <c r="L727" s="70">
        <v>1.0</v>
      </c>
      <c r="M727" s="34" t="s">
        <v>27</v>
      </c>
      <c r="N727" s="70" t="s">
        <v>138</v>
      </c>
      <c r="O727" s="70">
        <v>10.0</v>
      </c>
      <c r="P727" s="70" t="s">
        <v>335</v>
      </c>
      <c r="Q727" s="31">
        <v>0.0</v>
      </c>
      <c r="R727" s="46"/>
    </row>
    <row r="728" ht="15.75" customHeight="1">
      <c r="A728" s="211">
        <v>32.0</v>
      </c>
      <c r="B728" s="34" t="s">
        <v>68</v>
      </c>
      <c r="C728" s="34" t="s">
        <v>3895</v>
      </c>
      <c r="D728" s="57" t="s">
        <v>2000</v>
      </c>
      <c r="E728" s="57" t="s">
        <v>3607</v>
      </c>
      <c r="F728" s="264"/>
      <c r="G728" s="265">
        <v>28.0</v>
      </c>
      <c r="H728" s="72">
        <v>1.0</v>
      </c>
      <c r="I728" s="42">
        <v>2.0</v>
      </c>
      <c r="J728" s="42">
        <v>0.0</v>
      </c>
      <c r="K728" s="42">
        <v>0.0</v>
      </c>
      <c r="L728" s="70">
        <v>1.0</v>
      </c>
      <c r="M728" s="34" t="s">
        <v>27</v>
      </c>
      <c r="N728" s="70" t="s">
        <v>138</v>
      </c>
      <c r="O728" s="70">
        <v>5.0</v>
      </c>
      <c r="P728" s="70" t="s">
        <v>335</v>
      </c>
      <c r="Q728" s="31">
        <v>0.0</v>
      </c>
      <c r="R728" s="46"/>
    </row>
    <row r="729" ht="15.75" customHeight="1">
      <c r="A729" s="211">
        <v>33.0</v>
      </c>
      <c r="B729" s="34" t="s">
        <v>1142</v>
      </c>
      <c r="C729" s="34" t="s">
        <v>3895</v>
      </c>
      <c r="D729" s="57" t="s">
        <v>2000</v>
      </c>
      <c r="E729" s="57" t="s">
        <v>3607</v>
      </c>
      <c r="F729" s="264"/>
      <c r="G729" s="265">
        <v>28.0</v>
      </c>
      <c r="H729" s="72">
        <v>1.0</v>
      </c>
      <c r="I729" s="42">
        <v>2.0</v>
      </c>
      <c r="J729" s="42">
        <v>0.0</v>
      </c>
      <c r="K729" s="42">
        <v>0.0</v>
      </c>
      <c r="L729" s="70">
        <v>1.0</v>
      </c>
      <c r="M729" s="34" t="s">
        <v>27</v>
      </c>
      <c r="N729" s="70" t="s">
        <v>138</v>
      </c>
      <c r="O729" s="70">
        <v>5.0</v>
      </c>
      <c r="P729" s="70" t="s">
        <v>335</v>
      </c>
      <c r="Q729" s="31">
        <v>0.0</v>
      </c>
      <c r="R729" s="46"/>
    </row>
    <row r="730" ht="15.75" customHeight="1">
      <c r="A730" s="211">
        <v>34.0</v>
      </c>
      <c r="B730" s="34" t="s">
        <v>68</v>
      </c>
      <c r="C730" s="34" t="s">
        <v>3896</v>
      </c>
      <c r="D730" s="57" t="s">
        <v>2000</v>
      </c>
      <c r="E730" s="57" t="s">
        <v>3607</v>
      </c>
      <c r="F730" s="264"/>
      <c r="G730" s="265">
        <v>220.0</v>
      </c>
      <c r="H730" s="72">
        <v>10.0</v>
      </c>
      <c r="I730" s="42">
        <v>40.0</v>
      </c>
      <c r="J730" s="42">
        <v>0.0</v>
      </c>
      <c r="K730" s="42">
        <v>0.0</v>
      </c>
      <c r="L730" s="70">
        <v>1.0</v>
      </c>
      <c r="M730" s="34" t="s">
        <v>27</v>
      </c>
      <c r="N730" s="70" t="s">
        <v>138</v>
      </c>
      <c r="O730" s="70">
        <v>50.0</v>
      </c>
      <c r="P730" s="70" t="s">
        <v>335</v>
      </c>
      <c r="Q730" s="31">
        <v>0.0</v>
      </c>
      <c r="R730" s="46"/>
    </row>
    <row r="731" ht="15.75" customHeight="1">
      <c r="A731" s="211">
        <v>35.0</v>
      </c>
      <c r="B731" s="34" t="s">
        <v>1134</v>
      </c>
      <c r="C731" s="34" t="s">
        <v>3897</v>
      </c>
      <c r="D731" s="57" t="s">
        <v>2000</v>
      </c>
      <c r="E731" s="57" t="s">
        <v>3607</v>
      </c>
      <c r="F731" s="264"/>
      <c r="G731" s="265">
        <v>56.0</v>
      </c>
      <c r="H731" s="72">
        <v>1.0</v>
      </c>
      <c r="I731" s="42">
        <v>2.0</v>
      </c>
      <c r="J731" s="42">
        <v>0.0</v>
      </c>
      <c r="K731" s="42">
        <v>0.0</v>
      </c>
      <c r="L731" s="70">
        <v>1.0</v>
      </c>
      <c r="M731" s="34" t="s">
        <v>27</v>
      </c>
      <c r="N731" s="70" t="s">
        <v>138</v>
      </c>
      <c r="O731" s="70">
        <v>5.0</v>
      </c>
      <c r="P731" s="70" t="s">
        <v>335</v>
      </c>
      <c r="Q731" s="31">
        <v>0.0</v>
      </c>
      <c r="R731" s="46"/>
    </row>
    <row r="732" ht="15.75" customHeight="1">
      <c r="A732" s="211">
        <v>36.0</v>
      </c>
      <c r="B732" s="34" t="s">
        <v>3898</v>
      </c>
      <c r="C732" s="34" t="s">
        <v>3899</v>
      </c>
      <c r="D732" s="57" t="s">
        <v>2000</v>
      </c>
      <c r="E732" s="57" t="s">
        <v>3607</v>
      </c>
      <c r="F732" s="264"/>
      <c r="G732" s="265">
        <v>150.0</v>
      </c>
      <c r="H732" s="72">
        <v>15.0</v>
      </c>
      <c r="I732" s="42">
        <v>60.0</v>
      </c>
      <c r="J732" s="42">
        <v>0.0</v>
      </c>
      <c r="K732" s="42">
        <v>0.0</v>
      </c>
      <c r="L732" s="70">
        <v>1.0</v>
      </c>
      <c r="M732" s="34" t="s">
        <v>27</v>
      </c>
      <c r="N732" s="70" t="s">
        <v>138</v>
      </c>
      <c r="O732" s="70">
        <v>75.0</v>
      </c>
      <c r="P732" s="70" t="s">
        <v>335</v>
      </c>
      <c r="Q732" s="31">
        <v>0.0</v>
      </c>
      <c r="R732" s="46"/>
    </row>
    <row r="733" ht="15.75" customHeight="1">
      <c r="A733" s="211">
        <v>37.0</v>
      </c>
      <c r="B733" s="34" t="s">
        <v>3900</v>
      </c>
      <c r="C733" s="34" t="s">
        <v>3899</v>
      </c>
      <c r="D733" s="57" t="s">
        <v>2000</v>
      </c>
      <c r="E733" s="57" t="s">
        <v>3607</v>
      </c>
      <c r="F733" s="264"/>
      <c r="G733" s="265">
        <v>95.0</v>
      </c>
      <c r="H733" s="72">
        <v>15.0</v>
      </c>
      <c r="I733" s="42">
        <v>60.0</v>
      </c>
      <c r="J733" s="42">
        <v>0.0</v>
      </c>
      <c r="K733" s="42">
        <v>0.0</v>
      </c>
      <c r="L733" s="70">
        <v>1.0</v>
      </c>
      <c r="M733" s="34" t="s">
        <v>27</v>
      </c>
      <c r="N733" s="70" t="s">
        <v>138</v>
      </c>
      <c r="O733" s="70">
        <v>75.0</v>
      </c>
      <c r="P733" s="70" t="s">
        <v>335</v>
      </c>
      <c r="Q733" s="31">
        <v>0.0</v>
      </c>
      <c r="R733" s="46"/>
    </row>
    <row r="734" ht="15.75" customHeight="1">
      <c r="A734" s="211">
        <v>38.0</v>
      </c>
      <c r="B734" s="34" t="s">
        <v>3901</v>
      </c>
      <c r="C734" s="34" t="s">
        <v>3902</v>
      </c>
      <c r="D734" s="57" t="s">
        <v>2000</v>
      </c>
      <c r="E734" s="57" t="s">
        <v>3607</v>
      </c>
      <c r="F734" s="264"/>
      <c r="G734" s="265">
        <v>16.0</v>
      </c>
      <c r="H734" s="72">
        <v>3.0</v>
      </c>
      <c r="I734" s="42">
        <v>10.0</v>
      </c>
      <c r="J734" s="42">
        <v>0.0</v>
      </c>
      <c r="K734" s="42">
        <v>0.0</v>
      </c>
      <c r="L734" s="70">
        <v>1.0</v>
      </c>
      <c r="M734" s="34" t="s">
        <v>27</v>
      </c>
      <c r="N734" s="70" t="s">
        <v>138</v>
      </c>
      <c r="O734" s="70">
        <v>15.0</v>
      </c>
      <c r="P734" s="70" t="s">
        <v>335</v>
      </c>
      <c r="Q734" s="31">
        <v>0.0</v>
      </c>
      <c r="R734" s="46"/>
    </row>
    <row r="735" ht="15.75" customHeight="1">
      <c r="A735" s="211">
        <v>39.0</v>
      </c>
      <c r="B735" s="34" t="s">
        <v>3903</v>
      </c>
      <c r="C735" s="34" t="s">
        <v>3899</v>
      </c>
      <c r="D735" s="57" t="s">
        <v>2000</v>
      </c>
      <c r="E735" s="57" t="s">
        <v>3607</v>
      </c>
      <c r="F735" s="264"/>
      <c r="G735" s="265">
        <v>16.0</v>
      </c>
      <c r="H735" s="72">
        <v>1.0</v>
      </c>
      <c r="I735" s="42">
        <v>2.0</v>
      </c>
      <c r="J735" s="42">
        <v>0.0</v>
      </c>
      <c r="K735" s="42">
        <v>0.0</v>
      </c>
      <c r="L735" s="70">
        <v>1.0</v>
      </c>
      <c r="M735" s="34" t="s">
        <v>27</v>
      </c>
      <c r="N735" s="70" t="s">
        <v>138</v>
      </c>
      <c r="O735" s="70">
        <v>5.0</v>
      </c>
      <c r="P735" s="70" t="s">
        <v>335</v>
      </c>
      <c r="Q735" s="31">
        <v>0.0</v>
      </c>
      <c r="R735" s="46"/>
    </row>
    <row r="736" ht="15.75" customHeight="1">
      <c r="A736" s="211">
        <v>40.0</v>
      </c>
      <c r="B736" s="34" t="s">
        <v>1134</v>
      </c>
      <c r="C736" s="34" t="s">
        <v>3904</v>
      </c>
      <c r="D736" s="57" t="s">
        <v>2000</v>
      </c>
      <c r="E736" s="57" t="s">
        <v>3607</v>
      </c>
      <c r="F736" s="264"/>
      <c r="G736" s="265">
        <v>16.0</v>
      </c>
      <c r="H736" s="72">
        <v>3.0</v>
      </c>
      <c r="I736" s="42">
        <v>10.0</v>
      </c>
      <c r="J736" s="42">
        <v>0.0</v>
      </c>
      <c r="K736" s="42">
        <v>0.0</v>
      </c>
      <c r="L736" s="70">
        <v>1.0</v>
      </c>
      <c r="M736" s="34" t="s">
        <v>27</v>
      </c>
      <c r="N736" s="70" t="s">
        <v>138</v>
      </c>
      <c r="O736" s="70">
        <v>15.0</v>
      </c>
      <c r="P736" s="70" t="s">
        <v>335</v>
      </c>
      <c r="Q736" s="31">
        <v>0.0</v>
      </c>
      <c r="R736" s="46"/>
    </row>
    <row r="737" ht="15.75" customHeight="1">
      <c r="A737" s="211">
        <v>41.0</v>
      </c>
      <c r="B737" s="34" t="s">
        <v>3886</v>
      </c>
      <c r="C737" s="34" t="s">
        <v>3905</v>
      </c>
      <c r="D737" s="57" t="s">
        <v>2000</v>
      </c>
      <c r="E737" s="57" t="s">
        <v>3607</v>
      </c>
      <c r="F737" s="264"/>
      <c r="G737" s="265">
        <v>150.0</v>
      </c>
      <c r="H737" s="72">
        <v>13.0</v>
      </c>
      <c r="I737" s="42">
        <v>50.0</v>
      </c>
      <c r="J737" s="42">
        <v>0.0</v>
      </c>
      <c r="K737" s="42">
        <v>0.0</v>
      </c>
      <c r="L737" s="70">
        <v>1.0</v>
      </c>
      <c r="M737" s="34" t="s">
        <v>27</v>
      </c>
      <c r="N737" s="70" t="s">
        <v>138</v>
      </c>
      <c r="O737" s="70">
        <v>65.0</v>
      </c>
      <c r="P737" s="70" t="s">
        <v>335</v>
      </c>
      <c r="Q737" s="31">
        <v>0.0</v>
      </c>
      <c r="R737" s="46"/>
    </row>
    <row r="738" ht="15.75" customHeight="1">
      <c r="A738" s="211">
        <v>42.0</v>
      </c>
      <c r="B738" s="34" t="s">
        <v>3886</v>
      </c>
      <c r="C738" s="34" t="s">
        <v>3905</v>
      </c>
      <c r="D738" s="57" t="s">
        <v>2000</v>
      </c>
      <c r="E738" s="57" t="s">
        <v>3607</v>
      </c>
      <c r="F738" s="264"/>
      <c r="G738" s="265">
        <v>54.0</v>
      </c>
      <c r="H738" s="72">
        <v>3.0</v>
      </c>
      <c r="I738" s="42">
        <v>10.0</v>
      </c>
      <c r="J738" s="42">
        <v>0.0</v>
      </c>
      <c r="K738" s="42">
        <v>0.0</v>
      </c>
      <c r="L738" s="70">
        <v>1.0</v>
      </c>
      <c r="M738" s="34" t="s">
        <v>27</v>
      </c>
      <c r="N738" s="70" t="s">
        <v>138</v>
      </c>
      <c r="O738" s="70">
        <v>15.0</v>
      </c>
      <c r="P738" s="70" t="s">
        <v>335</v>
      </c>
      <c r="Q738" s="31">
        <v>0.0</v>
      </c>
      <c r="R738" s="46"/>
    </row>
    <row r="739" ht="15.75" customHeight="1">
      <c r="A739" s="211">
        <v>43.0</v>
      </c>
      <c r="B739" s="34" t="s">
        <v>1142</v>
      </c>
      <c r="C739" s="34" t="s">
        <v>3905</v>
      </c>
      <c r="D739" s="57" t="s">
        <v>2000</v>
      </c>
      <c r="E739" s="57" t="s">
        <v>3607</v>
      </c>
      <c r="F739" s="264"/>
      <c r="G739" s="265" t="s">
        <v>39</v>
      </c>
      <c r="H739" s="72">
        <v>2.0</v>
      </c>
      <c r="I739" s="42">
        <v>7.0</v>
      </c>
      <c r="J739" s="42">
        <v>0.0</v>
      </c>
      <c r="K739" s="42">
        <v>0.0</v>
      </c>
      <c r="L739" s="70">
        <v>1.0</v>
      </c>
      <c r="M739" s="34" t="s">
        <v>27</v>
      </c>
      <c r="N739" s="70" t="s">
        <v>138</v>
      </c>
      <c r="O739" s="70">
        <v>10.0</v>
      </c>
      <c r="P739" s="70" t="s">
        <v>335</v>
      </c>
      <c r="Q739" s="31">
        <v>0.0</v>
      </c>
      <c r="R739" s="46"/>
    </row>
    <row r="740" ht="15.75" customHeight="1">
      <c r="A740" s="211">
        <v>44.0</v>
      </c>
      <c r="B740" s="34" t="s">
        <v>1134</v>
      </c>
      <c r="C740" s="34" t="s">
        <v>3905</v>
      </c>
      <c r="D740" s="57" t="s">
        <v>2000</v>
      </c>
      <c r="E740" s="57" t="s">
        <v>3607</v>
      </c>
      <c r="F740" s="264"/>
      <c r="G740" s="265">
        <v>40.0</v>
      </c>
      <c r="H740" s="72">
        <v>1.0</v>
      </c>
      <c r="I740" s="42">
        <v>5.0</v>
      </c>
      <c r="J740" s="42">
        <v>0.0</v>
      </c>
      <c r="K740" s="42">
        <v>0.0</v>
      </c>
      <c r="L740" s="70">
        <v>1.0</v>
      </c>
      <c r="M740" s="34" t="s">
        <v>27</v>
      </c>
      <c r="N740" s="70" t="s">
        <v>138</v>
      </c>
      <c r="O740" s="70">
        <v>5.0</v>
      </c>
      <c r="P740" s="70" t="s">
        <v>335</v>
      </c>
      <c r="Q740" s="31">
        <v>0.0</v>
      </c>
      <c r="R740" s="46"/>
    </row>
    <row r="741" ht="15.75" customHeight="1">
      <c r="A741" s="211">
        <v>45.0</v>
      </c>
      <c r="B741" s="34" t="s">
        <v>68</v>
      </c>
      <c r="C741" s="34" t="s">
        <v>3906</v>
      </c>
      <c r="D741" s="57" t="s">
        <v>2000</v>
      </c>
      <c r="E741" s="57" t="s">
        <v>3607</v>
      </c>
      <c r="F741" s="264"/>
      <c r="G741" s="265">
        <v>100.0</v>
      </c>
      <c r="H741" s="72">
        <v>5.0</v>
      </c>
      <c r="I741" s="42">
        <v>20.0</v>
      </c>
      <c r="J741" s="42">
        <v>0.0</v>
      </c>
      <c r="K741" s="42">
        <v>0.0</v>
      </c>
      <c r="L741" s="70">
        <v>1.0</v>
      </c>
      <c r="M741" s="34" t="s">
        <v>3888</v>
      </c>
      <c r="N741" s="70" t="s">
        <v>138</v>
      </c>
      <c r="O741" s="70">
        <v>25.0</v>
      </c>
      <c r="P741" s="70" t="s">
        <v>335</v>
      </c>
      <c r="Q741" s="31">
        <v>0.0</v>
      </c>
      <c r="R741" s="46"/>
    </row>
    <row r="742" ht="15.75" customHeight="1">
      <c r="A742" s="211">
        <v>46.0</v>
      </c>
      <c r="B742" s="34" t="s">
        <v>3907</v>
      </c>
      <c r="C742" s="34" t="s">
        <v>3906</v>
      </c>
      <c r="D742" s="57" t="s">
        <v>2000</v>
      </c>
      <c r="E742" s="57" t="s">
        <v>3607</v>
      </c>
      <c r="F742" s="264"/>
      <c r="G742" s="265">
        <v>100.0</v>
      </c>
      <c r="H742" s="72">
        <v>25.0</v>
      </c>
      <c r="I742" s="42">
        <v>100.0</v>
      </c>
      <c r="J742" s="42">
        <v>1.0</v>
      </c>
      <c r="K742" s="42">
        <v>1.0</v>
      </c>
      <c r="L742" s="70">
        <v>0.0</v>
      </c>
      <c r="M742" s="34" t="s">
        <v>3888</v>
      </c>
      <c r="N742" s="70" t="s">
        <v>138</v>
      </c>
      <c r="O742" s="70">
        <v>125.0</v>
      </c>
      <c r="P742" s="70" t="s">
        <v>335</v>
      </c>
      <c r="Q742" s="31">
        <v>0.0</v>
      </c>
      <c r="R742" s="46"/>
    </row>
    <row r="743" ht="15.75" customHeight="1">
      <c r="A743" s="211">
        <v>47.0</v>
      </c>
      <c r="B743" s="34" t="s">
        <v>1134</v>
      </c>
      <c r="C743" s="34" t="s">
        <v>3906</v>
      </c>
      <c r="D743" s="57" t="s">
        <v>2000</v>
      </c>
      <c r="E743" s="57" t="s">
        <v>3607</v>
      </c>
      <c r="F743" s="264"/>
      <c r="G743" s="265" t="s">
        <v>39</v>
      </c>
      <c r="H743" s="72">
        <v>1.0</v>
      </c>
      <c r="I743" s="42">
        <v>2.0</v>
      </c>
      <c r="J743" s="42">
        <v>0.0</v>
      </c>
      <c r="K743" s="42">
        <v>0.0</v>
      </c>
      <c r="L743" s="70">
        <v>1.0</v>
      </c>
      <c r="M743" s="34" t="s">
        <v>3888</v>
      </c>
      <c r="N743" s="70" t="s">
        <v>138</v>
      </c>
      <c r="O743" s="70">
        <v>5.0</v>
      </c>
      <c r="P743" s="70" t="s">
        <v>335</v>
      </c>
      <c r="Q743" s="31">
        <v>0.0</v>
      </c>
      <c r="R743" s="46"/>
    </row>
    <row r="744" ht="15.75" customHeight="1">
      <c r="A744" s="211">
        <v>48.0</v>
      </c>
      <c r="B744" s="34" t="s">
        <v>68</v>
      </c>
      <c r="C744" s="34" t="s">
        <v>3908</v>
      </c>
      <c r="D744" s="57" t="s">
        <v>2000</v>
      </c>
      <c r="E744" s="57" t="s">
        <v>3607</v>
      </c>
      <c r="F744" s="264"/>
      <c r="G744" s="265">
        <v>120.0</v>
      </c>
      <c r="H744" s="72">
        <v>2.0</v>
      </c>
      <c r="I744" s="42">
        <v>7.0</v>
      </c>
      <c r="J744" s="42">
        <v>0.0</v>
      </c>
      <c r="K744" s="42">
        <v>0.0</v>
      </c>
      <c r="L744" s="70">
        <v>1.0</v>
      </c>
      <c r="M744" s="34" t="s">
        <v>27</v>
      </c>
      <c r="N744" s="70" t="s">
        <v>138</v>
      </c>
      <c r="O744" s="70">
        <v>10.0</v>
      </c>
      <c r="P744" s="70" t="s">
        <v>335</v>
      </c>
      <c r="Q744" s="31">
        <v>0.0</v>
      </c>
      <c r="R744" s="46"/>
    </row>
    <row r="745" ht="15.75" customHeight="1">
      <c r="A745" s="211">
        <v>49.0</v>
      </c>
      <c r="B745" s="34" t="s">
        <v>2772</v>
      </c>
      <c r="C745" s="34" t="s">
        <v>3908</v>
      </c>
      <c r="D745" s="57" t="s">
        <v>2000</v>
      </c>
      <c r="E745" s="57" t="s">
        <v>3607</v>
      </c>
      <c r="F745" s="264"/>
      <c r="G745" s="265">
        <v>288.0</v>
      </c>
      <c r="H745" s="72">
        <v>5.0</v>
      </c>
      <c r="I745" s="42">
        <v>20.0</v>
      </c>
      <c r="J745" s="42">
        <v>0.0</v>
      </c>
      <c r="K745" s="42">
        <v>0.0</v>
      </c>
      <c r="L745" s="70">
        <v>1.0</v>
      </c>
      <c r="M745" s="34" t="s">
        <v>27</v>
      </c>
      <c r="N745" s="70" t="s">
        <v>138</v>
      </c>
      <c r="O745" s="70">
        <v>25.0</v>
      </c>
      <c r="P745" s="70" t="s">
        <v>335</v>
      </c>
      <c r="Q745" s="31">
        <v>0.0</v>
      </c>
      <c r="R745" s="46"/>
    </row>
    <row r="746" ht="15.75" customHeight="1">
      <c r="A746" s="211">
        <v>50.0</v>
      </c>
      <c r="B746" s="34" t="s">
        <v>68</v>
      </c>
      <c r="C746" s="34" t="s">
        <v>3871</v>
      </c>
      <c r="D746" s="57" t="s">
        <v>2000</v>
      </c>
      <c r="E746" s="57" t="s">
        <v>3607</v>
      </c>
      <c r="F746" s="264"/>
      <c r="G746" s="265">
        <v>72.0</v>
      </c>
      <c r="H746" s="72">
        <v>1.0</v>
      </c>
      <c r="I746" s="42">
        <v>5.0</v>
      </c>
      <c r="J746" s="42">
        <v>0.0</v>
      </c>
      <c r="K746" s="42">
        <v>0.0</v>
      </c>
      <c r="L746" s="70">
        <v>1.0</v>
      </c>
      <c r="M746" s="34" t="s">
        <v>27</v>
      </c>
      <c r="N746" s="70" t="s">
        <v>138</v>
      </c>
      <c r="O746" s="70">
        <v>5.0</v>
      </c>
      <c r="P746" s="70" t="s">
        <v>335</v>
      </c>
      <c r="Q746" s="31">
        <v>0.0</v>
      </c>
      <c r="R746" s="46"/>
    </row>
    <row r="747" ht="15.75" customHeight="1">
      <c r="A747" s="211">
        <v>51.0</v>
      </c>
      <c r="B747" s="34" t="s">
        <v>68</v>
      </c>
      <c r="C747" s="34" t="s">
        <v>3871</v>
      </c>
      <c r="D747" s="57" t="s">
        <v>2000</v>
      </c>
      <c r="E747" s="57" t="s">
        <v>3607</v>
      </c>
      <c r="F747" s="264"/>
      <c r="G747" s="265">
        <v>72.0</v>
      </c>
      <c r="H747" s="72">
        <v>2.0</v>
      </c>
      <c r="I747" s="42">
        <v>6.0</v>
      </c>
      <c r="J747" s="42">
        <v>0.0</v>
      </c>
      <c r="K747" s="42">
        <v>0.0</v>
      </c>
      <c r="L747" s="70">
        <v>1.0</v>
      </c>
      <c r="M747" s="34" t="s">
        <v>27</v>
      </c>
      <c r="N747" s="70" t="s">
        <v>138</v>
      </c>
      <c r="O747" s="70">
        <v>10.0</v>
      </c>
      <c r="P747" s="70" t="s">
        <v>335</v>
      </c>
      <c r="Q747" s="31">
        <v>0.0</v>
      </c>
      <c r="R747" s="46"/>
    </row>
    <row r="748" ht="15.75" customHeight="1">
      <c r="A748" s="211">
        <v>52.0</v>
      </c>
      <c r="B748" s="34" t="s">
        <v>3909</v>
      </c>
      <c r="C748" s="34" t="s">
        <v>3871</v>
      </c>
      <c r="D748" s="57" t="s">
        <v>2000</v>
      </c>
      <c r="E748" s="57" t="s">
        <v>3607</v>
      </c>
      <c r="F748" s="264"/>
      <c r="G748" s="265">
        <v>36.0</v>
      </c>
      <c r="H748" s="72">
        <v>1.0</v>
      </c>
      <c r="I748" s="42">
        <v>4.0</v>
      </c>
      <c r="J748" s="42">
        <v>0.0</v>
      </c>
      <c r="K748" s="42">
        <v>0.0</v>
      </c>
      <c r="L748" s="70">
        <v>1.0</v>
      </c>
      <c r="M748" s="34" t="s">
        <v>27</v>
      </c>
      <c r="N748" s="70" t="s">
        <v>138</v>
      </c>
      <c r="O748" s="70">
        <v>5.0</v>
      </c>
      <c r="P748" s="70" t="s">
        <v>335</v>
      </c>
      <c r="Q748" s="31">
        <v>0.0</v>
      </c>
      <c r="R748" s="46"/>
    </row>
    <row r="749" ht="15.75" customHeight="1">
      <c r="A749" s="211">
        <v>53.0</v>
      </c>
      <c r="B749" s="34" t="s">
        <v>1134</v>
      </c>
      <c r="C749" s="34" t="s">
        <v>3910</v>
      </c>
      <c r="D749" s="57" t="s">
        <v>2000</v>
      </c>
      <c r="E749" s="57" t="s">
        <v>3607</v>
      </c>
      <c r="F749" s="264"/>
      <c r="G749" s="265">
        <v>36.0</v>
      </c>
      <c r="H749" s="72">
        <v>1.0</v>
      </c>
      <c r="I749" s="42">
        <v>4.0</v>
      </c>
      <c r="J749" s="42">
        <v>0.0</v>
      </c>
      <c r="K749" s="42">
        <v>0.0</v>
      </c>
      <c r="L749" s="70">
        <v>1.0</v>
      </c>
      <c r="M749" s="34" t="s">
        <v>27</v>
      </c>
      <c r="N749" s="70" t="s">
        <v>138</v>
      </c>
      <c r="O749" s="70">
        <v>5.0</v>
      </c>
      <c r="P749" s="70" t="s">
        <v>335</v>
      </c>
      <c r="Q749" s="31">
        <v>0.0</v>
      </c>
      <c r="R749" s="46"/>
    </row>
    <row r="750" ht="15.75" customHeight="1">
      <c r="A750" s="211">
        <v>54.0</v>
      </c>
      <c r="B750" s="34" t="s">
        <v>68</v>
      </c>
      <c r="C750" s="34" t="s">
        <v>3911</v>
      </c>
      <c r="D750" s="57" t="s">
        <v>2000</v>
      </c>
      <c r="E750" s="57" t="s">
        <v>3607</v>
      </c>
      <c r="F750" s="264"/>
      <c r="G750" s="265">
        <v>26.0</v>
      </c>
      <c r="H750" s="72">
        <v>2.0</v>
      </c>
      <c r="I750" s="42">
        <v>8.0</v>
      </c>
      <c r="J750" s="42">
        <v>0.0</v>
      </c>
      <c r="K750" s="42">
        <v>0.0</v>
      </c>
      <c r="L750" s="70">
        <v>1.0</v>
      </c>
      <c r="M750" s="34" t="s">
        <v>27</v>
      </c>
      <c r="N750" s="70" t="s">
        <v>3912</v>
      </c>
      <c r="O750" s="70">
        <v>10.0</v>
      </c>
      <c r="P750" s="70" t="s">
        <v>335</v>
      </c>
      <c r="Q750" s="31">
        <v>0.0</v>
      </c>
      <c r="R750" s="46"/>
    </row>
    <row r="751" ht="15.75" customHeight="1">
      <c r="A751" s="211">
        <v>55.0</v>
      </c>
      <c r="B751" s="34" t="s">
        <v>1134</v>
      </c>
      <c r="C751" s="34" t="s">
        <v>3911</v>
      </c>
      <c r="D751" s="57" t="s">
        <v>2000</v>
      </c>
      <c r="E751" s="57" t="s">
        <v>3607</v>
      </c>
      <c r="F751" s="264"/>
      <c r="G751" s="265" t="s">
        <v>39</v>
      </c>
      <c r="H751" s="72">
        <v>1.0</v>
      </c>
      <c r="I751" s="42">
        <v>4.0</v>
      </c>
      <c r="J751" s="42">
        <v>0.0</v>
      </c>
      <c r="K751" s="42">
        <v>0.0</v>
      </c>
      <c r="L751" s="70">
        <v>1.0</v>
      </c>
      <c r="M751" s="34" t="s">
        <v>27</v>
      </c>
      <c r="N751" s="70" t="s">
        <v>138</v>
      </c>
      <c r="O751" s="70">
        <v>5.0</v>
      </c>
      <c r="P751" s="70" t="s">
        <v>335</v>
      </c>
      <c r="Q751" s="31">
        <v>0.0</v>
      </c>
      <c r="R751" s="46"/>
    </row>
    <row r="752" ht="15.75" customHeight="1">
      <c r="A752" s="211">
        <v>56.0</v>
      </c>
      <c r="B752" s="34" t="s">
        <v>2772</v>
      </c>
      <c r="C752" s="34" t="s">
        <v>3911</v>
      </c>
      <c r="D752" s="57" t="s">
        <v>2000</v>
      </c>
      <c r="E752" s="57" t="s">
        <v>3607</v>
      </c>
      <c r="F752" s="264"/>
      <c r="G752" s="265">
        <v>45.0</v>
      </c>
      <c r="H752" s="72">
        <v>4.0</v>
      </c>
      <c r="I752" s="42">
        <v>15.0</v>
      </c>
      <c r="J752" s="42">
        <v>0.0</v>
      </c>
      <c r="K752" s="42">
        <v>0.0</v>
      </c>
      <c r="L752" s="70">
        <v>1.0</v>
      </c>
      <c r="M752" s="34" t="s">
        <v>27</v>
      </c>
      <c r="N752" s="70" t="s">
        <v>138</v>
      </c>
      <c r="O752" s="70">
        <v>20.0</v>
      </c>
      <c r="P752" s="70" t="s">
        <v>335</v>
      </c>
      <c r="Q752" s="31">
        <v>0.0</v>
      </c>
      <c r="R752" s="46"/>
    </row>
    <row r="753" ht="15.75" customHeight="1">
      <c r="A753" s="211">
        <v>57.0</v>
      </c>
      <c r="B753" s="34" t="s">
        <v>68</v>
      </c>
      <c r="C753" s="34" t="s">
        <v>3913</v>
      </c>
      <c r="D753" s="57" t="s">
        <v>2000</v>
      </c>
      <c r="E753" s="57" t="s">
        <v>3607</v>
      </c>
      <c r="F753" s="264"/>
      <c r="G753" s="265">
        <v>63.0</v>
      </c>
      <c r="H753" s="72">
        <v>4.0</v>
      </c>
      <c r="I753" s="42">
        <v>15.0</v>
      </c>
      <c r="J753" s="42">
        <v>0.0</v>
      </c>
      <c r="K753" s="42">
        <v>0.0</v>
      </c>
      <c r="L753" s="70">
        <v>1.0</v>
      </c>
      <c r="M753" s="34" t="s">
        <v>27</v>
      </c>
      <c r="N753" s="70" t="s">
        <v>138</v>
      </c>
      <c r="O753" s="70">
        <v>20.0</v>
      </c>
      <c r="P753" s="70" t="s">
        <v>335</v>
      </c>
      <c r="Q753" s="31">
        <v>0.0</v>
      </c>
      <c r="R753" s="46"/>
    </row>
    <row r="754" ht="15.75" customHeight="1">
      <c r="A754" s="211">
        <v>58.0</v>
      </c>
      <c r="B754" s="34" t="s">
        <v>1134</v>
      </c>
      <c r="C754" s="34" t="s">
        <v>3914</v>
      </c>
      <c r="D754" s="57" t="s">
        <v>2000</v>
      </c>
      <c r="E754" s="57" t="s">
        <v>3607</v>
      </c>
      <c r="F754" s="264"/>
      <c r="G754" s="265">
        <v>49.0</v>
      </c>
      <c r="H754" s="72">
        <v>3.0</v>
      </c>
      <c r="I754" s="42">
        <v>10.0</v>
      </c>
      <c r="J754" s="42">
        <v>0.0</v>
      </c>
      <c r="K754" s="42">
        <v>0.0</v>
      </c>
      <c r="L754" s="70">
        <v>1.0</v>
      </c>
      <c r="M754" s="34" t="s">
        <v>27</v>
      </c>
      <c r="N754" s="70" t="s">
        <v>138</v>
      </c>
      <c r="O754" s="70">
        <v>15.0</v>
      </c>
      <c r="P754" s="70" t="s">
        <v>335</v>
      </c>
      <c r="Q754" s="31">
        <v>0.0</v>
      </c>
      <c r="R754" s="46"/>
    </row>
    <row r="755" ht="15.75" customHeight="1">
      <c r="A755" s="211">
        <v>59.0</v>
      </c>
      <c r="B755" s="34" t="s">
        <v>68</v>
      </c>
      <c r="C755" s="34" t="s">
        <v>3915</v>
      </c>
      <c r="D755" s="57" t="s">
        <v>2000</v>
      </c>
      <c r="E755" s="57" t="s">
        <v>3607</v>
      </c>
      <c r="F755" s="264"/>
      <c r="G755" s="265">
        <v>37.5</v>
      </c>
      <c r="H755" s="72">
        <v>1.0</v>
      </c>
      <c r="I755" s="42">
        <v>4.0</v>
      </c>
      <c r="J755" s="42">
        <v>0.0</v>
      </c>
      <c r="K755" s="42">
        <v>0.0</v>
      </c>
      <c r="L755" s="70">
        <v>1.0</v>
      </c>
      <c r="M755" s="34" t="s">
        <v>27</v>
      </c>
      <c r="N755" s="70" t="s">
        <v>138</v>
      </c>
      <c r="O755" s="70">
        <v>5.0</v>
      </c>
      <c r="P755" s="70" t="s">
        <v>335</v>
      </c>
      <c r="Q755" s="31">
        <v>0.0</v>
      </c>
      <c r="R755" s="46"/>
    </row>
    <row r="756" ht="15.75" customHeight="1">
      <c r="A756" s="211">
        <v>60.0</v>
      </c>
      <c r="B756" s="34" t="s">
        <v>3916</v>
      </c>
      <c r="C756" s="34" t="s">
        <v>3917</v>
      </c>
      <c r="D756" s="57" t="s">
        <v>2000</v>
      </c>
      <c r="E756" s="57" t="s">
        <v>3607</v>
      </c>
      <c r="F756" s="264"/>
      <c r="G756" s="265" t="s">
        <v>39</v>
      </c>
      <c r="H756" s="72">
        <v>1.0</v>
      </c>
      <c r="I756" s="42">
        <v>2.0</v>
      </c>
      <c r="J756" s="42">
        <v>0.0</v>
      </c>
      <c r="K756" s="42">
        <v>0.0</v>
      </c>
      <c r="L756" s="70">
        <v>0.0</v>
      </c>
      <c r="M756" s="34" t="s">
        <v>27</v>
      </c>
      <c r="N756" s="70" t="s">
        <v>138</v>
      </c>
      <c r="O756" s="70">
        <v>5.0</v>
      </c>
      <c r="P756" s="70" t="s">
        <v>335</v>
      </c>
      <c r="Q756" s="31">
        <v>0.0</v>
      </c>
      <c r="R756" s="46"/>
    </row>
    <row r="757" ht="15.75" customHeight="1">
      <c r="A757" s="181"/>
      <c r="B757" s="182" t="s">
        <v>3918</v>
      </c>
      <c r="C757" s="182"/>
      <c r="D757" s="22"/>
      <c r="E757" s="22"/>
      <c r="F757" s="209"/>
      <c r="G757" s="210"/>
      <c r="H757" s="22"/>
      <c r="I757" s="22"/>
      <c r="J757" s="22"/>
      <c r="K757" s="22"/>
      <c r="L757" s="22"/>
      <c r="M757" s="22"/>
      <c r="N757" s="22"/>
      <c r="O757" s="22"/>
      <c r="P757" s="22"/>
      <c r="Q757" s="209"/>
      <c r="R757" s="22"/>
    </row>
    <row r="758" ht="15.75" customHeight="1">
      <c r="A758" s="211">
        <v>1.0</v>
      </c>
      <c r="B758" s="212" t="s">
        <v>3919</v>
      </c>
      <c r="C758" s="212" t="s">
        <v>1552</v>
      </c>
      <c r="D758" s="235" t="s">
        <v>2000</v>
      </c>
      <c r="E758" s="235" t="s">
        <v>3743</v>
      </c>
      <c r="F758" s="243"/>
      <c r="G758" s="225">
        <v>250.0</v>
      </c>
      <c r="H758" s="237">
        <v>60.0</v>
      </c>
      <c r="I758" s="226">
        <v>180.0</v>
      </c>
      <c r="J758" s="226">
        <v>6.0</v>
      </c>
      <c r="K758" s="226">
        <v>6.0</v>
      </c>
      <c r="L758" s="49">
        <v>0.0</v>
      </c>
      <c r="M758" s="212" t="s">
        <v>3920</v>
      </c>
      <c r="N758" s="49" t="s">
        <v>46</v>
      </c>
      <c r="O758" s="228">
        <v>1450.0</v>
      </c>
      <c r="P758" s="49" t="s">
        <v>29</v>
      </c>
      <c r="Q758" s="114">
        <v>0.0</v>
      </c>
      <c r="R758" s="46"/>
    </row>
    <row r="759" ht="15.75" customHeight="1">
      <c r="A759" s="211">
        <v>2.0</v>
      </c>
      <c r="B759" s="212" t="s">
        <v>3921</v>
      </c>
      <c r="C759" s="212" t="s">
        <v>3922</v>
      </c>
      <c r="D759" s="235" t="s">
        <v>2000</v>
      </c>
      <c r="E759" s="235" t="s">
        <v>3743</v>
      </c>
      <c r="F759" s="243"/>
      <c r="G759" s="225" t="s">
        <v>3481</v>
      </c>
      <c r="H759" s="237">
        <v>20.0</v>
      </c>
      <c r="I759" s="226">
        <v>60.0</v>
      </c>
      <c r="J759" s="226">
        <v>1.0</v>
      </c>
      <c r="K759" s="226">
        <v>1.0</v>
      </c>
      <c r="L759" s="49">
        <v>0.0</v>
      </c>
      <c r="M759" s="212" t="s">
        <v>3920</v>
      </c>
      <c r="N759" s="49" t="s">
        <v>46</v>
      </c>
      <c r="O759" s="49" t="s">
        <v>3481</v>
      </c>
      <c r="P759" s="49" t="s">
        <v>29</v>
      </c>
      <c r="Q759" s="114">
        <v>0.0</v>
      </c>
      <c r="R759" s="46"/>
    </row>
    <row r="760" ht="15.75" customHeight="1">
      <c r="A760" s="211">
        <v>3.0</v>
      </c>
      <c r="B760" s="212" t="s">
        <v>3923</v>
      </c>
      <c r="C760" s="212" t="s">
        <v>3924</v>
      </c>
      <c r="D760" s="235" t="s">
        <v>2000</v>
      </c>
      <c r="E760" s="235" t="s">
        <v>3743</v>
      </c>
      <c r="F760" s="243"/>
      <c r="G760" s="225" t="s">
        <v>3481</v>
      </c>
      <c r="H760" s="237">
        <v>20.0</v>
      </c>
      <c r="I760" s="226">
        <v>60.0</v>
      </c>
      <c r="J760" s="226">
        <v>1.0</v>
      </c>
      <c r="K760" s="226">
        <v>1.0</v>
      </c>
      <c r="L760" s="49">
        <v>0.0</v>
      </c>
      <c r="M760" s="212" t="s">
        <v>3920</v>
      </c>
      <c r="N760" s="49" t="s">
        <v>46</v>
      </c>
      <c r="O760" s="49" t="s">
        <v>3481</v>
      </c>
      <c r="P760" s="49" t="s">
        <v>29</v>
      </c>
      <c r="Q760" s="114">
        <v>0.0</v>
      </c>
      <c r="R760" s="46"/>
    </row>
    <row r="761" ht="15.75" customHeight="1">
      <c r="A761" s="211">
        <v>4.0</v>
      </c>
      <c r="B761" s="212" t="s">
        <v>3925</v>
      </c>
      <c r="C761" s="212" t="s">
        <v>3926</v>
      </c>
      <c r="D761" s="235" t="s">
        <v>2000</v>
      </c>
      <c r="E761" s="235" t="s">
        <v>3743</v>
      </c>
      <c r="F761" s="243"/>
      <c r="G761" s="225" t="s">
        <v>3481</v>
      </c>
      <c r="H761" s="237">
        <v>10.0</v>
      </c>
      <c r="I761" s="226">
        <v>30.0</v>
      </c>
      <c r="J761" s="226">
        <v>0.0</v>
      </c>
      <c r="K761" s="226">
        <v>0.0</v>
      </c>
      <c r="L761" s="49">
        <v>1.0</v>
      </c>
      <c r="M761" s="212" t="s">
        <v>3920</v>
      </c>
      <c r="N761" s="49" t="s">
        <v>46</v>
      </c>
      <c r="O761" s="49" t="s">
        <v>3481</v>
      </c>
      <c r="P761" s="49" t="s">
        <v>29</v>
      </c>
      <c r="Q761" s="114">
        <v>0.0</v>
      </c>
      <c r="R761" s="46"/>
    </row>
    <row r="762" ht="15.75" customHeight="1">
      <c r="A762" s="211">
        <v>5.0</v>
      </c>
      <c r="B762" s="212" t="s">
        <v>3927</v>
      </c>
      <c r="C762" s="212" t="s">
        <v>3928</v>
      </c>
      <c r="D762" s="235" t="s">
        <v>2000</v>
      </c>
      <c r="E762" s="235" t="s">
        <v>3743</v>
      </c>
      <c r="F762" s="243"/>
      <c r="G762" s="225" t="s">
        <v>3481</v>
      </c>
      <c r="H762" s="237">
        <v>10.0</v>
      </c>
      <c r="I762" s="226">
        <v>30.0</v>
      </c>
      <c r="J762" s="226" t="s">
        <v>3481</v>
      </c>
      <c r="K762" s="226" t="s">
        <v>3481</v>
      </c>
      <c r="L762" s="49" t="s">
        <v>3481</v>
      </c>
      <c r="M762" s="212" t="s">
        <v>3920</v>
      </c>
      <c r="N762" s="49" t="s">
        <v>46</v>
      </c>
      <c r="O762" s="49" t="s">
        <v>3481</v>
      </c>
      <c r="P762" s="49" t="s">
        <v>29</v>
      </c>
      <c r="Q762" s="114">
        <v>0.0</v>
      </c>
      <c r="R762" s="46"/>
    </row>
    <row r="763" ht="15.75" customHeight="1">
      <c r="A763" s="211">
        <v>6.0</v>
      </c>
      <c r="B763" s="212" t="s">
        <v>3929</v>
      </c>
      <c r="C763" s="212" t="s">
        <v>3930</v>
      </c>
      <c r="D763" s="235" t="s">
        <v>2000</v>
      </c>
      <c r="E763" s="235" t="s">
        <v>3743</v>
      </c>
      <c r="F763" s="243"/>
      <c r="G763" s="225" t="s">
        <v>3481</v>
      </c>
      <c r="H763" s="237">
        <v>10.0</v>
      </c>
      <c r="I763" s="226">
        <v>30.0</v>
      </c>
      <c r="J763" s="226" t="s">
        <v>3481</v>
      </c>
      <c r="K763" s="226" t="s">
        <v>3481</v>
      </c>
      <c r="L763" s="49" t="s">
        <v>3481</v>
      </c>
      <c r="M763" s="212" t="s">
        <v>3920</v>
      </c>
      <c r="N763" s="49" t="s">
        <v>46</v>
      </c>
      <c r="O763" s="49" t="s">
        <v>3481</v>
      </c>
      <c r="P763" s="49" t="s">
        <v>29</v>
      </c>
      <c r="Q763" s="114">
        <v>0.0</v>
      </c>
      <c r="R763" s="46"/>
    </row>
    <row r="764" ht="15.75" customHeight="1">
      <c r="A764" s="211">
        <v>7.0</v>
      </c>
      <c r="B764" s="212" t="s">
        <v>3931</v>
      </c>
      <c r="C764" s="212" t="s">
        <v>3932</v>
      </c>
      <c r="D764" s="235" t="s">
        <v>2000</v>
      </c>
      <c r="E764" s="235" t="s">
        <v>3743</v>
      </c>
      <c r="F764" s="243"/>
      <c r="G764" s="225">
        <v>55.0</v>
      </c>
      <c r="H764" s="237">
        <v>10.0</v>
      </c>
      <c r="I764" s="226">
        <v>30.0</v>
      </c>
      <c r="J764" s="226">
        <v>2.0</v>
      </c>
      <c r="K764" s="226">
        <v>2.0</v>
      </c>
      <c r="L764" s="49">
        <v>2.0</v>
      </c>
      <c r="M764" s="212" t="s">
        <v>3920</v>
      </c>
      <c r="N764" s="49" t="s">
        <v>46</v>
      </c>
      <c r="O764" s="228">
        <v>500.0</v>
      </c>
      <c r="P764" s="49" t="s">
        <v>29</v>
      </c>
      <c r="Q764" s="114">
        <v>0.0</v>
      </c>
      <c r="R764" s="46"/>
    </row>
    <row r="765" ht="15.75" customHeight="1">
      <c r="A765" s="211">
        <v>8.0</v>
      </c>
      <c r="B765" s="212" t="s">
        <v>3933</v>
      </c>
      <c r="C765" s="212" t="s">
        <v>3934</v>
      </c>
      <c r="D765" s="235" t="s">
        <v>2000</v>
      </c>
      <c r="E765" s="235" t="s">
        <v>3743</v>
      </c>
      <c r="F765" s="243"/>
      <c r="G765" s="225">
        <v>70.0</v>
      </c>
      <c r="H765" s="237">
        <v>10.0</v>
      </c>
      <c r="I765" s="226">
        <v>30.0</v>
      </c>
      <c r="J765" s="226">
        <v>0.0</v>
      </c>
      <c r="K765" s="226">
        <v>0.0</v>
      </c>
      <c r="L765" s="49">
        <v>1.0</v>
      </c>
      <c r="M765" s="212" t="s">
        <v>3920</v>
      </c>
      <c r="N765" s="49" t="s">
        <v>46</v>
      </c>
      <c r="O765" s="49" t="s">
        <v>3481</v>
      </c>
      <c r="P765" s="49" t="s">
        <v>29</v>
      </c>
      <c r="Q765" s="114">
        <v>0.0</v>
      </c>
      <c r="R765" s="46"/>
    </row>
    <row r="766" ht="15.75" customHeight="1">
      <c r="A766" s="211">
        <v>9.0</v>
      </c>
      <c r="B766" s="212" t="s">
        <v>3935</v>
      </c>
      <c r="C766" s="212" t="s">
        <v>3922</v>
      </c>
      <c r="D766" s="235" t="s">
        <v>2000</v>
      </c>
      <c r="E766" s="235" t="s">
        <v>3743</v>
      </c>
      <c r="F766" s="243"/>
      <c r="G766" s="225" t="s">
        <v>3481</v>
      </c>
      <c r="H766" s="237">
        <v>10.0</v>
      </c>
      <c r="I766" s="226">
        <v>30.0</v>
      </c>
      <c r="J766" s="226" t="s">
        <v>3481</v>
      </c>
      <c r="K766" s="226" t="s">
        <v>3481</v>
      </c>
      <c r="L766" s="49" t="s">
        <v>3481</v>
      </c>
      <c r="M766" s="212" t="s">
        <v>3920</v>
      </c>
      <c r="N766" s="49" t="s">
        <v>46</v>
      </c>
      <c r="O766" s="49" t="s">
        <v>3481</v>
      </c>
      <c r="P766" s="49" t="s">
        <v>29</v>
      </c>
      <c r="Q766" s="114">
        <v>0.0</v>
      </c>
      <c r="R766" s="46"/>
    </row>
    <row r="767" ht="15.75" customHeight="1">
      <c r="A767" s="211">
        <v>10.0</v>
      </c>
      <c r="B767" s="212" t="s">
        <v>3936</v>
      </c>
      <c r="C767" s="212" t="s">
        <v>3922</v>
      </c>
      <c r="D767" s="235" t="s">
        <v>2000</v>
      </c>
      <c r="E767" s="235" t="s">
        <v>3743</v>
      </c>
      <c r="F767" s="243"/>
      <c r="G767" s="225" t="s">
        <v>3481</v>
      </c>
      <c r="H767" s="237">
        <v>30.0</v>
      </c>
      <c r="I767" s="226">
        <v>90.0</v>
      </c>
      <c r="J767" s="226" t="s">
        <v>3481</v>
      </c>
      <c r="K767" s="226" t="s">
        <v>3481</v>
      </c>
      <c r="L767" s="49" t="s">
        <v>3481</v>
      </c>
      <c r="M767" s="212" t="s">
        <v>3920</v>
      </c>
      <c r="N767" s="49" t="s">
        <v>46</v>
      </c>
      <c r="O767" s="49" t="s">
        <v>3481</v>
      </c>
      <c r="P767" s="49" t="s">
        <v>29</v>
      </c>
      <c r="Q767" s="114">
        <v>0.0</v>
      </c>
      <c r="R767" s="46"/>
    </row>
    <row r="768" ht="15.75" customHeight="1">
      <c r="A768" s="211">
        <v>11.0</v>
      </c>
      <c r="B768" s="212" t="s">
        <v>3937</v>
      </c>
      <c r="C768" s="212" t="s">
        <v>3938</v>
      </c>
      <c r="D768" s="235" t="s">
        <v>2000</v>
      </c>
      <c r="E768" s="235" t="s">
        <v>3743</v>
      </c>
      <c r="F768" s="243"/>
      <c r="G768" s="225" t="s">
        <v>3481</v>
      </c>
      <c r="H768" s="237">
        <v>10.0</v>
      </c>
      <c r="I768" s="226">
        <v>30.0</v>
      </c>
      <c r="J768" s="226">
        <v>0.0</v>
      </c>
      <c r="K768" s="226">
        <v>0.0</v>
      </c>
      <c r="L768" s="49">
        <v>2.0</v>
      </c>
      <c r="M768" s="212" t="s">
        <v>3920</v>
      </c>
      <c r="N768" s="49" t="s">
        <v>46</v>
      </c>
      <c r="O768" s="49" t="s">
        <v>3481</v>
      </c>
      <c r="P768" s="49" t="s">
        <v>29</v>
      </c>
      <c r="Q768" s="114">
        <v>0.0</v>
      </c>
      <c r="R768" s="46"/>
    </row>
    <row r="769" ht="15.75" customHeight="1">
      <c r="A769" s="211">
        <v>12.0</v>
      </c>
      <c r="B769" s="212" t="s">
        <v>3939</v>
      </c>
      <c r="C769" s="212" t="s">
        <v>3940</v>
      </c>
      <c r="D769" s="235" t="s">
        <v>2000</v>
      </c>
      <c r="E769" s="235" t="s">
        <v>3743</v>
      </c>
      <c r="F769" s="243"/>
      <c r="G769" s="225">
        <v>48.0</v>
      </c>
      <c r="H769" s="237">
        <v>10.0</v>
      </c>
      <c r="I769" s="226">
        <v>30.0</v>
      </c>
      <c r="J769" s="226" t="s">
        <v>3481</v>
      </c>
      <c r="K769" s="226" t="s">
        <v>3481</v>
      </c>
      <c r="L769" s="49" t="s">
        <v>3481</v>
      </c>
      <c r="M769" s="212" t="s">
        <v>3920</v>
      </c>
      <c r="N769" s="49" t="s">
        <v>46</v>
      </c>
      <c r="O769" s="49" t="s">
        <v>3481</v>
      </c>
      <c r="P769" s="49" t="s">
        <v>29</v>
      </c>
      <c r="Q769" s="114">
        <v>0.0</v>
      </c>
      <c r="R769" s="46"/>
    </row>
    <row r="770" ht="15.75" customHeight="1">
      <c r="A770" s="211">
        <v>13.0</v>
      </c>
      <c r="B770" s="212" t="s">
        <v>3941</v>
      </c>
      <c r="C770" s="212" t="s">
        <v>3942</v>
      </c>
      <c r="D770" s="235" t="s">
        <v>2000</v>
      </c>
      <c r="E770" s="235" t="s">
        <v>3743</v>
      </c>
      <c r="F770" s="243"/>
      <c r="G770" s="225" t="s">
        <v>3481</v>
      </c>
      <c r="H770" s="237">
        <v>10.0</v>
      </c>
      <c r="I770" s="226">
        <v>30.0</v>
      </c>
      <c r="J770" s="226" t="s">
        <v>3481</v>
      </c>
      <c r="K770" s="226" t="s">
        <v>3481</v>
      </c>
      <c r="L770" s="49" t="s">
        <v>3481</v>
      </c>
      <c r="M770" s="212" t="s">
        <v>3920</v>
      </c>
      <c r="N770" s="49" t="s">
        <v>46</v>
      </c>
      <c r="O770" s="49" t="s">
        <v>3481</v>
      </c>
      <c r="P770" s="49" t="s">
        <v>29</v>
      </c>
      <c r="Q770" s="114">
        <v>0.0</v>
      </c>
      <c r="R770" s="46"/>
    </row>
    <row r="771" ht="15.75" customHeight="1">
      <c r="A771" s="211">
        <v>14.0</v>
      </c>
      <c r="B771" s="212" t="s">
        <v>3943</v>
      </c>
      <c r="C771" s="212" t="s">
        <v>3944</v>
      </c>
      <c r="D771" s="235" t="s">
        <v>2000</v>
      </c>
      <c r="E771" s="235" t="s">
        <v>3743</v>
      </c>
      <c r="F771" s="243"/>
      <c r="G771" s="225" t="s">
        <v>3481</v>
      </c>
      <c r="H771" s="237">
        <v>10.0</v>
      </c>
      <c r="I771" s="226">
        <v>30.0</v>
      </c>
      <c r="J771" s="226" t="s">
        <v>3481</v>
      </c>
      <c r="K771" s="226" t="s">
        <v>3481</v>
      </c>
      <c r="L771" s="49" t="s">
        <v>3481</v>
      </c>
      <c r="M771" s="212" t="s">
        <v>3920</v>
      </c>
      <c r="N771" s="49" t="s">
        <v>46</v>
      </c>
      <c r="O771" s="49" t="s">
        <v>3481</v>
      </c>
      <c r="P771" s="49" t="s">
        <v>29</v>
      </c>
      <c r="Q771" s="114">
        <v>0.0</v>
      </c>
      <c r="R771" s="46"/>
    </row>
    <row r="772" ht="15.75" customHeight="1">
      <c r="A772" s="211">
        <v>15.0</v>
      </c>
      <c r="B772" s="212" t="s">
        <v>1082</v>
      </c>
      <c r="C772" s="212" t="s">
        <v>1552</v>
      </c>
      <c r="D772" s="235" t="s">
        <v>2000</v>
      </c>
      <c r="E772" s="235" t="s">
        <v>3743</v>
      </c>
      <c r="F772" s="243"/>
      <c r="G772" s="225" t="s">
        <v>3481</v>
      </c>
      <c r="H772" s="237">
        <v>10.0</v>
      </c>
      <c r="I772" s="226">
        <v>30.0</v>
      </c>
      <c r="J772" s="226" t="s">
        <v>3481</v>
      </c>
      <c r="K772" s="226" t="s">
        <v>3481</v>
      </c>
      <c r="L772" s="49" t="s">
        <v>3481</v>
      </c>
      <c r="M772" s="212" t="s">
        <v>3920</v>
      </c>
      <c r="N772" s="49" t="s">
        <v>46</v>
      </c>
      <c r="O772" s="49" t="s">
        <v>3481</v>
      </c>
      <c r="P772" s="49" t="s">
        <v>29</v>
      </c>
      <c r="Q772" s="114">
        <v>0.0</v>
      </c>
      <c r="R772" s="46"/>
    </row>
    <row r="773" ht="15.75" customHeight="1">
      <c r="A773" s="211">
        <v>16.0</v>
      </c>
      <c r="B773" s="212" t="s">
        <v>3945</v>
      </c>
      <c r="C773" s="212" t="s">
        <v>3946</v>
      </c>
      <c r="D773" s="235" t="s">
        <v>2000</v>
      </c>
      <c r="E773" s="235" t="s">
        <v>3743</v>
      </c>
      <c r="F773" s="243"/>
      <c r="G773" s="225" t="s">
        <v>3481</v>
      </c>
      <c r="H773" s="237">
        <v>10.0</v>
      </c>
      <c r="I773" s="226">
        <v>30.0</v>
      </c>
      <c r="J773" s="226">
        <v>0.0</v>
      </c>
      <c r="K773" s="226">
        <v>0.0</v>
      </c>
      <c r="L773" s="49">
        <v>1.0</v>
      </c>
      <c r="M773" s="212" t="s">
        <v>3920</v>
      </c>
      <c r="N773" s="49" t="s">
        <v>46</v>
      </c>
      <c r="O773" s="49" t="s">
        <v>3481</v>
      </c>
      <c r="P773" s="49" t="s">
        <v>29</v>
      </c>
      <c r="Q773" s="114">
        <v>0.0</v>
      </c>
      <c r="R773" s="46"/>
    </row>
    <row r="774" ht="15.75" customHeight="1">
      <c r="A774" s="211">
        <v>17.0</v>
      </c>
      <c r="B774" s="212" t="s">
        <v>3947</v>
      </c>
      <c r="C774" s="212" t="s">
        <v>3946</v>
      </c>
      <c r="D774" s="235" t="s">
        <v>2000</v>
      </c>
      <c r="E774" s="235" t="s">
        <v>3743</v>
      </c>
      <c r="F774" s="243"/>
      <c r="G774" s="225" t="s">
        <v>3481</v>
      </c>
      <c r="H774" s="237">
        <v>30.0</v>
      </c>
      <c r="I774" s="226">
        <v>90.0</v>
      </c>
      <c r="J774" s="226" t="s">
        <v>3481</v>
      </c>
      <c r="K774" s="226" t="s">
        <v>3481</v>
      </c>
      <c r="L774" s="49" t="s">
        <v>3481</v>
      </c>
      <c r="M774" s="212" t="s">
        <v>3920</v>
      </c>
      <c r="N774" s="49" t="s">
        <v>46</v>
      </c>
      <c r="O774" s="49" t="s">
        <v>3481</v>
      </c>
      <c r="P774" s="49" t="s">
        <v>29</v>
      </c>
      <c r="Q774" s="114">
        <v>0.0</v>
      </c>
      <c r="R774" s="46"/>
    </row>
    <row r="775" ht="15.75" customHeight="1">
      <c r="A775" s="211">
        <v>18.0</v>
      </c>
      <c r="B775" s="212" t="s">
        <v>3948</v>
      </c>
      <c r="C775" s="212" t="s">
        <v>3949</v>
      </c>
      <c r="D775" s="235" t="s">
        <v>2000</v>
      </c>
      <c r="E775" s="235" t="s">
        <v>3743</v>
      </c>
      <c r="F775" s="243"/>
      <c r="G775" s="225" t="s">
        <v>3481</v>
      </c>
      <c r="H775" s="237">
        <v>30.0</v>
      </c>
      <c r="I775" s="226">
        <v>90.0</v>
      </c>
      <c r="J775" s="226">
        <v>0.0</v>
      </c>
      <c r="K775" s="226">
        <v>1.0</v>
      </c>
      <c r="L775" s="49">
        <v>0.0</v>
      </c>
      <c r="M775" s="212" t="s">
        <v>3920</v>
      </c>
      <c r="N775" s="49" t="s">
        <v>46</v>
      </c>
      <c r="O775" s="49" t="s">
        <v>3481</v>
      </c>
      <c r="P775" s="49" t="s">
        <v>29</v>
      </c>
      <c r="Q775" s="114">
        <v>0.0</v>
      </c>
      <c r="R775" s="46"/>
    </row>
    <row r="776" ht="15.75" customHeight="1">
      <c r="A776" s="211">
        <v>19.0</v>
      </c>
      <c r="B776" s="212" t="s">
        <v>3950</v>
      </c>
      <c r="C776" s="212" t="s">
        <v>3949</v>
      </c>
      <c r="D776" s="235" t="s">
        <v>2000</v>
      </c>
      <c r="E776" s="235" t="s">
        <v>3743</v>
      </c>
      <c r="F776" s="243"/>
      <c r="G776" s="225" t="s">
        <v>3481</v>
      </c>
      <c r="H776" s="237">
        <v>10.0</v>
      </c>
      <c r="I776" s="226">
        <v>30.0</v>
      </c>
      <c r="J776" s="226">
        <v>0.0</v>
      </c>
      <c r="K776" s="226">
        <v>2.0</v>
      </c>
      <c r="L776" s="49">
        <v>0.0</v>
      </c>
      <c r="M776" s="212" t="s">
        <v>3920</v>
      </c>
      <c r="N776" s="49" t="s">
        <v>46</v>
      </c>
      <c r="O776" s="49" t="s">
        <v>3481</v>
      </c>
      <c r="P776" s="49" t="s">
        <v>29</v>
      </c>
      <c r="Q776" s="114">
        <v>0.0</v>
      </c>
      <c r="R776" s="46"/>
    </row>
    <row r="777" ht="15.75" customHeight="1">
      <c r="A777" s="211">
        <v>20.0</v>
      </c>
      <c r="B777" s="212" t="s">
        <v>3951</v>
      </c>
      <c r="C777" s="212" t="s">
        <v>3952</v>
      </c>
      <c r="D777" s="235" t="s">
        <v>2000</v>
      </c>
      <c r="E777" s="235" t="s">
        <v>3743</v>
      </c>
      <c r="F777" s="243"/>
      <c r="G777" s="225">
        <v>201.3</v>
      </c>
      <c r="H777" s="237">
        <v>10.0</v>
      </c>
      <c r="I777" s="226">
        <v>30.0</v>
      </c>
      <c r="J777" s="226">
        <v>2.0</v>
      </c>
      <c r="K777" s="226">
        <v>2.0</v>
      </c>
      <c r="L777" s="49">
        <v>0.0</v>
      </c>
      <c r="M777" s="212" t="s">
        <v>3920</v>
      </c>
      <c r="N777" s="49" t="s">
        <v>46</v>
      </c>
      <c r="O777" s="49" t="s">
        <v>3481</v>
      </c>
      <c r="P777" s="49" t="s">
        <v>29</v>
      </c>
      <c r="Q777" s="114">
        <v>0.0</v>
      </c>
      <c r="R777" s="46"/>
    </row>
    <row r="778" ht="15.75" customHeight="1">
      <c r="A778" s="211">
        <v>21.0</v>
      </c>
      <c r="B778" s="212" t="s">
        <v>3953</v>
      </c>
      <c r="C778" s="212" t="s">
        <v>3954</v>
      </c>
      <c r="D778" s="235" t="s">
        <v>2000</v>
      </c>
      <c r="E778" s="235" t="s">
        <v>3743</v>
      </c>
      <c r="F778" s="243"/>
      <c r="G778" s="225" t="s">
        <v>3481</v>
      </c>
      <c r="H778" s="237">
        <v>10.0</v>
      </c>
      <c r="I778" s="226">
        <v>30.0</v>
      </c>
      <c r="J778" s="226">
        <v>0.0</v>
      </c>
      <c r="K778" s="226">
        <v>0.0</v>
      </c>
      <c r="L778" s="49">
        <v>2.0</v>
      </c>
      <c r="M778" s="212" t="s">
        <v>3920</v>
      </c>
      <c r="N778" s="49" t="s">
        <v>46</v>
      </c>
      <c r="O778" s="49" t="s">
        <v>3481</v>
      </c>
      <c r="P778" s="49" t="s">
        <v>29</v>
      </c>
      <c r="Q778" s="114">
        <v>0.0</v>
      </c>
      <c r="R778" s="46"/>
    </row>
    <row r="779" ht="15.75" customHeight="1">
      <c r="A779" s="211">
        <v>22.0</v>
      </c>
      <c r="B779" s="212" t="s">
        <v>3955</v>
      </c>
      <c r="C779" s="212" t="s">
        <v>3956</v>
      </c>
      <c r="D779" s="235" t="s">
        <v>2000</v>
      </c>
      <c r="E779" s="235" t="s">
        <v>3743</v>
      </c>
      <c r="F779" s="243"/>
      <c r="G779" s="225" t="s">
        <v>3481</v>
      </c>
      <c r="H779" s="237">
        <v>10.0</v>
      </c>
      <c r="I779" s="226">
        <v>30.0</v>
      </c>
      <c r="J779" s="226" t="s">
        <v>3481</v>
      </c>
      <c r="K779" s="226" t="s">
        <v>3481</v>
      </c>
      <c r="L779" s="49" t="s">
        <v>3481</v>
      </c>
      <c r="M779" s="212" t="s">
        <v>3920</v>
      </c>
      <c r="N779" s="49" t="s">
        <v>46</v>
      </c>
      <c r="O779" s="49" t="s">
        <v>3481</v>
      </c>
      <c r="P779" s="49" t="s">
        <v>29</v>
      </c>
      <c r="Q779" s="114">
        <v>0.0</v>
      </c>
      <c r="R779" s="46"/>
    </row>
    <row r="780" ht="15.75" customHeight="1">
      <c r="A780" s="211">
        <v>23.0</v>
      </c>
      <c r="B780" s="212" t="s">
        <v>3957</v>
      </c>
      <c r="C780" s="212" t="s">
        <v>3956</v>
      </c>
      <c r="D780" s="235" t="s">
        <v>2000</v>
      </c>
      <c r="E780" s="235" t="s">
        <v>3743</v>
      </c>
      <c r="F780" s="243"/>
      <c r="G780" s="225" t="s">
        <v>3481</v>
      </c>
      <c r="H780" s="237">
        <v>30.0</v>
      </c>
      <c r="I780" s="226">
        <v>90.0</v>
      </c>
      <c r="J780" s="226">
        <v>2.0</v>
      </c>
      <c r="K780" s="226">
        <v>2.0</v>
      </c>
      <c r="L780" s="49">
        <v>0.0</v>
      </c>
      <c r="M780" s="212" t="s">
        <v>3920</v>
      </c>
      <c r="N780" s="49" t="s">
        <v>46</v>
      </c>
      <c r="O780" s="49" t="s">
        <v>3481</v>
      </c>
      <c r="P780" s="49" t="s">
        <v>29</v>
      </c>
      <c r="Q780" s="114">
        <v>0.0</v>
      </c>
      <c r="R780" s="46"/>
    </row>
    <row r="781" ht="15.75" customHeight="1">
      <c r="A781" s="211">
        <v>24.0</v>
      </c>
      <c r="B781" s="212" t="s">
        <v>2287</v>
      </c>
      <c r="C781" s="212" t="s">
        <v>2247</v>
      </c>
      <c r="D781" s="235" t="s">
        <v>2000</v>
      </c>
      <c r="E781" s="235" t="s">
        <v>3743</v>
      </c>
      <c r="F781" s="243"/>
      <c r="G781" s="225" t="s">
        <v>3481</v>
      </c>
      <c r="H781" s="237">
        <v>10.0</v>
      </c>
      <c r="I781" s="226">
        <v>30.0</v>
      </c>
      <c r="J781" s="226">
        <v>1.0</v>
      </c>
      <c r="K781" s="226">
        <v>1.0</v>
      </c>
      <c r="L781" s="49">
        <v>0.0</v>
      </c>
      <c r="M781" s="212" t="s">
        <v>3920</v>
      </c>
      <c r="N781" s="49" t="s">
        <v>46</v>
      </c>
      <c r="O781" s="49" t="s">
        <v>3481</v>
      </c>
      <c r="P781" s="49" t="s">
        <v>29</v>
      </c>
      <c r="Q781" s="114">
        <v>0.0</v>
      </c>
      <c r="R781" s="46"/>
    </row>
    <row r="782" ht="15.75" customHeight="1">
      <c r="A782" s="211">
        <v>25.0</v>
      </c>
      <c r="B782" s="212" t="s">
        <v>3958</v>
      </c>
      <c r="C782" s="212" t="s">
        <v>3959</v>
      </c>
      <c r="D782" s="235" t="s">
        <v>2000</v>
      </c>
      <c r="E782" s="235" t="s">
        <v>3743</v>
      </c>
      <c r="F782" s="243"/>
      <c r="G782" s="225" t="s">
        <v>3481</v>
      </c>
      <c r="H782" s="237">
        <v>10.0</v>
      </c>
      <c r="I782" s="226">
        <v>30.0</v>
      </c>
      <c r="J782" s="226">
        <v>1.0</v>
      </c>
      <c r="K782" s="226">
        <v>1.0</v>
      </c>
      <c r="L782" s="49">
        <v>0.0</v>
      </c>
      <c r="M782" s="212" t="s">
        <v>3920</v>
      </c>
      <c r="N782" s="49" t="s">
        <v>46</v>
      </c>
      <c r="O782" s="49" t="s">
        <v>3481</v>
      </c>
      <c r="P782" s="49" t="s">
        <v>29</v>
      </c>
      <c r="Q782" s="114">
        <v>0.0</v>
      </c>
      <c r="R782" s="46"/>
    </row>
    <row r="783" ht="15.75" customHeight="1">
      <c r="A783" s="211">
        <v>26.0</v>
      </c>
      <c r="B783" s="212" t="s">
        <v>3960</v>
      </c>
      <c r="C783" s="212" t="s">
        <v>3961</v>
      </c>
      <c r="D783" s="235" t="s">
        <v>2000</v>
      </c>
      <c r="E783" s="235" t="s">
        <v>3743</v>
      </c>
      <c r="F783" s="243"/>
      <c r="G783" s="225" t="s">
        <v>3481</v>
      </c>
      <c r="H783" s="237">
        <v>10.0</v>
      </c>
      <c r="I783" s="226">
        <v>30.0</v>
      </c>
      <c r="J783" s="226">
        <v>0.0</v>
      </c>
      <c r="K783" s="226">
        <v>0.0</v>
      </c>
      <c r="L783" s="49">
        <v>2.0</v>
      </c>
      <c r="M783" s="212" t="s">
        <v>3920</v>
      </c>
      <c r="N783" s="49" t="s">
        <v>46</v>
      </c>
      <c r="O783" s="49" t="s">
        <v>3481</v>
      </c>
      <c r="P783" s="49" t="s">
        <v>29</v>
      </c>
      <c r="Q783" s="114">
        <v>0.0</v>
      </c>
      <c r="R783" s="46"/>
    </row>
    <row r="784" ht="15.75" customHeight="1">
      <c r="A784" s="211">
        <v>27.0</v>
      </c>
      <c r="B784" s="212" t="s">
        <v>3962</v>
      </c>
      <c r="C784" s="212" t="s">
        <v>3963</v>
      </c>
      <c r="D784" s="235" t="s">
        <v>2000</v>
      </c>
      <c r="E784" s="235" t="s">
        <v>3743</v>
      </c>
      <c r="F784" s="243"/>
      <c r="G784" s="225">
        <v>25.0</v>
      </c>
      <c r="H784" s="237">
        <v>10.0</v>
      </c>
      <c r="I784" s="226">
        <v>30.0</v>
      </c>
      <c r="J784" s="226">
        <v>0.0</v>
      </c>
      <c r="K784" s="226">
        <v>0.0</v>
      </c>
      <c r="L784" s="49">
        <v>1.0</v>
      </c>
      <c r="M784" s="212" t="s">
        <v>3920</v>
      </c>
      <c r="N784" s="49" t="s">
        <v>46</v>
      </c>
      <c r="O784" s="49" t="s">
        <v>3481</v>
      </c>
      <c r="P784" s="49" t="s">
        <v>29</v>
      </c>
      <c r="Q784" s="114">
        <v>0.0</v>
      </c>
      <c r="R784" s="46"/>
    </row>
    <row r="785" ht="15.75" customHeight="1">
      <c r="A785" s="211">
        <v>28.0</v>
      </c>
      <c r="B785" s="212" t="s">
        <v>3964</v>
      </c>
      <c r="C785" s="212" t="s">
        <v>3963</v>
      </c>
      <c r="D785" s="235" t="s">
        <v>2000</v>
      </c>
      <c r="E785" s="235" t="s">
        <v>3743</v>
      </c>
      <c r="F785" s="243"/>
      <c r="G785" s="225" t="s">
        <v>3481</v>
      </c>
      <c r="H785" s="237">
        <v>10.0</v>
      </c>
      <c r="I785" s="226">
        <v>30.0</v>
      </c>
      <c r="J785" s="226" t="s">
        <v>3481</v>
      </c>
      <c r="K785" s="226" t="s">
        <v>3481</v>
      </c>
      <c r="L785" s="49" t="s">
        <v>3481</v>
      </c>
      <c r="M785" s="212" t="s">
        <v>3920</v>
      </c>
      <c r="N785" s="49" t="s">
        <v>46</v>
      </c>
      <c r="O785" s="49" t="s">
        <v>3481</v>
      </c>
      <c r="P785" s="49" t="s">
        <v>29</v>
      </c>
      <c r="Q785" s="114">
        <v>0.0</v>
      </c>
      <c r="R785" s="46"/>
    </row>
    <row r="786" ht="15.75" customHeight="1">
      <c r="A786" s="211">
        <v>29.0</v>
      </c>
      <c r="B786" s="212" t="s">
        <v>3965</v>
      </c>
      <c r="C786" s="212" t="s">
        <v>3966</v>
      </c>
      <c r="D786" s="235" t="s">
        <v>2000</v>
      </c>
      <c r="E786" s="235" t="s">
        <v>3743</v>
      </c>
      <c r="F786" s="243"/>
      <c r="G786" s="225" t="s">
        <v>3481</v>
      </c>
      <c r="H786" s="237">
        <v>10.0</v>
      </c>
      <c r="I786" s="226">
        <v>30.0</v>
      </c>
      <c r="J786" s="226">
        <v>0.0</v>
      </c>
      <c r="K786" s="226">
        <v>0.0</v>
      </c>
      <c r="L786" s="49">
        <v>2.0</v>
      </c>
      <c r="M786" s="212" t="s">
        <v>3920</v>
      </c>
      <c r="N786" s="49" t="s">
        <v>46</v>
      </c>
      <c r="O786" s="49" t="s">
        <v>3481</v>
      </c>
      <c r="P786" s="49" t="s">
        <v>29</v>
      </c>
      <c r="Q786" s="114">
        <v>0.0</v>
      </c>
      <c r="R786" s="46"/>
    </row>
    <row r="787" ht="15.75" customHeight="1">
      <c r="A787" s="211">
        <v>30.0</v>
      </c>
      <c r="B787" s="212" t="s">
        <v>3967</v>
      </c>
      <c r="C787" s="212" t="s">
        <v>3966</v>
      </c>
      <c r="D787" s="235" t="s">
        <v>2000</v>
      </c>
      <c r="E787" s="235" t="s">
        <v>3743</v>
      </c>
      <c r="F787" s="243"/>
      <c r="G787" s="225" t="s">
        <v>3481</v>
      </c>
      <c r="H787" s="237">
        <v>30.0</v>
      </c>
      <c r="I787" s="226">
        <v>90.0</v>
      </c>
      <c r="J787" s="226">
        <v>0.0</v>
      </c>
      <c r="K787" s="226">
        <v>0.0</v>
      </c>
      <c r="L787" s="49">
        <v>1.0</v>
      </c>
      <c r="M787" s="212" t="s">
        <v>3920</v>
      </c>
      <c r="N787" s="49" t="s">
        <v>46</v>
      </c>
      <c r="O787" s="49" t="s">
        <v>3481</v>
      </c>
      <c r="P787" s="49" t="s">
        <v>29</v>
      </c>
      <c r="Q787" s="114">
        <v>0.0</v>
      </c>
      <c r="R787" s="46"/>
    </row>
    <row r="788" ht="15.75" customHeight="1">
      <c r="A788" s="211">
        <v>31.0</v>
      </c>
      <c r="B788" s="212" t="s">
        <v>3968</v>
      </c>
      <c r="C788" s="212" t="s">
        <v>3969</v>
      </c>
      <c r="D788" s="235" t="s">
        <v>2000</v>
      </c>
      <c r="E788" s="235" t="s">
        <v>3743</v>
      </c>
      <c r="F788" s="243"/>
      <c r="G788" s="225" t="s">
        <v>3481</v>
      </c>
      <c r="H788" s="237">
        <v>10.0</v>
      </c>
      <c r="I788" s="226">
        <v>30.0</v>
      </c>
      <c r="J788" s="226" t="s">
        <v>3481</v>
      </c>
      <c r="K788" s="226" t="s">
        <v>3481</v>
      </c>
      <c r="L788" s="49" t="s">
        <v>3481</v>
      </c>
      <c r="M788" s="212" t="s">
        <v>3920</v>
      </c>
      <c r="N788" s="49" t="s">
        <v>46</v>
      </c>
      <c r="O788" s="49" t="s">
        <v>3481</v>
      </c>
      <c r="P788" s="49" t="s">
        <v>29</v>
      </c>
      <c r="Q788" s="114">
        <v>0.0</v>
      </c>
      <c r="R788" s="46"/>
    </row>
    <row r="789" ht="15.75" customHeight="1">
      <c r="A789" s="211">
        <v>32.0</v>
      </c>
      <c r="B789" s="212" t="s">
        <v>3970</v>
      </c>
      <c r="C789" s="212" t="s">
        <v>3971</v>
      </c>
      <c r="D789" s="235" t="s">
        <v>2000</v>
      </c>
      <c r="E789" s="235" t="s">
        <v>3743</v>
      </c>
      <c r="F789" s="243"/>
      <c r="G789" s="225" t="s">
        <v>3481</v>
      </c>
      <c r="H789" s="237">
        <v>10.0</v>
      </c>
      <c r="I789" s="226">
        <v>30.0</v>
      </c>
      <c r="J789" s="226" t="s">
        <v>3481</v>
      </c>
      <c r="K789" s="226" t="s">
        <v>3481</v>
      </c>
      <c r="L789" s="49" t="s">
        <v>3481</v>
      </c>
      <c r="M789" s="212" t="s">
        <v>3920</v>
      </c>
      <c r="N789" s="49" t="s">
        <v>46</v>
      </c>
      <c r="O789" s="49" t="s">
        <v>3481</v>
      </c>
      <c r="P789" s="49" t="s">
        <v>29</v>
      </c>
      <c r="Q789" s="114">
        <v>0.0</v>
      </c>
      <c r="R789" s="46"/>
    </row>
    <row r="790" ht="15.75" customHeight="1">
      <c r="A790" s="211">
        <v>33.0</v>
      </c>
      <c r="B790" s="212" t="s">
        <v>3972</v>
      </c>
      <c r="C790" s="212" t="s">
        <v>3973</v>
      </c>
      <c r="D790" s="235" t="s">
        <v>2000</v>
      </c>
      <c r="E790" s="235" t="s">
        <v>3743</v>
      </c>
      <c r="F790" s="243"/>
      <c r="G790" s="225" t="s">
        <v>3481</v>
      </c>
      <c r="H790" s="237">
        <v>10.0</v>
      </c>
      <c r="I790" s="226">
        <v>30.0</v>
      </c>
      <c r="J790" s="226">
        <v>0.0</v>
      </c>
      <c r="K790" s="226">
        <v>0.0</v>
      </c>
      <c r="L790" s="49">
        <v>3.0</v>
      </c>
      <c r="M790" s="212" t="s">
        <v>3920</v>
      </c>
      <c r="N790" s="49" t="s">
        <v>46</v>
      </c>
      <c r="O790" s="49" t="s">
        <v>3481</v>
      </c>
      <c r="P790" s="49" t="s">
        <v>29</v>
      </c>
      <c r="Q790" s="114">
        <v>0.0</v>
      </c>
      <c r="R790" s="46"/>
    </row>
    <row r="791" ht="15.75" customHeight="1">
      <c r="A791" s="211">
        <v>34.0</v>
      </c>
      <c r="B791" s="212" t="s">
        <v>3974</v>
      </c>
      <c r="C791" s="212" t="s">
        <v>3973</v>
      </c>
      <c r="D791" s="235" t="s">
        <v>2000</v>
      </c>
      <c r="E791" s="235" t="s">
        <v>3743</v>
      </c>
      <c r="F791" s="243"/>
      <c r="G791" s="225" t="s">
        <v>3481</v>
      </c>
      <c r="H791" s="237">
        <v>30.0</v>
      </c>
      <c r="I791" s="226">
        <v>90.0</v>
      </c>
      <c r="J791" s="226" t="s">
        <v>3481</v>
      </c>
      <c r="K791" s="226" t="s">
        <v>3481</v>
      </c>
      <c r="L791" s="49" t="s">
        <v>3481</v>
      </c>
      <c r="M791" s="212" t="s">
        <v>3920</v>
      </c>
      <c r="N791" s="49" t="s">
        <v>46</v>
      </c>
      <c r="O791" s="49" t="s">
        <v>3481</v>
      </c>
      <c r="P791" s="49" t="s">
        <v>29</v>
      </c>
      <c r="Q791" s="114">
        <v>0.0</v>
      </c>
      <c r="R791" s="46"/>
    </row>
    <row r="792" ht="15.75" customHeight="1">
      <c r="A792" s="211">
        <v>35.0</v>
      </c>
      <c r="B792" s="212" t="s">
        <v>3975</v>
      </c>
      <c r="C792" s="212" t="s">
        <v>3976</v>
      </c>
      <c r="D792" s="235" t="s">
        <v>2000</v>
      </c>
      <c r="E792" s="235" t="s">
        <v>3743</v>
      </c>
      <c r="F792" s="243"/>
      <c r="G792" s="244" t="s">
        <v>3481</v>
      </c>
      <c r="H792" s="237">
        <v>10.0</v>
      </c>
      <c r="I792" s="226">
        <v>30.0</v>
      </c>
      <c r="J792" s="226">
        <v>0.0</v>
      </c>
      <c r="K792" s="226">
        <v>0.0</v>
      </c>
      <c r="L792" s="49">
        <v>2.0</v>
      </c>
      <c r="M792" s="212" t="s">
        <v>3920</v>
      </c>
      <c r="N792" s="49" t="s">
        <v>46</v>
      </c>
      <c r="O792" s="49" t="s">
        <v>3481</v>
      </c>
      <c r="P792" s="49" t="s">
        <v>29</v>
      </c>
      <c r="Q792" s="114">
        <v>0.0</v>
      </c>
      <c r="R792" s="46"/>
    </row>
    <row r="793" ht="15.75" customHeight="1">
      <c r="A793" s="211">
        <v>36.0</v>
      </c>
      <c r="B793" s="212" t="s">
        <v>3977</v>
      </c>
      <c r="C793" s="212" t="s">
        <v>3976</v>
      </c>
      <c r="D793" s="235" t="s">
        <v>2000</v>
      </c>
      <c r="E793" s="235" t="s">
        <v>3743</v>
      </c>
      <c r="F793" s="243"/>
      <c r="G793" s="244" t="s">
        <v>3481</v>
      </c>
      <c r="H793" s="237">
        <v>30.0</v>
      </c>
      <c r="I793" s="226">
        <v>90.0</v>
      </c>
      <c r="J793" s="226" t="s">
        <v>3481</v>
      </c>
      <c r="K793" s="226" t="s">
        <v>3481</v>
      </c>
      <c r="L793" s="49" t="s">
        <v>3481</v>
      </c>
      <c r="M793" s="212" t="s">
        <v>3920</v>
      </c>
      <c r="N793" s="49" t="s">
        <v>46</v>
      </c>
      <c r="O793" s="49" t="s">
        <v>3481</v>
      </c>
      <c r="P793" s="49" t="s">
        <v>29</v>
      </c>
      <c r="Q793" s="114">
        <v>0.0</v>
      </c>
      <c r="R793" s="46"/>
    </row>
    <row r="794" ht="15.75" customHeight="1">
      <c r="A794" s="211">
        <v>37.0</v>
      </c>
      <c r="B794" s="212" t="s">
        <v>3978</v>
      </c>
      <c r="C794" s="212" t="s">
        <v>3979</v>
      </c>
      <c r="D794" s="235" t="s">
        <v>2000</v>
      </c>
      <c r="E794" s="235" t="s">
        <v>3743</v>
      </c>
      <c r="F794" s="243"/>
      <c r="G794" s="225" t="s">
        <v>3481</v>
      </c>
      <c r="H794" s="237">
        <v>10.0</v>
      </c>
      <c r="I794" s="226">
        <v>30.0</v>
      </c>
      <c r="J794" s="226">
        <v>0.0</v>
      </c>
      <c r="K794" s="226">
        <v>0.0</v>
      </c>
      <c r="L794" s="49">
        <v>2.0</v>
      </c>
      <c r="M794" s="212" t="s">
        <v>3920</v>
      </c>
      <c r="N794" s="49" t="s">
        <v>46</v>
      </c>
      <c r="O794" s="49" t="s">
        <v>3481</v>
      </c>
      <c r="P794" s="49" t="s">
        <v>29</v>
      </c>
      <c r="Q794" s="114">
        <v>0.0</v>
      </c>
      <c r="R794" s="46"/>
    </row>
    <row r="795" ht="15.75" customHeight="1">
      <c r="A795" s="211">
        <v>38.0</v>
      </c>
      <c r="B795" s="212" t="s">
        <v>3980</v>
      </c>
      <c r="C795" s="212" t="s">
        <v>3981</v>
      </c>
      <c r="D795" s="235" t="s">
        <v>2000</v>
      </c>
      <c r="E795" s="235" t="s">
        <v>3743</v>
      </c>
      <c r="F795" s="243"/>
      <c r="G795" s="225">
        <v>48.0</v>
      </c>
      <c r="H795" s="237">
        <v>10.0</v>
      </c>
      <c r="I795" s="226">
        <v>30.0</v>
      </c>
      <c r="J795" s="226">
        <v>1.0</v>
      </c>
      <c r="K795" s="226">
        <v>1.0</v>
      </c>
      <c r="L795" s="49">
        <v>0.0</v>
      </c>
      <c r="M795" s="212" t="s">
        <v>3920</v>
      </c>
      <c r="N795" s="49" t="s">
        <v>46</v>
      </c>
      <c r="O795" s="49" t="s">
        <v>3481</v>
      </c>
      <c r="P795" s="49" t="s">
        <v>29</v>
      </c>
      <c r="Q795" s="114">
        <v>0.0</v>
      </c>
      <c r="R795" s="46"/>
    </row>
    <row r="796" ht="15.75" customHeight="1">
      <c r="A796" s="211">
        <v>39.0</v>
      </c>
      <c r="B796" s="212" t="s">
        <v>3982</v>
      </c>
      <c r="C796" s="212" t="s">
        <v>3981</v>
      </c>
      <c r="D796" s="235" t="s">
        <v>2000</v>
      </c>
      <c r="E796" s="235" t="s">
        <v>3743</v>
      </c>
      <c r="F796" s="243"/>
      <c r="G796" s="225" t="s">
        <v>3481</v>
      </c>
      <c r="H796" s="237">
        <v>30.0</v>
      </c>
      <c r="I796" s="226">
        <v>90.0</v>
      </c>
      <c r="J796" s="226" t="s">
        <v>3481</v>
      </c>
      <c r="K796" s="226" t="s">
        <v>3481</v>
      </c>
      <c r="L796" s="49" t="s">
        <v>3481</v>
      </c>
      <c r="M796" s="212" t="s">
        <v>3920</v>
      </c>
      <c r="N796" s="49" t="s">
        <v>46</v>
      </c>
      <c r="O796" s="49" t="s">
        <v>3481</v>
      </c>
      <c r="P796" s="49" t="s">
        <v>29</v>
      </c>
      <c r="Q796" s="114">
        <v>0.0</v>
      </c>
      <c r="R796" s="46"/>
    </row>
    <row r="797" ht="15.75" customHeight="1">
      <c r="A797" s="211">
        <v>40.0</v>
      </c>
      <c r="B797" s="212" t="s">
        <v>3983</v>
      </c>
      <c r="C797" s="212" t="s">
        <v>3984</v>
      </c>
      <c r="D797" s="235" t="s">
        <v>2000</v>
      </c>
      <c r="E797" s="235" t="s">
        <v>3743</v>
      </c>
      <c r="F797" s="243"/>
      <c r="G797" s="225" t="s">
        <v>3481</v>
      </c>
      <c r="H797" s="237">
        <v>10.0</v>
      </c>
      <c r="I797" s="226">
        <v>30.0</v>
      </c>
      <c r="J797" s="226" t="s">
        <v>3481</v>
      </c>
      <c r="K797" s="226" t="s">
        <v>3481</v>
      </c>
      <c r="L797" s="49" t="s">
        <v>3481</v>
      </c>
      <c r="M797" s="212" t="s">
        <v>3920</v>
      </c>
      <c r="N797" s="49" t="s">
        <v>46</v>
      </c>
      <c r="O797" s="49" t="s">
        <v>3481</v>
      </c>
      <c r="P797" s="49" t="s">
        <v>29</v>
      </c>
      <c r="Q797" s="114">
        <v>0.0</v>
      </c>
      <c r="R797" s="46"/>
    </row>
    <row r="798" ht="15.75" customHeight="1">
      <c r="A798" s="211">
        <v>41.0</v>
      </c>
      <c r="B798" s="212" t="s">
        <v>3985</v>
      </c>
      <c r="C798" s="212" t="s">
        <v>3984</v>
      </c>
      <c r="D798" s="235" t="s">
        <v>2000</v>
      </c>
      <c r="E798" s="235" t="s">
        <v>3743</v>
      </c>
      <c r="F798" s="243"/>
      <c r="G798" s="225" t="s">
        <v>3481</v>
      </c>
      <c r="H798" s="237">
        <v>30.0</v>
      </c>
      <c r="I798" s="226">
        <v>90.0</v>
      </c>
      <c r="J798" s="226" t="s">
        <v>3481</v>
      </c>
      <c r="K798" s="226" t="s">
        <v>3481</v>
      </c>
      <c r="L798" s="49" t="s">
        <v>3481</v>
      </c>
      <c r="M798" s="212" t="s">
        <v>3920</v>
      </c>
      <c r="N798" s="49" t="s">
        <v>46</v>
      </c>
      <c r="O798" s="49" t="s">
        <v>3481</v>
      </c>
      <c r="P798" s="49" t="s">
        <v>29</v>
      </c>
      <c r="Q798" s="114">
        <v>0.0</v>
      </c>
      <c r="R798" s="46"/>
    </row>
    <row r="799" ht="15.75" customHeight="1">
      <c r="A799" s="211">
        <v>42.0</v>
      </c>
      <c r="B799" s="212" t="s">
        <v>3986</v>
      </c>
      <c r="C799" s="212" t="s">
        <v>3987</v>
      </c>
      <c r="D799" s="235" t="s">
        <v>2000</v>
      </c>
      <c r="E799" s="235" t="s">
        <v>3743</v>
      </c>
      <c r="F799" s="243"/>
      <c r="G799" s="225" t="s">
        <v>3481</v>
      </c>
      <c r="H799" s="237">
        <v>10.0</v>
      </c>
      <c r="I799" s="226">
        <v>30.0</v>
      </c>
      <c r="J799" s="226" t="s">
        <v>3481</v>
      </c>
      <c r="K799" s="226" t="s">
        <v>3481</v>
      </c>
      <c r="L799" s="49" t="s">
        <v>3481</v>
      </c>
      <c r="M799" s="212" t="s">
        <v>3920</v>
      </c>
      <c r="N799" s="49" t="s">
        <v>46</v>
      </c>
      <c r="O799" s="49" t="s">
        <v>3481</v>
      </c>
      <c r="P799" s="49" t="s">
        <v>29</v>
      </c>
      <c r="Q799" s="114">
        <v>0.0</v>
      </c>
      <c r="R799" s="46"/>
    </row>
    <row r="800" ht="15.75" customHeight="1">
      <c r="A800" s="211">
        <v>43.0</v>
      </c>
      <c r="B800" s="212" t="s">
        <v>3988</v>
      </c>
      <c r="C800" s="212" t="s">
        <v>3926</v>
      </c>
      <c r="D800" s="235" t="s">
        <v>2000</v>
      </c>
      <c r="E800" s="235" t="s">
        <v>3743</v>
      </c>
      <c r="F800" s="243"/>
      <c r="G800" s="225" t="s">
        <v>3989</v>
      </c>
      <c r="H800" s="237">
        <v>4.0</v>
      </c>
      <c r="I800" s="226">
        <v>12.0</v>
      </c>
      <c r="J800" s="226" t="s">
        <v>3481</v>
      </c>
      <c r="K800" s="226" t="s">
        <v>3481</v>
      </c>
      <c r="L800" s="49" t="s">
        <v>3481</v>
      </c>
      <c r="M800" s="212" t="s">
        <v>3920</v>
      </c>
      <c r="N800" s="49" t="s">
        <v>46</v>
      </c>
      <c r="O800" s="49" t="s">
        <v>3481</v>
      </c>
      <c r="P800" s="49" t="s">
        <v>29</v>
      </c>
      <c r="Q800" s="114">
        <v>0.0</v>
      </c>
      <c r="R800" s="46"/>
    </row>
    <row r="801" ht="15.75" customHeight="1">
      <c r="A801" s="211">
        <v>44.0</v>
      </c>
      <c r="B801" s="212" t="s">
        <v>3990</v>
      </c>
      <c r="C801" s="212" t="s">
        <v>3932</v>
      </c>
      <c r="D801" s="235" t="s">
        <v>2000</v>
      </c>
      <c r="E801" s="235" t="s">
        <v>3743</v>
      </c>
      <c r="F801" s="243"/>
      <c r="G801" s="225" t="s">
        <v>3481</v>
      </c>
      <c r="H801" s="237" t="s">
        <v>3481</v>
      </c>
      <c r="I801" s="226" t="s">
        <v>3481</v>
      </c>
      <c r="J801" s="226" t="s">
        <v>3481</v>
      </c>
      <c r="K801" s="226" t="s">
        <v>3481</v>
      </c>
      <c r="L801" s="49" t="s">
        <v>3481</v>
      </c>
      <c r="M801" s="212" t="s">
        <v>3920</v>
      </c>
      <c r="N801" s="49" t="s">
        <v>46</v>
      </c>
      <c r="O801" s="49" t="s">
        <v>3481</v>
      </c>
      <c r="P801" s="49" t="s">
        <v>29</v>
      </c>
      <c r="Q801" s="114">
        <v>0.0</v>
      </c>
      <c r="R801" s="46"/>
    </row>
    <row r="802" ht="15.75" customHeight="1">
      <c r="A802" s="211">
        <v>45.0</v>
      </c>
      <c r="B802" s="212" t="s">
        <v>3991</v>
      </c>
      <c r="C802" s="212" t="s">
        <v>3934</v>
      </c>
      <c r="D802" s="235" t="s">
        <v>2000</v>
      </c>
      <c r="E802" s="235" t="s">
        <v>3743</v>
      </c>
      <c r="F802" s="243"/>
      <c r="G802" s="225" t="s">
        <v>3481</v>
      </c>
      <c r="H802" s="237" t="s">
        <v>3481</v>
      </c>
      <c r="I802" s="226" t="s">
        <v>3481</v>
      </c>
      <c r="J802" s="226" t="s">
        <v>3481</v>
      </c>
      <c r="K802" s="226" t="s">
        <v>3481</v>
      </c>
      <c r="L802" s="49" t="s">
        <v>3481</v>
      </c>
      <c r="M802" s="212" t="s">
        <v>3920</v>
      </c>
      <c r="N802" s="49" t="s">
        <v>46</v>
      </c>
      <c r="O802" s="49" t="s">
        <v>3481</v>
      </c>
      <c r="P802" s="49" t="s">
        <v>29</v>
      </c>
      <c r="Q802" s="114">
        <v>0.0</v>
      </c>
      <c r="R802" s="46"/>
    </row>
    <row r="803" ht="15.75" customHeight="1">
      <c r="A803" s="211">
        <v>46.0</v>
      </c>
      <c r="B803" s="212" t="s">
        <v>3992</v>
      </c>
      <c r="C803" s="212" t="s">
        <v>3938</v>
      </c>
      <c r="D803" s="235" t="s">
        <v>2000</v>
      </c>
      <c r="E803" s="235" t="s">
        <v>3743</v>
      </c>
      <c r="F803" s="243"/>
      <c r="G803" s="225" t="s">
        <v>3481</v>
      </c>
      <c r="H803" s="237" t="s">
        <v>3481</v>
      </c>
      <c r="I803" s="226" t="s">
        <v>3481</v>
      </c>
      <c r="J803" s="226">
        <v>2.0</v>
      </c>
      <c r="K803" s="226">
        <v>2.0</v>
      </c>
      <c r="L803" s="49">
        <v>20.0</v>
      </c>
      <c r="M803" s="212" t="s">
        <v>3920</v>
      </c>
      <c r="N803" s="49" t="s">
        <v>46</v>
      </c>
      <c r="O803" s="49" t="s">
        <v>3481</v>
      </c>
      <c r="P803" s="49" t="s">
        <v>29</v>
      </c>
      <c r="Q803" s="114">
        <v>0.0</v>
      </c>
      <c r="R803" s="46"/>
    </row>
    <row r="804" ht="15.75" customHeight="1">
      <c r="A804" s="211">
        <v>47.0</v>
      </c>
      <c r="B804" s="212" t="s">
        <v>3993</v>
      </c>
      <c r="C804" s="212" t="s">
        <v>3940</v>
      </c>
      <c r="D804" s="235" t="s">
        <v>2000</v>
      </c>
      <c r="E804" s="235" t="s">
        <v>3743</v>
      </c>
      <c r="F804" s="243"/>
      <c r="G804" s="225" t="s">
        <v>3481</v>
      </c>
      <c r="H804" s="237" t="s">
        <v>3481</v>
      </c>
      <c r="I804" s="226" t="s">
        <v>3481</v>
      </c>
      <c r="J804" s="226" t="s">
        <v>3481</v>
      </c>
      <c r="K804" s="226" t="s">
        <v>3481</v>
      </c>
      <c r="L804" s="49" t="s">
        <v>3481</v>
      </c>
      <c r="M804" s="212" t="s">
        <v>3920</v>
      </c>
      <c r="N804" s="49" t="s">
        <v>46</v>
      </c>
      <c r="O804" s="49" t="s">
        <v>3481</v>
      </c>
      <c r="P804" s="49" t="s">
        <v>29</v>
      </c>
      <c r="Q804" s="114">
        <v>0.0</v>
      </c>
      <c r="R804" s="46"/>
    </row>
    <row r="805" ht="15.75" customHeight="1">
      <c r="A805" s="211">
        <v>48.0</v>
      </c>
      <c r="B805" s="212" t="s">
        <v>3993</v>
      </c>
      <c r="C805" s="212" t="s">
        <v>3942</v>
      </c>
      <c r="D805" s="235" t="s">
        <v>2000</v>
      </c>
      <c r="E805" s="235" t="s">
        <v>3743</v>
      </c>
      <c r="F805" s="243"/>
      <c r="G805" s="225" t="s">
        <v>3481</v>
      </c>
      <c r="H805" s="237" t="s">
        <v>3481</v>
      </c>
      <c r="I805" s="226" t="s">
        <v>3481</v>
      </c>
      <c r="J805" s="226" t="s">
        <v>3481</v>
      </c>
      <c r="K805" s="226" t="s">
        <v>3481</v>
      </c>
      <c r="L805" s="49" t="s">
        <v>3481</v>
      </c>
      <c r="M805" s="212" t="s">
        <v>3920</v>
      </c>
      <c r="N805" s="49" t="s">
        <v>46</v>
      </c>
      <c r="O805" s="49" t="s">
        <v>3481</v>
      </c>
      <c r="P805" s="49" t="s">
        <v>29</v>
      </c>
      <c r="Q805" s="114">
        <v>0.0</v>
      </c>
      <c r="R805" s="46"/>
    </row>
    <row r="806" ht="15.75" customHeight="1">
      <c r="A806" s="211">
        <v>49.0</v>
      </c>
      <c r="B806" s="212" t="s">
        <v>3994</v>
      </c>
      <c r="C806" s="212" t="s">
        <v>3995</v>
      </c>
      <c r="D806" s="235" t="s">
        <v>2000</v>
      </c>
      <c r="E806" s="235" t="s">
        <v>3743</v>
      </c>
      <c r="F806" s="243"/>
      <c r="G806" s="225" t="s">
        <v>3481</v>
      </c>
      <c r="H806" s="237" t="s">
        <v>3481</v>
      </c>
      <c r="I806" s="226" t="s">
        <v>3481</v>
      </c>
      <c r="J806" s="226" t="s">
        <v>3481</v>
      </c>
      <c r="K806" s="226" t="s">
        <v>3481</v>
      </c>
      <c r="L806" s="49" t="s">
        <v>3481</v>
      </c>
      <c r="M806" s="212" t="s">
        <v>3920</v>
      </c>
      <c r="N806" s="49" t="s">
        <v>46</v>
      </c>
      <c r="O806" s="49" t="s">
        <v>3481</v>
      </c>
      <c r="P806" s="49" t="s">
        <v>29</v>
      </c>
      <c r="Q806" s="114">
        <v>0.0</v>
      </c>
      <c r="R806" s="46"/>
    </row>
    <row r="807" ht="15.75" customHeight="1">
      <c r="A807" s="211">
        <v>50.0</v>
      </c>
      <c r="B807" s="212" t="s">
        <v>2847</v>
      </c>
      <c r="C807" s="212" t="s">
        <v>1552</v>
      </c>
      <c r="D807" s="235" t="s">
        <v>2000</v>
      </c>
      <c r="E807" s="235" t="s">
        <v>3743</v>
      </c>
      <c r="F807" s="243"/>
      <c r="G807" s="225" t="s">
        <v>3481</v>
      </c>
      <c r="H807" s="237" t="s">
        <v>3481</v>
      </c>
      <c r="I807" s="226" t="s">
        <v>3481</v>
      </c>
      <c r="J807" s="226" t="s">
        <v>3481</v>
      </c>
      <c r="K807" s="226" t="s">
        <v>3481</v>
      </c>
      <c r="L807" s="49" t="s">
        <v>3481</v>
      </c>
      <c r="M807" s="212" t="s">
        <v>3920</v>
      </c>
      <c r="N807" s="49" t="s">
        <v>46</v>
      </c>
      <c r="O807" s="49" t="s">
        <v>3481</v>
      </c>
      <c r="P807" s="49" t="s">
        <v>29</v>
      </c>
      <c r="Q807" s="114">
        <v>0.0</v>
      </c>
      <c r="R807" s="46"/>
    </row>
    <row r="808" ht="15.75" customHeight="1">
      <c r="A808" s="211">
        <v>51.0</v>
      </c>
      <c r="B808" s="212" t="s">
        <v>3996</v>
      </c>
      <c r="C808" s="212" t="s">
        <v>3952</v>
      </c>
      <c r="D808" s="235" t="s">
        <v>2000</v>
      </c>
      <c r="E808" s="235" t="s">
        <v>3743</v>
      </c>
      <c r="F808" s="243"/>
      <c r="G808" s="225" t="s">
        <v>3481</v>
      </c>
      <c r="H808" s="237" t="s">
        <v>3481</v>
      </c>
      <c r="I808" s="226" t="s">
        <v>3481</v>
      </c>
      <c r="J808" s="226" t="s">
        <v>3481</v>
      </c>
      <c r="K808" s="226" t="s">
        <v>3481</v>
      </c>
      <c r="L808" s="49" t="s">
        <v>3481</v>
      </c>
      <c r="M808" s="212" t="s">
        <v>3920</v>
      </c>
      <c r="N808" s="49" t="s">
        <v>46</v>
      </c>
      <c r="O808" s="49" t="s">
        <v>3481</v>
      </c>
      <c r="P808" s="49" t="s">
        <v>29</v>
      </c>
      <c r="Q808" s="114">
        <v>0.0</v>
      </c>
      <c r="R808" s="46"/>
    </row>
    <row r="809" ht="15.75" customHeight="1">
      <c r="A809" s="211">
        <v>52.0</v>
      </c>
      <c r="B809" s="212" t="s">
        <v>3997</v>
      </c>
      <c r="C809" s="212" t="s">
        <v>3954</v>
      </c>
      <c r="D809" s="235" t="s">
        <v>2000</v>
      </c>
      <c r="E809" s="235" t="s">
        <v>3743</v>
      </c>
      <c r="F809" s="243"/>
      <c r="G809" s="225" t="s">
        <v>3481</v>
      </c>
      <c r="H809" s="237" t="s">
        <v>3481</v>
      </c>
      <c r="I809" s="226" t="s">
        <v>3481</v>
      </c>
      <c r="J809" s="226" t="s">
        <v>3481</v>
      </c>
      <c r="K809" s="226" t="s">
        <v>3481</v>
      </c>
      <c r="L809" s="49" t="s">
        <v>3481</v>
      </c>
      <c r="M809" s="212" t="s">
        <v>3920</v>
      </c>
      <c r="N809" s="49" t="s">
        <v>46</v>
      </c>
      <c r="O809" s="49" t="s">
        <v>3481</v>
      </c>
      <c r="P809" s="49" t="s">
        <v>29</v>
      </c>
      <c r="Q809" s="114">
        <v>0.0</v>
      </c>
      <c r="R809" s="46"/>
    </row>
    <row r="810" ht="15.75" customHeight="1">
      <c r="A810" s="211">
        <v>53.0</v>
      </c>
      <c r="B810" s="212" t="s">
        <v>2246</v>
      </c>
      <c r="C810" s="212" t="s">
        <v>2247</v>
      </c>
      <c r="D810" s="235" t="s">
        <v>2000</v>
      </c>
      <c r="E810" s="235" t="s">
        <v>3743</v>
      </c>
      <c r="F810" s="243"/>
      <c r="G810" s="225" t="s">
        <v>3481</v>
      </c>
      <c r="H810" s="237" t="s">
        <v>3481</v>
      </c>
      <c r="I810" s="226" t="s">
        <v>3481</v>
      </c>
      <c r="J810" s="226">
        <v>0.0</v>
      </c>
      <c r="K810" s="226">
        <v>0.0</v>
      </c>
      <c r="L810" s="49">
        <v>7.0</v>
      </c>
      <c r="M810" s="212" t="s">
        <v>3920</v>
      </c>
      <c r="N810" s="49" t="s">
        <v>46</v>
      </c>
      <c r="O810" s="49" t="s">
        <v>3481</v>
      </c>
      <c r="P810" s="49" t="s">
        <v>29</v>
      </c>
      <c r="Q810" s="114">
        <v>0.0</v>
      </c>
      <c r="R810" s="46"/>
    </row>
    <row r="811" ht="15.75" customHeight="1">
      <c r="A811" s="211">
        <v>54.0</v>
      </c>
      <c r="B811" s="212" t="s">
        <v>3998</v>
      </c>
      <c r="C811" s="212" t="s">
        <v>3959</v>
      </c>
      <c r="D811" s="235" t="s">
        <v>2000</v>
      </c>
      <c r="E811" s="235" t="s">
        <v>3743</v>
      </c>
      <c r="F811" s="243"/>
      <c r="G811" s="225" t="s">
        <v>3481</v>
      </c>
      <c r="H811" s="237" t="s">
        <v>3481</v>
      </c>
      <c r="I811" s="226" t="s">
        <v>3481</v>
      </c>
      <c r="J811" s="226">
        <v>0.0</v>
      </c>
      <c r="K811" s="226">
        <v>0.0</v>
      </c>
      <c r="L811" s="49">
        <v>20.0</v>
      </c>
      <c r="M811" s="212" t="s">
        <v>3920</v>
      </c>
      <c r="N811" s="49" t="s">
        <v>46</v>
      </c>
      <c r="O811" s="49" t="s">
        <v>3481</v>
      </c>
      <c r="P811" s="49" t="s">
        <v>29</v>
      </c>
      <c r="Q811" s="114">
        <v>0.0</v>
      </c>
      <c r="R811" s="46"/>
    </row>
    <row r="812" ht="15.75" customHeight="1">
      <c r="A812" s="211">
        <v>55.0</v>
      </c>
      <c r="B812" s="212" t="s">
        <v>3999</v>
      </c>
      <c r="C812" s="212" t="s">
        <v>3969</v>
      </c>
      <c r="D812" s="235" t="s">
        <v>2000</v>
      </c>
      <c r="E812" s="235" t="s">
        <v>3743</v>
      </c>
      <c r="F812" s="243"/>
      <c r="G812" s="225" t="s">
        <v>3481</v>
      </c>
      <c r="H812" s="237" t="s">
        <v>3481</v>
      </c>
      <c r="I812" s="226" t="s">
        <v>3481</v>
      </c>
      <c r="J812" s="226" t="s">
        <v>3481</v>
      </c>
      <c r="K812" s="226" t="s">
        <v>3481</v>
      </c>
      <c r="L812" s="49" t="s">
        <v>3481</v>
      </c>
      <c r="M812" s="212" t="s">
        <v>3920</v>
      </c>
      <c r="N812" s="49" t="s">
        <v>46</v>
      </c>
      <c r="O812" s="49" t="s">
        <v>3481</v>
      </c>
      <c r="P812" s="49" t="s">
        <v>29</v>
      </c>
      <c r="Q812" s="114">
        <v>0.0</v>
      </c>
      <c r="R812" s="46"/>
    </row>
    <row r="813" ht="15.75" customHeight="1">
      <c r="A813" s="211">
        <v>56.0</v>
      </c>
      <c r="B813" s="212" t="s">
        <v>4000</v>
      </c>
      <c r="C813" s="212" t="s">
        <v>3971</v>
      </c>
      <c r="D813" s="235" t="s">
        <v>2000</v>
      </c>
      <c r="E813" s="235" t="s">
        <v>3743</v>
      </c>
      <c r="F813" s="243"/>
      <c r="G813" s="225" t="s">
        <v>3481</v>
      </c>
      <c r="H813" s="237" t="s">
        <v>3481</v>
      </c>
      <c r="I813" s="226" t="s">
        <v>3481</v>
      </c>
      <c r="J813" s="226" t="s">
        <v>3481</v>
      </c>
      <c r="K813" s="226" t="s">
        <v>3481</v>
      </c>
      <c r="L813" s="49" t="s">
        <v>3481</v>
      </c>
      <c r="M813" s="212" t="s">
        <v>3920</v>
      </c>
      <c r="N813" s="49" t="s">
        <v>46</v>
      </c>
      <c r="O813" s="49" t="s">
        <v>3481</v>
      </c>
      <c r="P813" s="49" t="s">
        <v>29</v>
      </c>
      <c r="Q813" s="114">
        <v>0.0</v>
      </c>
      <c r="R813" s="46"/>
    </row>
    <row r="814" ht="15.75" customHeight="1">
      <c r="A814" s="211">
        <v>57.0</v>
      </c>
      <c r="B814" s="212" t="s">
        <v>2856</v>
      </c>
      <c r="C814" s="212" t="s">
        <v>3979</v>
      </c>
      <c r="D814" s="235" t="s">
        <v>2000</v>
      </c>
      <c r="E814" s="235" t="s">
        <v>3743</v>
      </c>
      <c r="F814" s="243"/>
      <c r="G814" s="225" t="s">
        <v>3481</v>
      </c>
      <c r="H814" s="237" t="s">
        <v>3481</v>
      </c>
      <c r="I814" s="226" t="s">
        <v>3481</v>
      </c>
      <c r="J814" s="226" t="s">
        <v>3481</v>
      </c>
      <c r="K814" s="226" t="s">
        <v>3481</v>
      </c>
      <c r="L814" s="49" t="s">
        <v>3481</v>
      </c>
      <c r="M814" s="212" t="s">
        <v>3920</v>
      </c>
      <c r="N814" s="49" t="s">
        <v>46</v>
      </c>
      <c r="O814" s="49" t="s">
        <v>3481</v>
      </c>
      <c r="P814" s="49" t="s">
        <v>29</v>
      </c>
      <c r="Q814" s="114">
        <v>0.0</v>
      </c>
      <c r="R814" s="46"/>
    </row>
    <row r="815" ht="15.75" customHeight="1">
      <c r="A815" s="211">
        <v>58.0</v>
      </c>
      <c r="B815" s="212" t="s">
        <v>4001</v>
      </c>
      <c r="C815" s="212" t="s">
        <v>3987</v>
      </c>
      <c r="D815" s="235" t="s">
        <v>2000</v>
      </c>
      <c r="E815" s="235" t="s">
        <v>3743</v>
      </c>
      <c r="F815" s="243"/>
      <c r="G815" s="225" t="s">
        <v>3481</v>
      </c>
      <c r="H815" s="237" t="s">
        <v>3481</v>
      </c>
      <c r="I815" s="226" t="s">
        <v>3481</v>
      </c>
      <c r="J815" s="226" t="s">
        <v>3481</v>
      </c>
      <c r="K815" s="226" t="s">
        <v>3481</v>
      </c>
      <c r="L815" s="49" t="s">
        <v>3481</v>
      </c>
      <c r="M815" s="212" t="s">
        <v>3920</v>
      </c>
      <c r="N815" s="49" t="s">
        <v>46</v>
      </c>
      <c r="O815" s="49" t="s">
        <v>3481</v>
      </c>
      <c r="P815" s="49" t="s">
        <v>29</v>
      </c>
      <c r="Q815" s="114">
        <v>0.0</v>
      </c>
      <c r="R815" s="46"/>
    </row>
    <row r="816" ht="15.75" customHeight="1">
      <c r="A816" s="211">
        <v>59.0</v>
      </c>
      <c r="B816" s="212" t="s">
        <v>4002</v>
      </c>
      <c r="C816" s="212" t="s">
        <v>3928</v>
      </c>
      <c r="D816" s="235" t="s">
        <v>2000</v>
      </c>
      <c r="E816" s="235" t="s">
        <v>3743</v>
      </c>
      <c r="F816" s="243"/>
      <c r="G816" s="225" t="s">
        <v>3481</v>
      </c>
      <c r="H816" s="237" t="s">
        <v>3481</v>
      </c>
      <c r="I816" s="226" t="s">
        <v>3481</v>
      </c>
      <c r="J816" s="226" t="s">
        <v>3481</v>
      </c>
      <c r="K816" s="226" t="s">
        <v>3481</v>
      </c>
      <c r="L816" s="49" t="s">
        <v>3481</v>
      </c>
      <c r="M816" s="212" t="s">
        <v>3920</v>
      </c>
      <c r="N816" s="49" t="s">
        <v>46</v>
      </c>
      <c r="O816" s="49" t="s">
        <v>3481</v>
      </c>
      <c r="P816" s="49" t="s">
        <v>29</v>
      </c>
      <c r="Q816" s="114">
        <v>0.0</v>
      </c>
      <c r="R816" s="46"/>
    </row>
    <row r="817" ht="15.75" customHeight="1">
      <c r="A817" s="211">
        <v>60.0</v>
      </c>
      <c r="B817" s="212" t="s">
        <v>4003</v>
      </c>
      <c r="C817" s="212" t="s">
        <v>3930</v>
      </c>
      <c r="D817" s="235" t="s">
        <v>2000</v>
      </c>
      <c r="E817" s="235" t="s">
        <v>3743</v>
      </c>
      <c r="F817" s="243"/>
      <c r="G817" s="225" t="s">
        <v>3481</v>
      </c>
      <c r="H817" s="237" t="s">
        <v>3481</v>
      </c>
      <c r="I817" s="226" t="s">
        <v>3481</v>
      </c>
      <c r="J817" s="226" t="s">
        <v>3481</v>
      </c>
      <c r="K817" s="226" t="s">
        <v>3481</v>
      </c>
      <c r="L817" s="49" t="s">
        <v>3481</v>
      </c>
      <c r="M817" s="212" t="s">
        <v>3920</v>
      </c>
      <c r="N817" s="49" t="s">
        <v>46</v>
      </c>
      <c r="O817" s="49" t="s">
        <v>3481</v>
      </c>
      <c r="P817" s="49" t="s">
        <v>29</v>
      </c>
      <c r="Q817" s="114">
        <v>0.0</v>
      </c>
      <c r="R817" s="46"/>
    </row>
    <row r="818" ht="15.75" customHeight="1">
      <c r="A818" s="181"/>
      <c r="B818" s="182" t="s">
        <v>3144</v>
      </c>
      <c r="C818" s="182"/>
      <c r="D818" s="22"/>
      <c r="E818" s="22"/>
      <c r="F818" s="209"/>
      <c r="G818" s="210"/>
      <c r="H818" s="22"/>
      <c r="I818" s="22"/>
      <c r="J818" s="22"/>
      <c r="K818" s="22"/>
      <c r="L818" s="22"/>
      <c r="M818" s="22"/>
      <c r="N818" s="22"/>
      <c r="O818" s="22"/>
      <c r="P818" s="22"/>
      <c r="Q818" s="209"/>
      <c r="R818" s="22"/>
    </row>
    <row r="819" ht="15.75" customHeight="1">
      <c r="A819" s="211">
        <v>1.0</v>
      </c>
      <c r="B819" s="212" t="s">
        <v>4004</v>
      </c>
      <c r="C819" s="212" t="s">
        <v>4005</v>
      </c>
      <c r="D819" s="235" t="s">
        <v>2000</v>
      </c>
      <c r="E819" s="235" t="s">
        <v>4006</v>
      </c>
      <c r="F819" s="243" t="s">
        <v>138</v>
      </c>
      <c r="G819" s="225">
        <v>395.46</v>
      </c>
      <c r="H819" s="237">
        <v>25.0</v>
      </c>
      <c r="I819" s="226">
        <v>120.0</v>
      </c>
      <c r="J819" s="226">
        <v>2.0</v>
      </c>
      <c r="K819" s="226">
        <v>2.0</v>
      </c>
      <c r="L819" s="49">
        <v>0.0</v>
      </c>
      <c r="M819" s="212" t="s">
        <v>523</v>
      </c>
      <c r="N819" s="49" t="s">
        <v>138</v>
      </c>
      <c r="O819" s="49">
        <v>500.0</v>
      </c>
      <c r="P819" s="49" t="s">
        <v>29</v>
      </c>
      <c r="Q819" s="114">
        <v>0.0</v>
      </c>
      <c r="R819" s="46"/>
    </row>
    <row r="820" ht="15.75" customHeight="1">
      <c r="A820" s="211">
        <v>2.0</v>
      </c>
      <c r="B820" s="212" t="s">
        <v>4007</v>
      </c>
      <c r="C820" s="212" t="s">
        <v>4005</v>
      </c>
      <c r="D820" s="235" t="s">
        <v>2000</v>
      </c>
      <c r="E820" s="235" t="s">
        <v>4006</v>
      </c>
      <c r="F820" s="243" t="s">
        <v>138</v>
      </c>
      <c r="G820" s="225">
        <v>264.0</v>
      </c>
      <c r="H820" s="237">
        <v>35.0</v>
      </c>
      <c r="I820" s="226">
        <v>176.0</v>
      </c>
      <c r="J820" s="226">
        <v>3.0</v>
      </c>
      <c r="K820" s="226">
        <v>3.0</v>
      </c>
      <c r="L820" s="49">
        <v>0.0</v>
      </c>
      <c r="M820" s="212" t="s">
        <v>523</v>
      </c>
      <c r="N820" s="49" t="s">
        <v>138</v>
      </c>
      <c r="O820" s="49">
        <v>250.0</v>
      </c>
      <c r="P820" s="49" t="s">
        <v>29</v>
      </c>
      <c r="Q820" s="114">
        <v>0.0</v>
      </c>
      <c r="R820" s="46"/>
    </row>
    <row r="821" ht="15.75" customHeight="1">
      <c r="A821" s="211">
        <v>3.0</v>
      </c>
      <c r="B821" s="212" t="s">
        <v>4008</v>
      </c>
      <c r="C821" s="212" t="s">
        <v>4009</v>
      </c>
      <c r="D821" s="235" t="s">
        <v>2000</v>
      </c>
      <c r="E821" s="235" t="s">
        <v>4010</v>
      </c>
      <c r="F821" s="243" t="s">
        <v>138</v>
      </c>
      <c r="G821" s="225">
        <v>72.0</v>
      </c>
      <c r="H821" s="237">
        <v>10.0</v>
      </c>
      <c r="I821" s="226">
        <v>48.0</v>
      </c>
      <c r="J821" s="226">
        <v>1.0</v>
      </c>
      <c r="K821" s="226">
        <v>1.0</v>
      </c>
      <c r="L821" s="49">
        <v>0.0</v>
      </c>
      <c r="M821" s="212" t="s">
        <v>4011</v>
      </c>
      <c r="N821" s="49" t="s">
        <v>138</v>
      </c>
      <c r="O821" s="49">
        <v>250.0</v>
      </c>
      <c r="P821" s="49" t="s">
        <v>29</v>
      </c>
      <c r="Q821" s="114">
        <v>0.0</v>
      </c>
      <c r="R821" s="46"/>
    </row>
    <row r="822" ht="15.75" customHeight="1">
      <c r="A822" s="211">
        <v>4.0</v>
      </c>
      <c r="B822" s="212" t="s">
        <v>4012</v>
      </c>
      <c r="C822" s="212" t="s">
        <v>4009</v>
      </c>
      <c r="D822" s="235" t="s">
        <v>2000</v>
      </c>
      <c r="E822" s="235" t="s">
        <v>4006</v>
      </c>
      <c r="F822" s="243" t="s">
        <v>138</v>
      </c>
      <c r="G822" s="225">
        <v>16.0</v>
      </c>
      <c r="H822" s="237">
        <v>2.0</v>
      </c>
      <c r="I822" s="226">
        <v>11.0</v>
      </c>
      <c r="J822" s="226">
        <v>0.0</v>
      </c>
      <c r="K822" s="226">
        <v>0.0</v>
      </c>
      <c r="L822" s="49">
        <v>1.0</v>
      </c>
      <c r="M822" s="212" t="s">
        <v>4011</v>
      </c>
      <c r="N822" s="49" t="s">
        <v>138</v>
      </c>
      <c r="O822" s="49">
        <v>250.0</v>
      </c>
      <c r="P822" s="49" t="s">
        <v>29</v>
      </c>
      <c r="Q822" s="114">
        <v>0.0</v>
      </c>
      <c r="R822" s="46"/>
    </row>
    <row r="823" ht="15.75" customHeight="1">
      <c r="A823" s="211">
        <v>5.0</v>
      </c>
      <c r="B823" s="212" t="s">
        <v>4013</v>
      </c>
      <c r="C823" s="212" t="s">
        <v>4014</v>
      </c>
      <c r="D823" s="235" t="s">
        <v>2000</v>
      </c>
      <c r="E823" s="235" t="s">
        <v>4015</v>
      </c>
      <c r="F823" s="243" t="s">
        <v>138</v>
      </c>
      <c r="G823" s="225">
        <v>20.0</v>
      </c>
      <c r="H823" s="237">
        <v>3.0</v>
      </c>
      <c r="I823" s="226">
        <v>13.0</v>
      </c>
      <c r="J823" s="226">
        <v>1.0</v>
      </c>
      <c r="K823" s="226">
        <v>1.0</v>
      </c>
      <c r="L823" s="49">
        <v>0.0</v>
      </c>
      <c r="M823" s="212" t="s">
        <v>4011</v>
      </c>
      <c r="N823" s="49" t="s">
        <v>138</v>
      </c>
      <c r="O823" s="49">
        <v>250.0</v>
      </c>
      <c r="P823" s="49" t="s">
        <v>29</v>
      </c>
      <c r="Q823" s="114">
        <v>0.0</v>
      </c>
      <c r="R823" s="46"/>
    </row>
    <row r="824" ht="15.75" customHeight="1">
      <c r="A824" s="211">
        <v>6.0</v>
      </c>
      <c r="B824" s="212" t="s">
        <v>4016</v>
      </c>
      <c r="C824" s="212" t="s">
        <v>4014</v>
      </c>
      <c r="D824" s="235" t="s">
        <v>2000</v>
      </c>
      <c r="E824" s="235" t="s">
        <v>4015</v>
      </c>
      <c r="F824" s="243" t="s">
        <v>138</v>
      </c>
      <c r="G824" s="225">
        <v>30.0</v>
      </c>
      <c r="H824" s="237">
        <v>4.0</v>
      </c>
      <c r="I824" s="226">
        <v>20.0</v>
      </c>
      <c r="J824" s="226">
        <v>0.0</v>
      </c>
      <c r="K824" s="226">
        <v>0.0</v>
      </c>
      <c r="L824" s="49">
        <v>1.0</v>
      </c>
      <c r="M824" s="212" t="s">
        <v>4011</v>
      </c>
      <c r="N824" s="49" t="s">
        <v>138</v>
      </c>
      <c r="O824" s="49">
        <v>326.0</v>
      </c>
      <c r="P824" s="49" t="s">
        <v>29</v>
      </c>
      <c r="Q824" s="114">
        <v>0.0</v>
      </c>
      <c r="R824" s="46"/>
    </row>
    <row r="825" ht="15.75" customHeight="1">
      <c r="A825" s="211">
        <v>7.0</v>
      </c>
      <c r="B825" s="212" t="s">
        <v>4017</v>
      </c>
      <c r="C825" s="212" t="s">
        <v>4018</v>
      </c>
      <c r="D825" s="235" t="s">
        <v>2000</v>
      </c>
      <c r="E825" s="235" t="s">
        <v>4019</v>
      </c>
      <c r="F825" s="243" t="s">
        <v>138</v>
      </c>
      <c r="G825" s="225">
        <v>90.0</v>
      </c>
      <c r="H825" s="237">
        <v>12.0</v>
      </c>
      <c r="I825" s="226">
        <v>60.0</v>
      </c>
      <c r="J825" s="226">
        <v>1.0</v>
      </c>
      <c r="K825" s="226">
        <v>1.0</v>
      </c>
      <c r="L825" s="49">
        <v>0.0</v>
      </c>
      <c r="M825" s="212" t="s">
        <v>4020</v>
      </c>
      <c r="N825" s="49" t="s">
        <v>172</v>
      </c>
      <c r="O825" s="49">
        <v>400.0</v>
      </c>
      <c r="P825" s="49" t="s">
        <v>29</v>
      </c>
      <c r="Q825" s="114">
        <v>0.0</v>
      </c>
      <c r="R825" s="46"/>
    </row>
    <row r="826" ht="15.75" customHeight="1">
      <c r="A826" s="211">
        <v>8.0</v>
      </c>
      <c r="B826" s="212" t="s">
        <v>4021</v>
      </c>
      <c r="C826" s="212" t="s">
        <v>4018</v>
      </c>
      <c r="D826" s="235" t="s">
        <v>2000</v>
      </c>
      <c r="E826" s="212" t="s">
        <v>2763</v>
      </c>
      <c r="F826" s="243" t="s">
        <v>138</v>
      </c>
      <c r="G826" s="225">
        <v>24.0</v>
      </c>
      <c r="H826" s="237">
        <v>3.0</v>
      </c>
      <c r="I826" s="226">
        <v>16.0</v>
      </c>
      <c r="J826" s="226">
        <v>1.0</v>
      </c>
      <c r="K826" s="226">
        <v>1.0</v>
      </c>
      <c r="L826" s="49">
        <v>3.0</v>
      </c>
      <c r="M826" s="212" t="s">
        <v>449</v>
      </c>
      <c r="N826" s="49" t="s">
        <v>138</v>
      </c>
      <c r="O826" s="49">
        <v>353.0</v>
      </c>
      <c r="P826" s="49" t="s">
        <v>29</v>
      </c>
      <c r="Q826" s="114">
        <v>0.0</v>
      </c>
      <c r="R826" s="46"/>
    </row>
    <row r="827" ht="15.75" customHeight="1">
      <c r="A827" s="211">
        <v>9.0</v>
      </c>
      <c r="B827" s="212" t="s">
        <v>4022</v>
      </c>
      <c r="C827" s="212" t="s">
        <v>4005</v>
      </c>
      <c r="D827" s="235" t="s">
        <v>2000</v>
      </c>
      <c r="E827" s="235" t="s">
        <v>4023</v>
      </c>
      <c r="F827" s="243" t="s">
        <v>138</v>
      </c>
      <c r="G827" s="225">
        <v>40.0</v>
      </c>
      <c r="H827" s="237">
        <v>5.0</v>
      </c>
      <c r="I827" s="226">
        <v>27.0</v>
      </c>
      <c r="J827" s="226">
        <v>0.0</v>
      </c>
      <c r="K827" s="226">
        <v>0.0</v>
      </c>
      <c r="L827" s="49">
        <v>2.0</v>
      </c>
      <c r="M827" s="212" t="s">
        <v>4024</v>
      </c>
      <c r="N827" s="49" t="s">
        <v>138</v>
      </c>
      <c r="O827" s="49">
        <v>150.0</v>
      </c>
      <c r="P827" s="49" t="s">
        <v>29</v>
      </c>
      <c r="Q827" s="114">
        <v>0.0</v>
      </c>
      <c r="R827" s="46"/>
    </row>
    <row r="828" ht="15.75" customHeight="1">
      <c r="A828" s="211">
        <v>10.0</v>
      </c>
      <c r="B828" s="212" t="s">
        <v>4025</v>
      </c>
      <c r="C828" s="212" t="s">
        <v>4026</v>
      </c>
      <c r="D828" s="235" t="s">
        <v>2000</v>
      </c>
      <c r="E828" s="235" t="s">
        <v>4023</v>
      </c>
      <c r="F828" s="243" t="s">
        <v>138</v>
      </c>
      <c r="G828" s="225">
        <v>80.0</v>
      </c>
      <c r="H828" s="237">
        <v>11.0</v>
      </c>
      <c r="I828" s="226">
        <v>53.0</v>
      </c>
      <c r="J828" s="226">
        <v>0.0</v>
      </c>
      <c r="K828" s="226">
        <v>0.0</v>
      </c>
      <c r="L828" s="49">
        <v>1.0</v>
      </c>
      <c r="M828" s="212" t="s">
        <v>4027</v>
      </c>
      <c r="N828" s="49" t="s">
        <v>138</v>
      </c>
      <c r="O828" s="49">
        <v>100.0</v>
      </c>
      <c r="P828" s="49" t="s">
        <v>29</v>
      </c>
      <c r="Q828" s="114">
        <v>0.0</v>
      </c>
      <c r="R828" s="46"/>
    </row>
    <row r="829" ht="15.75" customHeight="1">
      <c r="A829" s="211">
        <v>11.0</v>
      </c>
      <c r="B829" s="212" t="s">
        <v>4028</v>
      </c>
      <c r="C829" s="212" t="s">
        <v>4029</v>
      </c>
      <c r="D829" s="235" t="s">
        <v>2000</v>
      </c>
      <c r="E829" s="235" t="s">
        <v>4030</v>
      </c>
      <c r="F829" s="243" t="s">
        <v>138</v>
      </c>
      <c r="G829" s="225">
        <v>48.0</v>
      </c>
      <c r="H829" s="237">
        <v>6.0</v>
      </c>
      <c r="I829" s="226">
        <v>32.0</v>
      </c>
      <c r="J829" s="226">
        <v>2.0</v>
      </c>
      <c r="K829" s="226">
        <v>2.0</v>
      </c>
      <c r="L829" s="49">
        <v>1.0</v>
      </c>
      <c r="M829" s="212" t="s">
        <v>4011</v>
      </c>
      <c r="N829" s="49" t="s">
        <v>138</v>
      </c>
      <c r="O829" s="49">
        <v>150.0</v>
      </c>
      <c r="P829" s="49" t="s">
        <v>29</v>
      </c>
      <c r="Q829" s="114">
        <v>0.0</v>
      </c>
      <c r="R829" s="46"/>
    </row>
    <row r="830" ht="15.75" customHeight="1">
      <c r="A830" s="211">
        <v>12.0</v>
      </c>
      <c r="B830" s="212" t="s">
        <v>4031</v>
      </c>
      <c r="C830" s="212" t="s">
        <v>4032</v>
      </c>
      <c r="D830" s="235" t="s">
        <v>2000</v>
      </c>
      <c r="E830" s="235" t="s">
        <v>4033</v>
      </c>
      <c r="F830" s="243" t="s">
        <v>138</v>
      </c>
      <c r="G830" s="225">
        <v>450.0</v>
      </c>
      <c r="H830" s="237">
        <v>60.0</v>
      </c>
      <c r="I830" s="226">
        <v>300.0</v>
      </c>
      <c r="J830" s="226">
        <v>1.0</v>
      </c>
      <c r="K830" s="226">
        <v>1.0</v>
      </c>
      <c r="L830" s="49">
        <v>4.0</v>
      </c>
      <c r="M830" s="212" t="s">
        <v>4011</v>
      </c>
      <c r="N830" s="49" t="s">
        <v>138</v>
      </c>
      <c r="O830" s="49">
        <v>200.0</v>
      </c>
      <c r="P830" s="49" t="s">
        <v>29</v>
      </c>
      <c r="Q830" s="114">
        <v>0.0</v>
      </c>
      <c r="R830" s="46"/>
    </row>
    <row r="831" ht="15.75" customHeight="1">
      <c r="A831" s="211">
        <v>13.0</v>
      </c>
      <c r="B831" s="212" t="s">
        <v>4034</v>
      </c>
      <c r="C831" s="212" t="s">
        <v>4035</v>
      </c>
      <c r="D831" s="235" t="s">
        <v>2000</v>
      </c>
      <c r="E831" s="235" t="s">
        <v>4036</v>
      </c>
      <c r="F831" s="243" t="s">
        <v>138</v>
      </c>
      <c r="G831" s="225">
        <v>72.0</v>
      </c>
      <c r="H831" s="237">
        <v>10.0</v>
      </c>
      <c r="I831" s="226">
        <v>48.0</v>
      </c>
      <c r="J831" s="226">
        <v>1.0</v>
      </c>
      <c r="K831" s="226">
        <v>1.0</v>
      </c>
      <c r="L831" s="49">
        <v>1.0</v>
      </c>
      <c r="M831" s="212" t="s">
        <v>4011</v>
      </c>
      <c r="N831" s="49" t="s">
        <v>138</v>
      </c>
      <c r="O831" s="49">
        <v>150.0</v>
      </c>
      <c r="P831" s="49" t="s">
        <v>29</v>
      </c>
      <c r="Q831" s="114">
        <v>0.0</v>
      </c>
      <c r="R831" s="46"/>
    </row>
    <row r="832" ht="15.75" customHeight="1">
      <c r="A832" s="211">
        <v>14.0</v>
      </c>
      <c r="B832" s="212" t="s">
        <v>4037</v>
      </c>
      <c r="C832" s="212" t="s">
        <v>4035</v>
      </c>
      <c r="D832" s="235" t="s">
        <v>2000</v>
      </c>
      <c r="E832" s="235" t="s">
        <v>4036</v>
      </c>
      <c r="F832" s="243" t="s">
        <v>138</v>
      </c>
      <c r="G832" s="225">
        <v>40.0</v>
      </c>
      <c r="H832" s="237">
        <v>5.0</v>
      </c>
      <c r="I832" s="226">
        <v>26.0</v>
      </c>
      <c r="J832" s="226">
        <v>0.0</v>
      </c>
      <c r="K832" s="226">
        <v>0.0</v>
      </c>
      <c r="L832" s="49">
        <v>1.0</v>
      </c>
      <c r="M832" s="212" t="s">
        <v>4011</v>
      </c>
      <c r="N832" s="49" t="s">
        <v>138</v>
      </c>
      <c r="O832" s="49">
        <v>250.0</v>
      </c>
      <c r="P832" s="49" t="s">
        <v>29</v>
      </c>
      <c r="Q832" s="114">
        <v>0.0</v>
      </c>
      <c r="R832" s="46"/>
    </row>
    <row r="833" ht="15.75" customHeight="1">
      <c r="A833" s="211">
        <v>15.0</v>
      </c>
      <c r="B833" s="212" t="s">
        <v>4038</v>
      </c>
      <c r="C833" s="212" t="s">
        <v>4039</v>
      </c>
      <c r="D833" s="235" t="s">
        <v>2000</v>
      </c>
      <c r="E833" s="235" t="s">
        <v>4023</v>
      </c>
      <c r="F833" s="243" t="s">
        <v>138</v>
      </c>
      <c r="G833" s="225">
        <v>72.0</v>
      </c>
      <c r="H833" s="237">
        <v>10.0</v>
      </c>
      <c r="I833" s="226">
        <v>48.0</v>
      </c>
      <c r="J833" s="226">
        <v>0.0</v>
      </c>
      <c r="K833" s="226">
        <v>0.0</v>
      </c>
      <c r="L833" s="49">
        <v>2.0</v>
      </c>
      <c r="M833" s="212" t="s">
        <v>4011</v>
      </c>
      <c r="N833" s="49" t="s">
        <v>138</v>
      </c>
      <c r="O833" s="49">
        <v>100.0</v>
      </c>
      <c r="P833" s="49" t="s">
        <v>29</v>
      </c>
      <c r="Q833" s="114">
        <v>0.0</v>
      </c>
      <c r="R833" s="46"/>
    </row>
    <row r="834" ht="15.75" customHeight="1">
      <c r="A834" s="211">
        <v>16.0</v>
      </c>
      <c r="B834" s="212" t="s">
        <v>4040</v>
      </c>
      <c r="C834" s="212" t="s">
        <v>4039</v>
      </c>
      <c r="D834" s="235" t="s">
        <v>2000</v>
      </c>
      <c r="E834" s="235" t="s">
        <v>4023</v>
      </c>
      <c r="F834" s="243" t="s">
        <v>138</v>
      </c>
      <c r="G834" s="225">
        <v>48.0</v>
      </c>
      <c r="H834" s="237">
        <v>6.0</v>
      </c>
      <c r="I834" s="226">
        <v>32.0</v>
      </c>
      <c r="J834" s="226">
        <v>0.0</v>
      </c>
      <c r="K834" s="226">
        <v>0.0</v>
      </c>
      <c r="L834" s="49">
        <v>1.0</v>
      </c>
      <c r="M834" s="212" t="s">
        <v>4011</v>
      </c>
      <c r="N834" s="49" t="s">
        <v>138</v>
      </c>
      <c r="O834" s="49">
        <v>70.0</v>
      </c>
      <c r="P834" s="49" t="s">
        <v>29</v>
      </c>
      <c r="Q834" s="114">
        <v>0.0</v>
      </c>
      <c r="R834" s="46"/>
    </row>
    <row r="835" ht="15.75" customHeight="1">
      <c r="A835" s="211">
        <v>17.0</v>
      </c>
      <c r="B835" s="212" t="s">
        <v>4041</v>
      </c>
      <c r="C835" s="212" t="s">
        <v>4042</v>
      </c>
      <c r="D835" s="235" t="s">
        <v>2000</v>
      </c>
      <c r="E835" s="235" t="s">
        <v>4006</v>
      </c>
      <c r="F835" s="243" t="s">
        <v>138</v>
      </c>
      <c r="G835" s="225">
        <v>63.0</v>
      </c>
      <c r="H835" s="237">
        <v>8.0</v>
      </c>
      <c r="I835" s="226">
        <v>42.0</v>
      </c>
      <c r="J835" s="226">
        <v>1.0</v>
      </c>
      <c r="K835" s="226">
        <v>1.0</v>
      </c>
      <c r="L835" s="49">
        <v>2.0</v>
      </c>
      <c r="M835" s="212" t="s">
        <v>4011</v>
      </c>
      <c r="N835" s="49" t="s">
        <v>138</v>
      </c>
      <c r="O835" s="49">
        <v>150.0</v>
      </c>
      <c r="P835" s="49" t="s">
        <v>29</v>
      </c>
      <c r="Q835" s="114">
        <v>0.0</v>
      </c>
      <c r="R835" s="46"/>
    </row>
    <row r="836" ht="15.75" customHeight="1">
      <c r="A836" s="211">
        <v>18.0</v>
      </c>
      <c r="B836" s="212" t="s">
        <v>4043</v>
      </c>
      <c r="C836" s="212" t="s">
        <v>4042</v>
      </c>
      <c r="D836" s="235" t="s">
        <v>2000</v>
      </c>
      <c r="E836" s="235" t="s">
        <v>4006</v>
      </c>
      <c r="F836" s="243" t="s">
        <v>138</v>
      </c>
      <c r="G836" s="225">
        <v>63.0</v>
      </c>
      <c r="H836" s="237">
        <v>8.0</v>
      </c>
      <c r="I836" s="226">
        <v>42.0</v>
      </c>
      <c r="J836" s="226">
        <v>1.0</v>
      </c>
      <c r="K836" s="226">
        <v>1.0</v>
      </c>
      <c r="L836" s="49">
        <v>2.0</v>
      </c>
      <c r="M836" s="212" t="s">
        <v>4011</v>
      </c>
      <c r="N836" s="49" t="s">
        <v>138</v>
      </c>
      <c r="O836" s="49">
        <v>150.0</v>
      </c>
      <c r="P836" s="49" t="s">
        <v>29</v>
      </c>
      <c r="Q836" s="114">
        <v>0.0</v>
      </c>
      <c r="R836" s="46"/>
    </row>
    <row r="837" ht="15.75" customHeight="1">
      <c r="A837" s="181"/>
      <c r="B837" s="182" t="s">
        <v>4044</v>
      </c>
      <c r="C837" s="182"/>
      <c r="D837" s="22"/>
      <c r="E837" s="22"/>
      <c r="F837" s="209"/>
      <c r="G837" s="210"/>
      <c r="H837" s="22"/>
      <c r="I837" s="22"/>
      <c r="J837" s="22"/>
      <c r="K837" s="22"/>
      <c r="L837" s="22"/>
      <c r="M837" s="22"/>
      <c r="N837" s="22"/>
      <c r="O837" s="22"/>
      <c r="P837" s="22"/>
      <c r="Q837" s="209"/>
      <c r="R837" s="22"/>
    </row>
    <row r="838" ht="15.75" customHeight="1">
      <c r="A838" s="81">
        <v>1.0</v>
      </c>
      <c r="B838" s="267" t="s">
        <v>4045</v>
      </c>
      <c r="C838" s="267" t="s">
        <v>1552</v>
      </c>
      <c r="D838" s="268" t="s">
        <v>25</v>
      </c>
      <c r="E838" s="269" t="s">
        <v>4046</v>
      </c>
      <c r="F838" s="268" t="s">
        <v>138</v>
      </c>
      <c r="G838" s="270">
        <v>2364.0</v>
      </c>
      <c r="H838" s="271">
        <v>237.0</v>
      </c>
      <c r="I838" s="272">
        <v>1185.0</v>
      </c>
      <c r="J838" s="272">
        <v>3.0</v>
      </c>
      <c r="K838" s="272">
        <v>3.0</v>
      </c>
      <c r="L838" s="273">
        <v>1.0</v>
      </c>
      <c r="M838" s="267" t="s">
        <v>4047</v>
      </c>
      <c r="N838" s="274" t="s">
        <v>46</v>
      </c>
      <c r="O838" s="273">
        <v>2370.0</v>
      </c>
      <c r="P838" s="274" t="s">
        <v>29</v>
      </c>
      <c r="Q838" s="268">
        <v>0.0</v>
      </c>
      <c r="R838" s="275"/>
    </row>
    <row r="839" ht="15.75" customHeight="1">
      <c r="A839" s="276">
        <v>2.0</v>
      </c>
      <c r="B839" s="277" t="s">
        <v>4048</v>
      </c>
      <c r="C839" s="278" t="s">
        <v>4049</v>
      </c>
      <c r="D839" s="279" t="s">
        <v>25</v>
      </c>
      <c r="E839" s="280" t="s">
        <v>4050</v>
      </c>
      <c r="F839" s="279" t="s">
        <v>138</v>
      </c>
      <c r="G839" s="281">
        <v>85.0</v>
      </c>
      <c r="H839" s="282">
        <v>9.0</v>
      </c>
      <c r="I839" s="283">
        <v>45.0</v>
      </c>
      <c r="J839" s="283">
        <v>0.0</v>
      </c>
      <c r="K839" s="283">
        <v>0.0</v>
      </c>
      <c r="L839" s="284">
        <v>2.0</v>
      </c>
      <c r="M839" s="277" t="s">
        <v>4051</v>
      </c>
      <c r="N839" s="278" t="s">
        <v>46</v>
      </c>
      <c r="O839" s="273">
        <v>90.0</v>
      </c>
      <c r="P839" s="278" t="s">
        <v>29</v>
      </c>
      <c r="Q839" s="279">
        <v>0.0</v>
      </c>
      <c r="R839" s="285"/>
    </row>
    <row r="840" ht="15.75" customHeight="1">
      <c r="A840" s="276">
        <v>3.0</v>
      </c>
      <c r="B840" s="277" t="s">
        <v>4052</v>
      </c>
      <c r="C840" s="278" t="s">
        <v>4049</v>
      </c>
      <c r="D840" s="279" t="s">
        <v>25</v>
      </c>
      <c r="E840" s="280" t="s">
        <v>4050</v>
      </c>
      <c r="F840" s="279" t="s">
        <v>138</v>
      </c>
      <c r="G840" s="281">
        <v>500.0</v>
      </c>
      <c r="H840" s="282">
        <v>50.0</v>
      </c>
      <c r="I840" s="283">
        <v>250.0</v>
      </c>
      <c r="J840" s="283">
        <v>0.0</v>
      </c>
      <c r="K840" s="283">
        <v>0.0</v>
      </c>
      <c r="L840" s="284">
        <v>1.0</v>
      </c>
      <c r="M840" s="277" t="s">
        <v>4053</v>
      </c>
      <c r="N840" s="278" t="s">
        <v>46</v>
      </c>
      <c r="O840" s="273">
        <v>500.0</v>
      </c>
      <c r="P840" s="278" t="s">
        <v>29</v>
      </c>
      <c r="Q840" s="279">
        <v>0.0</v>
      </c>
      <c r="R840" s="285"/>
    </row>
    <row r="841" ht="15.75" customHeight="1">
      <c r="A841" s="276">
        <v>4.0</v>
      </c>
      <c r="B841" s="277" t="s">
        <v>4054</v>
      </c>
      <c r="C841" s="277" t="s">
        <v>4055</v>
      </c>
      <c r="D841" s="279" t="s">
        <v>25</v>
      </c>
      <c r="E841" s="280" t="s">
        <v>4056</v>
      </c>
      <c r="F841" s="279" t="s">
        <v>138</v>
      </c>
      <c r="G841" s="281">
        <v>35.0</v>
      </c>
      <c r="H841" s="282">
        <v>4.0</v>
      </c>
      <c r="I841" s="283">
        <v>20.0</v>
      </c>
      <c r="J841" s="283">
        <v>0.0</v>
      </c>
      <c r="K841" s="283">
        <v>0.0</v>
      </c>
      <c r="L841" s="284">
        <v>1.0</v>
      </c>
      <c r="M841" s="277" t="s">
        <v>4053</v>
      </c>
      <c r="N841" s="278" t="s">
        <v>46</v>
      </c>
      <c r="O841" s="273">
        <v>40.0</v>
      </c>
      <c r="P841" s="278" t="s">
        <v>29</v>
      </c>
      <c r="Q841" s="279">
        <v>0.0</v>
      </c>
      <c r="R841" s="285"/>
    </row>
    <row r="842" ht="15.75" customHeight="1">
      <c r="A842" s="276">
        <v>5.0</v>
      </c>
      <c r="B842" s="277" t="s">
        <v>4057</v>
      </c>
      <c r="C842" s="277" t="s">
        <v>4058</v>
      </c>
      <c r="D842" s="279" t="s">
        <v>25</v>
      </c>
      <c r="E842" s="280" t="s">
        <v>4050</v>
      </c>
      <c r="F842" s="279" t="s">
        <v>138</v>
      </c>
      <c r="G842" s="281">
        <v>170.0</v>
      </c>
      <c r="H842" s="282">
        <v>17.0</v>
      </c>
      <c r="I842" s="283">
        <v>85.0</v>
      </c>
      <c r="J842" s="283">
        <v>0.0</v>
      </c>
      <c r="K842" s="283">
        <v>0.0</v>
      </c>
      <c r="L842" s="284">
        <v>5.0</v>
      </c>
      <c r="M842" s="277" t="s">
        <v>4053</v>
      </c>
      <c r="N842" s="278" t="s">
        <v>46</v>
      </c>
      <c r="O842" s="273">
        <v>170.0</v>
      </c>
      <c r="P842" s="278" t="s">
        <v>29</v>
      </c>
      <c r="Q842" s="279">
        <v>0.0</v>
      </c>
      <c r="R842" s="285"/>
    </row>
    <row r="843" ht="15.75" customHeight="1">
      <c r="A843" s="276">
        <v>6.0</v>
      </c>
      <c r="B843" s="277" t="s">
        <v>4059</v>
      </c>
      <c r="C843" s="277" t="s">
        <v>4060</v>
      </c>
      <c r="D843" s="279" t="s">
        <v>25</v>
      </c>
      <c r="E843" s="280" t="s">
        <v>4050</v>
      </c>
      <c r="F843" s="279" t="s">
        <v>138</v>
      </c>
      <c r="G843" s="281">
        <v>200.0</v>
      </c>
      <c r="H843" s="282">
        <v>20.0</v>
      </c>
      <c r="I843" s="283">
        <v>100.0</v>
      </c>
      <c r="J843" s="283">
        <v>0.0</v>
      </c>
      <c r="K843" s="283">
        <v>0.0</v>
      </c>
      <c r="L843" s="284">
        <v>4.0</v>
      </c>
      <c r="M843" s="277" t="s">
        <v>4053</v>
      </c>
      <c r="N843" s="278" t="s">
        <v>46</v>
      </c>
      <c r="O843" s="273">
        <v>200.0</v>
      </c>
      <c r="P843" s="278" t="s">
        <v>29</v>
      </c>
      <c r="Q843" s="279">
        <v>0.0</v>
      </c>
      <c r="R843" s="285"/>
    </row>
    <row r="844" ht="15.75" customHeight="1">
      <c r="A844" s="276">
        <v>7.0</v>
      </c>
      <c r="B844" s="277" t="s">
        <v>4061</v>
      </c>
      <c r="C844" s="277" t="s">
        <v>4062</v>
      </c>
      <c r="D844" s="279" t="s">
        <v>25</v>
      </c>
      <c r="E844" s="280" t="s">
        <v>4063</v>
      </c>
      <c r="F844" s="279" t="s">
        <v>138</v>
      </c>
      <c r="G844" s="281">
        <v>92.0</v>
      </c>
      <c r="H844" s="282">
        <v>10.0</v>
      </c>
      <c r="I844" s="283">
        <v>50.0</v>
      </c>
      <c r="J844" s="283">
        <v>0.0</v>
      </c>
      <c r="K844" s="283">
        <v>0.0</v>
      </c>
      <c r="L844" s="284">
        <v>1.0</v>
      </c>
      <c r="M844" s="277" t="s">
        <v>4053</v>
      </c>
      <c r="N844" s="278" t="s">
        <v>46</v>
      </c>
      <c r="O844" s="273">
        <v>100.0</v>
      </c>
      <c r="P844" s="278" t="s">
        <v>29</v>
      </c>
      <c r="Q844" s="279">
        <v>0.0</v>
      </c>
      <c r="R844" s="285"/>
    </row>
    <row r="845" ht="15.75" customHeight="1">
      <c r="A845" s="276">
        <v>8.0</v>
      </c>
      <c r="B845" s="277" t="s">
        <v>4064</v>
      </c>
      <c r="C845" s="277" t="s">
        <v>4065</v>
      </c>
      <c r="D845" s="279" t="s">
        <v>25</v>
      </c>
      <c r="E845" s="280" t="s">
        <v>4046</v>
      </c>
      <c r="F845" s="279" t="s">
        <v>138</v>
      </c>
      <c r="G845" s="281">
        <v>200.0</v>
      </c>
      <c r="H845" s="282">
        <v>20.0</v>
      </c>
      <c r="I845" s="283">
        <v>100.0</v>
      </c>
      <c r="J845" s="283">
        <v>0.0</v>
      </c>
      <c r="K845" s="283">
        <v>0.0</v>
      </c>
      <c r="L845" s="284">
        <v>2.0</v>
      </c>
      <c r="M845" s="277" t="s">
        <v>4053</v>
      </c>
      <c r="N845" s="278" t="s">
        <v>46</v>
      </c>
      <c r="O845" s="273">
        <v>200.0</v>
      </c>
      <c r="P845" s="278" t="s">
        <v>29</v>
      </c>
      <c r="Q845" s="279">
        <v>0.0</v>
      </c>
      <c r="R845" s="285"/>
    </row>
    <row r="846" ht="15.75" customHeight="1">
      <c r="A846" s="276">
        <v>9.0</v>
      </c>
      <c r="B846" s="277" t="s">
        <v>4066</v>
      </c>
      <c r="C846" s="277" t="s">
        <v>4067</v>
      </c>
      <c r="D846" s="279" t="s">
        <v>25</v>
      </c>
      <c r="E846" s="280" t="s">
        <v>4046</v>
      </c>
      <c r="F846" s="279" t="s">
        <v>138</v>
      </c>
      <c r="G846" s="281">
        <v>372.0</v>
      </c>
      <c r="H846" s="282">
        <v>38.0</v>
      </c>
      <c r="I846" s="283">
        <v>190.0</v>
      </c>
      <c r="J846" s="283">
        <v>0.0</v>
      </c>
      <c r="K846" s="283">
        <v>0.0</v>
      </c>
      <c r="L846" s="284">
        <v>1.0</v>
      </c>
      <c r="M846" s="277" t="s">
        <v>4053</v>
      </c>
      <c r="N846" s="278" t="s">
        <v>46</v>
      </c>
      <c r="O846" s="273">
        <v>380.0</v>
      </c>
      <c r="P846" s="278" t="s">
        <v>29</v>
      </c>
      <c r="Q846" s="279">
        <v>0.0</v>
      </c>
      <c r="R846" s="285"/>
    </row>
    <row r="847" ht="15.75" customHeight="1">
      <c r="A847" s="276">
        <v>10.0</v>
      </c>
      <c r="B847" s="277" t="s">
        <v>4068</v>
      </c>
      <c r="C847" s="277" t="s">
        <v>4069</v>
      </c>
      <c r="D847" s="279" t="s">
        <v>25</v>
      </c>
      <c r="E847" s="280" t="s">
        <v>4046</v>
      </c>
      <c r="F847" s="279" t="s">
        <v>138</v>
      </c>
      <c r="G847" s="281">
        <v>174.0</v>
      </c>
      <c r="H847" s="282">
        <v>18.0</v>
      </c>
      <c r="I847" s="283">
        <v>90.0</v>
      </c>
      <c r="J847" s="283">
        <v>0.0</v>
      </c>
      <c r="K847" s="283">
        <v>0.0</v>
      </c>
      <c r="L847" s="284">
        <v>2.0</v>
      </c>
      <c r="M847" s="277" t="s">
        <v>4053</v>
      </c>
      <c r="N847" s="278" t="s">
        <v>46</v>
      </c>
      <c r="O847" s="273">
        <v>180.0</v>
      </c>
      <c r="P847" s="278" t="s">
        <v>29</v>
      </c>
      <c r="Q847" s="279">
        <v>0.0</v>
      </c>
      <c r="R847" s="285"/>
    </row>
    <row r="848" ht="15.75" customHeight="1">
      <c r="A848" s="276">
        <v>11.0</v>
      </c>
      <c r="B848" s="277" t="s">
        <v>4070</v>
      </c>
      <c r="C848" s="277" t="s">
        <v>4071</v>
      </c>
      <c r="D848" s="279" t="s">
        <v>25</v>
      </c>
      <c r="E848" s="280" t="s">
        <v>4050</v>
      </c>
      <c r="F848" s="279" t="s">
        <v>138</v>
      </c>
      <c r="G848" s="281">
        <v>100.0</v>
      </c>
      <c r="H848" s="282">
        <v>10.0</v>
      </c>
      <c r="I848" s="283">
        <v>50.0</v>
      </c>
      <c r="J848" s="283">
        <v>0.0</v>
      </c>
      <c r="K848" s="283">
        <v>0.0</v>
      </c>
      <c r="L848" s="284">
        <v>1.0</v>
      </c>
      <c r="M848" s="277" t="s">
        <v>4053</v>
      </c>
      <c r="N848" s="278" t="s">
        <v>46</v>
      </c>
      <c r="O848" s="273">
        <v>100.0</v>
      </c>
      <c r="P848" s="278" t="s">
        <v>29</v>
      </c>
      <c r="Q848" s="279">
        <v>0.0</v>
      </c>
      <c r="R848" s="285"/>
    </row>
    <row r="849" ht="15.75" customHeight="1">
      <c r="A849" s="276">
        <v>12.0</v>
      </c>
      <c r="B849" s="277" t="s">
        <v>4072</v>
      </c>
      <c r="C849" s="277" t="s">
        <v>4073</v>
      </c>
      <c r="D849" s="279" t="s">
        <v>25</v>
      </c>
      <c r="E849" s="280" t="s">
        <v>4074</v>
      </c>
      <c r="F849" s="279" t="s">
        <v>138</v>
      </c>
      <c r="G849" s="281">
        <v>250.0</v>
      </c>
      <c r="H849" s="282">
        <v>25.0</v>
      </c>
      <c r="I849" s="283">
        <v>125.0</v>
      </c>
      <c r="J849" s="283">
        <v>0.0</v>
      </c>
      <c r="K849" s="283">
        <v>0.0</v>
      </c>
      <c r="L849" s="284">
        <v>1.0</v>
      </c>
      <c r="M849" s="277" t="s">
        <v>4053</v>
      </c>
      <c r="N849" s="278" t="s">
        <v>46</v>
      </c>
      <c r="O849" s="273">
        <v>250.0</v>
      </c>
      <c r="P849" s="278" t="s">
        <v>29</v>
      </c>
      <c r="Q849" s="279">
        <v>0.0</v>
      </c>
      <c r="R849" s="285"/>
    </row>
    <row r="850" ht="15.75" customHeight="1">
      <c r="A850" s="276">
        <v>13.0</v>
      </c>
      <c r="B850" s="277" t="s">
        <v>4075</v>
      </c>
      <c r="C850" s="277" t="s">
        <v>4076</v>
      </c>
      <c r="D850" s="279" t="s">
        <v>25</v>
      </c>
      <c r="E850" s="280" t="s">
        <v>4050</v>
      </c>
      <c r="F850" s="279" t="s">
        <v>138</v>
      </c>
      <c r="G850" s="281">
        <v>134.0</v>
      </c>
      <c r="H850" s="282">
        <v>14.0</v>
      </c>
      <c r="I850" s="283">
        <v>70.0</v>
      </c>
      <c r="J850" s="283">
        <v>0.0</v>
      </c>
      <c r="K850" s="283">
        <v>0.0</v>
      </c>
      <c r="L850" s="284">
        <v>1.0</v>
      </c>
      <c r="M850" s="277" t="s">
        <v>4053</v>
      </c>
      <c r="N850" s="278" t="s">
        <v>46</v>
      </c>
      <c r="O850" s="273">
        <v>140.0</v>
      </c>
      <c r="P850" s="278" t="s">
        <v>29</v>
      </c>
      <c r="Q850" s="279">
        <v>0.0</v>
      </c>
      <c r="R850" s="285"/>
    </row>
    <row r="851" ht="15.75" customHeight="1">
      <c r="A851" s="276">
        <v>14.0</v>
      </c>
      <c r="B851" s="277" t="s">
        <v>4077</v>
      </c>
      <c r="C851" s="277" t="s">
        <v>4078</v>
      </c>
      <c r="D851" s="279" t="s">
        <v>25</v>
      </c>
      <c r="E851" s="280" t="s">
        <v>4063</v>
      </c>
      <c r="F851" s="279" t="s">
        <v>138</v>
      </c>
      <c r="G851" s="281">
        <v>250.0</v>
      </c>
      <c r="H851" s="282">
        <v>25.0</v>
      </c>
      <c r="I851" s="283">
        <v>125.0</v>
      </c>
      <c r="J851" s="283">
        <v>0.0</v>
      </c>
      <c r="K851" s="283">
        <v>0.0</v>
      </c>
      <c r="L851" s="284">
        <v>3.0</v>
      </c>
      <c r="M851" s="277" t="s">
        <v>4053</v>
      </c>
      <c r="N851" s="278" t="s">
        <v>46</v>
      </c>
      <c r="O851" s="273">
        <v>250.0</v>
      </c>
      <c r="P851" s="278" t="s">
        <v>29</v>
      </c>
      <c r="Q851" s="279">
        <v>0.0</v>
      </c>
      <c r="R851" s="285"/>
    </row>
    <row r="852" ht="15.75" customHeight="1">
      <c r="A852" s="276">
        <v>15.0</v>
      </c>
      <c r="B852" s="277" t="s">
        <v>4079</v>
      </c>
      <c r="C852" s="277" t="s">
        <v>4080</v>
      </c>
      <c r="D852" s="279" t="s">
        <v>25</v>
      </c>
      <c r="E852" s="280" t="s">
        <v>4074</v>
      </c>
      <c r="F852" s="279" t="s">
        <v>138</v>
      </c>
      <c r="G852" s="281">
        <v>200.0</v>
      </c>
      <c r="H852" s="282">
        <v>20.0</v>
      </c>
      <c r="I852" s="283">
        <v>100.0</v>
      </c>
      <c r="J852" s="283">
        <v>0.0</v>
      </c>
      <c r="K852" s="283">
        <v>0.0</v>
      </c>
      <c r="L852" s="284">
        <v>1.0</v>
      </c>
      <c r="M852" s="277" t="s">
        <v>4053</v>
      </c>
      <c r="N852" s="278" t="s">
        <v>46</v>
      </c>
      <c r="O852" s="273">
        <v>200.0</v>
      </c>
      <c r="P852" s="278" t="s">
        <v>29</v>
      </c>
      <c r="Q852" s="279">
        <v>0.0</v>
      </c>
      <c r="R852" s="285"/>
    </row>
    <row r="853" ht="15.75" customHeight="1">
      <c r="A853" s="276">
        <v>16.0</v>
      </c>
      <c r="B853" s="277" t="s">
        <v>4081</v>
      </c>
      <c r="C853" s="277" t="s">
        <v>4082</v>
      </c>
      <c r="D853" s="279" t="s">
        <v>25</v>
      </c>
      <c r="E853" s="280" t="s">
        <v>4063</v>
      </c>
      <c r="F853" s="279" t="s">
        <v>138</v>
      </c>
      <c r="G853" s="281">
        <v>85.0</v>
      </c>
      <c r="H853" s="282">
        <v>9.0</v>
      </c>
      <c r="I853" s="283">
        <v>45.0</v>
      </c>
      <c r="J853" s="283">
        <v>0.0</v>
      </c>
      <c r="K853" s="283">
        <v>0.0</v>
      </c>
      <c r="L853" s="284">
        <v>1.0</v>
      </c>
      <c r="M853" s="277" t="s">
        <v>4053</v>
      </c>
      <c r="N853" s="278" t="s">
        <v>46</v>
      </c>
      <c r="O853" s="273">
        <v>90.0</v>
      </c>
      <c r="P853" s="278" t="s">
        <v>29</v>
      </c>
      <c r="Q853" s="279">
        <v>0.0</v>
      </c>
      <c r="R853" s="285"/>
    </row>
    <row r="854" ht="15.75" customHeight="1">
      <c r="A854" s="276">
        <v>17.0</v>
      </c>
      <c r="B854" s="277" t="s">
        <v>4083</v>
      </c>
      <c r="C854" s="277" t="s">
        <v>4084</v>
      </c>
      <c r="D854" s="279" t="s">
        <v>25</v>
      </c>
      <c r="E854" s="280" t="s">
        <v>4046</v>
      </c>
      <c r="F854" s="279" t="s">
        <v>138</v>
      </c>
      <c r="G854" s="281">
        <v>150.0</v>
      </c>
      <c r="H854" s="282">
        <v>15.0</v>
      </c>
      <c r="I854" s="283">
        <v>75.0</v>
      </c>
      <c r="J854" s="283">
        <v>0.0</v>
      </c>
      <c r="K854" s="283">
        <v>0.0</v>
      </c>
      <c r="L854" s="284">
        <v>2.0</v>
      </c>
      <c r="M854" s="277" t="s">
        <v>4053</v>
      </c>
      <c r="N854" s="278" t="s">
        <v>46</v>
      </c>
      <c r="O854" s="273">
        <v>150.0</v>
      </c>
      <c r="P854" s="278" t="s">
        <v>29</v>
      </c>
      <c r="Q854" s="279">
        <v>0.0</v>
      </c>
      <c r="R854" s="285"/>
    </row>
    <row r="855" ht="15.75" customHeight="1">
      <c r="A855" s="276">
        <v>18.0</v>
      </c>
      <c r="B855" s="277" t="s">
        <v>4085</v>
      </c>
      <c r="C855" s="277" t="s">
        <v>4086</v>
      </c>
      <c r="D855" s="279" t="s">
        <v>25</v>
      </c>
      <c r="E855" s="280" t="s">
        <v>4063</v>
      </c>
      <c r="F855" s="279" t="s">
        <v>138</v>
      </c>
      <c r="G855" s="281">
        <v>150.0</v>
      </c>
      <c r="H855" s="282">
        <v>15.0</v>
      </c>
      <c r="I855" s="283">
        <v>75.0</v>
      </c>
      <c r="J855" s="283">
        <v>0.0</v>
      </c>
      <c r="K855" s="283">
        <v>0.0</v>
      </c>
      <c r="L855" s="284">
        <v>1.0</v>
      </c>
      <c r="M855" s="277" t="s">
        <v>4053</v>
      </c>
      <c r="N855" s="278" t="s">
        <v>46</v>
      </c>
      <c r="O855" s="273">
        <v>150.0</v>
      </c>
      <c r="P855" s="278" t="s">
        <v>29</v>
      </c>
      <c r="Q855" s="279">
        <v>0.0</v>
      </c>
      <c r="R855" s="285"/>
    </row>
    <row r="856" ht="15.75" customHeight="1">
      <c r="A856" s="276">
        <v>19.0</v>
      </c>
      <c r="B856" s="277" t="s">
        <v>4087</v>
      </c>
      <c r="C856" s="277" t="s">
        <v>4088</v>
      </c>
      <c r="D856" s="279" t="s">
        <v>25</v>
      </c>
      <c r="E856" s="280" t="s">
        <v>4046</v>
      </c>
      <c r="F856" s="279" t="s">
        <v>138</v>
      </c>
      <c r="G856" s="281">
        <v>138.0</v>
      </c>
      <c r="H856" s="282">
        <v>14.0</v>
      </c>
      <c r="I856" s="283">
        <v>70.0</v>
      </c>
      <c r="J856" s="283">
        <v>0.0</v>
      </c>
      <c r="K856" s="283">
        <v>0.0</v>
      </c>
      <c r="L856" s="284">
        <v>2.0</v>
      </c>
      <c r="M856" s="277" t="s">
        <v>4053</v>
      </c>
      <c r="N856" s="278" t="s">
        <v>46</v>
      </c>
      <c r="O856" s="273">
        <v>140.0</v>
      </c>
      <c r="P856" s="278" t="s">
        <v>29</v>
      </c>
      <c r="Q856" s="279">
        <v>0.0</v>
      </c>
      <c r="R856" s="285"/>
    </row>
    <row r="857" ht="15.75" customHeight="1">
      <c r="A857" s="276">
        <v>20.0</v>
      </c>
      <c r="B857" s="277" t="s">
        <v>4089</v>
      </c>
      <c r="C857" s="277" t="s">
        <v>4090</v>
      </c>
      <c r="D857" s="279" t="s">
        <v>25</v>
      </c>
      <c r="E857" s="280" t="s">
        <v>4050</v>
      </c>
      <c r="F857" s="279" t="s">
        <v>138</v>
      </c>
      <c r="G857" s="281">
        <v>72.0</v>
      </c>
      <c r="H857" s="282">
        <v>8.0</v>
      </c>
      <c r="I857" s="283">
        <v>40.0</v>
      </c>
      <c r="J857" s="283">
        <v>0.0</v>
      </c>
      <c r="K857" s="283">
        <v>0.0</v>
      </c>
      <c r="L857" s="284">
        <v>1.0</v>
      </c>
      <c r="M857" s="277" t="s">
        <v>4053</v>
      </c>
      <c r="N857" s="278" t="s">
        <v>46</v>
      </c>
      <c r="O857" s="273">
        <v>80.0</v>
      </c>
      <c r="P857" s="278" t="s">
        <v>29</v>
      </c>
      <c r="Q857" s="279">
        <v>0.0</v>
      </c>
      <c r="R857" s="285"/>
    </row>
    <row r="858" ht="15.75" customHeight="1">
      <c r="A858" s="276">
        <v>21.0</v>
      </c>
      <c r="B858" s="277" t="s">
        <v>4091</v>
      </c>
      <c r="C858" s="277" t="s">
        <v>4092</v>
      </c>
      <c r="D858" s="279" t="s">
        <v>25</v>
      </c>
      <c r="E858" s="280" t="s">
        <v>4046</v>
      </c>
      <c r="F858" s="279" t="s">
        <v>138</v>
      </c>
      <c r="G858" s="281">
        <v>236.0</v>
      </c>
      <c r="H858" s="282">
        <v>24.0</v>
      </c>
      <c r="I858" s="283">
        <v>120.0</v>
      </c>
      <c r="J858" s="283">
        <v>0.0</v>
      </c>
      <c r="K858" s="283">
        <v>0.0</v>
      </c>
      <c r="L858" s="284">
        <v>1.0</v>
      </c>
      <c r="M858" s="277" t="s">
        <v>4053</v>
      </c>
      <c r="N858" s="278" t="s">
        <v>46</v>
      </c>
      <c r="O858" s="273">
        <v>240.0</v>
      </c>
      <c r="P858" s="278" t="s">
        <v>29</v>
      </c>
      <c r="Q858" s="279">
        <v>0.0</v>
      </c>
      <c r="R858" s="285"/>
    </row>
    <row r="859" ht="15.75" customHeight="1">
      <c r="A859" s="276">
        <v>22.0</v>
      </c>
      <c r="B859" s="277" t="s">
        <v>4093</v>
      </c>
      <c r="C859" s="277" t="s">
        <v>4094</v>
      </c>
      <c r="D859" s="279" t="s">
        <v>25</v>
      </c>
      <c r="E859" s="280" t="s">
        <v>4050</v>
      </c>
      <c r="F859" s="279" t="s">
        <v>138</v>
      </c>
      <c r="G859" s="281">
        <v>104.0</v>
      </c>
      <c r="H859" s="282">
        <v>11.0</v>
      </c>
      <c r="I859" s="283">
        <v>55.0</v>
      </c>
      <c r="J859" s="283">
        <v>0.0</v>
      </c>
      <c r="K859" s="283">
        <v>0.0</v>
      </c>
      <c r="L859" s="284">
        <v>1.0</v>
      </c>
      <c r="M859" s="277" t="s">
        <v>4053</v>
      </c>
      <c r="N859" s="278" t="s">
        <v>46</v>
      </c>
      <c r="O859" s="273">
        <v>110.0</v>
      </c>
      <c r="P859" s="278" t="s">
        <v>29</v>
      </c>
      <c r="Q859" s="279">
        <v>0.0</v>
      </c>
      <c r="R859" s="285"/>
    </row>
    <row r="860" ht="15.75" customHeight="1">
      <c r="A860" s="276">
        <v>23.0</v>
      </c>
      <c r="B860" s="277" t="s">
        <v>4095</v>
      </c>
      <c r="C860" s="277" t="s">
        <v>4096</v>
      </c>
      <c r="D860" s="279" t="s">
        <v>25</v>
      </c>
      <c r="E860" s="280" t="s">
        <v>4046</v>
      </c>
      <c r="F860" s="279" t="s">
        <v>138</v>
      </c>
      <c r="G860" s="281">
        <v>264.0</v>
      </c>
      <c r="H860" s="282">
        <v>27.0</v>
      </c>
      <c r="I860" s="283">
        <v>135.0</v>
      </c>
      <c r="J860" s="283">
        <v>0.0</v>
      </c>
      <c r="K860" s="283">
        <v>0.0</v>
      </c>
      <c r="L860" s="284">
        <v>3.0</v>
      </c>
      <c r="M860" s="277" t="s">
        <v>4053</v>
      </c>
      <c r="N860" s="278" t="s">
        <v>46</v>
      </c>
      <c r="O860" s="273">
        <v>270.0</v>
      </c>
      <c r="P860" s="278" t="s">
        <v>29</v>
      </c>
      <c r="Q860" s="279">
        <v>0.0</v>
      </c>
      <c r="R860" s="285"/>
    </row>
    <row r="861" ht="15.75" customHeight="1">
      <c r="A861" s="276">
        <v>24.0</v>
      </c>
      <c r="B861" s="277" t="s">
        <v>4097</v>
      </c>
      <c r="C861" s="277" t="s">
        <v>4098</v>
      </c>
      <c r="D861" s="279" t="s">
        <v>25</v>
      </c>
      <c r="E861" s="280" t="s">
        <v>4050</v>
      </c>
      <c r="F861" s="279" t="s">
        <v>138</v>
      </c>
      <c r="G861" s="281">
        <v>87.0</v>
      </c>
      <c r="H861" s="282">
        <v>9.0</v>
      </c>
      <c r="I861" s="283">
        <v>45.0</v>
      </c>
      <c r="J861" s="283">
        <v>0.0</v>
      </c>
      <c r="K861" s="283">
        <v>0.0</v>
      </c>
      <c r="L861" s="284">
        <v>1.0</v>
      </c>
      <c r="M861" s="277" t="s">
        <v>4053</v>
      </c>
      <c r="N861" s="278" t="s">
        <v>46</v>
      </c>
      <c r="O861" s="273">
        <v>90.0</v>
      </c>
      <c r="P861" s="278" t="s">
        <v>29</v>
      </c>
      <c r="Q861" s="279">
        <v>0.0</v>
      </c>
      <c r="R861" s="285"/>
    </row>
    <row r="862" ht="15.75" customHeight="1">
      <c r="A862" s="276">
        <v>25.0</v>
      </c>
      <c r="B862" s="277" t="s">
        <v>4099</v>
      </c>
      <c r="C862" s="277" t="s">
        <v>4100</v>
      </c>
      <c r="D862" s="279" t="s">
        <v>25</v>
      </c>
      <c r="E862" s="280" t="s">
        <v>4046</v>
      </c>
      <c r="F862" s="279" t="s">
        <v>138</v>
      </c>
      <c r="G862" s="281">
        <v>76.0</v>
      </c>
      <c r="H862" s="282">
        <v>8.0</v>
      </c>
      <c r="I862" s="283">
        <v>40.0</v>
      </c>
      <c r="J862" s="283">
        <v>0.0</v>
      </c>
      <c r="K862" s="283">
        <v>0.0</v>
      </c>
      <c r="L862" s="284">
        <v>1.0</v>
      </c>
      <c r="M862" s="277" t="s">
        <v>4053</v>
      </c>
      <c r="N862" s="278" t="s">
        <v>46</v>
      </c>
      <c r="O862" s="273">
        <v>80.0</v>
      </c>
      <c r="P862" s="278" t="s">
        <v>29</v>
      </c>
      <c r="Q862" s="279">
        <v>0.0</v>
      </c>
      <c r="R862" s="285"/>
    </row>
    <row r="863" ht="15.75" customHeight="1">
      <c r="A863" s="276">
        <v>26.0</v>
      </c>
      <c r="B863" s="277" t="s">
        <v>4101</v>
      </c>
      <c r="C863" s="277" t="s">
        <v>4102</v>
      </c>
      <c r="D863" s="279" t="s">
        <v>25</v>
      </c>
      <c r="E863" s="280" t="s">
        <v>4046</v>
      </c>
      <c r="F863" s="279" t="s">
        <v>138</v>
      </c>
      <c r="G863" s="281">
        <v>160.0</v>
      </c>
      <c r="H863" s="282">
        <v>16.0</v>
      </c>
      <c r="I863" s="283">
        <v>80.0</v>
      </c>
      <c r="J863" s="283">
        <v>0.0</v>
      </c>
      <c r="K863" s="283">
        <v>0.0</v>
      </c>
      <c r="L863" s="284">
        <v>1.0</v>
      </c>
      <c r="M863" s="277" t="s">
        <v>4053</v>
      </c>
      <c r="N863" s="278" t="s">
        <v>46</v>
      </c>
      <c r="O863" s="273">
        <v>160.0</v>
      </c>
      <c r="P863" s="278" t="s">
        <v>29</v>
      </c>
      <c r="Q863" s="279">
        <v>0.0</v>
      </c>
      <c r="R863" s="285"/>
    </row>
    <row r="864" ht="15.75" customHeight="1">
      <c r="A864" s="276">
        <v>27.0</v>
      </c>
      <c r="B864" s="277" t="s">
        <v>4103</v>
      </c>
      <c r="C864" s="277" t="s">
        <v>4104</v>
      </c>
      <c r="D864" s="279" t="s">
        <v>25</v>
      </c>
      <c r="E864" s="280" t="s">
        <v>4050</v>
      </c>
      <c r="F864" s="279" t="s">
        <v>138</v>
      </c>
      <c r="G864" s="281">
        <v>80.0</v>
      </c>
      <c r="H864" s="282">
        <v>8.0</v>
      </c>
      <c r="I864" s="283">
        <v>40.0</v>
      </c>
      <c r="J864" s="283">
        <v>0.0</v>
      </c>
      <c r="K864" s="283">
        <v>0.0</v>
      </c>
      <c r="L864" s="284">
        <v>1.0</v>
      </c>
      <c r="M864" s="277" t="s">
        <v>4053</v>
      </c>
      <c r="N864" s="278" t="s">
        <v>46</v>
      </c>
      <c r="O864" s="273">
        <v>80.0</v>
      </c>
      <c r="P864" s="278" t="s">
        <v>29</v>
      </c>
      <c r="Q864" s="279">
        <v>0.0</v>
      </c>
      <c r="R864" s="285"/>
    </row>
    <row r="865" ht="15.75" customHeight="1">
      <c r="A865" s="276">
        <v>28.0</v>
      </c>
      <c r="B865" s="277" t="s">
        <v>4105</v>
      </c>
      <c r="C865" s="277" t="s">
        <v>4106</v>
      </c>
      <c r="D865" s="279" t="s">
        <v>25</v>
      </c>
      <c r="E865" s="280" t="s">
        <v>4046</v>
      </c>
      <c r="F865" s="279" t="s">
        <v>138</v>
      </c>
      <c r="G865" s="281">
        <v>250.0</v>
      </c>
      <c r="H865" s="282">
        <v>25.0</v>
      </c>
      <c r="I865" s="283">
        <v>125.0</v>
      </c>
      <c r="J865" s="283">
        <v>0.0</v>
      </c>
      <c r="K865" s="283">
        <v>0.0</v>
      </c>
      <c r="L865" s="284">
        <v>1.0</v>
      </c>
      <c r="M865" s="277" t="s">
        <v>4053</v>
      </c>
      <c r="N865" s="278" t="s">
        <v>46</v>
      </c>
      <c r="O865" s="273">
        <v>250.0</v>
      </c>
      <c r="P865" s="278" t="s">
        <v>29</v>
      </c>
      <c r="Q865" s="279">
        <v>0.0</v>
      </c>
      <c r="R865" s="285"/>
    </row>
    <row r="866" ht="15.75" customHeight="1">
      <c r="A866" s="276">
        <v>29.0</v>
      </c>
      <c r="B866" s="277" t="s">
        <v>4107</v>
      </c>
      <c r="C866" s="277" t="s">
        <v>4108</v>
      </c>
      <c r="D866" s="279" t="s">
        <v>25</v>
      </c>
      <c r="E866" s="280" t="s">
        <v>4046</v>
      </c>
      <c r="F866" s="279" t="s">
        <v>138</v>
      </c>
      <c r="G866" s="281">
        <v>65.0</v>
      </c>
      <c r="H866" s="282">
        <v>7.0</v>
      </c>
      <c r="I866" s="283">
        <v>35.0</v>
      </c>
      <c r="J866" s="283">
        <v>0.0</v>
      </c>
      <c r="K866" s="283">
        <v>0.0</v>
      </c>
      <c r="L866" s="284">
        <v>1.0</v>
      </c>
      <c r="M866" s="277" t="s">
        <v>4053</v>
      </c>
      <c r="N866" s="278" t="s">
        <v>46</v>
      </c>
      <c r="O866" s="273">
        <v>70.0</v>
      </c>
      <c r="P866" s="278" t="s">
        <v>29</v>
      </c>
      <c r="Q866" s="279">
        <v>0.0</v>
      </c>
      <c r="R866" s="285"/>
    </row>
    <row r="867" ht="15.75" customHeight="1">
      <c r="A867" s="276">
        <v>30.0</v>
      </c>
      <c r="B867" s="277" t="s">
        <v>4109</v>
      </c>
      <c r="C867" s="277" t="s">
        <v>4110</v>
      </c>
      <c r="D867" s="279" t="s">
        <v>25</v>
      </c>
      <c r="E867" s="280" t="s">
        <v>4046</v>
      </c>
      <c r="F867" s="279" t="s">
        <v>138</v>
      </c>
      <c r="G867" s="281">
        <v>150.0</v>
      </c>
      <c r="H867" s="282">
        <v>15.0</v>
      </c>
      <c r="I867" s="283">
        <v>75.0</v>
      </c>
      <c r="J867" s="283">
        <v>0.0</v>
      </c>
      <c r="K867" s="283">
        <v>0.0</v>
      </c>
      <c r="L867" s="284">
        <v>1.0</v>
      </c>
      <c r="M867" s="277" t="s">
        <v>4053</v>
      </c>
      <c r="N867" s="278" t="s">
        <v>46</v>
      </c>
      <c r="O867" s="273">
        <v>150.0</v>
      </c>
      <c r="P867" s="278" t="s">
        <v>29</v>
      </c>
      <c r="Q867" s="279">
        <v>0.0</v>
      </c>
      <c r="R867" s="285"/>
    </row>
    <row r="868" ht="15.75" customHeight="1">
      <c r="A868" s="276">
        <v>31.0</v>
      </c>
      <c r="B868" s="277" t="s">
        <v>4111</v>
      </c>
      <c r="C868" s="277" t="s">
        <v>4112</v>
      </c>
      <c r="D868" s="279" t="s">
        <v>25</v>
      </c>
      <c r="E868" s="280" t="s">
        <v>4046</v>
      </c>
      <c r="F868" s="279" t="s">
        <v>138</v>
      </c>
      <c r="G868" s="281">
        <v>200.0</v>
      </c>
      <c r="H868" s="282">
        <v>20.0</v>
      </c>
      <c r="I868" s="283">
        <v>100.0</v>
      </c>
      <c r="J868" s="283">
        <v>0.0</v>
      </c>
      <c r="K868" s="283">
        <v>0.0</v>
      </c>
      <c r="L868" s="284">
        <v>1.0</v>
      </c>
      <c r="M868" s="277" t="s">
        <v>4053</v>
      </c>
      <c r="N868" s="278" t="s">
        <v>46</v>
      </c>
      <c r="O868" s="273">
        <v>200.0</v>
      </c>
      <c r="P868" s="278" t="s">
        <v>29</v>
      </c>
      <c r="Q868" s="279">
        <v>0.0</v>
      </c>
      <c r="R868" s="285"/>
    </row>
    <row r="869" ht="15.75" customHeight="1">
      <c r="A869" s="276">
        <v>32.0</v>
      </c>
      <c r="B869" s="277" t="s">
        <v>4113</v>
      </c>
      <c r="C869" s="277" t="s">
        <v>4114</v>
      </c>
      <c r="D869" s="279" t="s">
        <v>25</v>
      </c>
      <c r="E869" s="280" t="s">
        <v>4050</v>
      </c>
      <c r="F869" s="279" t="s">
        <v>138</v>
      </c>
      <c r="G869" s="281">
        <v>170.0</v>
      </c>
      <c r="H869" s="282">
        <v>17.0</v>
      </c>
      <c r="I869" s="283">
        <v>85.0</v>
      </c>
      <c r="J869" s="283">
        <v>0.0</v>
      </c>
      <c r="K869" s="283">
        <v>0.0</v>
      </c>
      <c r="L869" s="284">
        <v>1.0</v>
      </c>
      <c r="M869" s="277" t="s">
        <v>4053</v>
      </c>
      <c r="N869" s="278" t="s">
        <v>46</v>
      </c>
      <c r="O869" s="273">
        <v>170.0</v>
      </c>
      <c r="P869" s="278" t="s">
        <v>29</v>
      </c>
      <c r="Q869" s="279">
        <v>0.0</v>
      </c>
      <c r="R869" s="285"/>
    </row>
    <row r="870" ht="15.75" customHeight="1">
      <c r="A870" s="276">
        <v>33.0</v>
      </c>
      <c r="B870" s="277" t="s">
        <v>4115</v>
      </c>
      <c r="C870" s="277" t="s">
        <v>4116</v>
      </c>
      <c r="D870" s="279" t="s">
        <v>25</v>
      </c>
      <c r="E870" s="280" t="s">
        <v>4046</v>
      </c>
      <c r="F870" s="279" t="s">
        <v>138</v>
      </c>
      <c r="G870" s="281">
        <v>376.0</v>
      </c>
      <c r="H870" s="282">
        <v>38.0</v>
      </c>
      <c r="I870" s="283">
        <v>190.0</v>
      </c>
      <c r="J870" s="283">
        <v>0.0</v>
      </c>
      <c r="K870" s="283">
        <v>0.0</v>
      </c>
      <c r="L870" s="284">
        <v>1.0</v>
      </c>
      <c r="M870" s="277" t="s">
        <v>4053</v>
      </c>
      <c r="N870" s="278" t="s">
        <v>46</v>
      </c>
      <c r="O870" s="273">
        <v>380.0</v>
      </c>
      <c r="P870" s="278" t="s">
        <v>29</v>
      </c>
      <c r="Q870" s="279">
        <v>0.0</v>
      </c>
      <c r="R870" s="285"/>
    </row>
    <row r="871" ht="15.75" customHeight="1">
      <c r="A871" s="276">
        <v>34.0</v>
      </c>
      <c r="B871" s="277" t="s">
        <v>4117</v>
      </c>
      <c r="C871" s="277" t="s">
        <v>4118</v>
      </c>
      <c r="D871" s="279" t="s">
        <v>25</v>
      </c>
      <c r="E871" s="280" t="s">
        <v>4046</v>
      </c>
      <c r="F871" s="279" t="s">
        <v>138</v>
      </c>
      <c r="G871" s="281">
        <v>200.0</v>
      </c>
      <c r="H871" s="282">
        <v>20.0</v>
      </c>
      <c r="I871" s="283">
        <v>100.0</v>
      </c>
      <c r="J871" s="283">
        <v>0.0</v>
      </c>
      <c r="K871" s="283">
        <v>0.0</v>
      </c>
      <c r="L871" s="284">
        <v>1.0</v>
      </c>
      <c r="M871" s="277" t="s">
        <v>4053</v>
      </c>
      <c r="N871" s="278" t="s">
        <v>46</v>
      </c>
      <c r="O871" s="273">
        <v>200.0</v>
      </c>
      <c r="P871" s="278" t="s">
        <v>29</v>
      </c>
      <c r="Q871" s="279">
        <v>0.0</v>
      </c>
      <c r="R871" s="285"/>
    </row>
    <row r="872" ht="15.75" customHeight="1">
      <c r="A872" s="276">
        <v>35.0</v>
      </c>
      <c r="B872" s="277" t="s">
        <v>4119</v>
      </c>
      <c r="C872" s="277" t="s">
        <v>4120</v>
      </c>
      <c r="D872" s="279" t="s">
        <v>25</v>
      </c>
      <c r="E872" s="280" t="s">
        <v>4046</v>
      </c>
      <c r="F872" s="279" t="s">
        <v>138</v>
      </c>
      <c r="G872" s="281">
        <v>1000.0</v>
      </c>
      <c r="H872" s="282">
        <v>100.0</v>
      </c>
      <c r="I872" s="283">
        <v>500.0</v>
      </c>
      <c r="J872" s="283">
        <v>0.0</v>
      </c>
      <c r="K872" s="283">
        <v>0.0</v>
      </c>
      <c r="L872" s="284">
        <v>1.0</v>
      </c>
      <c r="M872" s="277" t="s">
        <v>4053</v>
      </c>
      <c r="N872" s="278" t="s">
        <v>46</v>
      </c>
      <c r="O872" s="273">
        <v>1000.0</v>
      </c>
      <c r="P872" s="278" t="s">
        <v>29</v>
      </c>
      <c r="Q872" s="279">
        <v>0.0</v>
      </c>
      <c r="R872" s="285"/>
    </row>
    <row r="873" ht="15.75" customHeight="1">
      <c r="A873" s="276">
        <v>36.0</v>
      </c>
      <c r="B873" s="277" t="s">
        <v>4121</v>
      </c>
      <c r="C873" s="277" t="s">
        <v>4122</v>
      </c>
      <c r="D873" s="279" t="s">
        <v>25</v>
      </c>
      <c r="E873" s="280" t="s">
        <v>4046</v>
      </c>
      <c r="F873" s="279" t="s">
        <v>138</v>
      </c>
      <c r="G873" s="281">
        <v>90.0</v>
      </c>
      <c r="H873" s="282">
        <v>9.0</v>
      </c>
      <c r="I873" s="283">
        <v>45.0</v>
      </c>
      <c r="J873" s="283">
        <v>0.0</v>
      </c>
      <c r="K873" s="283">
        <v>0.0</v>
      </c>
      <c r="L873" s="284">
        <v>1.0</v>
      </c>
      <c r="M873" s="277" t="s">
        <v>4053</v>
      </c>
      <c r="N873" s="278" t="s">
        <v>46</v>
      </c>
      <c r="O873" s="273">
        <v>90.0</v>
      </c>
      <c r="P873" s="278" t="s">
        <v>29</v>
      </c>
      <c r="Q873" s="279">
        <v>0.0</v>
      </c>
      <c r="R873" s="285"/>
    </row>
    <row r="874" ht="15.75" customHeight="1">
      <c r="A874" s="276">
        <v>37.0</v>
      </c>
      <c r="B874" s="277" t="s">
        <v>4123</v>
      </c>
      <c r="C874" s="277" t="s">
        <v>4124</v>
      </c>
      <c r="D874" s="279" t="s">
        <v>25</v>
      </c>
      <c r="E874" s="280" t="s">
        <v>4056</v>
      </c>
      <c r="F874" s="279" t="s">
        <v>138</v>
      </c>
      <c r="G874" s="281">
        <v>240.0</v>
      </c>
      <c r="H874" s="282">
        <v>24.0</v>
      </c>
      <c r="I874" s="283">
        <v>120.0</v>
      </c>
      <c r="J874" s="283">
        <v>0.0</v>
      </c>
      <c r="K874" s="283">
        <v>0.0</v>
      </c>
      <c r="L874" s="284">
        <v>1.0</v>
      </c>
      <c r="M874" s="277" t="s">
        <v>4053</v>
      </c>
      <c r="N874" s="278" t="s">
        <v>46</v>
      </c>
      <c r="O874" s="273">
        <v>240.0</v>
      </c>
      <c r="P874" s="278" t="s">
        <v>29</v>
      </c>
      <c r="Q874" s="279">
        <v>0.0</v>
      </c>
      <c r="R874" s="285"/>
    </row>
    <row r="875" ht="15.75" customHeight="1">
      <c r="A875" s="276">
        <v>38.0</v>
      </c>
      <c r="B875" s="277" t="s">
        <v>4125</v>
      </c>
      <c r="C875" s="277" t="s">
        <v>4126</v>
      </c>
      <c r="D875" s="279" t="s">
        <v>25</v>
      </c>
      <c r="E875" s="280" t="s">
        <v>4063</v>
      </c>
      <c r="F875" s="279" t="s">
        <v>138</v>
      </c>
      <c r="G875" s="281">
        <v>150.0</v>
      </c>
      <c r="H875" s="282">
        <v>15.0</v>
      </c>
      <c r="I875" s="283">
        <v>75.0</v>
      </c>
      <c r="J875" s="283">
        <v>0.0</v>
      </c>
      <c r="K875" s="283">
        <v>0.0</v>
      </c>
      <c r="L875" s="284">
        <v>1.0</v>
      </c>
      <c r="M875" s="277" t="s">
        <v>4053</v>
      </c>
      <c r="N875" s="278" t="s">
        <v>46</v>
      </c>
      <c r="O875" s="273">
        <v>150.0</v>
      </c>
      <c r="P875" s="278" t="s">
        <v>29</v>
      </c>
      <c r="Q875" s="279">
        <v>0.0</v>
      </c>
      <c r="R875" s="285"/>
    </row>
    <row r="876" ht="15.75" customHeight="1">
      <c r="A876" s="276">
        <v>39.0</v>
      </c>
      <c r="B876" s="277" t="s">
        <v>4127</v>
      </c>
      <c r="C876" s="277" t="s">
        <v>4128</v>
      </c>
      <c r="D876" s="279" t="s">
        <v>25</v>
      </c>
      <c r="E876" s="280" t="s">
        <v>4056</v>
      </c>
      <c r="F876" s="279" t="s">
        <v>138</v>
      </c>
      <c r="G876" s="281">
        <v>183.0</v>
      </c>
      <c r="H876" s="282">
        <v>19.0</v>
      </c>
      <c r="I876" s="283">
        <v>95.0</v>
      </c>
      <c r="J876" s="283">
        <v>0.0</v>
      </c>
      <c r="K876" s="283">
        <v>0.0</v>
      </c>
      <c r="L876" s="284">
        <v>1.0</v>
      </c>
      <c r="M876" s="277" t="s">
        <v>4053</v>
      </c>
      <c r="N876" s="278" t="s">
        <v>46</v>
      </c>
      <c r="O876" s="273">
        <v>190.0</v>
      </c>
      <c r="P876" s="278" t="s">
        <v>29</v>
      </c>
      <c r="Q876" s="279">
        <v>0.0</v>
      </c>
      <c r="R876" s="285"/>
    </row>
    <row r="877" ht="15.75" customHeight="1">
      <c r="A877" s="276">
        <v>40.0</v>
      </c>
      <c r="B877" s="277" t="s">
        <v>4129</v>
      </c>
      <c r="C877" s="277" t="s">
        <v>4130</v>
      </c>
      <c r="D877" s="279" t="s">
        <v>25</v>
      </c>
      <c r="E877" s="280" t="s">
        <v>4046</v>
      </c>
      <c r="F877" s="279" t="s">
        <v>138</v>
      </c>
      <c r="G877" s="281">
        <v>240.0</v>
      </c>
      <c r="H877" s="282">
        <v>24.0</v>
      </c>
      <c r="I877" s="283">
        <v>120.0</v>
      </c>
      <c r="J877" s="283">
        <v>0.0</v>
      </c>
      <c r="K877" s="283">
        <v>0.0</v>
      </c>
      <c r="L877" s="284">
        <v>1.0</v>
      </c>
      <c r="M877" s="277" t="s">
        <v>4053</v>
      </c>
      <c r="N877" s="278" t="s">
        <v>46</v>
      </c>
      <c r="O877" s="273">
        <v>240.0</v>
      </c>
      <c r="P877" s="278" t="s">
        <v>29</v>
      </c>
      <c r="Q877" s="279">
        <v>0.0</v>
      </c>
      <c r="R877" s="285"/>
    </row>
    <row r="878" ht="15.75" customHeight="1">
      <c r="A878" s="276">
        <v>41.0</v>
      </c>
      <c r="B878" s="277" t="s">
        <v>4131</v>
      </c>
      <c r="C878" s="277" t="s">
        <v>3156</v>
      </c>
      <c r="D878" s="279" t="s">
        <v>25</v>
      </c>
      <c r="E878" s="280" t="s">
        <v>4046</v>
      </c>
      <c r="F878" s="279" t="s">
        <v>138</v>
      </c>
      <c r="G878" s="281">
        <v>55.0</v>
      </c>
      <c r="H878" s="282">
        <v>6.0</v>
      </c>
      <c r="I878" s="283">
        <v>30.0</v>
      </c>
      <c r="J878" s="283">
        <v>0.0</v>
      </c>
      <c r="K878" s="283">
        <v>0.0</v>
      </c>
      <c r="L878" s="284">
        <v>1.0</v>
      </c>
      <c r="M878" s="277" t="s">
        <v>4053</v>
      </c>
      <c r="N878" s="278" t="s">
        <v>46</v>
      </c>
      <c r="O878" s="273">
        <v>60.0</v>
      </c>
      <c r="P878" s="278" t="s">
        <v>29</v>
      </c>
      <c r="Q878" s="279">
        <v>0.0</v>
      </c>
      <c r="R878" s="285"/>
    </row>
    <row r="879" ht="15.75" customHeight="1">
      <c r="A879" s="276">
        <v>42.0</v>
      </c>
      <c r="B879" s="277" t="s">
        <v>4132</v>
      </c>
      <c r="C879" s="277" t="s">
        <v>4133</v>
      </c>
      <c r="D879" s="279" t="s">
        <v>25</v>
      </c>
      <c r="E879" s="280" t="s">
        <v>4050</v>
      </c>
      <c r="F879" s="279" t="s">
        <v>138</v>
      </c>
      <c r="G879" s="281">
        <v>65.0</v>
      </c>
      <c r="H879" s="282">
        <v>7.0</v>
      </c>
      <c r="I879" s="283">
        <v>35.0</v>
      </c>
      <c r="J879" s="283">
        <v>0.0</v>
      </c>
      <c r="K879" s="283">
        <v>0.0</v>
      </c>
      <c r="L879" s="284">
        <v>1.0</v>
      </c>
      <c r="M879" s="277" t="s">
        <v>4053</v>
      </c>
      <c r="N879" s="278" t="s">
        <v>46</v>
      </c>
      <c r="O879" s="273">
        <v>70.0</v>
      </c>
      <c r="P879" s="278" t="s">
        <v>29</v>
      </c>
      <c r="Q879" s="279">
        <v>0.0</v>
      </c>
      <c r="R879" s="285"/>
    </row>
    <row r="880" ht="15.75" customHeight="1">
      <c r="A880" s="276">
        <v>43.0</v>
      </c>
      <c r="B880" s="277" t="s">
        <v>4134</v>
      </c>
      <c r="C880" s="277" t="s">
        <v>4135</v>
      </c>
      <c r="D880" s="279" t="s">
        <v>25</v>
      </c>
      <c r="E880" s="280" t="s">
        <v>4046</v>
      </c>
      <c r="F880" s="279" t="s">
        <v>138</v>
      </c>
      <c r="G880" s="281">
        <v>312.0</v>
      </c>
      <c r="H880" s="282">
        <v>32.0</v>
      </c>
      <c r="I880" s="283">
        <v>160.0</v>
      </c>
      <c r="J880" s="283">
        <v>0.0</v>
      </c>
      <c r="K880" s="283">
        <v>0.0</v>
      </c>
      <c r="L880" s="284">
        <v>2.0</v>
      </c>
      <c r="M880" s="277" t="s">
        <v>4053</v>
      </c>
      <c r="N880" s="278" t="s">
        <v>46</v>
      </c>
      <c r="O880" s="273">
        <v>320.0</v>
      </c>
      <c r="P880" s="278" t="s">
        <v>29</v>
      </c>
      <c r="Q880" s="279">
        <v>0.0</v>
      </c>
      <c r="R880" s="285"/>
    </row>
    <row r="881" ht="15.75" customHeight="1">
      <c r="A881" s="276">
        <v>44.0</v>
      </c>
      <c r="B881" s="277" t="s">
        <v>4136</v>
      </c>
      <c r="C881" s="277" t="s">
        <v>4137</v>
      </c>
      <c r="D881" s="279" t="s">
        <v>25</v>
      </c>
      <c r="E881" s="280" t="s">
        <v>4046</v>
      </c>
      <c r="F881" s="279" t="s">
        <v>138</v>
      </c>
      <c r="G881" s="281">
        <v>112.0</v>
      </c>
      <c r="H881" s="282">
        <v>12.0</v>
      </c>
      <c r="I881" s="283">
        <v>60.0</v>
      </c>
      <c r="J881" s="283">
        <v>0.0</v>
      </c>
      <c r="K881" s="283">
        <v>0.0</v>
      </c>
      <c r="L881" s="284">
        <v>1.0</v>
      </c>
      <c r="M881" s="277" t="s">
        <v>4053</v>
      </c>
      <c r="N881" s="278" t="s">
        <v>46</v>
      </c>
      <c r="O881" s="273">
        <v>120.0</v>
      </c>
      <c r="P881" s="278" t="s">
        <v>29</v>
      </c>
      <c r="Q881" s="279">
        <v>0.0</v>
      </c>
      <c r="R881" s="285"/>
    </row>
    <row r="882" ht="15.75" customHeight="1">
      <c r="A882" s="276">
        <v>45.0</v>
      </c>
      <c r="B882" s="277" t="s">
        <v>4138</v>
      </c>
      <c r="C882" s="277" t="s">
        <v>4139</v>
      </c>
      <c r="D882" s="279" t="s">
        <v>25</v>
      </c>
      <c r="E882" s="280" t="s">
        <v>4063</v>
      </c>
      <c r="F882" s="279" t="s">
        <v>138</v>
      </c>
      <c r="G882" s="281">
        <v>250.0</v>
      </c>
      <c r="H882" s="282">
        <v>25.0</v>
      </c>
      <c r="I882" s="283">
        <v>125.0</v>
      </c>
      <c r="J882" s="283">
        <v>0.0</v>
      </c>
      <c r="K882" s="283">
        <v>0.0</v>
      </c>
      <c r="L882" s="284">
        <v>1.0</v>
      </c>
      <c r="M882" s="277" t="s">
        <v>4053</v>
      </c>
      <c r="N882" s="278" t="s">
        <v>46</v>
      </c>
      <c r="O882" s="273">
        <v>250.0</v>
      </c>
      <c r="P882" s="278" t="s">
        <v>29</v>
      </c>
      <c r="Q882" s="279">
        <v>0.0</v>
      </c>
      <c r="R882" s="285"/>
    </row>
    <row r="883" ht="15.75" customHeight="1">
      <c r="A883" s="276">
        <v>46.0</v>
      </c>
      <c r="B883" s="277" t="s">
        <v>4140</v>
      </c>
      <c r="C883" s="277" t="s">
        <v>4141</v>
      </c>
      <c r="D883" s="279" t="s">
        <v>25</v>
      </c>
      <c r="E883" s="280" t="s">
        <v>4056</v>
      </c>
      <c r="F883" s="279" t="s">
        <v>138</v>
      </c>
      <c r="G883" s="281">
        <v>1300.0</v>
      </c>
      <c r="H883" s="282">
        <v>130.0</v>
      </c>
      <c r="I883" s="283">
        <v>650.0</v>
      </c>
      <c r="J883" s="283">
        <v>0.0</v>
      </c>
      <c r="K883" s="283">
        <v>0.0</v>
      </c>
      <c r="L883" s="284">
        <v>1.0</v>
      </c>
      <c r="M883" s="277" t="s">
        <v>4053</v>
      </c>
      <c r="N883" s="278" t="s">
        <v>46</v>
      </c>
      <c r="O883" s="273">
        <v>1300.0</v>
      </c>
      <c r="P883" s="278" t="s">
        <v>29</v>
      </c>
      <c r="Q883" s="279">
        <v>0.0</v>
      </c>
      <c r="R883" s="285"/>
    </row>
    <row r="884" ht="15.75" customHeight="1">
      <c r="A884" s="276">
        <v>47.0</v>
      </c>
      <c r="B884" s="277" t="s">
        <v>4142</v>
      </c>
      <c r="C884" s="277" t="s">
        <v>4143</v>
      </c>
      <c r="D884" s="279" t="s">
        <v>25</v>
      </c>
      <c r="E884" s="280" t="s">
        <v>4050</v>
      </c>
      <c r="F884" s="279" t="s">
        <v>138</v>
      </c>
      <c r="G884" s="281">
        <v>155.0</v>
      </c>
      <c r="H884" s="282">
        <v>16.0</v>
      </c>
      <c r="I884" s="283">
        <v>80.0</v>
      </c>
      <c r="J884" s="283">
        <v>0.0</v>
      </c>
      <c r="K884" s="283">
        <v>0.0</v>
      </c>
      <c r="L884" s="284">
        <v>1.0</v>
      </c>
      <c r="M884" s="277" t="s">
        <v>4053</v>
      </c>
      <c r="N884" s="278" t="s">
        <v>46</v>
      </c>
      <c r="O884" s="273">
        <v>160.0</v>
      </c>
      <c r="P884" s="278" t="s">
        <v>29</v>
      </c>
      <c r="Q884" s="279">
        <v>0.0</v>
      </c>
      <c r="R884" s="285"/>
    </row>
    <row r="885" ht="15.75" customHeight="1">
      <c r="A885" s="276">
        <v>48.0</v>
      </c>
      <c r="B885" s="277" t="s">
        <v>4144</v>
      </c>
      <c r="C885" s="277" t="s">
        <v>4145</v>
      </c>
      <c r="D885" s="279" t="s">
        <v>25</v>
      </c>
      <c r="E885" s="280" t="s">
        <v>4046</v>
      </c>
      <c r="F885" s="279" t="s">
        <v>138</v>
      </c>
      <c r="G885" s="281">
        <v>75.0</v>
      </c>
      <c r="H885" s="282">
        <v>8.0</v>
      </c>
      <c r="I885" s="283">
        <v>40.0</v>
      </c>
      <c r="J885" s="283">
        <v>0.0</v>
      </c>
      <c r="K885" s="283">
        <v>0.0</v>
      </c>
      <c r="L885" s="284">
        <v>1.0</v>
      </c>
      <c r="M885" s="277" t="s">
        <v>4053</v>
      </c>
      <c r="N885" s="278" t="s">
        <v>46</v>
      </c>
      <c r="O885" s="273">
        <v>80.0</v>
      </c>
      <c r="P885" s="278" t="s">
        <v>29</v>
      </c>
      <c r="Q885" s="279">
        <v>0.0</v>
      </c>
      <c r="R885" s="285"/>
    </row>
    <row r="886" ht="15.75" customHeight="1">
      <c r="A886" s="276">
        <v>49.0</v>
      </c>
      <c r="B886" s="277" t="s">
        <v>4146</v>
      </c>
      <c r="C886" s="277" t="s">
        <v>4147</v>
      </c>
      <c r="D886" s="279" t="s">
        <v>25</v>
      </c>
      <c r="E886" s="280" t="s">
        <v>4050</v>
      </c>
      <c r="F886" s="279" t="s">
        <v>138</v>
      </c>
      <c r="G886" s="281">
        <v>143.0</v>
      </c>
      <c r="H886" s="282">
        <v>15.0</v>
      </c>
      <c r="I886" s="283">
        <v>75.0</v>
      </c>
      <c r="J886" s="283">
        <v>0.0</v>
      </c>
      <c r="K886" s="283">
        <v>0.0</v>
      </c>
      <c r="L886" s="284">
        <v>1.0</v>
      </c>
      <c r="M886" s="277" t="s">
        <v>4053</v>
      </c>
      <c r="N886" s="278" t="s">
        <v>46</v>
      </c>
      <c r="O886" s="273">
        <v>150.0</v>
      </c>
      <c r="P886" s="278" t="s">
        <v>29</v>
      </c>
      <c r="Q886" s="279">
        <v>0.0</v>
      </c>
      <c r="R886" s="285"/>
    </row>
    <row r="887" ht="15.75" customHeight="1">
      <c r="A887" s="276">
        <v>51.0</v>
      </c>
      <c r="B887" s="277" t="s">
        <v>4148</v>
      </c>
      <c r="C887" s="277" t="s">
        <v>4149</v>
      </c>
      <c r="D887" s="279" t="s">
        <v>25</v>
      </c>
      <c r="E887" s="280" t="s">
        <v>4063</v>
      </c>
      <c r="F887" s="279" t="s">
        <v>138</v>
      </c>
      <c r="G887" s="281">
        <v>280.0</v>
      </c>
      <c r="H887" s="282">
        <v>28.0</v>
      </c>
      <c r="I887" s="283">
        <v>140.0</v>
      </c>
      <c r="J887" s="283">
        <v>0.0</v>
      </c>
      <c r="K887" s="283">
        <v>0.0</v>
      </c>
      <c r="L887" s="284">
        <v>1.0</v>
      </c>
      <c r="M887" s="277" t="s">
        <v>4053</v>
      </c>
      <c r="N887" s="278" t="s">
        <v>46</v>
      </c>
      <c r="O887" s="273">
        <v>280.0</v>
      </c>
      <c r="P887" s="278" t="s">
        <v>29</v>
      </c>
      <c r="Q887" s="279">
        <v>0.0</v>
      </c>
      <c r="R887" s="285"/>
    </row>
    <row r="888" ht="15.75" customHeight="1">
      <c r="A888" s="276">
        <v>52.0</v>
      </c>
      <c r="B888" s="286" t="s">
        <v>4150</v>
      </c>
      <c r="C888" s="286" t="s">
        <v>4151</v>
      </c>
      <c r="D888" s="279" t="s">
        <v>25</v>
      </c>
      <c r="E888" s="280" t="s">
        <v>4050</v>
      </c>
      <c r="F888" s="279" t="s">
        <v>138</v>
      </c>
      <c r="G888" s="281">
        <v>240.0</v>
      </c>
      <c r="H888" s="282">
        <v>24.0</v>
      </c>
      <c r="I888" s="283">
        <v>120.0</v>
      </c>
      <c r="J888" s="283">
        <v>0.0</v>
      </c>
      <c r="K888" s="283">
        <v>0.0</v>
      </c>
      <c r="L888" s="284">
        <v>3.0</v>
      </c>
      <c r="M888" s="277" t="s">
        <v>4053</v>
      </c>
      <c r="N888" s="278" t="s">
        <v>46</v>
      </c>
      <c r="O888" s="273">
        <v>240.0</v>
      </c>
      <c r="P888" s="278" t="s">
        <v>29</v>
      </c>
      <c r="Q888" s="279">
        <v>0.0</v>
      </c>
      <c r="R888" s="285"/>
    </row>
    <row r="889" ht="15.75" customHeight="1">
      <c r="A889" s="276">
        <v>53.0</v>
      </c>
      <c r="B889" s="286" t="s">
        <v>4152</v>
      </c>
      <c r="C889" s="286" t="s">
        <v>4153</v>
      </c>
      <c r="D889" s="279" t="s">
        <v>25</v>
      </c>
      <c r="E889" s="280" t="s">
        <v>4050</v>
      </c>
      <c r="F889" s="279" t="s">
        <v>138</v>
      </c>
      <c r="G889" s="281">
        <v>170.0</v>
      </c>
      <c r="H889" s="282">
        <v>17.0</v>
      </c>
      <c r="I889" s="283">
        <v>85.0</v>
      </c>
      <c r="J889" s="283">
        <v>0.0</v>
      </c>
      <c r="K889" s="283">
        <v>0.0</v>
      </c>
      <c r="L889" s="284">
        <v>1.0</v>
      </c>
      <c r="M889" s="277" t="s">
        <v>4053</v>
      </c>
      <c r="N889" s="278" t="s">
        <v>46</v>
      </c>
      <c r="O889" s="273">
        <v>170.0</v>
      </c>
      <c r="P889" s="278" t="s">
        <v>29</v>
      </c>
      <c r="Q889" s="279">
        <v>0.0</v>
      </c>
      <c r="R889" s="285"/>
    </row>
    <row r="890" ht="15.75" customHeight="1">
      <c r="A890" s="276">
        <v>54.0</v>
      </c>
      <c r="B890" s="286" t="s">
        <v>4154</v>
      </c>
      <c r="C890" s="286" t="s">
        <v>4155</v>
      </c>
      <c r="D890" s="279" t="s">
        <v>25</v>
      </c>
      <c r="E890" s="280" t="s">
        <v>4050</v>
      </c>
      <c r="F890" s="279" t="s">
        <v>138</v>
      </c>
      <c r="G890" s="281">
        <v>300.0</v>
      </c>
      <c r="H890" s="282">
        <v>30.0</v>
      </c>
      <c r="I890" s="283">
        <v>150.0</v>
      </c>
      <c r="J890" s="283">
        <v>0.0</v>
      </c>
      <c r="K890" s="283">
        <v>0.0</v>
      </c>
      <c r="L890" s="284">
        <v>1.0</v>
      </c>
      <c r="M890" s="277" t="s">
        <v>4053</v>
      </c>
      <c r="N890" s="278" t="s">
        <v>46</v>
      </c>
      <c r="O890" s="273">
        <v>300.0</v>
      </c>
      <c r="P890" s="278" t="s">
        <v>29</v>
      </c>
      <c r="Q890" s="279">
        <v>0.0</v>
      </c>
      <c r="R890" s="285"/>
    </row>
    <row r="891" ht="15.75" customHeight="1">
      <c r="A891" s="276">
        <v>55.0</v>
      </c>
      <c r="B891" s="286" t="s">
        <v>4156</v>
      </c>
      <c r="C891" s="286" t="s">
        <v>4157</v>
      </c>
      <c r="D891" s="279" t="s">
        <v>25</v>
      </c>
      <c r="E891" s="280" t="s">
        <v>4046</v>
      </c>
      <c r="F891" s="279" t="s">
        <v>138</v>
      </c>
      <c r="G891" s="281">
        <v>75.0</v>
      </c>
      <c r="H891" s="282">
        <v>8.0</v>
      </c>
      <c r="I891" s="283">
        <v>40.0</v>
      </c>
      <c r="J891" s="283">
        <v>0.0</v>
      </c>
      <c r="K891" s="283">
        <v>0.0</v>
      </c>
      <c r="L891" s="284">
        <v>1.0</v>
      </c>
      <c r="M891" s="277" t="s">
        <v>4053</v>
      </c>
      <c r="N891" s="278" t="s">
        <v>46</v>
      </c>
      <c r="O891" s="273">
        <v>80.0</v>
      </c>
      <c r="P891" s="278" t="s">
        <v>29</v>
      </c>
      <c r="Q891" s="279">
        <v>0.0</v>
      </c>
      <c r="R891" s="285"/>
    </row>
    <row r="892" ht="15.75" customHeight="1">
      <c r="A892" s="276">
        <v>56.0</v>
      </c>
      <c r="B892" s="286" t="s">
        <v>4158</v>
      </c>
      <c r="C892" s="286" t="s">
        <v>4159</v>
      </c>
      <c r="D892" s="279" t="s">
        <v>25</v>
      </c>
      <c r="E892" s="280" t="s">
        <v>4046</v>
      </c>
      <c r="F892" s="279" t="s">
        <v>138</v>
      </c>
      <c r="G892" s="281">
        <v>300.0</v>
      </c>
      <c r="H892" s="282">
        <v>30.0</v>
      </c>
      <c r="I892" s="283">
        <v>150.0</v>
      </c>
      <c r="J892" s="283">
        <v>0.0</v>
      </c>
      <c r="K892" s="283">
        <v>0.0</v>
      </c>
      <c r="L892" s="284">
        <v>1.0</v>
      </c>
      <c r="M892" s="277" t="s">
        <v>4053</v>
      </c>
      <c r="N892" s="278" t="s">
        <v>46</v>
      </c>
      <c r="O892" s="273">
        <v>300.0</v>
      </c>
      <c r="P892" s="278" t="s">
        <v>29</v>
      </c>
      <c r="Q892" s="279">
        <v>0.0</v>
      </c>
      <c r="R892" s="285"/>
    </row>
    <row r="893" ht="15.75" customHeight="1">
      <c r="A893" s="276">
        <v>57.0</v>
      </c>
      <c r="B893" s="286" t="s">
        <v>4160</v>
      </c>
      <c r="C893" s="286" t="s">
        <v>4161</v>
      </c>
      <c r="D893" s="279" t="s">
        <v>25</v>
      </c>
      <c r="E893" s="280" t="s">
        <v>4056</v>
      </c>
      <c r="F893" s="279" t="s">
        <v>138</v>
      </c>
      <c r="G893" s="281">
        <v>140.0</v>
      </c>
      <c r="H893" s="282">
        <v>14.0</v>
      </c>
      <c r="I893" s="283">
        <v>70.0</v>
      </c>
      <c r="J893" s="283">
        <v>0.0</v>
      </c>
      <c r="K893" s="283">
        <v>0.0</v>
      </c>
      <c r="L893" s="284">
        <v>1.0</v>
      </c>
      <c r="M893" s="277" t="s">
        <v>4053</v>
      </c>
      <c r="N893" s="278" t="s">
        <v>46</v>
      </c>
      <c r="O893" s="273">
        <v>140.0</v>
      </c>
      <c r="P893" s="278" t="s">
        <v>29</v>
      </c>
      <c r="Q893" s="279">
        <v>0.0</v>
      </c>
      <c r="R893" s="285"/>
    </row>
    <row r="894" ht="15.75" customHeight="1">
      <c r="A894" s="276">
        <v>58.0</v>
      </c>
      <c r="B894" s="286" t="s">
        <v>4162</v>
      </c>
      <c r="C894" s="286" t="s">
        <v>4161</v>
      </c>
      <c r="D894" s="279" t="s">
        <v>25</v>
      </c>
      <c r="E894" s="280" t="s">
        <v>4056</v>
      </c>
      <c r="F894" s="279" t="s">
        <v>138</v>
      </c>
      <c r="G894" s="281">
        <v>920.0</v>
      </c>
      <c r="H894" s="282">
        <v>92.0</v>
      </c>
      <c r="I894" s="283">
        <v>460.0</v>
      </c>
      <c r="J894" s="283">
        <v>0.0</v>
      </c>
      <c r="K894" s="283">
        <v>0.0</v>
      </c>
      <c r="L894" s="284">
        <v>7.0</v>
      </c>
      <c r="M894" s="277" t="s">
        <v>4053</v>
      </c>
      <c r="N894" s="278" t="s">
        <v>46</v>
      </c>
      <c r="O894" s="273">
        <v>920.0</v>
      </c>
      <c r="P894" s="278" t="s">
        <v>29</v>
      </c>
      <c r="Q894" s="279">
        <v>0.0</v>
      </c>
      <c r="R894" s="285"/>
    </row>
    <row r="895" ht="15.75" customHeight="1">
      <c r="A895" s="276">
        <v>59.0</v>
      </c>
      <c r="B895" s="286" t="s">
        <v>4163</v>
      </c>
      <c r="C895" s="286" t="s">
        <v>3942</v>
      </c>
      <c r="D895" s="279" t="s">
        <v>25</v>
      </c>
      <c r="E895" s="280" t="s">
        <v>4050</v>
      </c>
      <c r="F895" s="279" t="s">
        <v>138</v>
      </c>
      <c r="G895" s="281">
        <v>100.0</v>
      </c>
      <c r="H895" s="282">
        <v>10.0</v>
      </c>
      <c r="I895" s="283">
        <v>50.0</v>
      </c>
      <c r="J895" s="283">
        <v>0.0</v>
      </c>
      <c r="K895" s="283">
        <v>0.0</v>
      </c>
      <c r="L895" s="284">
        <v>2.0</v>
      </c>
      <c r="M895" s="277" t="s">
        <v>4053</v>
      </c>
      <c r="N895" s="278" t="s">
        <v>46</v>
      </c>
      <c r="O895" s="273">
        <v>100.0</v>
      </c>
      <c r="P895" s="278" t="s">
        <v>29</v>
      </c>
      <c r="Q895" s="279">
        <v>0.0</v>
      </c>
      <c r="R895" s="285"/>
    </row>
    <row r="896" ht="15.75" customHeight="1">
      <c r="A896" s="276">
        <v>60.0</v>
      </c>
      <c r="B896" s="286" t="s">
        <v>4164</v>
      </c>
      <c r="C896" s="286" t="s">
        <v>4165</v>
      </c>
      <c r="D896" s="279" t="s">
        <v>25</v>
      </c>
      <c r="E896" s="280" t="s">
        <v>4046</v>
      </c>
      <c r="F896" s="279" t="s">
        <v>138</v>
      </c>
      <c r="G896" s="281">
        <v>54.0</v>
      </c>
      <c r="H896" s="282">
        <v>6.0</v>
      </c>
      <c r="I896" s="283">
        <v>30.0</v>
      </c>
      <c r="J896" s="283">
        <v>0.0</v>
      </c>
      <c r="K896" s="283">
        <v>0.0</v>
      </c>
      <c r="L896" s="284">
        <v>3.0</v>
      </c>
      <c r="M896" s="277" t="s">
        <v>4053</v>
      </c>
      <c r="N896" s="278" t="s">
        <v>46</v>
      </c>
      <c r="O896" s="273">
        <v>60.0</v>
      </c>
      <c r="P896" s="278" t="s">
        <v>29</v>
      </c>
      <c r="Q896" s="279">
        <v>0.0</v>
      </c>
      <c r="R896" s="285"/>
    </row>
    <row r="897" ht="15.75" customHeight="1">
      <c r="A897" s="276">
        <v>61.0</v>
      </c>
      <c r="B897" s="286" t="s">
        <v>4166</v>
      </c>
      <c r="C897" s="286" t="s">
        <v>4167</v>
      </c>
      <c r="D897" s="279" t="s">
        <v>25</v>
      </c>
      <c r="E897" s="280" t="s">
        <v>4050</v>
      </c>
      <c r="F897" s="279" t="s">
        <v>138</v>
      </c>
      <c r="G897" s="281">
        <v>50.0</v>
      </c>
      <c r="H897" s="282">
        <v>5.0</v>
      </c>
      <c r="I897" s="283">
        <v>25.0</v>
      </c>
      <c r="J897" s="283">
        <v>0.0</v>
      </c>
      <c r="K897" s="283">
        <v>0.0</v>
      </c>
      <c r="L897" s="284">
        <v>2.0</v>
      </c>
      <c r="M897" s="277" t="s">
        <v>4053</v>
      </c>
      <c r="N897" s="278" t="s">
        <v>46</v>
      </c>
      <c r="O897" s="273">
        <v>50.0</v>
      </c>
      <c r="P897" s="278" t="s">
        <v>29</v>
      </c>
      <c r="Q897" s="279">
        <v>0.0</v>
      </c>
      <c r="R897" s="285"/>
    </row>
    <row r="898" ht="15.75" customHeight="1">
      <c r="A898" s="276">
        <v>62.0</v>
      </c>
      <c r="B898" s="286" t="s">
        <v>4168</v>
      </c>
      <c r="C898" s="286" t="s">
        <v>4169</v>
      </c>
      <c r="D898" s="279" t="s">
        <v>25</v>
      </c>
      <c r="E898" s="280" t="s">
        <v>4046</v>
      </c>
      <c r="F898" s="279" t="s">
        <v>138</v>
      </c>
      <c r="G898" s="281">
        <v>300.0</v>
      </c>
      <c r="H898" s="282">
        <v>30.0</v>
      </c>
      <c r="I898" s="283">
        <v>150.0</v>
      </c>
      <c r="J898" s="283">
        <v>0.0</v>
      </c>
      <c r="K898" s="283">
        <v>0.0</v>
      </c>
      <c r="L898" s="284">
        <v>1.0</v>
      </c>
      <c r="M898" s="277" t="s">
        <v>4053</v>
      </c>
      <c r="N898" s="278" t="s">
        <v>46</v>
      </c>
      <c r="O898" s="273">
        <v>300.0</v>
      </c>
      <c r="P898" s="278" t="s">
        <v>29</v>
      </c>
      <c r="Q898" s="279">
        <v>0.0</v>
      </c>
      <c r="R898" s="285"/>
    </row>
    <row r="899" ht="15.75" customHeight="1">
      <c r="A899" s="276">
        <v>63.0</v>
      </c>
      <c r="B899" s="286" t="s">
        <v>4170</v>
      </c>
      <c r="C899" s="286" t="s">
        <v>4171</v>
      </c>
      <c r="D899" s="279" t="s">
        <v>25</v>
      </c>
      <c r="E899" s="280" t="s">
        <v>4050</v>
      </c>
      <c r="F899" s="279" t="s">
        <v>138</v>
      </c>
      <c r="G899" s="281">
        <v>400.0</v>
      </c>
      <c r="H899" s="282">
        <v>40.0</v>
      </c>
      <c r="I899" s="283">
        <v>200.0</v>
      </c>
      <c r="J899" s="283">
        <v>0.0</v>
      </c>
      <c r="K899" s="283">
        <v>0.0</v>
      </c>
      <c r="L899" s="284">
        <v>1.0</v>
      </c>
      <c r="M899" s="277" t="s">
        <v>4053</v>
      </c>
      <c r="N899" s="278" t="s">
        <v>46</v>
      </c>
      <c r="O899" s="273">
        <v>400.0</v>
      </c>
      <c r="P899" s="278" t="s">
        <v>29</v>
      </c>
      <c r="Q899" s="279">
        <v>0.0</v>
      </c>
      <c r="R899" s="285"/>
    </row>
    <row r="900" ht="15.75" customHeight="1">
      <c r="A900" s="276">
        <v>64.0</v>
      </c>
      <c r="B900" s="286" t="s">
        <v>4172</v>
      </c>
      <c r="C900" s="286" t="s">
        <v>4173</v>
      </c>
      <c r="D900" s="279" t="s">
        <v>25</v>
      </c>
      <c r="E900" s="280" t="s">
        <v>4046</v>
      </c>
      <c r="F900" s="279" t="s">
        <v>138</v>
      </c>
      <c r="G900" s="281">
        <v>60.0</v>
      </c>
      <c r="H900" s="282">
        <v>6.0</v>
      </c>
      <c r="I900" s="283">
        <v>30.0</v>
      </c>
      <c r="J900" s="283">
        <v>0.0</v>
      </c>
      <c r="K900" s="283">
        <v>0.0</v>
      </c>
      <c r="L900" s="284">
        <v>1.0</v>
      </c>
      <c r="M900" s="277" t="s">
        <v>4053</v>
      </c>
      <c r="N900" s="278" t="s">
        <v>46</v>
      </c>
      <c r="O900" s="273">
        <v>60.0</v>
      </c>
      <c r="P900" s="278" t="s">
        <v>29</v>
      </c>
      <c r="Q900" s="279">
        <v>0.0</v>
      </c>
      <c r="R900" s="285"/>
    </row>
    <row r="901" ht="15.75" customHeight="1">
      <c r="A901" s="276">
        <v>65.0</v>
      </c>
      <c r="B901" s="286" t="s">
        <v>4174</v>
      </c>
      <c r="C901" s="286" t="s">
        <v>4175</v>
      </c>
      <c r="D901" s="279" t="s">
        <v>25</v>
      </c>
      <c r="E901" s="280" t="s">
        <v>4050</v>
      </c>
      <c r="F901" s="279" t="s">
        <v>138</v>
      </c>
      <c r="G901" s="281">
        <v>75.0</v>
      </c>
      <c r="H901" s="282">
        <v>8.0</v>
      </c>
      <c r="I901" s="283">
        <v>40.0</v>
      </c>
      <c r="J901" s="283">
        <v>0.0</v>
      </c>
      <c r="K901" s="283">
        <v>0.0</v>
      </c>
      <c r="L901" s="284">
        <v>1.0</v>
      </c>
      <c r="M901" s="277" t="s">
        <v>4053</v>
      </c>
      <c r="N901" s="278" t="s">
        <v>46</v>
      </c>
      <c r="O901" s="273">
        <v>80.0</v>
      </c>
      <c r="P901" s="278" t="s">
        <v>29</v>
      </c>
      <c r="Q901" s="279">
        <v>0.0</v>
      </c>
      <c r="R901" s="285"/>
    </row>
    <row r="902" ht="15.75" customHeight="1">
      <c r="A902" s="276">
        <v>66.0</v>
      </c>
      <c r="B902" s="286" t="s">
        <v>4176</v>
      </c>
      <c r="C902" s="286" t="s">
        <v>4177</v>
      </c>
      <c r="D902" s="279" t="s">
        <v>25</v>
      </c>
      <c r="E902" s="280" t="s">
        <v>4050</v>
      </c>
      <c r="F902" s="279" t="s">
        <v>138</v>
      </c>
      <c r="G902" s="281">
        <v>140.0</v>
      </c>
      <c r="H902" s="282">
        <v>14.0</v>
      </c>
      <c r="I902" s="283">
        <v>70.0</v>
      </c>
      <c r="J902" s="283">
        <v>0.0</v>
      </c>
      <c r="K902" s="283">
        <v>0.0</v>
      </c>
      <c r="L902" s="284">
        <v>1.0</v>
      </c>
      <c r="M902" s="277" t="s">
        <v>4053</v>
      </c>
      <c r="N902" s="278" t="s">
        <v>46</v>
      </c>
      <c r="O902" s="273">
        <v>140.0</v>
      </c>
      <c r="P902" s="278" t="s">
        <v>29</v>
      </c>
      <c r="Q902" s="279">
        <v>0.0</v>
      </c>
      <c r="R902" s="285"/>
    </row>
    <row r="903" ht="15.75" customHeight="1">
      <c r="A903" s="276">
        <v>67.0</v>
      </c>
      <c r="B903" s="286" t="s">
        <v>4178</v>
      </c>
      <c r="C903" s="286" t="s">
        <v>3739</v>
      </c>
      <c r="D903" s="279" t="s">
        <v>25</v>
      </c>
      <c r="E903" s="280" t="s">
        <v>4046</v>
      </c>
      <c r="F903" s="279" t="s">
        <v>138</v>
      </c>
      <c r="G903" s="281">
        <v>60.0</v>
      </c>
      <c r="H903" s="282">
        <v>6.0</v>
      </c>
      <c r="I903" s="283">
        <v>30.0</v>
      </c>
      <c r="J903" s="283">
        <v>0.0</v>
      </c>
      <c r="K903" s="283">
        <v>0.0</v>
      </c>
      <c r="L903" s="284">
        <v>1.0</v>
      </c>
      <c r="M903" s="277" t="s">
        <v>4053</v>
      </c>
      <c r="N903" s="278" t="s">
        <v>46</v>
      </c>
      <c r="O903" s="273">
        <v>60.0</v>
      </c>
      <c r="P903" s="278" t="s">
        <v>29</v>
      </c>
      <c r="Q903" s="279">
        <v>0.0</v>
      </c>
      <c r="R903" s="285"/>
    </row>
    <row r="904" ht="15.75" customHeight="1">
      <c r="A904" s="276">
        <v>68.0</v>
      </c>
      <c r="B904" s="286" t="s">
        <v>4179</v>
      </c>
      <c r="C904" s="286" t="s">
        <v>4180</v>
      </c>
      <c r="D904" s="279" t="s">
        <v>25</v>
      </c>
      <c r="E904" s="280" t="s">
        <v>4046</v>
      </c>
      <c r="F904" s="279" t="s">
        <v>138</v>
      </c>
      <c r="G904" s="281">
        <v>60.0</v>
      </c>
      <c r="H904" s="282">
        <v>6.0</v>
      </c>
      <c r="I904" s="283">
        <v>30.0</v>
      </c>
      <c r="J904" s="283">
        <v>0.0</v>
      </c>
      <c r="K904" s="283">
        <v>0.0</v>
      </c>
      <c r="L904" s="284">
        <v>1.0</v>
      </c>
      <c r="M904" s="277" t="s">
        <v>4053</v>
      </c>
      <c r="N904" s="278" t="s">
        <v>46</v>
      </c>
      <c r="O904" s="273">
        <v>60.0</v>
      </c>
      <c r="P904" s="278" t="s">
        <v>29</v>
      </c>
      <c r="Q904" s="279">
        <v>0.0</v>
      </c>
      <c r="R904" s="285"/>
    </row>
    <row r="905" ht="15.75" customHeight="1">
      <c r="A905" s="276">
        <v>69.0</v>
      </c>
      <c r="B905" s="286" t="s">
        <v>4181</v>
      </c>
      <c r="C905" s="286" t="s">
        <v>4182</v>
      </c>
      <c r="D905" s="279" t="s">
        <v>25</v>
      </c>
      <c r="E905" s="280" t="s">
        <v>4046</v>
      </c>
      <c r="F905" s="279" t="s">
        <v>138</v>
      </c>
      <c r="G905" s="281">
        <v>95.0</v>
      </c>
      <c r="H905" s="282">
        <v>10.0</v>
      </c>
      <c r="I905" s="283">
        <v>50.0</v>
      </c>
      <c r="J905" s="283">
        <v>2.0</v>
      </c>
      <c r="K905" s="283">
        <v>2.0</v>
      </c>
      <c r="L905" s="284">
        <v>0.0</v>
      </c>
      <c r="M905" s="277" t="s">
        <v>4053</v>
      </c>
      <c r="N905" s="278" t="s">
        <v>46</v>
      </c>
      <c r="O905" s="273">
        <v>100.0</v>
      </c>
      <c r="P905" s="278" t="s">
        <v>29</v>
      </c>
      <c r="Q905" s="279">
        <v>0.0</v>
      </c>
      <c r="R905" s="285"/>
    </row>
    <row r="906" ht="15.75" customHeight="1">
      <c r="A906" s="276">
        <v>70.0</v>
      </c>
      <c r="B906" s="286" t="s">
        <v>4183</v>
      </c>
      <c r="C906" s="286" t="s">
        <v>4184</v>
      </c>
      <c r="D906" s="279" t="s">
        <v>25</v>
      </c>
      <c r="E906" s="280" t="s">
        <v>4046</v>
      </c>
      <c r="F906" s="279" t="s">
        <v>138</v>
      </c>
      <c r="G906" s="281">
        <v>180.0</v>
      </c>
      <c r="H906" s="282">
        <v>18.0</v>
      </c>
      <c r="I906" s="283">
        <v>90.0</v>
      </c>
      <c r="J906" s="283">
        <v>0.0</v>
      </c>
      <c r="K906" s="283">
        <v>0.0</v>
      </c>
      <c r="L906" s="284">
        <v>3.0</v>
      </c>
      <c r="M906" s="277" t="s">
        <v>4053</v>
      </c>
      <c r="N906" s="278" t="s">
        <v>46</v>
      </c>
      <c r="O906" s="273">
        <v>180.0</v>
      </c>
      <c r="P906" s="278" t="s">
        <v>29</v>
      </c>
      <c r="Q906" s="279">
        <v>0.0</v>
      </c>
      <c r="R906" s="285"/>
    </row>
    <row r="907" ht="15.75" customHeight="1">
      <c r="A907" s="276">
        <v>71.0</v>
      </c>
      <c r="B907" s="286" t="s">
        <v>4185</v>
      </c>
      <c r="C907" s="286" t="s">
        <v>4186</v>
      </c>
      <c r="D907" s="279" t="s">
        <v>25</v>
      </c>
      <c r="E907" s="280" t="s">
        <v>4046</v>
      </c>
      <c r="F907" s="279" t="s">
        <v>138</v>
      </c>
      <c r="G907" s="281">
        <v>80.0</v>
      </c>
      <c r="H907" s="282">
        <v>8.0</v>
      </c>
      <c r="I907" s="283">
        <v>40.0</v>
      </c>
      <c r="J907" s="283">
        <v>0.0</v>
      </c>
      <c r="K907" s="283">
        <v>0.0</v>
      </c>
      <c r="L907" s="284">
        <v>1.0</v>
      </c>
      <c r="M907" s="277" t="s">
        <v>4053</v>
      </c>
      <c r="N907" s="278" t="s">
        <v>46</v>
      </c>
      <c r="O907" s="273">
        <v>80.0</v>
      </c>
      <c r="P907" s="278" t="s">
        <v>29</v>
      </c>
      <c r="Q907" s="279">
        <v>0.0</v>
      </c>
      <c r="R907" s="285"/>
    </row>
    <row r="908" ht="15.75" customHeight="1">
      <c r="A908" s="276">
        <v>72.0</v>
      </c>
      <c r="B908" s="286" t="s">
        <v>4187</v>
      </c>
      <c r="C908" s="286" t="s">
        <v>4188</v>
      </c>
      <c r="D908" s="279" t="s">
        <v>25</v>
      </c>
      <c r="E908" s="280" t="s">
        <v>4046</v>
      </c>
      <c r="F908" s="279" t="s">
        <v>138</v>
      </c>
      <c r="G908" s="281">
        <v>200.0</v>
      </c>
      <c r="H908" s="282">
        <v>20.0</v>
      </c>
      <c r="I908" s="283">
        <v>100.0</v>
      </c>
      <c r="J908" s="283">
        <v>0.0</v>
      </c>
      <c r="K908" s="283">
        <v>0.0</v>
      </c>
      <c r="L908" s="284">
        <v>1.0</v>
      </c>
      <c r="M908" s="277" t="s">
        <v>4053</v>
      </c>
      <c r="N908" s="278" t="s">
        <v>46</v>
      </c>
      <c r="O908" s="273">
        <v>200.0</v>
      </c>
      <c r="P908" s="278" t="s">
        <v>29</v>
      </c>
      <c r="Q908" s="279">
        <v>0.0</v>
      </c>
      <c r="R908" s="285"/>
    </row>
    <row r="909" ht="15.75" customHeight="1">
      <c r="A909" s="276">
        <v>73.0</v>
      </c>
      <c r="B909" s="286" t="s">
        <v>4189</v>
      </c>
      <c r="C909" s="286" t="s">
        <v>4190</v>
      </c>
      <c r="D909" s="279" t="s">
        <v>25</v>
      </c>
      <c r="E909" s="280" t="s">
        <v>4056</v>
      </c>
      <c r="F909" s="279" t="s">
        <v>138</v>
      </c>
      <c r="G909" s="281">
        <v>560.0</v>
      </c>
      <c r="H909" s="282">
        <v>56.0</v>
      </c>
      <c r="I909" s="283">
        <v>280.0</v>
      </c>
      <c r="J909" s="283">
        <v>0.0</v>
      </c>
      <c r="K909" s="283">
        <v>0.0</v>
      </c>
      <c r="L909" s="284">
        <v>1.0</v>
      </c>
      <c r="M909" s="277" t="s">
        <v>4053</v>
      </c>
      <c r="N909" s="278" t="s">
        <v>46</v>
      </c>
      <c r="O909" s="273">
        <v>560.0</v>
      </c>
      <c r="P909" s="278" t="s">
        <v>29</v>
      </c>
      <c r="Q909" s="279">
        <v>0.0</v>
      </c>
      <c r="R909" s="285"/>
    </row>
    <row r="910" ht="26.25" customHeight="1">
      <c r="A910" s="181"/>
      <c r="B910" s="287" t="s">
        <v>4191</v>
      </c>
      <c r="C910" s="287"/>
      <c r="D910" s="22"/>
      <c r="E910" s="22"/>
      <c r="F910" s="209"/>
      <c r="G910" s="210"/>
      <c r="H910" s="22"/>
      <c r="I910" s="22"/>
      <c r="J910" s="22"/>
      <c r="K910" s="22"/>
      <c r="L910" s="22"/>
      <c r="M910" s="22"/>
      <c r="N910" s="22"/>
      <c r="O910" s="22"/>
      <c r="P910" s="22"/>
      <c r="Q910" s="209"/>
      <c r="R910" s="22"/>
    </row>
    <row r="911" ht="19.5" customHeight="1">
      <c r="A911" s="211">
        <v>1.0</v>
      </c>
      <c r="B911" s="288" t="s">
        <v>63</v>
      </c>
      <c r="C911" s="288" t="s">
        <v>4192</v>
      </c>
      <c r="D911" s="289" t="s">
        <v>25</v>
      </c>
      <c r="E911" s="289" t="s">
        <v>4046</v>
      </c>
      <c r="F911" s="279" t="s">
        <v>138</v>
      </c>
      <c r="G911" s="225" t="s">
        <v>4193</v>
      </c>
      <c r="H911" s="237">
        <v>30.0</v>
      </c>
      <c r="I911" s="290">
        <v>150.0</v>
      </c>
      <c r="J911" s="290">
        <v>2.0</v>
      </c>
      <c r="K911" s="290">
        <v>2.0</v>
      </c>
      <c r="L911" s="291">
        <v>3.0</v>
      </c>
      <c r="M911" s="292" t="s">
        <v>4194</v>
      </c>
      <c r="N911" s="293" t="s">
        <v>46</v>
      </c>
      <c r="O911" s="294" t="s">
        <v>4195</v>
      </c>
      <c r="P911" s="291" t="s">
        <v>47</v>
      </c>
      <c r="Q911" s="295">
        <v>25.0</v>
      </c>
      <c r="R911" s="46"/>
    </row>
    <row r="912" ht="14.25" customHeight="1">
      <c r="A912" s="211">
        <v>2.0</v>
      </c>
      <c r="B912" s="212" t="s">
        <v>4196</v>
      </c>
      <c r="C912" s="212" t="s">
        <v>4197</v>
      </c>
      <c r="D912" s="279" t="s">
        <v>25</v>
      </c>
      <c r="E912" s="280" t="s">
        <v>4046</v>
      </c>
      <c r="F912" s="279" t="s">
        <v>138</v>
      </c>
      <c r="G912" s="244" t="s">
        <v>3481</v>
      </c>
      <c r="H912" s="237">
        <v>50.0</v>
      </c>
      <c r="I912" s="226">
        <v>500.0</v>
      </c>
      <c r="J912" s="226">
        <v>1.0</v>
      </c>
      <c r="K912" s="226">
        <v>1.0</v>
      </c>
      <c r="L912" s="244" t="s">
        <v>3481</v>
      </c>
      <c r="M912" s="242" t="s">
        <v>4194</v>
      </c>
      <c r="N912" s="278" t="s">
        <v>46</v>
      </c>
      <c r="O912" s="238">
        <v>500.0</v>
      </c>
      <c r="P912" s="49" t="s">
        <v>335</v>
      </c>
      <c r="Q912" s="114">
        <v>0.0</v>
      </c>
      <c r="R912" s="46"/>
    </row>
    <row r="913" ht="14.25" customHeight="1">
      <c r="A913" s="211">
        <v>3.0</v>
      </c>
      <c r="B913" s="212" t="s">
        <v>4198</v>
      </c>
      <c r="C913" s="212" t="s">
        <v>4199</v>
      </c>
      <c r="D913" s="279" t="s">
        <v>25</v>
      </c>
      <c r="E913" s="280" t="s">
        <v>4046</v>
      </c>
      <c r="F913" s="279" t="s">
        <v>138</v>
      </c>
      <c r="G913" s="225">
        <v>34.96</v>
      </c>
      <c r="H913" s="237">
        <v>4.0</v>
      </c>
      <c r="I913" s="226">
        <v>20.0</v>
      </c>
      <c r="J913" s="226">
        <v>0.0</v>
      </c>
      <c r="K913" s="226">
        <v>0.0</v>
      </c>
      <c r="L913" s="49">
        <v>1.0</v>
      </c>
      <c r="M913" s="242" t="s">
        <v>4194</v>
      </c>
      <c r="N913" s="278" t="s">
        <v>46</v>
      </c>
      <c r="O913" s="238">
        <v>200.0</v>
      </c>
      <c r="P913" s="49" t="s">
        <v>335</v>
      </c>
      <c r="Q913" s="239">
        <v>0.0</v>
      </c>
      <c r="R913" s="46"/>
    </row>
    <row r="914" ht="14.25" customHeight="1">
      <c r="A914" s="211">
        <v>4.0</v>
      </c>
      <c r="B914" s="212" t="s">
        <v>4198</v>
      </c>
      <c r="C914" s="212" t="s">
        <v>4200</v>
      </c>
      <c r="D914" s="279" t="s">
        <v>25</v>
      </c>
      <c r="E914" s="280" t="s">
        <v>4046</v>
      </c>
      <c r="F914" s="279" t="s">
        <v>138</v>
      </c>
      <c r="G914" s="225">
        <v>34.96</v>
      </c>
      <c r="H914" s="237">
        <v>4.0</v>
      </c>
      <c r="I914" s="226">
        <v>20.0</v>
      </c>
      <c r="J914" s="226">
        <v>0.0</v>
      </c>
      <c r="K914" s="226">
        <v>0.0</v>
      </c>
      <c r="L914" s="49">
        <v>1.0</v>
      </c>
      <c r="M914" s="242" t="s">
        <v>4194</v>
      </c>
      <c r="N914" s="278" t="s">
        <v>46</v>
      </c>
      <c r="O914" s="238">
        <v>60.0</v>
      </c>
      <c r="P914" s="49" t="s">
        <v>335</v>
      </c>
      <c r="Q914" s="239">
        <v>0.0</v>
      </c>
      <c r="R914" s="46"/>
    </row>
    <row r="915" ht="14.25" customHeight="1">
      <c r="A915" s="211">
        <v>5.0</v>
      </c>
      <c r="B915" s="212" t="s">
        <v>4198</v>
      </c>
      <c r="C915" s="212" t="s">
        <v>4201</v>
      </c>
      <c r="D915" s="279" t="s">
        <v>25</v>
      </c>
      <c r="E915" s="280" t="s">
        <v>4046</v>
      </c>
      <c r="F915" s="279" t="s">
        <v>138</v>
      </c>
      <c r="G915" s="225">
        <v>335.2</v>
      </c>
      <c r="H915" s="237">
        <v>15.0</v>
      </c>
      <c r="I915" s="226">
        <v>75.0</v>
      </c>
      <c r="J915" s="226">
        <v>1.0</v>
      </c>
      <c r="K915" s="226">
        <v>1.0</v>
      </c>
      <c r="L915" s="49">
        <v>0.0</v>
      </c>
      <c r="M915" s="242" t="s">
        <v>4194</v>
      </c>
      <c r="N915" s="278" t="s">
        <v>46</v>
      </c>
      <c r="O915" s="238">
        <v>60.0</v>
      </c>
      <c r="P915" s="49" t="s">
        <v>335</v>
      </c>
      <c r="Q915" s="239">
        <v>0.0</v>
      </c>
      <c r="R915" s="46"/>
    </row>
    <row r="916" ht="14.25" customHeight="1">
      <c r="A916" s="211">
        <v>6.0</v>
      </c>
      <c r="B916" s="212" t="s">
        <v>4202</v>
      </c>
      <c r="C916" s="212" t="s">
        <v>4203</v>
      </c>
      <c r="D916" s="279" t="s">
        <v>25</v>
      </c>
      <c r="E916" s="280" t="s">
        <v>4046</v>
      </c>
      <c r="F916" s="279" t="s">
        <v>138</v>
      </c>
      <c r="G916" s="225">
        <v>63.0</v>
      </c>
      <c r="H916" s="237">
        <v>12.0</v>
      </c>
      <c r="I916" s="226">
        <v>300.0</v>
      </c>
      <c r="J916" s="226">
        <v>0.0</v>
      </c>
      <c r="K916" s="226">
        <v>0.0</v>
      </c>
      <c r="L916" s="49">
        <v>5.0</v>
      </c>
      <c r="M916" s="242" t="s">
        <v>4204</v>
      </c>
      <c r="N916" s="278" t="s">
        <v>46</v>
      </c>
      <c r="O916" s="238">
        <v>70.0</v>
      </c>
      <c r="P916" s="49" t="s">
        <v>335</v>
      </c>
      <c r="Q916" s="239">
        <v>0.0</v>
      </c>
      <c r="R916" s="46"/>
    </row>
    <row r="917" ht="14.25" customHeight="1">
      <c r="A917" s="211">
        <v>7.0</v>
      </c>
      <c r="B917" s="212" t="s">
        <v>4202</v>
      </c>
      <c r="C917" s="212" t="s">
        <v>4205</v>
      </c>
      <c r="D917" s="279" t="s">
        <v>25</v>
      </c>
      <c r="E917" s="280" t="s">
        <v>4046</v>
      </c>
      <c r="F917" s="279" t="s">
        <v>138</v>
      </c>
      <c r="G917" s="225">
        <v>279.0</v>
      </c>
      <c r="H917" s="237">
        <v>60.0</v>
      </c>
      <c r="I917" s="226">
        <v>300.0</v>
      </c>
      <c r="J917" s="226">
        <v>0.0</v>
      </c>
      <c r="K917" s="226">
        <v>0.0</v>
      </c>
      <c r="L917" s="49">
        <v>1.0</v>
      </c>
      <c r="M917" s="242" t="s">
        <v>4204</v>
      </c>
      <c r="N917" s="278" t="s">
        <v>46</v>
      </c>
      <c r="O917" s="238">
        <v>70.0</v>
      </c>
      <c r="P917" s="49" t="s">
        <v>335</v>
      </c>
      <c r="Q917" s="239">
        <v>0.0</v>
      </c>
      <c r="R917" s="46"/>
    </row>
    <row r="918" ht="14.25" customHeight="1">
      <c r="A918" s="211">
        <v>8.0</v>
      </c>
      <c r="B918" s="212" t="s">
        <v>4206</v>
      </c>
      <c r="C918" s="212" t="s">
        <v>4207</v>
      </c>
      <c r="D918" s="279" t="s">
        <v>25</v>
      </c>
      <c r="E918" s="280" t="s">
        <v>4046</v>
      </c>
      <c r="F918" s="279" t="s">
        <v>138</v>
      </c>
      <c r="G918" s="225" t="s">
        <v>4208</v>
      </c>
      <c r="H918" s="237">
        <v>5.0</v>
      </c>
      <c r="I918" s="226">
        <v>25.0</v>
      </c>
      <c r="J918" s="226">
        <v>0.0</v>
      </c>
      <c r="K918" s="226">
        <v>0.0</v>
      </c>
      <c r="L918" s="49">
        <v>1.0</v>
      </c>
      <c r="M918" s="242" t="s">
        <v>4194</v>
      </c>
      <c r="N918" s="278" t="s">
        <v>46</v>
      </c>
      <c r="O918" s="238">
        <v>50.0</v>
      </c>
      <c r="P918" s="49" t="s">
        <v>335</v>
      </c>
      <c r="Q918" s="239">
        <v>0.0</v>
      </c>
      <c r="R918" s="46"/>
    </row>
    <row r="919" ht="14.25" customHeight="1">
      <c r="A919" s="211">
        <v>9.0</v>
      </c>
      <c r="B919" s="212" t="s">
        <v>4206</v>
      </c>
      <c r="C919" s="212" t="s">
        <v>4209</v>
      </c>
      <c r="D919" s="279" t="s">
        <v>25</v>
      </c>
      <c r="E919" s="280" t="s">
        <v>4046</v>
      </c>
      <c r="F919" s="279" t="s">
        <v>138</v>
      </c>
      <c r="G919" s="225" t="s">
        <v>4210</v>
      </c>
      <c r="H919" s="237">
        <v>18.0</v>
      </c>
      <c r="I919" s="226">
        <v>210.0</v>
      </c>
      <c r="J919" s="226">
        <v>0.0</v>
      </c>
      <c r="K919" s="226">
        <v>0.0</v>
      </c>
      <c r="L919" s="49">
        <v>1.0</v>
      </c>
      <c r="M919" s="242" t="s">
        <v>4204</v>
      </c>
      <c r="N919" s="278" t="s">
        <v>46</v>
      </c>
      <c r="O919" s="238">
        <v>50.0</v>
      </c>
      <c r="P919" s="49" t="s">
        <v>335</v>
      </c>
      <c r="Q919" s="239">
        <v>0.0</v>
      </c>
      <c r="R919" s="46"/>
    </row>
    <row r="920" ht="14.25" customHeight="1">
      <c r="A920" s="211">
        <v>10.0</v>
      </c>
      <c r="B920" s="212" t="s">
        <v>4206</v>
      </c>
      <c r="C920" s="212" t="s">
        <v>4211</v>
      </c>
      <c r="D920" s="279" t="s">
        <v>25</v>
      </c>
      <c r="E920" s="280" t="s">
        <v>4046</v>
      </c>
      <c r="F920" s="279" t="s">
        <v>138</v>
      </c>
      <c r="G920" s="225" t="s">
        <v>4212</v>
      </c>
      <c r="H920" s="237">
        <v>24.0</v>
      </c>
      <c r="I920" s="226">
        <v>288.0</v>
      </c>
      <c r="J920" s="226">
        <v>0.0</v>
      </c>
      <c r="K920" s="226">
        <v>0.0</v>
      </c>
      <c r="L920" s="49">
        <v>1.0</v>
      </c>
      <c r="M920" s="242" t="s">
        <v>4204</v>
      </c>
      <c r="N920" s="278" t="s">
        <v>46</v>
      </c>
      <c r="O920" s="238">
        <v>60.0</v>
      </c>
      <c r="P920" s="49" t="s">
        <v>335</v>
      </c>
      <c r="Q920" s="239">
        <v>0.0</v>
      </c>
      <c r="R920" s="46"/>
    </row>
    <row r="921" ht="14.25" customHeight="1">
      <c r="A921" s="211">
        <v>11.0</v>
      </c>
      <c r="B921" s="212" t="s">
        <v>4213</v>
      </c>
      <c r="C921" s="212" t="s">
        <v>4214</v>
      </c>
      <c r="D921" s="279" t="s">
        <v>25</v>
      </c>
      <c r="E921" s="280" t="s">
        <v>4046</v>
      </c>
      <c r="F921" s="279" t="s">
        <v>138</v>
      </c>
      <c r="G921" s="225">
        <v>63.0</v>
      </c>
      <c r="H921" s="237">
        <v>4.0</v>
      </c>
      <c r="I921" s="226">
        <v>24.0</v>
      </c>
      <c r="J921" s="226">
        <v>0.0</v>
      </c>
      <c r="K921" s="226">
        <v>0.0</v>
      </c>
      <c r="L921" s="49">
        <v>1.0</v>
      </c>
      <c r="M921" s="212" t="s">
        <v>4215</v>
      </c>
      <c r="N921" s="278" t="s">
        <v>46</v>
      </c>
      <c r="O921" s="238">
        <v>60.0</v>
      </c>
      <c r="P921" s="49" t="s">
        <v>335</v>
      </c>
      <c r="Q921" s="239">
        <v>0.0</v>
      </c>
      <c r="R921" s="46"/>
    </row>
    <row r="922" ht="14.25" customHeight="1">
      <c r="A922" s="211">
        <v>12.0</v>
      </c>
      <c r="B922" s="212" t="s">
        <v>4213</v>
      </c>
      <c r="C922" s="212" t="s">
        <v>4216</v>
      </c>
      <c r="D922" s="279" t="s">
        <v>25</v>
      </c>
      <c r="E922" s="280" t="s">
        <v>4046</v>
      </c>
      <c r="F922" s="279" t="s">
        <v>138</v>
      </c>
      <c r="G922" s="225">
        <v>396.88</v>
      </c>
      <c r="H922" s="237">
        <v>10.0</v>
      </c>
      <c r="I922" s="226">
        <v>80.0</v>
      </c>
      <c r="J922" s="226">
        <v>0.0</v>
      </c>
      <c r="K922" s="226">
        <v>0.0</v>
      </c>
      <c r="L922" s="49">
        <v>1.0</v>
      </c>
      <c r="M922" s="212" t="s">
        <v>449</v>
      </c>
      <c r="N922" s="278" t="s">
        <v>46</v>
      </c>
      <c r="O922" s="238">
        <v>50.0</v>
      </c>
      <c r="P922" s="49" t="s">
        <v>335</v>
      </c>
      <c r="Q922" s="239">
        <v>0.0</v>
      </c>
      <c r="R922" s="46"/>
    </row>
    <row r="923" ht="14.25" customHeight="1">
      <c r="A923" s="211">
        <v>13.0</v>
      </c>
      <c r="B923" s="212" t="s">
        <v>4217</v>
      </c>
      <c r="C923" s="212" t="s">
        <v>4218</v>
      </c>
      <c r="D923" s="279" t="s">
        <v>25</v>
      </c>
      <c r="E923" s="280" t="s">
        <v>4046</v>
      </c>
      <c r="F923" s="279" t="s">
        <v>138</v>
      </c>
      <c r="G923" s="225" t="s">
        <v>4219</v>
      </c>
      <c r="H923" s="237">
        <v>12.0</v>
      </c>
      <c r="I923" s="226">
        <v>72.0</v>
      </c>
      <c r="J923" s="226">
        <v>0.0</v>
      </c>
      <c r="K923" s="226">
        <v>0.0</v>
      </c>
      <c r="L923" s="49">
        <v>6.0</v>
      </c>
      <c r="M923" s="242" t="s">
        <v>4194</v>
      </c>
      <c r="N923" s="278" t="s">
        <v>46</v>
      </c>
      <c r="O923" s="238">
        <v>50.0</v>
      </c>
      <c r="P923" s="49" t="s">
        <v>335</v>
      </c>
      <c r="Q923" s="239">
        <v>0.0</v>
      </c>
      <c r="R923" s="46"/>
    </row>
    <row r="924" ht="14.25" customHeight="1">
      <c r="A924" s="211">
        <v>14.0</v>
      </c>
      <c r="B924" s="212" t="s">
        <v>4220</v>
      </c>
      <c r="C924" s="212" t="s">
        <v>4221</v>
      </c>
      <c r="D924" s="279" t="s">
        <v>25</v>
      </c>
      <c r="E924" s="280" t="s">
        <v>4046</v>
      </c>
      <c r="F924" s="279" t="s">
        <v>138</v>
      </c>
      <c r="G924" s="225" t="s">
        <v>4222</v>
      </c>
      <c r="H924" s="237">
        <v>4.0</v>
      </c>
      <c r="I924" s="226">
        <v>20.0</v>
      </c>
      <c r="J924" s="226">
        <v>1.0</v>
      </c>
      <c r="K924" s="226">
        <v>1.0</v>
      </c>
      <c r="L924" s="49">
        <v>10.0</v>
      </c>
      <c r="M924" s="242" t="s">
        <v>4204</v>
      </c>
      <c r="N924" s="278" t="s">
        <v>46</v>
      </c>
      <c r="O924" s="238">
        <v>100.0</v>
      </c>
      <c r="P924" s="49" t="s">
        <v>335</v>
      </c>
      <c r="Q924" s="239">
        <v>0.0</v>
      </c>
      <c r="R924" s="46"/>
    </row>
    <row r="925" ht="14.25" customHeight="1">
      <c r="A925" s="211">
        <v>15.0</v>
      </c>
      <c r="B925" s="212" t="s">
        <v>4220</v>
      </c>
      <c r="C925" s="212" t="s">
        <v>4223</v>
      </c>
      <c r="D925" s="279" t="s">
        <v>25</v>
      </c>
      <c r="E925" s="280" t="s">
        <v>4046</v>
      </c>
      <c r="F925" s="279" t="s">
        <v>138</v>
      </c>
      <c r="G925" s="225" t="s">
        <v>4224</v>
      </c>
      <c r="H925" s="237">
        <v>10.0</v>
      </c>
      <c r="I925" s="226">
        <v>50.0</v>
      </c>
      <c r="J925" s="226">
        <v>0.0</v>
      </c>
      <c r="K925" s="226">
        <v>0.0</v>
      </c>
      <c r="L925" s="49">
        <v>1.0</v>
      </c>
      <c r="M925" s="242" t="s">
        <v>4204</v>
      </c>
      <c r="N925" s="278" t="s">
        <v>46</v>
      </c>
      <c r="O925" s="238">
        <v>100.0</v>
      </c>
      <c r="P925" s="49" t="s">
        <v>335</v>
      </c>
      <c r="Q925" s="239">
        <v>0.0</v>
      </c>
      <c r="R925" s="46"/>
    </row>
    <row r="926" ht="14.25" customHeight="1">
      <c r="A926" s="211">
        <v>16.0</v>
      </c>
      <c r="B926" s="212" t="s">
        <v>4225</v>
      </c>
      <c r="C926" s="212" t="s">
        <v>4226</v>
      </c>
      <c r="D926" s="279" t="s">
        <v>25</v>
      </c>
      <c r="E926" s="280" t="s">
        <v>4046</v>
      </c>
      <c r="F926" s="279" t="s">
        <v>138</v>
      </c>
      <c r="G926" s="225">
        <v>68.4</v>
      </c>
      <c r="H926" s="237">
        <v>0.0</v>
      </c>
      <c r="I926" s="226">
        <v>0.0</v>
      </c>
      <c r="J926" s="226">
        <v>0.0</v>
      </c>
      <c r="K926" s="226">
        <v>0.0</v>
      </c>
      <c r="L926" s="49">
        <v>3.0</v>
      </c>
      <c r="M926" s="242" t="s">
        <v>4194</v>
      </c>
      <c r="N926" s="278" t="s">
        <v>46</v>
      </c>
      <c r="O926" s="238">
        <v>100.0</v>
      </c>
      <c r="P926" s="49" t="s">
        <v>335</v>
      </c>
      <c r="Q926" s="239">
        <v>0.0</v>
      </c>
      <c r="R926" s="46"/>
    </row>
    <row r="927" ht="14.25" customHeight="1">
      <c r="A927" s="211">
        <v>17.0</v>
      </c>
      <c r="B927" s="212" t="s">
        <v>4225</v>
      </c>
      <c r="C927" s="212" t="s">
        <v>4227</v>
      </c>
      <c r="D927" s="279" t="s">
        <v>25</v>
      </c>
      <c r="E927" s="280" t="s">
        <v>4046</v>
      </c>
      <c r="F927" s="279" t="s">
        <v>138</v>
      </c>
      <c r="G927" s="225">
        <v>50.84</v>
      </c>
      <c r="H927" s="237">
        <v>0.0</v>
      </c>
      <c r="I927" s="226">
        <v>0.0</v>
      </c>
      <c r="J927" s="226">
        <v>0.0</v>
      </c>
      <c r="K927" s="226">
        <v>0.0</v>
      </c>
      <c r="L927" s="49">
        <v>3.0</v>
      </c>
      <c r="M927" s="242" t="s">
        <v>4194</v>
      </c>
      <c r="N927" s="278" t="s">
        <v>46</v>
      </c>
      <c r="O927" s="238">
        <v>100.0</v>
      </c>
      <c r="P927" s="49" t="s">
        <v>335</v>
      </c>
      <c r="Q927" s="239">
        <v>0.0</v>
      </c>
      <c r="R927" s="46"/>
    </row>
    <row r="928" ht="14.25" customHeight="1">
      <c r="A928" s="211">
        <v>18.0</v>
      </c>
      <c r="B928" s="212" t="s">
        <v>4225</v>
      </c>
      <c r="C928" s="212" t="s">
        <v>4228</v>
      </c>
      <c r="D928" s="279" t="s">
        <v>25</v>
      </c>
      <c r="E928" s="280" t="s">
        <v>4046</v>
      </c>
      <c r="F928" s="279" t="s">
        <v>138</v>
      </c>
      <c r="G928" s="244" t="s">
        <v>3481</v>
      </c>
      <c r="H928" s="244" t="s">
        <v>3481</v>
      </c>
      <c r="I928" s="244" t="s">
        <v>3481</v>
      </c>
      <c r="J928" s="240">
        <v>0.0</v>
      </c>
      <c r="K928" s="240">
        <v>0.0</v>
      </c>
      <c r="L928" s="49">
        <v>1.0</v>
      </c>
      <c r="M928" s="242" t="s">
        <v>4194</v>
      </c>
      <c r="N928" s="278" t="s">
        <v>46</v>
      </c>
      <c r="O928" s="238">
        <v>100.0</v>
      </c>
      <c r="P928" s="49" t="s">
        <v>335</v>
      </c>
      <c r="Q928" s="239">
        <v>0.0</v>
      </c>
      <c r="R928" s="46"/>
    </row>
    <row r="929" ht="14.25" customHeight="1">
      <c r="A929" s="211">
        <v>19.0</v>
      </c>
      <c r="B929" s="212" t="s">
        <v>4229</v>
      </c>
      <c r="C929" s="212" t="s">
        <v>4230</v>
      </c>
      <c r="D929" s="279" t="s">
        <v>25</v>
      </c>
      <c r="E929" s="280" t="s">
        <v>4046</v>
      </c>
      <c r="F929" s="279" t="s">
        <v>138</v>
      </c>
      <c r="G929" s="225" t="s">
        <v>4231</v>
      </c>
      <c r="H929" s="237">
        <v>15.0</v>
      </c>
      <c r="I929" s="226">
        <v>75.0</v>
      </c>
      <c r="J929" s="226">
        <v>1.0</v>
      </c>
      <c r="K929" s="226">
        <v>1.0</v>
      </c>
      <c r="L929" s="49">
        <v>0.0</v>
      </c>
      <c r="M929" s="242" t="s">
        <v>4204</v>
      </c>
      <c r="N929" s="278" t="s">
        <v>46</v>
      </c>
      <c r="O929" s="238">
        <v>200.0</v>
      </c>
      <c r="P929" s="49" t="s">
        <v>335</v>
      </c>
      <c r="Q929" s="239">
        <v>0.0</v>
      </c>
      <c r="R929" s="46"/>
    </row>
    <row r="930" ht="14.25" customHeight="1">
      <c r="A930" s="211">
        <v>20.0</v>
      </c>
      <c r="B930" s="212" t="s">
        <v>4229</v>
      </c>
      <c r="C930" s="212" t="s">
        <v>4232</v>
      </c>
      <c r="D930" s="279" t="s">
        <v>25</v>
      </c>
      <c r="E930" s="280" t="s">
        <v>4046</v>
      </c>
      <c r="F930" s="279" t="s">
        <v>138</v>
      </c>
      <c r="G930" s="225" t="s">
        <v>4233</v>
      </c>
      <c r="H930" s="237">
        <v>10.0</v>
      </c>
      <c r="I930" s="226">
        <v>50.0</v>
      </c>
      <c r="J930" s="226">
        <v>1.0</v>
      </c>
      <c r="K930" s="226">
        <v>1.0</v>
      </c>
      <c r="L930" s="49">
        <v>0.0</v>
      </c>
      <c r="M930" s="242" t="s">
        <v>4194</v>
      </c>
      <c r="N930" s="278" t="s">
        <v>46</v>
      </c>
      <c r="O930" s="238">
        <v>100.0</v>
      </c>
      <c r="P930" s="49" t="s">
        <v>335</v>
      </c>
      <c r="Q930" s="239">
        <v>0.0</v>
      </c>
      <c r="R930" s="46"/>
    </row>
    <row r="931" ht="14.25" customHeight="1">
      <c r="A931" s="211">
        <v>21.0</v>
      </c>
      <c r="B931" s="212" t="s">
        <v>4229</v>
      </c>
      <c r="C931" s="212" t="s">
        <v>4234</v>
      </c>
      <c r="D931" s="279" t="s">
        <v>25</v>
      </c>
      <c r="E931" s="280" t="s">
        <v>4046</v>
      </c>
      <c r="F931" s="279" t="s">
        <v>138</v>
      </c>
      <c r="G931" s="225" t="s">
        <v>4233</v>
      </c>
      <c r="H931" s="237">
        <v>20.0</v>
      </c>
      <c r="I931" s="226">
        <v>100.0</v>
      </c>
      <c r="J931" s="226">
        <v>2.0</v>
      </c>
      <c r="K931" s="226">
        <v>2.0</v>
      </c>
      <c r="L931" s="49">
        <v>0.0</v>
      </c>
      <c r="M931" s="242" t="s">
        <v>4194</v>
      </c>
      <c r="N931" s="278" t="s">
        <v>46</v>
      </c>
      <c r="O931" s="238">
        <v>100.0</v>
      </c>
      <c r="P931" s="49" t="s">
        <v>335</v>
      </c>
      <c r="Q931" s="239">
        <v>0.0</v>
      </c>
      <c r="R931" s="46"/>
    </row>
    <row r="932" ht="14.25" customHeight="1">
      <c r="A932" s="211">
        <v>22.0</v>
      </c>
      <c r="B932" s="212" t="s">
        <v>4235</v>
      </c>
      <c r="C932" s="212" t="s">
        <v>4197</v>
      </c>
      <c r="D932" s="279" t="s">
        <v>25</v>
      </c>
      <c r="E932" s="280" t="s">
        <v>4046</v>
      </c>
      <c r="F932" s="279" t="s">
        <v>138</v>
      </c>
      <c r="G932" s="225" t="s">
        <v>4236</v>
      </c>
      <c r="H932" s="237">
        <v>42.0</v>
      </c>
      <c r="I932" s="226">
        <v>250.0</v>
      </c>
      <c r="J932" s="226">
        <v>5.0</v>
      </c>
      <c r="K932" s="226">
        <v>5.0</v>
      </c>
      <c r="L932" s="49">
        <v>10.0</v>
      </c>
      <c r="M932" s="242" t="s">
        <v>4194</v>
      </c>
      <c r="N932" s="278" t="s">
        <v>46</v>
      </c>
      <c r="O932" s="238">
        <v>300.0</v>
      </c>
      <c r="P932" s="238" t="s">
        <v>29</v>
      </c>
      <c r="Q932" s="239">
        <v>0.0</v>
      </c>
      <c r="R932" s="46"/>
    </row>
    <row r="933" ht="14.25" customHeight="1">
      <c r="A933" s="211">
        <v>23.0</v>
      </c>
      <c r="B933" s="212" t="s">
        <v>4237</v>
      </c>
      <c r="C933" s="212" t="s">
        <v>4238</v>
      </c>
      <c r="D933" s="279" t="s">
        <v>25</v>
      </c>
      <c r="E933" s="280" t="s">
        <v>4046</v>
      </c>
      <c r="F933" s="279" t="s">
        <v>138</v>
      </c>
      <c r="G933" s="225" t="s">
        <v>4239</v>
      </c>
      <c r="H933" s="237">
        <v>2.0</v>
      </c>
      <c r="I933" s="226">
        <v>6.0</v>
      </c>
      <c r="J933" s="226">
        <v>3.0</v>
      </c>
      <c r="K933" s="226">
        <v>3.0</v>
      </c>
      <c r="L933" s="49">
        <v>4.0</v>
      </c>
      <c r="M933" s="242" t="s">
        <v>4194</v>
      </c>
      <c r="N933" s="278" t="s">
        <v>46</v>
      </c>
      <c r="O933" s="238">
        <v>50.0</v>
      </c>
      <c r="P933" s="238" t="s">
        <v>29</v>
      </c>
      <c r="Q933" s="239">
        <v>0.0</v>
      </c>
      <c r="R933" s="46"/>
    </row>
    <row r="934" ht="14.25" customHeight="1">
      <c r="A934" s="211">
        <v>24.0</v>
      </c>
      <c r="B934" s="212" t="s">
        <v>4237</v>
      </c>
      <c r="C934" s="212" t="s">
        <v>4228</v>
      </c>
      <c r="D934" s="279" t="s">
        <v>25</v>
      </c>
      <c r="E934" s="280" t="s">
        <v>4046</v>
      </c>
      <c r="F934" s="279" t="s">
        <v>138</v>
      </c>
      <c r="G934" s="225" t="s">
        <v>4240</v>
      </c>
      <c r="H934" s="237">
        <v>5.0</v>
      </c>
      <c r="I934" s="226">
        <v>6.0</v>
      </c>
      <c r="J934" s="240">
        <v>0.0</v>
      </c>
      <c r="K934" s="240">
        <v>0.0</v>
      </c>
      <c r="L934" s="238">
        <v>1.0</v>
      </c>
      <c r="M934" s="212" t="s">
        <v>449</v>
      </c>
      <c r="N934" s="278" t="s">
        <v>46</v>
      </c>
      <c r="O934" s="238">
        <v>50.0</v>
      </c>
      <c r="P934" s="238" t="s">
        <v>29</v>
      </c>
      <c r="Q934" s="239">
        <v>0.0</v>
      </c>
      <c r="R934" s="46"/>
    </row>
    <row r="935" ht="14.25" customHeight="1">
      <c r="A935" s="211">
        <v>25.0</v>
      </c>
      <c r="B935" s="212" t="s">
        <v>4241</v>
      </c>
      <c r="C935" s="212" t="s">
        <v>4242</v>
      </c>
      <c r="D935" s="279" t="s">
        <v>25</v>
      </c>
      <c r="E935" s="280" t="s">
        <v>4046</v>
      </c>
      <c r="F935" s="279" t="s">
        <v>138</v>
      </c>
      <c r="G935" s="244" t="s">
        <v>4243</v>
      </c>
      <c r="H935" s="245">
        <v>6.0</v>
      </c>
      <c r="I935" s="240">
        <v>30.0</v>
      </c>
      <c r="J935" s="240">
        <v>0.0</v>
      </c>
      <c r="K935" s="240">
        <v>0.0</v>
      </c>
      <c r="L935" s="238">
        <v>1.0</v>
      </c>
      <c r="M935" s="242" t="s">
        <v>4204</v>
      </c>
      <c r="N935" s="278" t="s">
        <v>46</v>
      </c>
      <c r="O935" s="238">
        <v>30.0</v>
      </c>
      <c r="P935" s="238" t="s">
        <v>29</v>
      </c>
      <c r="Q935" s="239">
        <v>0.0</v>
      </c>
      <c r="R935" s="46"/>
    </row>
    <row r="936" ht="14.25" customHeight="1">
      <c r="A936" s="211">
        <v>26.0</v>
      </c>
      <c r="B936" s="212" t="s">
        <v>4241</v>
      </c>
      <c r="C936" s="212" t="s">
        <v>2781</v>
      </c>
      <c r="D936" s="279" t="s">
        <v>25</v>
      </c>
      <c r="E936" s="280" t="s">
        <v>4046</v>
      </c>
      <c r="F936" s="279" t="s">
        <v>138</v>
      </c>
      <c r="G936" s="225" t="s">
        <v>4244</v>
      </c>
      <c r="H936" s="237">
        <v>15.0</v>
      </c>
      <c r="I936" s="226">
        <v>80.0</v>
      </c>
      <c r="J936" s="226">
        <v>0.0</v>
      </c>
      <c r="K936" s="226">
        <v>0.0</v>
      </c>
      <c r="L936" s="49">
        <v>0.0</v>
      </c>
      <c r="M936" s="242" t="s">
        <v>4194</v>
      </c>
      <c r="N936" s="278" t="s">
        <v>46</v>
      </c>
      <c r="O936" s="238">
        <v>30.0</v>
      </c>
      <c r="P936" s="238" t="s">
        <v>29</v>
      </c>
      <c r="Q936" s="239">
        <v>0.0</v>
      </c>
      <c r="R936" s="46"/>
    </row>
    <row r="937" ht="14.25" customHeight="1">
      <c r="A937" s="211">
        <v>27.0</v>
      </c>
      <c r="B937" s="212" t="s">
        <v>4241</v>
      </c>
      <c r="C937" s="212" t="s">
        <v>4228</v>
      </c>
      <c r="D937" s="279" t="s">
        <v>25</v>
      </c>
      <c r="E937" s="280" t="s">
        <v>4046</v>
      </c>
      <c r="F937" s="279" t="s">
        <v>138</v>
      </c>
      <c r="G937" s="225" t="s">
        <v>4245</v>
      </c>
      <c r="H937" s="237">
        <v>10.0</v>
      </c>
      <c r="I937" s="226">
        <v>50.0</v>
      </c>
      <c r="J937" s="226">
        <v>0.0</v>
      </c>
      <c r="K937" s="226">
        <v>0.0</v>
      </c>
      <c r="L937" s="49">
        <v>0.0</v>
      </c>
      <c r="M937" s="242" t="s">
        <v>4194</v>
      </c>
      <c r="N937" s="278" t="s">
        <v>46</v>
      </c>
      <c r="O937" s="238">
        <v>30.0</v>
      </c>
      <c r="P937" s="238" t="s">
        <v>29</v>
      </c>
      <c r="Q937" s="239">
        <v>0.0</v>
      </c>
      <c r="R937" s="46"/>
    </row>
    <row r="938" ht="14.25" customHeight="1">
      <c r="A938" s="211">
        <v>28.0</v>
      </c>
      <c r="B938" s="212" t="s">
        <v>4241</v>
      </c>
      <c r="C938" s="212" t="s">
        <v>4246</v>
      </c>
      <c r="D938" s="279" t="s">
        <v>25</v>
      </c>
      <c r="E938" s="280" t="s">
        <v>4046</v>
      </c>
      <c r="F938" s="279" t="s">
        <v>138</v>
      </c>
      <c r="G938" s="225" t="s">
        <v>4243</v>
      </c>
      <c r="H938" s="237">
        <v>6.0</v>
      </c>
      <c r="I938" s="226">
        <v>30.0</v>
      </c>
      <c r="J938" s="226">
        <v>0.0</v>
      </c>
      <c r="K938" s="226">
        <v>0.0</v>
      </c>
      <c r="L938" s="49">
        <v>0.0</v>
      </c>
      <c r="M938" s="242" t="s">
        <v>4194</v>
      </c>
      <c r="N938" s="278" t="s">
        <v>46</v>
      </c>
      <c r="O938" s="238">
        <v>30.0</v>
      </c>
      <c r="P938" s="238" t="s">
        <v>29</v>
      </c>
      <c r="Q938" s="239">
        <v>0.0</v>
      </c>
      <c r="R938" s="46"/>
    </row>
    <row r="939" ht="14.25" customHeight="1">
      <c r="A939" s="211">
        <v>29.0</v>
      </c>
      <c r="B939" s="212" t="s">
        <v>4241</v>
      </c>
      <c r="C939" s="212" t="s">
        <v>4247</v>
      </c>
      <c r="D939" s="279" t="s">
        <v>25</v>
      </c>
      <c r="E939" s="280" t="s">
        <v>4046</v>
      </c>
      <c r="F939" s="279" t="s">
        <v>138</v>
      </c>
      <c r="G939" s="225" t="s">
        <v>4243</v>
      </c>
      <c r="H939" s="237">
        <v>6.0</v>
      </c>
      <c r="I939" s="226">
        <v>30.0</v>
      </c>
      <c r="J939" s="226">
        <v>0.0</v>
      </c>
      <c r="K939" s="226">
        <v>0.0</v>
      </c>
      <c r="L939" s="49">
        <v>0.0</v>
      </c>
      <c r="M939" s="242" t="s">
        <v>4194</v>
      </c>
      <c r="N939" s="278" t="s">
        <v>46</v>
      </c>
      <c r="O939" s="238">
        <v>30.0</v>
      </c>
      <c r="P939" s="238" t="s">
        <v>29</v>
      </c>
      <c r="Q939" s="239">
        <v>0.0</v>
      </c>
      <c r="R939" s="46"/>
    </row>
    <row r="940" ht="14.25" customHeight="1">
      <c r="A940" s="211">
        <v>30.0</v>
      </c>
      <c r="B940" s="212" t="s">
        <v>4241</v>
      </c>
      <c r="C940" s="212" t="s">
        <v>4248</v>
      </c>
      <c r="D940" s="279" t="s">
        <v>25</v>
      </c>
      <c r="E940" s="280" t="s">
        <v>4046</v>
      </c>
      <c r="F940" s="279" t="s">
        <v>138</v>
      </c>
      <c r="G940" s="225" t="s">
        <v>4249</v>
      </c>
      <c r="H940" s="237">
        <v>5.0</v>
      </c>
      <c r="I940" s="226">
        <v>25.0</v>
      </c>
      <c r="J940" s="226">
        <v>0.0</v>
      </c>
      <c r="K940" s="226">
        <v>0.0</v>
      </c>
      <c r="L940" s="49">
        <v>1.0</v>
      </c>
      <c r="M940" s="242" t="s">
        <v>4194</v>
      </c>
      <c r="N940" s="278" t="s">
        <v>46</v>
      </c>
      <c r="O940" s="238">
        <v>30.0</v>
      </c>
      <c r="P940" s="238" t="s">
        <v>29</v>
      </c>
      <c r="Q940" s="239">
        <v>0.0</v>
      </c>
      <c r="R940" s="46"/>
    </row>
    <row r="941" ht="14.25" customHeight="1">
      <c r="A941" s="211">
        <v>31.0</v>
      </c>
      <c r="B941" s="212" t="s">
        <v>4241</v>
      </c>
      <c r="C941" s="212" t="s">
        <v>4250</v>
      </c>
      <c r="D941" s="279" t="s">
        <v>25</v>
      </c>
      <c r="E941" s="280" t="s">
        <v>4046</v>
      </c>
      <c r="F941" s="279" t="s">
        <v>138</v>
      </c>
      <c r="G941" s="225" t="s">
        <v>4249</v>
      </c>
      <c r="H941" s="237">
        <v>5.0</v>
      </c>
      <c r="I941" s="226">
        <v>25.0</v>
      </c>
      <c r="J941" s="226">
        <v>0.0</v>
      </c>
      <c r="K941" s="226">
        <v>0.0</v>
      </c>
      <c r="L941" s="49">
        <v>1.0</v>
      </c>
      <c r="M941" s="242" t="s">
        <v>4194</v>
      </c>
      <c r="N941" s="278" t="s">
        <v>46</v>
      </c>
      <c r="O941" s="238">
        <v>30.0</v>
      </c>
      <c r="P941" s="238" t="s">
        <v>29</v>
      </c>
      <c r="Q941" s="239">
        <v>0.0</v>
      </c>
      <c r="R941" s="46"/>
    </row>
    <row r="942" ht="14.25" customHeight="1">
      <c r="A942" s="211">
        <v>32.0</v>
      </c>
      <c r="B942" s="212" t="s">
        <v>4241</v>
      </c>
      <c r="C942" s="212" t="s">
        <v>4251</v>
      </c>
      <c r="D942" s="279" t="s">
        <v>25</v>
      </c>
      <c r="E942" s="280" t="s">
        <v>4046</v>
      </c>
      <c r="F942" s="279" t="s">
        <v>138</v>
      </c>
      <c r="G942" s="225" t="s">
        <v>4252</v>
      </c>
      <c r="H942" s="237">
        <v>3.0</v>
      </c>
      <c r="I942" s="226">
        <v>25.0</v>
      </c>
      <c r="J942" s="226">
        <v>0.0</v>
      </c>
      <c r="K942" s="226">
        <v>0.0</v>
      </c>
      <c r="L942" s="238">
        <v>1.0</v>
      </c>
      <c r="M942" s="242" t="s">
        <v>4194</v>
      </c>
      <c r="N942" s="278" t="s">
        <v>46</v>
      </c>
      <c r="O942" s="238">
        <v>30.0</v>
      </c>
      <c r="P942" s="238" t="s">
        <v>29</v>
      </c>
      <c r="Q942" s="239">
        <v>0.0</v>
      </c>
      <c r="R942" s="46"/>
    </row>
    <row r="943" ht="14.25" customHeight="1">
      <c r="A943" s="211">
        <v>33.0</v>
      </c>
      <c r="B943" s="212" t="s">
        <v>4241</v>
      </c>
      <c r="C943" s="212" t="s">
        <v>4253</v>
      </c>
      <c r="D943" s="279" t="s">
        <v>25</v>
      </c>
      <c r="E943" s="280" t="s">
        <v>4046</v>
      </c>
      <c r="F943" s="279" t="s">
        <v>138</v>
      </c>
      <c r="G943" s="225" t="s">
        <v>4249</v>
      </c>
      <c r="H943" s="237">
        <v>5.0</v>
      </c>
      <c r="I943" s="226">
        <v>25.0</v>
      </c>
      <c r="J943" s="226">
        <v>0.0</v>
      </c>
      <c r="K943" s="226">
        <v>0.0</v>
      </c>
      <c r="L943" s="49">
        <v>1.0</v>
      </c>
      <c r="M943" s="242" t="s">
        <v>4194</v>
      </c>
      <c r="N943" s="278" t="s">
        <v>46</v>
      </c>
      <c r="O943" s="238">
        <v>30.0</v>
      </c>
      <c r="P943" s="238" t="s">
        <v>29</v>
      </c>
      <c r="Q943" s="239">
        <v>0.0</v>
      </c>
      <c r="R943" s="46"/>
    </row>
    <row r="944" ht="14.25" customHeight="1">
      <c r="A944" s="211">
        <v>34.0</v>
      </c>
      <c r="B944" s="212" t="s">
        <v>4241</v>
      </c>
      <c r="C944" s="212" t="s">
        <v>4254</v>
      </c>
      <c r="D944" s="279" t="s">
        <v>25</v>
      </c>
      <c r="E944" s="280" t="s">
        <v>4046</v>
      </c>
      <c r="F944" s="279" t="s">
        <v>138</v>
      </c>
      <c r="G944" s="225" t="s">
        <v>4249</v>
      </c>
      <c r="H944" s="237">
        <v>5.0</v>
      </c>
      <c r="I944" s="226">
        <v>25.0</v>
      </c>
      <c r="J944" s="226">
        <v>0.0</v>
      </c>
      <c r="K944" s="226">
        <v>0.0</v>
      </c>
      <c r="L944" s="49">
        <v>1.0</v>
      </c>
      <c r="M944" s="242" t="s">
        <v>4194</v>
      </c>
      <c r="N944" s="278" t="s">
        <v>46</v>
      </c>
      <c r="O944" s="238">
        <v>30.0</v>
      </c>
      <c r="P944" s="238" t="s">
        <v>29</v>
      </c>
      <c r="Q944" s="239">
        <v>0.0</v>
      </c>
      <c r="R944" s="46"/>
    </row>
    <row r="945" ht="14.25" customHeight="1">
      <c r="A945" s="211">
        <v>35.0</v>
      </c>
      <c r="B945" s="212" t="s">
        <v>4241</v>
      </c>
      <c r="C945" s="212" t="s">
        <v>4255</v>
      </c>
      <c r="D945" s="279" t="s">
        <v>25</v>
      </c>
      <c r="E945" s="280" t="s">
        <v>4046</v>
      </c>
      <c r="F945" s="279" t="s">
        <v>138</v>
      </c>
      <c r="G945" s="225" t="s">
        <v>4256</v>
      </c>
      <c r="H945" s="237">
        <v>4.0</v>
      </c>
      <c r="I945" s="226">
        <v>20.0</v>
      </c>
      <c r="J945" s="226">
        <v>0.0</v>
      </c>
      <c r="K945" s="226">
        <v>0.0</v>
      </c>
      <c r="L945" s="49">
        <v>1.0</v>
      </c>
      <c r="M945" s="242" t="s">
        <v>4194</v>
      </c>
      <c r="N945" s="278" t="s">
        <v>46</v>
      </c>
      <c r="O945" s="238">
        <v>30.0</v>
      </c>
      <c r="P945" s="238" t="s">
        <v>29</v>
      </c>
      <c r="Q945" s="239">
        <v>0.0</v>
      </c>
      <c r="R945" s="46"/>
    </row>
    <row r="946" ht="15.75" customHeight="1">
      <c r="A946" s="181"/>
      <c r="B946" s="182" t="s">
        <v>4257</v>
      </c>
      <c r="C946" s="182"/>
      <c r="D946" s="22"/>
      <c r="E946" s="22"/>
      <c r="F946" s="209"/>
      <c r="G946" s="210"/>
      <c r="H946" s="22"/>
      <c r="I946" s="22"/>
      <c r="J946" s="22"/>
      <c r="K946" s="22"/>
      <c r="L946" s="22"/>
      <c r="M946" s="22"/>
      <c r="N946" s="22"/>
      <c r="O946" s="22"/>
      <c r="P946" s="22"/>
      <c r="Q946" s="209"/>
      <c r="R946" s="22"/>
    </row>
    <row r="947" ht="14.25" customHeight="1">
      <c r="A947" s="211">
        <v>1.0</v>
      </c>
      <c r="B947" s="212" t="s">
        <v>4258</v>
      </c>
      <c r="C947" s="212" t="s">
        <v>4259</v>
      </c>
      <c r="D947" s="235" t="s">
        <v>25</v>
      </c>
      <c r="E947" s="235" t="s">
        <v>4260</v>
      </c>
      <c r="F947" s="243" t="s">
        <v>46</v>
      </c>
      <c r="G947" s="225">
        <v>375.0</v>
      </c>
      <c r="H947" s="237">
        <v>150.0</v>
      </c>
      <c r="I947" s="226">
        <v>600.0</v>
      </c>
      <c r="J947" s="226">
        <v>2.0</v>
      </c>
      <c r="K947" s="226">
        <v>2.0</v>
      </c>
      <c r="L947" s="49">
        <v>2.0</v>
      </c>
      <c r="M947" s="212" t="s">
        <v>4261</v>
      </c>
      <c r="N947" s="49" t="s">
        <v>59</v>
      </c>
      <c r="O947" s="49">
        <v>600.0</v>
      </c>
      <c r="P947" s="49" t="s">
        <v>29</v>
      </c>
      <c r="Q947" s="114">
        <v>0.0</v>
      </c>
      <c r="R947" s="46"/>
    </row>
    <row r="948" ht="14.25" customHeight="1">
      <c r="A948" s="211">
        <v>2.0</v>
      </c>
      <c r="B948" s="212" t="s">
        <v>4262</v>
      </c>
      <c r="C948" s="212" t="s">
        <v>4263</v>
      </c>
      <c r="D948" s="235" t="s">
        <v>25</v>
      </c>
      <c r="E948" s="235" t="s">
        <v>4260</v>
      </c>
      <c r="F948" s="243" t="s">
        <v>46</v>
      </c>
      <c r="G948" s="225">
        <v>375.0</v>
      </c>
      <c r="H948" s="237">
        <v>150.0</v>
      </c>
      <c r="I948" s="226">
        <v>600.0</v>
      </c>
      <c r="J948" s="226">
        <v>15.0</v>
      </c>
      <c r="K948" s="226">
        <v>15.0</v>
      </c>
      <c r="L948" s="49">
        <v>2.0</v>
      </c>
      <c r="M948" s="212" t="s">
        <v>4261</v>
      </c>
      <c r="N948" s="49" t="s">
        <v>59</v>
      </c>
      <c r="O948" s="49">
        <v>600.0</v>
      </c>
      <c r="P948" s="49" t="s">
        <v>66</v>
      </c>
      <c r="Q948" s="114">
        <v>10.0</v>
      </c>
      <c r="R948" s="46"/>
    </row>
    <row r="949" ht="14.25" customHeight="1">
      <c r="A949" s="211">
        <v>3.0</v>
      </c>
      <c r="B949" s="212" t="s">
        <v>4264</v>
      </c>
      <c r="C949" s="212" t="s">
        <v>4265</v>
      </c>
      <c r="D949" s="235" t="s">
        <v>25</v>
      </c>
      <c r="E949" s="235" t="s">
        <v>4260</v>
      </c>
      <c r="F949" s="243" t="s">
        <v>1301</v>
      </c>
      <c r="G949" s="225">
        <v>500.0</v>
      </c>
      <c r="H949" s="237">
        <v>250.0</v>
      </c>
      <c r="I949" s="226">
        <v>1000.0</v>
      </c>
      <c r="J949" s="226">
        <v>2.0</v>
      </c>
      <c r="K949" s="226">
        <v>2.0</v>
      </c>
      <c r="L949" s="49">
        <v>2.0</v>
      </c>
      <c r="M949" s="212" t="s">
        <v>4261</v>
      </c>
      <c r="N949" s="49" t="s">
        <v>59</v>
      </c>
      <c r="O949" s="49">
        <v>700.0</v>
      </c>
      <c r="P949" s="49" t="s">
        <v>29</v>
      </c>
      <c r="Q949" s="114">
        <v>0.0</v>
      </c>
      <c r="R949" s="46"/>
    </row>
    <row r="950" ht="14.25" customHeight="1">
      <c r="A950" s="211">
        <v>4.0</v>
      </c>
      <c r="B950" s="212" t="s">
        <v>4266</v>
      </c>
      <c r="C950" s="212" t="s">
        <v>4267</v>
      </c>
      <c r="D950" s="235" t="s">
        <v>25</v>
      </c>
      <c r="E950" s="235" t="s">
        <v>4260</v>
      </c>
      <c r="F950" s="243" t="s">
        <v>46</v>
      </c>
      <c r="G950" s="225">
        <v>55.0</v>
      </c>
      <c r="H950" s="237">
        <v>20.0</v>
      </c>
      <c r="I950" s="226">
        <v>80.0</v>
      </c>
      <c r="J950" s="226">
        <v>1.0</v>
      </c>
      <c r="K950" s="226">
        <v>1.0</v>
      </c>
      <c r="L950" s="49">
        <v>1.0</v>
      </c>
      <c r="M950" s="212" t="s">
        <v>4261</v>
      </c>
      <c r="N950" s="49" t="s">
        <v>59</v>
      </c>
      <c r="O950" s="49">
        <v>50.0</v>
      </c>
      <c r="P950" s="49" t="s">
        <v>66</v>
      </c>
      <c r="Q950" s="114">
        <v>5.0</v>
      </c>
      <c r="R950" s="46"/>
    </row>
    <row r="951" ht="14.25" customHeight="1">
      <c r="A951" s="211">
        <v>5.0</v>
      </c>
      <c r="B951" s="212" t="s">
        <v>4268</v>
      </c>
      <c r="C951" s="212" t="s">
        <v>4269</v>
      </c>
      <c r="D951" s="235" t="s">
        <v>25</v>
      </c>
      <c r="E951" s="235" t="s">
        <v>4260</v>
      </c>
      <c r="F951" s="243" t="s">
        <v>46</v>
      </c>
      <c r="G951" s="225">
        <v>375.0</v>
      </c>
      <c r="H951" s="237">
        <v>75.0</v>
      </c>
      <c r="I951" s="226">
        <v>300.0</v>
      </c>
      <c r="J951" s="226">
        <v>2.0</v>
      </c>
      <c r="K951" s="226">
        <v>2.0</v>
      </c>
      <c r="L951" s="49">
        <v>2.0</v>
      </c>
      <c r="M951" s="212" t="s">
        <v>4261</v>
      </c>
      <c r="N951" s="49" t="s">
        <v>59</v>
      </c>
      <c r="O951" s="49">
        <v>600.0</v>
      </c>
      <c r="P951" s="49" t="s">
        <v>29</v>
      </c>
      <c r="Q951" s="114">
        <v>0.0</v>
      </c>
      <c r="R951" s="46"/>
    </row>
    <row r="952" ht="14.25" customHeight="1">
      <c r="A952" s="211">
        <v>6.0</v>
      </c>
      <c r="B952" s="212" t="s">
        <v>4270</v>
      </c>
      <c r="C952" s="212" t="s">
        <v>4271</v>
      </c>
      <c r="D952" s="235" t="s">
        <v>25</v>
      </c>
      <c r="E952" s="235" t="s">
        <v>4260</v>
      </c>
      <c r="F952" s="243" t="s">
        <v>46</v>
      </c>
      <c r="G952" s="225">
        <v>375.0</v>
      </c>
      <c r="H952" s="237">
        <v>75.0</v>
      </c>
      <c r="I952" s="226">
        <v>300.0</v>
      </c>
      <c r="J952" s="226">
        <v>2.0</v>
      </c>
      <c r="K952" s="226">
        <v>2.0</v>
      </c>
      <c r="L952" s="49">
        <v>2.0</v>
      </c>
      <c r="M952" s="212" t="s">
        <v>4261</v>
      </c>
      <c r="N952" s="49" t="s">
        <v>59</v>
      </c>
      <c r="O952" s="49">
        <v>600.0</v>
      </c>
      <c r="P952" s="49" t="s">
        <v>29</v>
      </c>
      <c r="Q952" s="114">
        <v>0.0</v>
      </c>
      <c r="R952" s="46"/>
    </row>
    <row r="953" ht="14.25" customHeight="1">
      <c r="A953" s="211">
        <v>7.0</v>
      </c>
      <c r="B953" s="212" t="s">
        <v>4272</v>
      </c>
      <c r="C953" s="212" t="s">
        <v>4273</v>
      </c>
      <c r="D953" s="235" t="s">
        <v>25</v>
      </c>
      <c r="E953" s="235" t="s">
        <v>4260</v>
      </c>
      <c r="F953" s="243" t="s">
        <v>46</v>
      </c>
      <c r="G953" s="225">
        <v>55.0</v>
      </c>
      <c r="H953" s="237">
        <v>20.0</v>
      </c>
      <c r="I953" s="226">
        <v>80.0</v>
      </c>
      <c r="J953" s="226">
        <v>1.0</v>
      </c>
      <c r="K953" s="226">
        <v>1.0</v>
      </c>
      <c r="L953" s="49">
        <v>1.0</v>
      </c>
      <c r="M953" s="212" t="s">
        <v>4261</v>
      </c>
      <c r="N953" s="49" t="s">
        <v>59</v>
      </c>
      <c r="O953" s="49">
        <v>50.0</v>
      </c>
      <c r="P953" s="49" t="s">
        <v>29</v>
      </c>
      <c r="Q953" s="114">
        <v>0.0</v>
      </c>
      <c r="R953" s="46"/>
    </row>
    <row r="954" ht="14.25" customHeight="1">
      <c r="A954" s="211">
        <v>8.0</v>
      </c>
      <c r="B954" s="212" t="s">
        <v>4274</v>
      </c>
      <c r="C954" s="212" t="s">
        <v>4275</v>
      </c>
      <c r="D954" s="235" t="s">
        <v>25</v>
      </c>
      <c r="E954" s="235" t="s">
        <v>4260</v>
      </c>
      <c r="F954" s="243" t="s">
        <v>46</v>
      </c>
      <c r="G954" s="225">
        <v>55.0</v>
      </c>
      <c r="H954" s="237">
        <v>30.0</v>
      </c>
      <c r="I954" s="226">
        <v>120.0</v>
      </c>
      <c r="J954" s="226">
        <v>1.0</v>
      </c>
      <c r="K954" s="226">
        <v>1.0</v>
      </c>
      <c r="L954" s="49">
        <v>1.0</v>
      </c>
      <c r="M954" s="212" t="s">
        <v>4261</v>
      </c>
      <c r="N954" s="49" t="s">
        <v>59</v>
      </c>
      <c r="O954" s="49">
        <v>50.0</v>
      </c>
      <c r="P954" s="49" t="s">
        <v>66</v>
      </c>
      <c r="Q954" s="114">
        <v>10.0</v>
      </c>
      <c r="R954" s="46"/>
    </row>
    <row r="955" ht="14.25" customHeight="1">
      <c r="A955" s="211">
        <v>9.0</v>
      </c>
      <c r="B955" s="212" t="s">
        <v>4276</v>
      </c>
      <c r="C955" s="212" t="s">
        <v>4277</v>
      </c>
      <c r="D955" s="235" t="s">
        <v>25</v>
      </c>
      <c r="E955" s="235" t="s">
        <v>4260</v>
      </c>
      <c r="F955" s="243" t="s">
        <v>46</v>
      </c>
      <c r="G955" s="225">
        <v>55.0</v>
      </c>
      <c r="H955" s="237">
        <v>20.0</v>
      </c>
      <c r="I955" s="226">
        <v>80.0</v>
      </c>
      <c r="J955" s="226">
        <v>1.0</v>
      </c>
      <c r="K955" s="226">
        <v>1.0</v>
      </c>
      <c r="L955" s="49">
        <v>1.0</v>
      </c>
      <c r="M955" s="212" t="s">
        <v>4261</v>
      </c>
      <c r="N955" s="49" t="s">
        <v>59</v>
      </c>
      <c r="O955" s="49">
        <v>50.0</v>
      </c>
      <c r="P955" s="49" t="s">
        <v>29</v>
      </c>
      <c r="Q955" s="114">
        <v>0.0</v>
      </c>
      <c r="R955" s="46"/>
    </row>
    <row r="956" ht="14.25" customHeight="1">
      <c r="A956" s="211">
        <v>10.0</v>
      </c>
      <c r="B956" s="212" t="s">
        <v>4278</v>
      </c>
      <c r="C956" s="212" t="s">
        <v>4277</v>
      </c>
      <c r="D956" s="235" t="s">
        <v>25</v>
      </c>
      <c r="E956" s="235" t="s">
        <v>4260</v>
      </c>
      <c r="F956" s="243" t="s">
        <v>46</v>
      </c>
      <c r="G956" s="225">
        <v>375.0</v>
      </c>
      <c r="H956" s="237">
        <v>75.0</v>
      </c>
      <c r="I956" s="226">
        <v>300.0</v>
      </c>
      <c r="J956" s="226">
        <v>2.0</v>
      </c>
      <c r="K956" s="226">
        <v>2.0</v>
      </c>
      <c r="L956" s="49">
        <v>2.0</v>
      </c>
      <c r="M956" s="212" t="s">
        <v>4261</v>
      </c>
      <c r="N956" s="49" t="s">
        <v>59</v>
      </c>
      <c r="O956" s="49">
        <v>600.0</v>
      </c>
      <c r="P956" s="49" t="s">
        <v>29</v>
      </c>
      <c r="Q956" s="114">
        <v>0.0</v>
      </c>
      <c r="R956" s="46"/>
    </row>
    <row r="957" ht="14.25" customHeight="1">
      <c r="A957" s="211">
        <v>11.0</v>
      </c>
      <c r="B957" s="212" t="s">
        <v>4279</v>
      </c>
      <c r="C957" s="212" t="s">
        <v>4280</v>
      </c>
      <c r="D957" s="235" t="s">
        <v>25</v>
      </c>
      <c r="E957" s="235" t="s">
        <v>4260</v>
      </c>
      <c r="F957" s="243" t="s">
        <v>46</v>
      </c>
      <c r="G957" s="225">
        <v>40.0</v>
      </c>
      <c r="H957" s="237">
        <v>15.0</v>
      </c>
      <c r="I957" s="226">
        <v>60.0</v>
      </c>
      <c r="J957" s="226">
        <v>1.0</v>
      </c>
      <c r="K957" s="226">
        <v>1.0</v>
      </c>
      <c r="L957" s="49">
        <v>1.0</v>
      </c>
      <c r="M957" s="212" t="s">
        <v>4261</v>
      </c>
      <c r="N957" s="49" t="s">
        <v>59</v>
      </c>
      <c r="O957" s="49">
        <v>45.0</v>
      </c>
      <c r="P957" s="49" t="s">
        <v>29</v>
      </c>
      <c r="Q957" s="114">
        <v>0.0</v>
      </c>
      <c r="R957" s="46"/>
    </row>
    <row r="958" ht="14.25" customHeight="1">
      <c r="A958" s="211">
        <v>12.0</v>
      </c>
      <c r="B958" s="212" t="s">
        <v>4281</v>
      </c>
      <c r="C958" s="212" t="s">
        <v>4282</v>
      </c>
      <c r="D958" s="235" t="s">
        <v>25</v>
      </c>
      <c r="E958" s="235" t="s">
        <v>4260</v>
      </c>
      <c r="F958" s="243" t="s">
        <v>46</v>
      </c>
      <c r="G958" s="225">
        <v>55.0</v>
      </c>
      <c r="H958" s="237">
        <v>30.0</v>
      </c>
      <c r="I958" s="226">
        <v>120.0</v>
      </c>
      <c r="J958" s="226">
        <v>1.0</v>
      </c>
      <c r="K958" s="226">
        <v>1.0</v>
      </c>
      <c r="L958" s="49">
        <v>1.0</v>
      </c>
      <c r="M958" s="212" t="s">
        <v>4261</v>
      </c>
      <c r="N958" s="49" t="s">
        <v>59</v>
      </c>
      <c r="O958" s="49">
        <v>50.0</v>
      </c>
      <c r="P958" s="49" t="s">
        <v>66</v>
      </c>
      <c r="Q958" s="114">
        <v>5.0</v>
      </c>
      <c r="R958" s="46"/>
    </row>
    <row r="959" ht="14.25" customHeight="1">
      <c r="A959" s="211">
        <v>13.0</v>
      </c>
      <c r="B959" s="212" t="s">
        <v>4283</v>
      </c>
      <c r="C959" s="212" t="s">
        <v>4282</v>
      </c>
      <c r="D959" s="235" t="s">
        <v>25</v>
      </c>
      <c r="E959" s="235" t="s">
        <v>4260</v>
      </c>
      <c r="F959" s="243" t="s">
        <v>46</v>
      </c>
      <c r="G959" s="225">
        <v>375.0</v>
      </c>
      <c r="H959" s="237">
        <v>75.0</v>
      </c>
      <c r="I959" s="226">
        <v>300.0</v>
      </c>
      <c r="J959" s="226">
        <v>2.0</v>
      </c>
      <c r="K959" s="226">
        <v>2.0</v>
      </c>
      <c r="L959" s="49">
        <v>2.0</v>
      </c>
      <c r="M959" s="212" t="s">
        <v>4261</v>
      </c>
      <c r="N959" s="49" t="s">
        <v>59</v>
      </c>
      <c r="O959" s="49">
        <v>600.0</v>
      </c>
      <c r="P959" s="49" t="s">
        <v>29</v>
      </c>
      <c r="Q959" s="114">
        <v>0.0</v>
      </c>
      <c r="R959" s="46"/>
    </row>
    <row r="960" ht="14.25" customHeight="1">
      <c r="A960" s="211">
        <v>14.0</v>
      </c>
      <c r="B960" s="212" t="s">
        <v>4284</v>
      </c>
      <c r="C960" s="212" t="s">
        <v>4267</v>
      </c>
      <c r="D960" s="235" t="s">
        <v>25</v>
      </c>
      <c r="E960" s="235" t="s">
        <v>4260</v>
      </c>
      <c r="F960" s="243" t="s">
        <v>46</v>
      </c>
      <c r="G960" s="225">
        <v>500.0</v>
      </c>
      <c r="H960" s="237">
        <v>90.0</v>
      </c>
      <c r="I960" s="226">
        <v>360.0</v>
      </c>
      <c r="J960" s="226">
        <v>3.0</v>
      </c>
      <c r="K960" s="226">
        <v>3.0</v>
      </c>
      <c r="L960" s="49">
        <v>3.0</v>
      </c>
      <c r="M960" s="212" t="s">
        <v>4261</v>
      </c>
      <c r="N960" s="49" t="s">
        <v>59</v>
      </c>
      <c r="O960" s="49">
        <v>700.0</v>
      </c>
      <c r="P960" s="49" t="s">
        <v>29</v>
      </c>
      <c r="Q960" s="114">
        <v>0.0</v>
      </c>
      <c r="R960" s="46"/>
    </row>
    <row r="961" ht="14.25" customHeight="1">
      <c r="A961" s="211">
        <v>15.0</v>
      </c>
      <c r="B961" s="212" t="s">
        <v>4285</v>
      </c>
      <c r="C961" s="212" t="s">
        <v>4286</v>
      </c>
      <c r="D961" s="235" t="s">
        <v>25</v>
      </c>
      <c r="E961" s="235" t="s">
        <v>4260</v>
      </c>
      <c r="F961" s="243" t="s">
        <v>46</v>
      </c>
      <c r="G961" s="225">
        <v>40.0</v>
      </c>
      <c r="H961" s="237">
        <v>15.0</v>
      </c>
      <c r="I961" s="226">
        <v>60.0</v>
      </c>
      <c r="J961" s="226">
        <v>1.0</v>
      </c>
      <c r="K961" s="226">
        <v>1.0</v>
      </c>
      <c r="L961" s="49">
        <v>1.0</v>
      </c>
      <c r="M961" s="212" t="s">
        <v>4261</v>
      </c>
      <c r="N961" s="49" t="s">
        <v>59</v>
      </c>
      <c r="O961" s="49">
        <v>45.0</v>
      </c>
      <c r="P961" s="49" t="s">
        <v>29</v>
      </c>
      <c r="Q961" s="114">
        <v>0.0</v>
      </c>
      <c r="R961" s="46"/>
    </row>
    <row r="962" ht="14.25" customHeight="1">
      <c r="A962" s="211">
        <v>16.0</v>
      </c>
      <c r="B962" s="212" t="s">
        <v>4287</v>
      </c>
      <c r="C962" s="212" t="s">
        <v>4288</v>
      </c>
      <c r="D962" s="235" t="s">
        <v>25</v>
      </c>
      <c r="E962" s="235" t="s">
        <v>4260</v>
      </c>
      <c r="F962" s="243" t="s">
        <v>46</v>
      </c>
      <c r="G962" s="225">
        <v>375.0</v>
      </c>
      <c r="H962" s="237">
        <v>75.0</v>
      </c>
      <c r="I962" s="226">
        <v>300.0</v>
      </c>
      <c r="J962" s="226">
        <v>2.0</v>
      </c>
      <c r="K962" s="226">
        <v>2.0</v>
      </c>
      <c r="L962" s="49">
        <v>2.0</v>
      </c>
      <c r="M962" s="212" t="s">
        <v>4261</v>
      </c>
      <c r="N962" s="49" t="s">
        <v>59</v>
      </c>
      <c r="O962" s="49">
        <v>600.0</v>
      </c>
      <c r="P962" s="49" t="s">
        <v>66</v>
      </c>
      <c r="Q962" s="114">
        <v>0.0</v>
      </c>
      <c r="R962" s="46"/>
    </row>
    <row r="963" ht="14.25" customHeight="1">
      <c r="A963" s="211">
        <v>17.0</v>
      </c>
      <c r="B963" s="212" t="s">
        <v>4289</v>
      </c>
      <c r="C963" s="212" t="s">
        <v>4290</v>
      </c>
      <c r="D963" s="235" t="s">
        <v>25</v>
      </c>
      <c r="E963" s="235" t="s">
        <v>4260</v>
      </c>
      <c r="F963" s="243" t="s">
        <v>46</v>
      </c>
      <c r="G963" s="225" t="s">
        <v>4291</v>
      </c>
      <c r="H963" s="237" t="s">
        <v>4292</v>
      </c>
      <c r="I963" s="226" t="s">
        <v>4293</v>
      </c>
      <c r="J963" s="226">
        <v>2.0</v>
      </c>
      <c r="K963" s="226">
        <v>2.0</v>
      </c>
      <c r="L963" s="49">
        <v>2.0</v>
      </c>
      <c r="M963" s="212" t="s">
        <v>4261</v>
      </c>
      <c r="N963" s="49" t="s">
        <v>59</v>
      </c>
      <c r="O963" s="49" t="s">
        <v>4294</v>
      </c>
      <c r="P963" s="49" t="s">
        <v>66</v>
      </c>
      <c r="Q963" s="114">
        <v>3.0</v>
      </c>
      <c r="R963" s="46"/>
    </row>
    <row r="964" ht="14.25" customHeight="1">
      <c r="A964" s="211">
        <v>18.0</v>
      </c>
      <c r="B964" s="212" t="s">
        <v>4295</v>
      </c>
      <c r="C964" s="212" t="s">
        <v>4296</v>
      </c>
      <c r="D964" s="235" t="s">
        <v>25</v>
      </c>
      <c r="E964" s="235" t="s">
        <v>4260</v>
      </c>
      <c r="F964" s="243" t="s">
        <v>46</v>
      </c>
      <c r="G964" s="225">
        <v>30.0</v>
      </c>
      <c r="H964" s="237">
        <v>12.0</v>
      </c>
      <c r="I964" s="226">
        <v>48.0</v>
      </c>
      <c r="J964" s="226">
        <v>1.0</v>
      </c>
      <c r="K964" s="226">
        <v>1.0</v>
      </c>
      <c r="L964" s="49">
        <v>1.0</v>
      </c>
      <c r="M964" s="212" t="s">
        <v>4261</v>
      </c>
      <c r="N964" s="49" t="s">
        <v>59</v>
      </c>
      <c r="O964" s="49">
        <v>30.0</v>
      </c>
      <c r="P964" s="49" t="s">
        <v>29</v>
      </c>
      <c r="Q964" s="114">
        <v>0.0</v>
      </c>
      <c r="R964" s="46"/>
    </row>
    <row r="965" ht="14.25" customHeight="1">
      <c r="A965" s="211">
        <v>19.0</v>
      </c>
      <c r="B965" s="212" t="s">
        <v>4297</v>
      </c>
      <c r="C965" s="212" t="s">
        <v>4298</v>
      </c>
      <c r="D965" s="235" t="s">
        <v>25</v>
      </c>
      <c r="E965" s="235" t="s">
        <v>4260</v>
      </c>
      <c r="F965" s="243" t="s">
        <v>46</v>
      </c>
      <c r="G965" s="225">
        <v>50.0</v>
      </c>
      <c r="H965" s="237">
        <v>15.0</v>
      </c>
      <c r="I965" s="226">
        <v>60.0</v>
      </c>
      <c r="J965" s="226">
        <v>1.0</v>
      </c>
      <c r="K965" s="226">
        <v>1.0</v>
      </c>
      <c r="L965" s="49">
        <v>1.0</v>
      </c>
      <c r="M965" s="212" t="s">
        <v>4261</v>
      </c>
      <c r="N965" s="49" t="s">
        <v>59</v>
      </c>
      <c r="O965" s="49">
        <v>45.0</v>
      </c>
      <c r="P965" s="49" t="s">
        <v>66</v>
      </c>
      <c r="Q965" s="114">
        <v>3.0</v>
      </c>
      <c r="R965" s="46"/>
    </row>
    <row r="966" ht="14.25" customHeight="1">
      <c r="A966" s="211">
        <v>20.0</v>
      </c>
      <c r="B966" s="212" t="s">
        <v>4299</v>
      </c>
      <c r="C966" s="212" t="s">
        <v>4300</v>
      </c>
      <c r="D966" s="235" t="s">
        <v>25</v>
      </c>
      <c r="E966" s="235" t="s">
        <v>4260</v>
      </c>
      <c r="F966" s="243" t="s">
        <v>46</v>
      </c>
      <c r="G966" s="225">
        <v>50.0</v>
      </c>
      <c r="H966" s="237">
        <v>15.0</v>
      </c>
      <c r="I966" s="226">
        <v>60.0</v>
      </c>
      <c r="J966" s="226">
        <v>1.0</v>
      </c>
      <c r="K966" s="226">
        <v>1.0</v>
      </c>
      <c r="L966" s="49">
        <v>1.0</v>
      </c>
      <c r="M966" s="212" t="s">
        <v>4261</v>
      </c>
      <c r="N966" s="49" t="s">
        <v>59</v>
      </c>
      <c r="O966" s="49">
        <v>45.0</v>
      </c>
      <c r="P966" s="49" t="s">
        <v>29</v>
      </c>
      <c r="Q966" s="114">
        <v>0.0</v>
      </c>
      <c r="R966" s="46"/>
    </row>
    <row r="967" ht="14.25" customHeight="1">
      <c r="A967" s="211">
        <v>21.0</v>
      </c>
      <c r="B967" s="212" t="s">
        <v>4301</v>
      </c>
      <c r="C967" s="212" t="s">
        <v>4302</v>
      </c>
      <c r="D967" s="235" t="s">
        <v>25</v>
      </c>
      <c r="E967" s="235" t="s">
        <v>4260</v>
      </c>
      <c r="F967" s="243" t="s">
        <v>46</v>
      </c>
      <c r="G967" s="225">
        <v>375.0</v>
      </c>
      <c r="H967" s="237">
        <v>75.0</v>
      </c>
      <c r="I967" s="226">
        <v>300.0</v>
      </c>
      <c r="J967" s="226">
        <v>2.0</v>
      </c>
      <c r="K967" s="226">
        <v>2.0</v>
      </c>
      <c r="L967" s="49">
        <v>2.0</v>
      </c>
      <c r="M967" s="212" t="s">
        <v>4261</v>
      </c>
      <c r="N967" s="49" t="s">
        <v>59</v>
      </c>
      <c r="O967" s="49">
        <v>600.0</v>
      </c>
      <c r="P967" s="49" t="s">
        <v>66</v>
      </c>
      <c r="Q967" s="114">
        <v>10.0</v>
      </c>
      <c r="R967" s="46"/>
    </row>
    <row r="968" ht="14.25" customHeight="1">
      <c r="A968" s="211">
        <v>22.0</v>
      </c>
      <c r="B968" s="212" t="s">
        <v>4303</v>
      </c>
      <c r="C968" s="212" t="s">
        <v>4302</v>
      </c>
      <c r="D968" s="235" t="s">
        <v>25</v>
      </c>
      <c r="E968" s="235" t="s">
        <v>4260</v>
      </c>
      <c r="F968" s="243" t="s">
        <v>46</v>
      </c>
      <c r="G968" s="225">
        <v>400.0</v>
      </c>
      <c r="H968" s="237">
        <v>80.0</v>
      </c>
      <c r="I968" s="226">
        <v>320.0</v>
      </c>
      <c r="J968" s="226">
        <v>2.0</v>
      </c>
      <c r="K968" s="226">
        <v>2.0</v>
      </c>
      <c r="L968" s="49">
        <v>2.0</v>
      </c>
      <c r="M968" s="212" t="s">
        <v>4261</v>
      </c>
      <c r="N968" s="49" t="s">
        <v>59</v>
      </c>
      <c r="O968" s="49">
        <v>650.0</v>
      </c>
      <c r="P968" s="49" t="s">
        <v>29</v>
      </c>
      <c r="Q968" s="114">
        <v>0.0</v>
      </c>
      <c r="R968" s="46"/>
    </row>
    <row r="969" ht="14.25" customHeight="1">
      <c r="A969" s="211">
        <v>23.0</v>
      </c>
      <c r="B969" s="212" t="s">
        <v>4304</v>
      </c>
      <c r="C969" s="212" t="s">
        <v>4305</v>
      </c>
      <c r="D969" s="235" t="s">
        <v>25</v>
      </c>
      <c r="E969" s="235" t="s">
        <v>4260</v>
      </c>
      <c r="F969" s="243" t="s">
        <v>46</v>
      </c>
      <c r="G969" s="225" t="s">
        <v>4306</v>
      </c>
      <c r="H969" s="237" t="s">
        <v>4307</v>
      </c>
      <c r="I969" s="226" t="s">
        <v>4308</v>
      </c>
      <c r="J969" s="226">
        <v>2.0</v>
      </c>
      <c r="K969" s="226">
        <v>2.0</v>
      </c>
      <c r="L969" s="49">
        <v>2.0</v>
      </c>
      <c r="M969" s="212" t="s">
        <v>4261</v>
      </c>
      <c r="N969" s="49" t="s">
        <v>59</v>
      </c>
      <c r="O969" s="49" t="s">
        <v>4309</v>
      </c>
      <c r="P969" s="49" t="s">
        <v>66</v>
      </c>
      <c r="Q969" s="114">
        <v>10.0</v>
      </c>
      <c r="R969" s="46"/>
    </row>
    <row r="970" ht="14.25" customHeight="1">
      <c r="A970" s="211">
        <v>24.0</v>
      </c>
      <c r="B970" s="212" t="s">
        <v>4310</v>
      </c>
      <c r="C970" s="212" t="s">
        <v>4311</v>
      </c>
      <c r="D970" s="235" t="s">
        <v>25</v>
      </c>
      <c r="E970" s="235" t="s">
        <v>4260</v>
      </c>
      <c r="F970" s="243" t="s">
        <v>46</v>
      </c>
      <c r="G970" s="225">
        <v>50.0</v>
      </c>
      <c r="H970" s="237">
        <v>15.0</v>
      </c>
      <c r="I970" s="226">
        <v>60.0</v>
      </c>
      <c r="J970" s="226">
        <v>1.0</v>
      </c>
      <c r="K970" s="226">
        <v>1.0</v>
      </c>
      <c r="L970" s="49">
        <v>1.0</v>
      </c>
      <c r="M970" s="212" t="s">
        <v>4261</v>
      </c>
      <c r="N970" s="49" t="s">
        <v>59</v>
      </c>
      <c r="O970" s="49">
        <v>45.0</v>
      </c>
      <c r="P970" s="49" t="s">
        <v>29</v>
      </c>
      <c r="Q970" s="114">
        <v>0.0</v>
      </c>
      <c r="R970" s="46"/>
    </row>
    <row r="971" ht="14.25" customHeight="1">
      <c r="A971" s="211">
        <v>25.0</v>
      </c>
      <c r="B971" s="212" t="s">
        <v>4312</v>
      </c>
      <c r="C971" s="212" t="s">
        <v>4313</v>
      </c>
      <c r="D971" s="235" t="s">
        <v>25</v>
      </c>
      <c r="E971" s="235" t="s">
        <v>4260</v>
      </c>
      <c r="F971" s="243" t="s">
        <v>46</v>
      </c>
      <c r="G971" s="225" t="s">
        <v>4314</v>
      </c>
      <c r="H971" s="237" t="s">
        <v>4315</v>
      </c>
      <c r="I971" s="226" t="s">
        <v>4316</v>
      </c>
      <c r="J971" s="226">
        <v>2.0</v>
      </c>
      <c r="K971" s="226">
        <v>2.0</v>
      </c>
      <c r="L971" s="49">
        <v>2.0</v>
      </c>
      <c r="M971" s="212" t="s">
        <v>4261</v>
      </c>
      <c r="N971" s="49" t="s">
        <v>59</v>
      </c>
      <c r="O971" s="49" t="s">
        <v>4317</v>
      </c>
      <c r="P971" s="49" t="s">
        <v>29</v>
      </c>
      <c r="Q971" s="114">
        <v>0.0</v>
      </c>
      <c r="R971" s="46"/>
    </row>
    <row r="972" ht="14.25" customHeight="1">
      <c r="A972" s="211">
        <v>26.0</v>
      </c>
      <c r="B972" s="212" t="s">
        <v>4318</v>
      </c>
      <c r="C972" s="212" t="s">
        <v>4319</v>
      </c>
      <c r="D972" s="235" t="s">
        <v>25</v>
      </c>
      <c r="E972" s="235" t="s">
        <v>4260</v>
      </c>
      <c r="F972" s="243" t="s">
        <v>46</v>
      </c>
      <c r="G972" s="225">
        <v>55.0</v>
      </c>
      <c r="H972" s="237">
        <v>30.0</v>
      </c>
      <c r="I972" s="226">
        <v>120.0</v>
      </c>
      <c r="J972" s="226">
        <v>1.0</v>
      </c>
      <c r="K972" s="226">
        <v>1.0</v>
      </c>
      <c r="L972" s="49">
        <v>1.0</v>
      </c>
      <c r="M972" s="212" t="s">
        <v>4261</v>
      </c>
      <c r="N972" s="49" t="s">
        <v>59</v>
      </c>
      <c r="O972" s="49">
        <v>50.0</v>
      </c>
      <c r="P972" s="49" t="s">
        <v>29</v>
      </c>
      <c r="Q972" s="114">
        <v>0.0</v>
      </c>
      <c r="R972" s="46"/>
    </row>
    <row r="973" ht="14.25" customHeight="1">
      <c r="A973" s="211">
        <v>27.0</v>
      </c>
      <c r="B973" s="212" t="s">
        <v>4320</v>
      </c>
      <c r="C973" s="212" t="s">
        <v>4321</v>
      </c>
      <c r="D973" s="235" t="s">
        <v>25</v>
      </c>
      <c r="E973" s="235" t="s">
        <v>4260</v>
      </c>
      <c r="F973" s="243" t="s">
        <v>46</v>
      </c>
      <c r="G973" s="225">
        <v>50.0</v>
      </c>
      <c r="H973" s="237">
        <v>15.0</v>
      </c>
      <c r="I973" s="226">
        <v>60.0</v>
      </c>
      <c r="J973" s="226">
        <v>1.0</v>
      </c>
      <c r="K973" s="226">
        <v>1.0</v>
      </c>
      <c r="L973" s="49">
        <v>1.0</v>
      </c>
      <c r="M973" s="212" t="s">
        <v>4261</v>
      </c>
      <c r="N973" s="49" t="s">
        <v>59</v>
      </c>
      <c r="O973" s="49">
        <v>45.0</v>
      </c>
      <c r="P973" s="49" t="s">
        <v>29</v>
      </c>
      <c r="Q973" s="114">
        <v>0.0</v>
      </c>
      <c r="R973" s="46"/>
    </row>
    <row r="974" ht="14.25" customHeight="1">
      <c r="A974" s="211">
        <v>28.0</v>
      </c>
      <c r="B974" s="212" t="s">
        <v>4322</v>
      </c>
      <c r="C974" s="212" t="s">
        <v>4323</v>
      </c>
      <c r="D974" s="235" t="s">
        <v>25</v>
      </c>
      <c r="E974" s="235" t="s">
        <v>4260</v>
      </c>
      <c r="F974" s="243" t="s">
        <v>46</v>
      </c>
      <c r="G974" s="225">
        <v>55.0</v>
      </c>
      <c r="H974" s="237">
        <v>30.0</v>
      </c>
      <c r="I974" s="226">
        <v>120.0</v>
      </c>
      <c r="J974" s="226">
        <v>1.0</v>
      </c>
      <c r="K974" s="226">
        <v>1.0</v>
      </c>
      <c r="L974" s="49">
        <v>1.0</v>
      </c>
      <c r="M974" s="212" t="s">
        <v>4261</v>
      </c>
      <c r="N974" s="49" t="s">
        <v>59</v>
      </c>
      <c r="O974" s="49">
        <v>50.0</v>
      </c>
      <c r="P974" s="49" t="s">
        <v>29</v>
      </c>
      <c r="Q974" s="114">
        <v>0.0</v>
      </c>
      <c r="R974" s="46"/>
    </row>
    <row r="975" ht="14.25" customHeight="1">
      <c r="A975" s="211">
        <v>29.0</v>
      </c>
      <c r="B975" s="212" t="s">
        <v>4324</v>
      </c>
      <c r="C975" s="212" t="s">
        <v>4325</v>
      </c>
      <c r="D975" s="235" t="s">
        <v>4326</v>
      </c>
      <c r="E975" s="235" t="s">
        <v>4260</v>
      </c>
      <c r="F975" s="243" t="s">
        <v>46</v>
      </c>
      <c r="G975" s="225">
        <v>50.0</v>
      </c>
      <c r="H975" s="237">
        <v>15.0</v>
      </c>
      <c r="I975" s="226">
        <v>60.0</v>
      </c>
      <c r="J975" s="226">
        <v>1.0</v>
      </c>
      <c r="K975" s="226">
        <v>1.0</v>
      </c>
      <c r="L975" s="49">
        <v>1.0</v>
      </c>
      <c r="M975" s="212" t="s">
        <v>4261</v>
      </c>
      <c r="N975" s="49" t="s">
        <v>59</v>
      </c>
      <c r="O975" s="49">
        <v>45.0</v>
      </c>
      <c r="P975" s="49" t="s">
        <v>29</v>
      </c>
      <c r="Q975" s="114">
        <v>0.0</v>
      </c>
      <c r="R975" s="46"/>
    </row>
    <row r="976" ht="14.25" customHeight="1">
      <c r="A976" s="211">
        <v>30.0</v>
      </c>
      <c r="B976" s="212" t="s">
        <v>1082</v>
      </c>
      <c r="C976" s="212" t="s">
        <v>4265</v>
      </c>
      <c r="D976" s="235" t="s">
        <v>25</v>
      </c>
      <c r="E976" s="235" t="s">
        <v>4260</v>
      </c>
      <c r="F976" s="243" t="s">
        <v>46</v>
      </c>
      <c r="G976" s="225">
        <v>55.0</v>
      </c>
      <c r="H976" s="237">
        <v>30.0</v>
      </c>
      <c r="I976" s="226">
        <v>120.0</v>
      </c>
      <c r="J976" s="226">
        <v>1.0</v>
      </c>
      <c r="K976" s="226">
        <v>1.0</v>
      </c>
      <c r="L976" s="49">
        <v>1.0</v>
      </c>
      <c r="M976" s="212" t="s">
        <v>4261</v>
      </c>
      <c r="N976" s="49" t="s">
        <v>59</v>
      </c>
      <c r="O976" s="49">
        <v>50.0</v>
      </c>
      <c r="P976" s="49" t="s">
        <v>29</v>
      </c>
      <c r="Q976" s="114">
        <v>0.0</v>
      </c>
      <c r="R976" s="46"/>
    </row>
    <row r="977" ht="14.25" customHeight="1">
      <c r="A977" s="211">
        <v>31.0</v>
      </c>
      <c r="B977" s="212" t="s">
        <v>4327</v>
      </c>
      <c r="C977" s="212" t="s">
        <v>4328</v>
      </c>
      <c r="D977" s="235" t="s">
        <v>25</v>
      </c>
      <c r="E977" s="235" t="s">
        <v>4260</v>
      </c>
      <c r="F977" s="243" t="s">
        <v>46</v>
      </c>
      <c r="G977" s="225">
        <v>55.0</v>
      </c>
      <c r="H977" s="237">
        <v>30.0</v>
      </c>
      <c r="I977" s="226">
        <v>120.0</v>
      </c>
      <c r="J977" s="226">
        <v>1.0</v>
      </c>
      <c r="K977" s="226">
        <v>1.0</v>
      </c>
      <c r="L977" s="49">
        <v>1.0</v>
      </c>
      <c r="M977" s="212" t="s">
        <v>4261</v>
      </c>
      <c r="N977" s="49" t="s">
        <v>59</v>
      </c>
      <c r="O977" s="49">
        <v>50.0</v>
      </c>
      <c r="P977" s="49" t="s">
        <v>29</v>
      </c>
      <c r="Q977" s="114">
        <v>0.0</v>
      </c>
      <c r="R977" s="46"/>
    </row>
    <row r="978" ht="14.25" customHeight="1">
      <c r="A978" s="211">
        <v>32.0</v>
      </c>
      <c r="B978" s="212" t="s">
        <v>4329</v>
      </c>
      <c r="C978" s="212" t="s">
        <v>4330</v>
      </c>
      <c r="D978" s="235" t="s">
        <v>25</v>
      </c>
      <c r="E978" s="235" t="s">
        <v>4260</v>
      </c>
      <c r="F978" s="243" t="s">
        <v>46</v>
      </c>
      <c r="G978" s="225">
        <v>400.0</v>
      </c>
      <c r="H978" s="237">
        <v>80.0</v>
      </c>
      <c r="I978" s="226">
        <v>320.0</v>
      </c>
      <c r="J978" s="226">
        <v>2.0</v>
      </c>
      <c r="K978" s="226">
        <v>2.0</v>
      </c>
      <c r="L978" s="49">
        <v>2.0</v>
      </c>
      <c r="M978" s="212" t="s">
        <v>4261</v>
      </c>
      <c r="N978" s="49" t="s">
        <v>59</v>
      </c>
      <c r="O978" s="49">
        <v>650.0</v>
      </c>
      <c r="P978" s="49" t="s">
        <v>29</v>
      </c>
      <c r="Q978" s="114">
        <v>0.0</v>
      </c>
      <c r="R978" s="46"/>
    </row>
    <row r="979" ht="14.25" customHeight="1">
      <c r="A979" s="211">
        <v>33.0</v>
      </c>
      <c r="B979" s="212" t="s">
        <v>4331</v>
      </c>
      <c r="C979" s="212" t="s">
        <v>4332</v>
      </c>
      <c r="D979" s="235" t="s">
        <v>25</v>
      </c>
      <c r="E979" s="235" t="s">
        <v>4260</v>
      </c>
      <c r="F979" s="243" t="s">
        <v>46</v>
      </c>
      <c r="G979" s="225">
        <v>375.0</v>
      </c>
      <c r="H979" s="237">
        <v>75.0</v>
      </c>
      <c r="I979" s="226">
        <v>300.0</v>
      </c>
      <c r="J979" s="226">
        <v>2.0</v>
      </c>
      <c r="K979" s="226">
        <v>2.0</v>
      </c>
      <c r="L979" s="49">
        <v>2.0</v>
      </c>
      <c r="M979" s="212" t="s">
        <v>4261</v>
      </c>
      <c r="N979" s="49" t="s">
        <v>59</v>
      </c>
      <c r="O979" s="49">
        <v>600.0</v>
      </c>
      <c r="P979" s="49" t="s">
        <v>29</v>
      </c>
      <c r="Q979" s="114">
        <v>0.0</v>
      </c>
      <c r="R979" s="46"/>
    </row>
    <row r="980" ht="14.25" customHeight="1">
      <c r="A980" s="211">
        <v>34.0</v>
      </c>
      <c r="B980" s="212" t="s">
        <v>4333</v>
      </c>
      <c r="C980" s="212" t="s">
        <v>4334</v>
      </c>
      <c r="D980" s="235" t="s">
        <v>25</v>
      </c>
      <c r="E980" s="235" t="s">
        <v>4260</v>
      </c>
      <c r="F980" s="243" t="s">
        <v>46</v>
      </c>
      <c r="G980" s="225">
        <v>55.0</v>
      </c>
      <c r="H980" s="237">
        <v>30.0</v>
      </c>
      <c r="I980" s="226">
        <v>120.0</v>
      </c>
      <c r="J980" s="226">
        <v>1.0</v>
      </c>
      <c r="K980" s="226">
        <v>1.0</v>
      </c>
      <c r="L980" s="49">
        <v>1.0</v>
      </c>
      <c r="M980" s="212" t="s">
        <v>4261</v>
      </c>
      <c r="N980" s="49" t="s">
        <v>59</v>
      </c>
      <c r="O980" s="49">
        <v>50.0</v>
      </c>
      <c r="P980" s="49" t="s">
        <v>66</v>
      </c>
      <c r="Q980" s="114">
        <v>5.0</v>
      </c>
      <c r="R980" s="46"/>
    </row>
    <row r="981" ht="15.75" customHeight="1">
      <c r="A981" s="181"/>
      <c r="B981" s="182" t="s">
        <v>4335</v>
      </c>
      <c r="C981" s="182"/>
      <c r="D981" s="22"/>
      <c r="E981" s="22"/>
      <c r="F981" s="209"/>
      <c r="G981" s="210"/>
      <c r="H981" s="22"/>
      <c r="I981" s="22"/>
      <c r="J981" s="22"/>
      <c r="K981" s="22"/>
      <c r="L981" s="22"/>
      <c r="M981" s="22"/>
      <c r="N981" s="22"/>
      <c r="O981" s="22"/>
      <c r="P981" s="22"/>
      <c r="Q981" s="209"/>
      <c r="R981" s="22"/>
    </row>
    <row r="982" ht="14.25" customHeight="1">
      <c r="A982" s="211">
        <v>1.0</v>
      </c>
      <c r="B982" s="212" t="s">
        <v>4336</v>
      </c>
      <c r="C982" s="212" t="s">
        <v>4337</v>
      </c>
      <c r="D982" s="235" t="s">
        <v>2000</v>
      </c>
      <c r="E982" s="235" t="s">
        <v>3743</v>
      </c>
      <c r="F982" s="243" t="s">
        <v>46</v>
      </c>
      <c r="G982" s="225">
        <v>54.0</v>
      </c>
      <c r="H982" s="237" t="s">
        <v>4338</v>
      </c>
      <c r="I982" s="226" t="s">
        <v>4338</v>
      </c>
      <c r="J982" s="226" t="s">
        <v>4338</v>
      </c>
      <c r="K982" s="226" t="s">
        <v>4338</v>
      </c>
      <c r="L982" s="49" t="s">
        <v>4338</v>
      </c>
      <c r="M982" s="212" t="s">
        <v>4338</v>
      </c>
      <c r="N982" s="49" t="s">
        <v>4338</v>
      </c>
      <c r="O982" s="49" t="s">
        <v>4338</v>
      </c>
      <c r="P982" s="238" t="s">
        <v>29</v>
      </c>
      <c r="Q982" s="239">
        <v>0.0</v>
      </c>
      <c r="R982" s="46"/>
    </row>
    <row r="983" ht="14.25" customHeight="1">
      <c r="A983" s="211">
        <v>2.0</v>
      </c>
      <c r="B983" s="212" t="s">
        <v>4339</v>
      </c>
      <c r="C983" s="212" t="s">
        <v>4340</v>
      </c>
      <c r="D983" s="235" t="s">
        <v>2000</v>
      </c>
      <c r="E983" s="235" t="s">
        <v>3743</v>
      </c>
      <c r="F983" s="243" t="s">
        <v>46</v>
      </c>
      <c r="G983" s="225">
        <v>1848.0</v>
      </c>
      <c r="H983" s="237" t="s">
        <v>4338</v>
      </c>
      <c r="I983" s="226" t="s">
        <v>4338</v>
      </c>
      <c r="J983" s="226" t="s">
        <v>4338</v>
      </c>
      <c r="K983" s="226" t="s">
        <v>4338</v>
      </c>
      <c r="L983" s="49" t="s">
        <v>4338</v>
      </c>
      <c r="M983" s="212" t="s">
        <v>4338</v>
      </c>
      <c r="N983" s="49" t="s">
        <v>4338</v>
      </c>
      <c r="O983" s="49" t="s">
        <v>4338</v>
      </c>
      <c r="P983" s="238" t="s">
        <v>29</v>
      </c>
      <c r="Q983" s="239">
        <v>0.0</v>
      </c>
      <c r="R983" s="46"/>
    </row>
    <row r="984" ht="14.25" customHeight="1">
      <c r="A984" s="211">
        <v>3.0</v>
      </c>
      <c r="B984" s="212" t="s">
        <v>4341</v>
      </c>
      <c r="C984" s="212" t="s">
        <v>4342</v>
      </c>
      <c r="D984" s="235" t="s">
        <v>2000</v>
      </c>
      <c r="E984" s="235" t="s">
        <v>3743</v>
      </c>
      <c r="F984" s="243" t="s">
        <v>46</v>
      </c>
      <c r="G984" s="225">
        <v>672.0</v>
      </c>
      <c r="H984" s="237" t="s">
        <v>4338</v>
      </c>
      <c r="I984" s="226" t="s">
        <v>4338</v>
      </c>
      <c r="J984" s="226" t="s">
        <v>4338</v>
      </c>
      <c r="K984" s="226" t="s">
        <v>4338</v>
      </c>
      <c r="L984" s="49" t="s">
        <v>4338</v>
      </c>
      <c r="M984" s="212" t="s">
        <v>4338</v>
      </c>
      <c r="N984" s="49" t="s">
        <v>4338</v>
      </c>
      <c r="O984" s="49" t="s">
        <v>4338</v>
      </c>
      <c r="P984" s="238" t="s">
        <v>29</v>
      </c>
      <c r="Q984" s="239">
        <v>0.0</v>
      </c>
      <c r="R984" s="46"/>
    </row>
    <row r="985" ht="14.25" customHeight="1">
      <c r="A985" s="211">
        <v>4.0</v>
      </c>
      <c r="B985" s="212" t="s">
        <v>4343</v>
      </c>
      <c r="C985" s="212" t="s">
        <v>4344</v>
      </c>
      <c r="D985" s="235" t="s">
        <v>2000</v>
      </c>
      <c r="E985" s="235" t="s">
        <v>3743</v>
      </c>
      <c r="F985" s="243" t="s">
        <v>46</v>
      </c>
      <c r="G985" s="225">
        <v>490.0</v>
      </c>
      <c r="H985" s="237" t="s">
        <v>4338</v>
      </c>
      <c r="I985" s="226" t="s">
        <v>4338</v>
      </c>
      <c r="J985" s="226" t="s">
        <v>4338</v>
      </c>
      <c r="K985" s="226" t="s">
        <v>4338</v>
      </c>
      <c r="L985" s="49" t="s">
        <v>4338</v>
      </c>
      <c r="M985" s="212" t="s">
        <v>4338</v>
      </c>
      <c r="N985" s="49" t="s">
        <v>4338</v>
      </c>
      <c r="O985" s="49" t="s">
        <v>4338</v>
      </c>
      <c r="P985" s="238" t="s">
        <v>29</v>
      </c>
      <c r="Q985" s="239">
        <v>0.0</v>
      </c>
      <c r="R985" s="46"/>
    </row>
    <row r="986" ht="14.25" customHeight="1">
      <c r="A986" s="211">
        <v>5.0</v>
      </c>
      <c r="B986" s="212" t="s">
        <v>4345</v>
      </c>
      <c r="C986" s="212" t="s">
        <v>4346</v>
      </c>
      <c r="D986" s="235" t="s">
        <v>2000</v>
      </c>
      <c r="E986" s="235" t="s">
        <v>3743</v>
      </c>
      <c r="F986" s="243" t="s">
        <v>46</v>
      </c>
      <c r="G986" s="225">
        <v>180.0</v>
      </c>
      <c r="H986" s="237" t="s">
        <v>4338</v>
      </c>
      <c r="I986" s="226" t="s">
        <v>4338</v>
      </c>
      <c r="J986" s="226" t="s">
        <v>4338</v>
      </c>
      <c r="K986" s="226" t="s">
        <v>4338</v>
      </c>
      <c r="L986" s="49" t="s">
        <v>4338</v>
      </c>
      <c r="M986" s="212" t="s">
        <v>4338</v>
      </c>
      <c r="N986" s="49" t="s">
        <v>4338</v>
      </c>
      <c r="O986" s="49" t="s">
        <v>4338</v>
      </c>
      <c r="P986" s="238" t="s">
        <v>29</v>
      </c>
      <c r="Q986" s="239">
        <v>0.0</v>
      </c>
      <c r="R986" s="46"/>
    </row>
    <row r="987" ht="14.25" customHeight="1">
      <c r="A987" s="211">
        <v>6.0</v>
      </c>
      <c r="B987" s="212" t="s">
        <v>4347</v>
      </c>
      <c r="C987" s="212" t="s">
        <v>4348</v>
      </c>
      <c r="D987" s="235" t="s">
        <v>2000</v>
      </c>
      <c r="E987" s="235" t="s">
        <v>3743</v>
      </c>
      <c r="F987" s="243" t="s">
        <v>46</v>
      </c>
      <c r="G987" s="225">
        <v>180.0</v>
      </c>
      <c r="H987" s="237" t="s">
        <v>4338</v>
      </c>
      <c r="I987" s="226" t="s">
        <v>4338</v>
      </c>
      <c r="J987" s="226" t="s">
        <v>4338</v>
      </c>
      <c r="K987" s="226" t="s">
        <v>4338</v>
      </c>
      <c r="L987" s="49" t="s">
        <v>4338</v>
      </c>
      <c r="M987" s="212" t="s">
        <v>4338</v>
      </c>
      <c r="N987" s="49" t="s">
        <v>4338</v>
      </c>
      <c r="O987" s="49" t="s">
        <v>4338</v>
      </c>
      <c r="P987" s="238" t="s">
        <v>29</v>
      </c>
      <c r="Q987" s="239">
        <v>0.0</v>
      </c>
      <c r="R987" s="46"/>
    </row>
    <row r="988" ht="14.25" customHeight="1">
      <c r="A988" s="211">
        <v>7.0</v>
      </c>
      <c r="B988" s="212" t="s">
        <v>4349</v>
      </c>
      <c r="C988" s="212" t="s">
        <v>4350</v>
      </c>
      <c r="D988" s="235" t="s">
        <v>2000</v>
      </c>
      <c r="E988" s="235" t="s">
        <v>3743</v>
      </c>
      <c r="F988" s="243" t="s">
        <v>46</v>
      </c>
      <c r="G988" s="225">
        <v>200.0</v>
      </c>
      <c r="H988" s="237" t="s">
        <v>4338</v>
      </c>
      <c r="I988" s="226" t="s">
        <v>4338</v>
      </c>
      <c r="J988" s="226" t="s">
        <v>4338</v>
      </c>
      <c r="K988" s="226" t="s">
        <v>4338</v>
      </c>
      <c r="L988" s="49" t="s">
        <v>4338</v>
      </c>
      <c r="M988" s="212" t="s">
        <v>4338</v>
      </c>
      <c r="N988" s="49" t="s">
        <v>4338</v>
      </c>
      <c r="O988" s="49" t="s">
        <v>4338</v>
      </c>
      <c r="P988" s="238" t="s">
        <v>29</v>
      </c>
      <c r="Q988" s="239">
        <v>0.0</v>
      </c>
      <c r="R988" s="46"/>
    </row>
    <row r="989" ht="14.25" customHeight="1">
      <c r="A989" s="211">
        <v>8.0</v>
      </c>
      <c r="B989" s="212" t="s">
        <v>4351</v>
      </c>
      <c r="C989" s="212" t="s">
        <v>4350</v>
      </c>
      <c r="D989" s="235" t="s">
        <v>2000</v>
      </c>
      <c r="E989" s="235" t="s">
        <v>3743</v>
      </c>
      <c r="F989" s="243" t="s">
        <v>46</v>
      </c>
      <c r="G989" s="225">
        <v>56.0</v>
      </c>
      <c r="H989" s="237" t="s">
        <v>4338</v>
      </c>
      <c r="I989" s="226" t="s">
        <v>4338</v>
      </c>
      <c r="J989" s="226" t="s">
        <v>4338</v>
      </c>
      <c r="K989" s="226" t="s">
        <v>4338</v>
      </c>
      <c r="L989" s="49" t="s">
        <v>4338</v>
      </c>
      <c r="M989" s="212" t="s">
        <v>4338</v>
      </c>
      <c r="N989" s="49" t="s">
        <v>4338</v>
      </c>
      <c r="O989" s="49" t="s">
        <v>4338</v>
      </c>
      <c r="P989" s="238" t="s">
        <v>29</v>
      </c>
      <c r="Q989" s="239">
        <v>0.0</v>
      </c>
      <c r="R989" s="46"/>
    </row>
    <row r="990" ht="14.25" customHeight="1">
      <c r="A990" s="211">
        <v>9.0</v>
      </c>
      <c r="B990" s="212" t="s">
        <v>4352</v>
      </c>
      <c r="C990" s="212" t="s">
        <v>4350</v>
      </c>
      <c r="D990" s="235" t="s">
        <v>2000</v>
      </c>
      <c r="E990" s="235" t="s">
        <v>3743</v>
      </c>
      <c r="F990" s="243" t="s">
        <v>46</v>
      </c>
      <c r="G990" s="225">
        <v>672.0</v>
      </c>
      <c r="H990" s="237" t="s">
        <v>4338</v>
      </c>
      <c r="I990" s="226" t="s">
        <v>4338</v>
      </c>
      <c r="J990" s="226" t="s">
        <v>4338</v>
      </c>
      <c r="K990" s="226" t="s">
        <v>4338</v>
      </c>
      <c r="L990" s="49" t="s">
        <v>4338</v>
      </c>
      <c r="M990" s="212" t="s">
        <v>4338</v>
      </c>
      <c r="N990" s="49" t="s">
        <v>4338</v>
      </c>
      <c r="O990" s="49" t="s">
        <v>4338</v>
      </c>
      <c r="P990" s="238" t="s">
        <v>29</v>
      </c>
      <c r="Q990" s="239">
        <v>0.0</v>
      </c>
      <c r="R990" s="46"/>
    </row>
    <row r="991" ht="14.25" customHeight="1">
      <c r="A991" s="211">
        <v>10.0</v>
      </c>
      <c r="B991" s="212" t="s">
        <v>4353</v>
      </c>
      <c r="C991" s="212" t="s">
        <v>4354</v>
      </c>
      <c r="D991" s="235" t="s">
        <v>2000</v>
      </c>
      <c r="E991" s="235" t="s">
        <v>3743</v>
      </c>
      <c r="F991" s="243" t="s">
        <v>46</v>
      </c>
      <c r="G991" s="225">
        <v>330.0</v>
      </c>
      <c r="H991" s="237">
        <v>20.0</v>
      </c>
      <c r="I991" s="226">
        <v>100.0</v>
      </c>
      <c r="J991" s="226">
        <v>0.0</v>
      </c>
      <c r="K991" s="226">
        <v>0.0</v>
      </c>
      <c r="L991" s="49">
        <v>2.0</v>
      </c>
      <c r="M991" s="212" t="s">
        <v>4355</v>
      </c>
      <c r="N991" s="49" t="s">
        <v>46</v>
      </c>
      <c r="O991" s="49">
        <v>300.0</v>
      </c>
      <c r="P991" s="238" t="s">
        <v>29</v>
      </c>
      <c r="Q991" s="239">
        <v>0.0</v>
      </c>
      <c r="R991" s="46"/>
    </row>
    <row r="992" ht="14.25" customHeight="1">
      <c r="A992" s="211">
        <v>11.0</v>
      </c>
      <c r="B992" s="212" t="s">
        <v>4356</v>
      </c>
      <c r="C992" s="212" t="s">
        <v>4357</v>
      </c>
      <c r="D992" s="235" t="s">
        <v>2000</v>
      </c>
      <c r="E992" s="235" t="s">
        <v>3743</v>
      </c>
      <c r="F992" s="243" t="s">
        <v>46</v>
      </c>
      <c r="G992" s="225" t="s">
        <v>4338</v>
      </c>
      <c r="H992" s="237" t="s">
        <v>4338</v>
      </c>
      <c r="I992" s="226" t="s">
        <v>4338</v>
      </c>
      <c r="J992" s="226" t="s">
        <v>4338</v>
      </c>
      <c r="K992" s="226" t="s">
        <v>4338</v>
      </c>
      <c r="L992" s="49" t="s">
        <v>4338</v>
      </c>
      <c r="M992" s="212" t="s">
        <v>4338</v>
      </c>
      <c r="N992" s="49" t="s">
        <v>4338</v>
      </c>
      <c r="O992" s="49" t="s">
        <v>4338</v>
      </c>
      <c r="P992" s="238" t="s">
        <v>29</v>
      </c>
      <c r="Q992" s="239">
        <v>0.0</v>
      </c>
      <c r="R992" s="46"/>
    </row>
    <row r="993" ht="14.25" customHeight="1">
      <c r="A993" s="211">
        <v>12.0</v>
      </c>
      <c r="B993" s="212" t="s">
        <v>4358</v>
      </c>
      <c r="C993" s="212" t="s">
        <v>4359</v>
      </c>
      <c r="D993" s="235" t="s">
        <v>2000</v>
      </c>
      <c r="E993" s="235" t="s">
        <v>3743</v>
      </c>
      <c r="F993" s="243" t="s">
        <v>46</v>
      </c>
      <c r="G993" s="225">
        <v>60.0</v>
      </c>
      <c r="H993" s="237">
        <v>3.0</v>
      </c>
      <c r="I993" s="226">
        <v>25.0</v>
      </c>
      <c r="J993" s="226">
        <v>0.0</v>
      </c>
      <c r="K993" s="226">
        <v>0.0</v>
      </c>
      <c r="L993" s="49">
        <v>1.0</v>
      </c>
      <c r="M993" s="212" t="s">
        <v>449</v>
      </c>
      <c r="N993" s="49" t="s">
        <v>4338</v>
      </c>
      <c r="O993" s="49">
        <v>1.0</v>
      </c>
      <c r="P993" s="49" t="s">
        <v>66</v>
      </c>
      <c r="Q993" s="239">
        <v>0.0</v>
      </c>
      <c r="R993" s="46"/>
    </row>
    <row r="994" ht="14.25" customHeight="1">
      <c r="A994" s="211">
        <v>13.0</v>
      </c>
      <c r="B994" s="212" t="s">
        <v>4360</v>
      </c>
      <c r="C994" s="212" t="s">
        <v>4361</v>
      </c>
      <c r="D994" s="235" t="s">
        <v>2000</v>
      </c>
      <c r="E994" s="235" t="s">
        <v>3743</v>
      </c>
      <c r="F994" s="243" t="s">
        <v>46</v>
      </c>
      <c r="G994" s="225" t="s">
        <v>4362</v>
      </c>
      <c r="H994" s="237">
        <v>4.0</v>
      </c>
      <c r="I994" s="226">
        <v>10.0</v>
      </c>
      <c r="J994" s="240">
        <v>0.0</v>
      </c>
      <c r="K994" s="240">
        <v>0.0</v>
      </c>
      <c r="L994" s="49">
        <v>1.0</v>
      </c>
      <c r="M994" s="212" t="s">
        <v>4363</v>
      </c>
      <c r="N994" s="49" t="s">
        <v>4338</v>
      </c>
      <c r="O994" s="49" t="s">
        <v>4364</v>
      </c>
      <c r="P994" s="238" t="s">
        <v>29</v>
      </c>
      <c r="Q994" s="239">
        <v>0.0</v>
      </c>
      <c r="R994" s="46"/>
    </row>
    <row r="995" ht="14.25" customHeight="1">
      <c r="A995" s="211">
        <v>14.0</v>
      </c>
      <c r="B995" s="212" t="s">
        <v>4365</v>
      </c>
      <c r="C995" s="212" t="s">
        <v>4366</v>
      </c>
      <c r="D995" s="235" t="s">
        <v>2000</v>
      </c>
      <c r="E995" s="235" t="s">
        <v>3743</v>
      </c>
      <c r="F995" s="243" t="s">
        <v>46</v>
      </c>
      <c r="G995" s="225">
        <v>392.0</v>
      </c>
      <c r="H995" s="237">
        <v>28.0</v>
      </c>
      <c r="I995" s="226">
        <v>168.0</v>
      </c>
      <c r="J995" s="226">
        <v>78.0</v>
      </c>
      <c r="K995" s="226">
        <v>90.0</v>
      </c>
      <c r="L995" s="49">
        <v>8.0</v>
      </c>
      <c r="M995" s="212" t="s">
        <v>449</v>
      </c>
      <c r="N995" s="49" t="s">
        <v>59</v>
      </c>
      <c r="O995" s="49">
        <v>168.0</v>
      </c>
      <c r="P995" s="49" t="s">
        <v>29</v>
      </c>
      <c r="Q995" s="114" t="s">
        <v>401</v>
      </c>
      <c r="R995" s="46"/>
    </row>
    <row r="996" ht="14.25" customHeight="1">
      <c r="A996" s="211">
        <v>15.0</v>
      </c>
      <c r="B996" s="212" t="s">
        <v>4367</v>
      </c>
      <c r="C996" s="212" t="s">
        <v>4368</v>
      </c>
      <c r="D996" s="235" t="s">
        <v>2000</v>
      </c>
      <c r="E996" s="235" t="s">
        <v>3743</v>
      </c>
      <c r="F996" s="243" t="s">
        <v>46</v>
      </c>
      <c r="G996" s="225">
        <v>72.0</v>
      </c>
      <c r="H996" s="237">
        <v>6.0</v>
      </c>
      <c r="I996" s="226">
        <v>42.0</v>
      </c>
      <c r="J996" s="226">
        <v>0.0</v>
      </c>
      <c r="K996" s="226">
        <v>0.0</v>
      </c>
      <c r="L996" s="49">
        <v>1.0</v>
      </c>
      <c r="M996" s="212" t="s">
        <v>449</v>
      </c>
      <c r="N996" s="49" t="s">
        <v>4338</v>
      </c>
      <c r="O996" s="49" t="s">
        <v>401</v>
      </c>
      <c r="P996" s="49" t="s">
        <v>29</v>
      </c>
      <c r="Q996" s="114" t="s">
        <v>401</v>
      </c>
      <c r="R996" s="46"/>
    </row>
    <row r="997" ht="14.25" customHeight="1">
      <c r="A997" s="211">
        <v>16.0</v>
      </c>
      <c r="B997" s="212" t="s">
        <v>4369</v>
      </c>
      <c r="C997" s="212" t="s">
        <v>4370</v>
      </c>
      <c r="D997" s="235" t="s">
        <v>2000</v>
      </c>
      <c r="E997" s="235" t="s">
        <v>3743</v>
      </c>
      <c r="F997" s="243" t="s">
        <v>46</v>
      </c>
      <c r="G997" s="225">
        <v>300.0</v>
      </c>
      <c r="H997" s="237">
        <v>14.0</v>
      </c>
      <c r="I997" s="226">
        <v>70.0</v>
      </c>
      <c r="J997" s="226">
        <v>2.0</v>
      </c>
      <c r="K997" s="226">
        <v>3.0</v>
      </c>
      <c r="L997" s="49">
        <v>2.0</v>
      </c>
      <c r="M997" s="212" t="s">
        <v>449</v>
      </c>
      <c r="N997" s="49" t="s">
        <v>59</v>
      </c>
      <c r="O997" s="49">
        <v>1.0</v>
      </c>
      <c r="P997" s="49" t="s">
        <v>66</v>
      </c>
      <c r="Q997" s="114">
        <v>50.0</v>
      </c>
      <c r="R997" s="46"/>
    </row>
    <row r="998" ht="14.25" customHeight="1">
      <c r="A998" s="211">
        <v>17.0</v>
      </c>
      <c r="B998" s="212" t="s">
        <v>4371</v>
      </c>
      <c r="C998" s="212" t="s">
        <v>4370</v>
      </c>
      <c r="D998" s="235" t="s">
        <v>2000</v>
      </c>
      <c r="E998" s="235" t="s">
        <v>3743</v>
      </c>
      <c r="F998" s="243" t="s">
        <v>46</v>
      </c>
      <c r="G998" s="225">
        <v>80.0</v>
      </c>
      <c r="H998" s="237">
        <v>2.0</v>
      </c>
      <c r="I998" s="226">
        <v>8.0</v>
      </c>
      <c r="J998" s="226">
        <v>0.0</v>
      </c>
      <c r="K998" s="226">
        <v>0.0</v>
      </c>
      <c r="L998" s="49">
        <v>1.0</v>
      </c>
      <c r="M998" s="212" t="s">
        <v>449</v>
      </c>
      <c r="N998" s="49" t="s">
        <v>59</v>
      </c>
      <c r="O998" s="49">
        <v>0.0</v>
      </c>
      <c r="P998" s="49" t="s">
        <v>66</v>
      </c>
      <c r="Q998" s="114">
        <v>5.0</v>
      </c>
      <c r="R998" s="46"/>
    </row>
    <row r="999" ht="14.25" customHeight="1">
      <c r="A999" s="211">
        <v>18.0</v>
      </c>
      <c r="B999" s="212" t="s">
        <v>4372</v>
      </c>
      <c r="C999" s="212" t="s">
        <v>4346</v>
      </c>
      <c r="D999" s="235" t="s">
        <v>2000</v>
      </c>
      <c r="E999" s="235" t="s">
        <v>3743</v>
      </c>
      <c r="F999" s="243" t="s">
        <v>46</v>
      </c>
      <c r="G999" s="225">
        <v>77.0</v>
      </c>
      <c r="H999" s="237">
        <v>3.0</v>
      </c>
      <c r="I999" s="226">
        <v>15.0</v>
      </c>
      <c r="J999" s="226">
        <v>1.0</v>
      </c>
      <c r="K999" s="226">
        <v>1.0</v>
      </c>
      <c r="L999" s="49">
        <v>0.0</v>
      </c>
      <c r="M999" s="212" t="s">
        <v>449</v>
      </c>
      <c r="N999" s="49" t="s">
        <v>4338</v>
      </c>
      <c r="O999" s="49" t="s">
        <v>4373</v>
      </c>
      <c r="P999" s="49" t="s">
        <v>29</v>
      </c>
      <c r="Q999" s="239">
        <v>0.0</v>
      </c>
      <c r="R999" s="46"/>
    </row>
    <row r="1000" ht="14.25" customHeight="1">
      <c r="A1000" s="211">
        <v>19.0</v>
      </c>
      <c r="B1000" s="212" t="s">
        <v>4371</v>
      </c>
      <c r="C1000" s="212" t="s">
        <v>4374</v>
      </c>
      <c r="D1000" s="235" t="s">
        <v>2000</v>
      </c>
      <c r="E1000" s="235" t="s">
        <v>3743</v>
      </c>
      <c r="F1000" s="243" t="s">
        <v>46</v>
      </c>
      <c r="G1000" s="225">
        <v>36.0</v>
      </c>
      <c r="H1000" s="237">
        <v>2.0</v>
      </c>
      <c r="I1000" s="226">
        <v>10.0</v>
      </c>
      <c r="J1000" s="226">
        <v>1.0</v>
      </c>
      <c r="K1000" s="226">
        <v>1.0</v>
      </c>
      <c r="L1000" s="49">
        <v>1.0</v>
      </c>
      <c r="M1000" s="212" t="s">
        <v>449</v>
      </c>
      <c r="N1000" s="49" t="s">
        <v>4338</v>
      </c>
      <c r="O1000" s="49">
        <v>2.0</v>
      </c>
      <c r="P1000" s="49" t="s">
        <v>66</v>
      </c>
      <c r="Q1000" s="114">
        <v>7.0</v>
      </c>
      <c r="R1000" s="46"/>
    </row>
    <row r="1001" ht="14.25" customHeight="1">
      <c r="A1001" s="211">
        <v>20.0</v>
      </c>
      <c r="B1001" s="212" t="s">
        <v>4375</v>
      </c>
      <c r="C1001" s="212" t="s">
        <v>4376</v>
      </c>
      <c r="D1001" s="235" t="s">
        <v>2000</v>
      </c>
      <c r="E1001" s="235" t="s">
        <v>3743</v>
      </c>
      <c r="F1001" s="243" t="s">
        <v>46</v>
      </c>
      <c r="G1001" s="225">
        <v>54.0</v>
      </c>
      <c r="H1001" s="237">
        <v>5.0</v>
      </c>
      <c r="I1001" s="226">
        <v>25.0</v>
      </c>
      <c r="J1001" s="226">
        <v>1.0</v>
      </c>
      <c r="K1001" s="226">
        <v>1.0</v>
      </c>
      <c r="L1001" s="238">
        <v>2.0</v>
      </c>
      <c r="M1001" s="212" t="s">
        <v>449</v>
      </c>
      <c r="N1001" s="49" t="s">
        <v>4338</v>
      </c>
      <c r="O1001" s="49">
        <v>5.0</v>
      </c>
      <c r="P1001" s="49" t="s">
        <v>66</v>
      </c>
      <c r="Q1001" s="114">
        <v>24.0</v>
      </c>
      <c r="R1001" s="46"/>
    </row>
    <row r="1002" ht="14.25" customHeight="1">
      <c r="A1002" s="211">
        <v>21.0</v>
      </c>
      <c r="B1002" s="212" t="s">
        <v>4377</v>
      </c>
      <c r="C1002" s="212" t="s">
        <v>4378</v>
      </c>
      <c r="D1002" s="235" t="s">
        <v>2000</v>
      </c>
      <c r="E1002" s="235" t="s">
        <v>3743</v>
      </c>
      <c r="F1002" s="243" t="s">
        <v>46</v>
      </c>
      <c r="G1002" s="225">
        <v>96.0</v>
      </c>
      <c r="H1002" s="237">
        <v>3.0</v>
      </c>
      <c r="I1002" s="226">
        <v>10.0</v>
      </c>
      <c r="J1002" s="226">
        <v>1.0</v>
      </c>
      <c r="K1002" s="226">
        <v>1.0</v>
      </c>
      <c r="L1002" s="49">
        <v>1.0</v>
      </c>
      <c r="M1002" s="212" t="s">
        <v>4379</v>
      </c>
      <c r="N1002" s="49" t="s">
        <v>449</v>
      </c>
      <c r="O1002" s="49">
        <v>10.0</v>
      </c>
      <c r="P1002" s="49" t="s">
        <v>66</v>
      </c>
      <c r="Q1002" s="114">
        <v>1.0</v>
      </c>
      <c r="R1002" s="46"/>
    </row>
    <row r="1003" ht="14.25" customHeight="1">
      <c r="A1003" s="211">
        <v>22.0</v>
      </c>
      <c r="B1003" s="212" t="s">
        <v>4380</v>
      </c>
      <c r="C1003" s="212" t="s">
        <v>4381</v>
      </c>
      <c r="D1003" s="235" t="s">
        <v>2000</v>
      </c>
      <c r="E1003" s="235" t="s">
        <v>3743</v>
      </c>
      <c r="F1003" s="243" t="s">
        <v>46</v>
      </c>
      <c r="G1003" s="225" t="s">
        <v>4382</v>
      </c>
      <c r="H1003" s="237">
        <v>2.0</v>
      </c>
      <c r="I1003" s="226">
        <v>8.0</v>
      </c>
      <c r="J1003" s="226" t="s">
        <v>401</v>
      </c>
      <c r="K1003" s="226" t="s">
        <v>401</v>
      </c>
      <c r="L1003" s="49">
        <v>1.0</v>
      </c>
      <c r="M1003" s="212" t="s">
        <v>523</v>
      </c>
      <c r="N1003" s="49" t="s">
        <v>401</v>
      </c>
      <c r="O1003" s="49" t="s">
        <v>401</v>
      </c>
      <c r="P1003" s="49" t="s">
        <v>29</v>
      </c>
      <c r="Q1003" s="114" t="s">
        <v>401</v>
      </c>
      <c r="R1003" s="46"/>
    </row>
    <row r="1004" ht="14.25" customHeight="1">
      <c r="A1004" s="211">
        <v>23.0</v>
      </c>
      <c r="B1004" s="212" t="s">
        <v>4383</v>
      </c>
      <c r="C1004" s="212" t="s">
        <v>4384</v>
      </c>
      <c r="D1004" s="235" t="s">
        <v>2000</v>
      </c>
      <c r="E1004" s="235" t="s">
        <v>3743</v>
      </c>
      <c r="F1004" s="243" t="s">
        <v>46</v>
      </c>
      <c r="G1004" s="225" t="s">
        <v>4385</v>
      </c>
      <c r="H1004" s="237">
        <v>84.0</v>
      </c>
      <c r="I1004" s="226">
        <v>322.0</v>
      </c>
      <c r="J1004" s="226">
        <v>0.0</v>
      </c>
      <c r="K1004" s="226">
        <v>0.0</v>
      </c>
      <c r="L1004" s="49">
        <v>1.0</v>
      </c>
      <c r="M1004" s="212">
        <v>1.0</v>
      </c>
      <c r="N1004" s="49">
        <v>0.0</v>
      </c>
      <c r="O1004" s="49">
        <v>84.0</v>
      </c>
      <c r="P1004" s="49" t="s">
        <v>29</v>
      </c>
      <c r="Q1004" s="114">
        <v>2.0</v>
      </c>
      <c r="R1004" s="46"/>
    </row>
    <row r="1005" ht="15.75" customHeight="1">
      <c r="A1005" s="181"/>
      <c r="B1005" s="182" t="s">
        <v>4386</v>
      </c>
      <c r="C1005" s="182"/>
      <c r="D1005" s="22"/>
      <c r="E1005" s="22"/>
      <c r="F1005" s="209"/>
      <c r="G1005" s="210"/>
      <c r="H1005" s="22"/>
      <c r="I1005" s="22"/>
      <c r="J1005" s="22"/>
      <c r="K1005" s="22"/>
      <c r="L1005" s="22"/>
      <c r="M1005" s="22"/>
      <c r="N1005" s="22"/>
      <c r="O1005" s="22"/>
      <c r="P1005" s="22"/>
      <c r="Q1005" s="209"/>
      <c r="R1005" s="22"/>
    </row>
    <row r="1006" ht="18.75" customHeight="1">
      <c r="A1006" s="296">
        <v>1.0</v>
      </c>
      <c r="B1006" s="297" t="s">
        <v>4387</v>
      </c>
      <c r="C1006" s="297" t="s">
        <v>4388</v>
      </c>
      <c r="D1006" s="235" t="s">
        <v>2000</v>
      </c>
      <c r="E1006" s="235" t="s">
        <v>3743</v>
      </c>
      <c r="F1006" s="243" t="s">
        <v>1137</v>
      </c>
      <c r="G1006" s="225">
        <v>500.0</v>
      </c>
      <c r="H1006" s="237">
        <v>10.0</v>
      </c>
      <c r="I1006" s="226">
        <v>50.0</v>
      </c>
      <c r="J1006" s="226">
        <v>0.0</v>
      </c>
      <c r="K1006" s="226">
        <v>0.0</v>
      </c>
      <c r="L1006" s="49">
        <v>1.0</v>
      </c>
      <c r="M1006" s="212" t="s">
        <v>4389</v>
      </c>
      <c r="N1006" s="49" t="s">
        <v>1137</v>
      </c>
      <c r="O1006" s="55" t="s">
        <v>4390</v>
      </c>
      <c r="P1006" s="49" t="s">
        <v>29</v>
      </c>
      <c r="Q1006" s="114">
        <v>0.0</v>
      </c>
      <c r="R1006" s="46"/>
    </row>
    <row r="1007" ht="14.25" customHeight="1">
      <c r="A1007" s="211">
        <v>2.0</v>
      </c>
      <c r="B1007" s="212" t="s">
        <v>4391</v>
      </c>
      <c r="C1007" s="212" t="s">
        <v>4098</v>
      </c>
      <c r="D1007" s="235" t="s">
        <v>2000</v>
      </c>
      <c r="E1007" s="235" t="s">
        <v>3743</v>
      </c>
      <c r="F1007" s="243" t="s">
        <v>1137</v>
      </c>
      <c r="G1007" s="225">
        <v>250.0</v>
      </c>
      <c r="H1007" s="243">
        <v>5.0</v>
      </c>
      <c r="I1007" s="226">
        <v>25.0</v>
      </c>
      <c r="J1007" s="226">
        <v>0.0</v>
      </c>
      <c r="K1007" s="226">
        <v>0.0</v>
      </c>
      <c r="L1007" s="49">
        <v>1.0</v>
      </c>
      <c r="M1007" s="212" t="s">
        <v>4389</v>
      </c>
      <c r="N1007" s="49" t="s">
        <v>1137</v>
      </c>
      <c r="O1007" s="55" t="s">
        <v>4392</v>
      </c>
      <c r="P1007" s="49" t="s">
        <v>29</v>
      </c>
      <c r="Q1007" s="114">
        <v>0.0</v>
      </c>
      <c r="R1007" s="46"/>
    </row>
    <row r="1008" ht="14.25" customHeight="1">
      <c r="A1008" s="211">
        <v>3.0</v>
      </c>
      <c r="B1008" s="212" t="s">
        <v>4393</v>
      </c>
      <c r="C1008" s="212" t="s">
        <v>4394</v>
      </c>
      <c r="D1008" s="235" t="s">
        <v>2000</v>
      </c>
      <c r="E1008" s="235" t="s">
        <v>3743</v>
      </c>
      <c r="F1008" s="243" t="s">
        <v>1137</v>
      </c>
      <c r="G1008" s="225">
        <v>300.0</v>
      </c>
      <c r="H1008" s="243">
        <v>4.0</v>
      </c>
      <c r="I1008" s="226">
        <v>20.0</v>
      </c>
      <c r="J1008" s="226">
        <v>1.0</v>
      </c>
      <c r="K1008" s="226">
        <v>1.0</v>
      </c>
      <c r="L1008" s="49">
        <v>0.0</v>
      </c>
      <c r="M1008" s="212" t="s">
        <v>4389</v>
      </c>
      <c r="N1008" s="49" t="s">
        <v>1137</v>
      </c>
      <c r="O1008" s="55" t="s">
        <v>4395</v>
      </c>
      <c r="P1008" s="49" t="s">
        <v>29</v>
      </c>
      <c r="Q1008" s="114">
        <v>0.0</v>
      </c>
      <c r="R1008" s="46"/>
    </row>
    <row r="1009" ht="14.25" customHeight="1">
      <c r="A1009" s="211">
        <v>4.0</v>
      </c>
      <c r="B1009" s="212" t="s">
        <v>4396</v>
      </c>
      <c r="C1009" s="212" t="s">
        <v>4397</v>
      </c>
      <c r="D1009" s="235" t="s">
        <v>2000</v>
      </c>
      <c r="E1009" s="235" t="s">
        <v>3743</v>
      </c>
      <c r="F1009" s="243" t="s">
        <v>1137</v>
      </c>
      <c r="G1009" s="225">
        <v>408.0</v>
      </c>
      <c r="H1009" s="243">
        <v>8.0</v>
      </c>
      <c r="I1009" s="226">
        <v>40.0</v>
      </c>
      <c r="J1009" s="226">
        <v>0.0</v>
      </c>
      <c r="K1009" s="226">
        <v>0.0</v>
      </c>
      <c r="L1009" s="49">
        <v>1.0</v>
      </c>
      <c r="M1009" s="212" t="s">
        <v>4389</v>
      </c>
      <c r="N1009" s="49" t="s">
        <v>1137</v>
      </c>
      <c r="O1009" s="55" t="s">
        <v>4398</v>
      </c>
      <c r="P1009" s="49" t="s">
        <v>29</v>
      </c>
      <c r="Q1009" s="114">
        <v>0.0</v>
      </c>
      <c r="R1009" s="46"/>
    </row>
    <row r="1010" ht="14.25" customHeight="1">
      <c r="A1010" s="211">
        <v>5.0</v>
      </c>
      <c r="B1010" s="212" t="s">
        <v>4399</v>
      </c>
      <c r="C1010" s="212" t="s">
        <v>4400</v>
      </c>
      <c r="D1010" s="235" t="s">
        <v>2000</v>
      </c>
      <c r="E1010" s="235" t="s">
        <v>3743</v>
      </c>
      <c r="F1010" s="243" t="s">
        <v>1137</v>
      </c>
      <c r="G1010" s="225">
        <v>48.0</v>
      </c>
      <c r="H1010" s="243">
        <v>2.0</v>
      </c>
      <c r="I1010" s="226">
        <v>10.0</v>
      </c>
      <c r="J1010" s="226">
        <v>0.0</v>
      </c>
      <c r="K1010" s="226">
        <v>0.0</v>
      </c>
      <c r="L1010" s="49">
        <v>1.0</v>
      </c>
      <c r="M1010" s="212" t="s">
        <v>4389</v>
      </c>
      <c r="N1010" s="49" t="s">
        <v>1137</v>
      </c>
      <c r="O1010" s="55" t="s">
        <v>4401</v>
      </c>
      <c r="P1010" s="49" t="s">
        <v>29</v>
      </c>
      <c r="Q1010" s="114">
        <v>0.0</v>
      </c>
      <c r="R1010" s="46"/>
    </row>
    <row r="1011" ht="14.25" customHeight="1">
      <c r="A1011" s="211">
        <v>6.0</v>
      </c>
      <c r="B1011" s="212" t="s">
        <v>4402</v>
      </c>
      <c r="C1011" s="212" t="s">
        <v>4403</v>
      </c>
      <c r="D1011" s="235" t="s">
        <v>2000</v>
      </c>
      <c r="E1011" s="235" t="s">
        <v>3743</v>
      </c>
      <c r="F1011" s="243" t="s">
        <v>1137</v>
      </c>
      <c r="G1011" s="225">
        <v>408.0</v>
      </c>
      <c r="H1011" s="243">
        <v>6.0</v>
      </c>
      <c r="I1011" s="226">
        <v>30.0</v>
      </c>
      <c r="J1011" s="226">
        <v>1.0</v>
      </c>
      <c r="K1011" s="226">
        <v>1.0</v>
      </c>
      <c r="L1011" s="49">
        <v>0.0</v>
      </c>
      <c r="M1011" s="212" t="s">
        <v>4389</v>
      </c>
      <c r="N1011" s="49" t="s">
        <v>1137</v>
      </c>
      <c r="O1011" s="55" t="s">
        <v>4404</v>
      </c>
      <c r="P1011" s="49" t="s">
        <v>29</v>
      </c>
      <c r="Q1011" s="114">
        <v>0.0</v>
      </c>
      <c r="R1011" s="46"/>
    </row>
    <row r="1012" ht="14.25" customHeight="1">
      <c r="A1012" s="211">
        <v>7.0</v>
      </c>
      <c r="B1012" s="212" t="s">
        <v>4405</v>
      </c>
      <c r="C1012" s="212" t="s">
        <v>4406</v>
      </c>
      <c r="D1012" s="235" t="s">
        <v>2000</v>
      </c>
      <c r="E1012" s="235" t="s">
        <v>3743</v>
      </c>
      <c r="F1012" s="243" t="s">
        <v>1137</v>
      </c>
      <c r="G1012" s="225">
        <v>408.0</v>
      </c>
      <c r="H1012" s="243">
        <v>6.0</v>
      </c>
      <c r="I1012" s="226">
        <v>30.0</v>
      </c>
      <c r="J1012" s="226">
        <v>0.0</v>
      </c>
      <c r="K1012" s="226">
        <v>0.0</v>
      </c>
      <c r="L1012" s="49">
        <v>1.0</v>
      </c>
      <c r="M1012" s="212" t="s">
        <v>4389</v>
      </c>
      <c r="N1012" s="49" t="s">
        <v>1137</v>
      </c>
      <c r="O1012" s="55" t="s">
        <v>4407</v>
      </c>
      <c r="P1012" s="49" t="s">
        <v>29</v>
      </c>
      <c r="Q1012" s="114">
        <v>0.0</v>
      </c>
      <c r="R1012" s="46"/>
    </row>
    <row r="1013" ht="14.25" customHeight="1">
      <c r="A1013" s="211">
        <v>8.0</v>
      </c>
      <c r="B1013" s="212" t="s">
        <v>4408</v>
      </c>
      <c r="C1013" s="212" t="s">
        <v>4409</v>
      </c>
      <c r="D1013" s="235" t="s">
        <v>2000</v>
      </c>
      <c r="E1013" s="235" t="s">
        <v>3743</v>
      </c>
      <c r="F1013" s="243" t="s">
        <v>1137</v>
      </c>
      <c r="G1013" s="225">
        <v>408.0</v>
      </c>
      <c r="H1013" s="243">
        <v>6.0</v>
      </c>
      <c r="I1013" s="226">
        <v>30.0</v>
      </c>
      <c r="J1013" s="226">
        <v>0.0</v>
      </c>
      <c r="K1013" s="226">
        <v>0.0</v>
      </c>
      <c r="L1013" s="49">
        <v>1.0</v>
      </c>
      <c r="M1013" s="212" t="s">
        <v>4389</v>
      </c>
      <c r="N1013" s="49" t="s">
        <v>1137</v>
      </c>
      <c r="O1013" s="55" t="s">
        <v>4410</v>
      </c>
      <c r="P1013" s="49" t="s">
        <v>29</v>
      </c>
      <c r="Q1013" s="114">
        <v>0.0</v>
      </c>
      <c r="R1013" s="46"/>
    </row>
    <row r="1014" ht="14.25" customHeight="1">
      <c r="A1014" s="211">
        <v>9.0</v>
      </c>
      <c r="B1014" s="212" t="s">
        <v>4411</v>
      </c>
      <c r="C1014" s="212" t="s">
        <v>4412</v>
      </c>
      <c r="D1014" s="235" t="s">
        <v>2000</v>
      </c>
      <c r="E1014" s="235" t="s">
        <v>3743</v>
      </c>
      <c r="F1014" s="243" t="s">
        <v>1137</v>
      </c>
      <c r="G1014" s="225">
        <v>408.0</v>
      </c>
      <c r="H1014" s="243">
        <v>6.0</v>
      </c>
      <c r="I1014" s="226">
        <v>30.0</v>
      </c>
      <c r="J1014" s="226">
        <v>0.0</v>
      </c>
      <c r="K1014" s="226">
        <v>0.0</v>
      </c>
      <c r="L1014" s="49">
        <v>1.0</v>
      </c>
      <c r="M1014" s="212" t="s">
        <v>4389</v>
      </c>
      <c r="N1014" s="49" t="s">
        <v>1137</v>
      </c>
      <c r="O1014" s="55" t="s">
        <v>4413</v>
      </c>
      <c r="P1014" s="49" t="s">
        <v>29</v>
      </c>
      <c r="Q1014" s="114">
        <v>0.0</v>
      </c>
      <c r="R1014" s="46"/>
    </row>
    <row r="1015" ht="14.25" customHeight="1">
      <c r="A1015" s="211">
        <v>10.0</v>
      </c>
      <c r="B1015" s="212" t="s">
        <v>4414</v>
      </c>
      <c r="C1015" s="212" t="s">
        <v>4415</v>
      </c>
      <c r="D1015" s="235" t="s">
        <v>2000</v>
      </c>
      <c r="E1015" s="235" t="s">
        <v>3743</v>
      </c>
      <c r="F1015" s="243" t="s">
        <v>1137</v>
      </c>
      <c r="G1015" s="225">
        <v>408.0</v>
      </c>
      <c r="H1015" s="243">
        <v>6.0</v>
      </c>
      <c r="I1015" s="226">
        <v>30.0</v>
      </c>
      <c r="J1015" s="226">
        <v>0.0</v>
      </c>
      <c r="K1015" s="226">
        <v>0.0</v>
      </c>
      <c r="L1015" s="49">
        <v>1.0</v>
      </c>
      <c r="M1015" s="212" t="s">
        <v>4389</v>
      </c>
      <c r="N1015" s="49" t="s">
        <v>1137</v>
      </c>
      <c r="O1015" s="55" t="s">
        <v>4416</v>
      </c>
      <c r="P1015" s="49" t="s">
        <v>29</v>
      </c>
      <c r="Q1015" s="114">
        <v>0.0</v>
      </c>
      <c r="R1015" s="46"/>
    </row>
    <row r="1016" ht="14.25" customHeight="1">
      <c r="A1016" s="211">
        <v>11.0</v>
      </c>
      <c r="B1016" s="212" t="s">
        <v>4417</v>
      </c>
      <c r="C1016" s="212" t="s">
        <v>1552</v>
      </c>
      <c r="D1016" s="235" t="s">
        <v>2000</v>
      </c>
      <c r="E1016" s="235" t="s">
        <v>3743</v>
      </c>
      <c r="F1016" s="243" t="s">
        <v>1137</v>
      </c>
      <c r="G1016" s="225">
        <v>650.0</v>
      </c>
      <c r="H1016" s="243">
        <v>10.0</v>
      </c>
      <c r="I1016" s="226">
        <v>50.0</v>
      </c>
      <c r="J1016" s="226">
        <v>1.0</v>
      </c>
      <c r="K1016" s="226">
        <v>1.0</v>
      </c>
      <c r="L1016" s="49">
        <v>0.0</v>
      </c>
      <c r="M1016" s="212" t="s">
        <v>4389</v>
      </c>
      <c r="N1016" s="49" t="s">
        <v>1137</v>
      </c>
      <c r="O1016" s="55" t="s">
        <v>4418</v>
      </c>
      <c r="P1016" s="49" t="s">
        <v>29</v>
      </c>
      <c r="Q1016" s="114">
        <v>0.0</v>
      </c>
      <c r="R1016" s="46"/>
    </row>
    <row r="1017" ht="14.25" customHeight="1">
      <c r="A1017" s="211">
        <v>12.0</v>
      </c>
      <c r="B1017" s="212" t="s">
        <v>4419</v>
      </c>
      <c r="C1017" s="212" t="s">
        <v>4420</v>
      </c>
      <c r="D1017" s="235" t="s">
        <v>2000</v>
      </c>
      <c r="E1017" s="235" t="s">
        <v>3743</v>
      </c>
      <c r="F1017" s="243" t="s">
        <v>1137</v>
      </c>
      <c r="G1017" s="225">
        <v>507.0</v>
      </c>
      <c r="H1017" s="243">
        <v>9.0</v>
      </c>
      <c r="I1017" s="226">
        <v>45.0</v>
      </c>
      <c r="J1017" s="226">
        <v>0.0</v>
      </c>
      <c r="K1017" s="226">
        <v>0.0</v>
      </c>
      <c r="L1017" s="49">
        <v>1.0</v>
      </c>
      <c r="M1017" s="212" t="s">
        <v>4389</v>
      </c>
      <c r="N1017" s="49" t="s">
        <v>1137</v>
      </c>
      <c r="O1017" s="55" t="s">
        <v>4421</v>
      </c>
      <c r="P1017" s="49" t="s">
        <v>29</v>
      </c>
      <c r="Q1017" s="114">
        <v>0.0</v>
      </c>
      <c r="R1017" s="46"/>
    </row>
    <row r="1018" ht="14.25" customHeight="1">
      <c r="A1018" s="211">
        <v>13.0</v>
      </c>
      <c r="B1018" s="212" t="s">
        <v>4422</v>
      </c>
      <c r="C1018" s="212" t="s">
        <v>4423</v>
      </c>
      <c r="D1018" s="235" t="s">
        <v>2000</v>
      </c>
      <c r="E1018" s="235" t="s">
        <v>3743</v>
      </c>
      <c r="F1018" s="243" t="s">
        <v>1137</v>
      </c>
      <c r="G1018" s="225">
        <v>385.0</v>
      </c>
      <c r="H1018" s="243">
        <v>5.0</v>
      </c>
      <c r="I1018" s="226">
        <v>25.0</v>
      </c>
      <c r="J1018" s="226">
        <v>0.0</v>
      </c>
      <c r="K1018" s="226">
        <v>0.0</v>
      </c>
      <c r="L1018" s="49">
        <v>1.0</v>
      </c>
      <c r="M1018" s="212" t="s">
        <v>4389</v>
      </c>
      <c r="N1018" s="49" t="s">
        <v>1137</v>
      </c>
      <c r="O1018" s="55" t="s">
        <v>4424</v>
      </c>
      <c r="P1018" s="49" t="s">
        <v>29</v>
      </c>
      <c r="Q1018" s="114">
        <v>0.0</v>
      </c>
      <c r="R1018" s="46"/>
    </row>
    <row r="1019" ht="14.25" customHeight="1">
      <c r="A1019" s="211">
        <v>14.0</v>
      </c>
      <c r="B1019" s="212" t="s">
        <v>4425</v>
      </c>
      <c r="C1019" s="212" t="s">
        <v>4426</v>
      </c>
      <c r="D1019" s="235" t="s">
        <v>2000</v>
      </c>
      <c r="E1019" s="235" t="s">
        <v>3743</v>
      </c>
      <c r="F1019" s="243" t="s">
        <v>1137</v>
      </c>
      <c r="G1019" s="225">
        <v>408.0</v>
      </c>
      <c r="H1019" s="243">
        <v>6.0</v>
      </c>
      <c r="I1019" s="226">
        <v>30.0</v>
      </c>
      <c r="J1019" s="226">
        <v>0.0</v>
      </c>
      <c r="K1019" s="226">
        <v>0.0</v>
      </c>
      <c r="L1019" s="49">
        <v>1.0</v>
      </c>
      <c r="M1019" s="212" t="s">
        <v>4389</v>
      </c>
      <c r="N1019" s="49" t="s">
        <v>1137</v>
      </c>
      <c r="O1019" s="55" t="s">
        <v>4427</v>
      </c>
      <c r="P1019" s="49" t="s">
        <v>29</v>
      </c>
      <c r="Q1019" s="114">
        <v>0.0</v>
      </c>
      <c r="R1019" s="46"/>
    </row>
    <row r="1020" ht="14.25" customHeight="1">
      <c r="A1020" s="211">
        <v>15.0</v>
      </c>
      <c r="B1020" s="212" t="s">
        <v>4428</v>
      </c>
      <c r="C1020" s="212" t="s">
        <v>4429</v>
      </c>
      <c r="D1020" s="235" t="s">
        <v>2000</v>
      </c>
      <c r="E1020" s="235" t="s">
        <v>3743</v>
      </c>
      <c r="F1020" s="243" t="s">
        <v>1137</v>
      </c>
      <c r="G1020" s="225">
        <v>408.0</v>
      </c>
      <c r="H1020" s="243">
        <v>6.0</v>
      </c>
      <c r="I1020" s="226">
        <v>30.0</v>
      </c>
      <c r="J1020" s="226">
        <v>0.0</v>
      </c>
      <c r="K1020" s="226">
        <v>0.0</v>
      </c>
      <c r="L1020" s="49">
        <v>1.0</v>
      </c>
      <c r="M1020" s="212" t="s">
        <v>4389</v>
      </c>
      <c r="N1020" s="49" t="s">
        <v>1137</v>
      </c>
      <c r="O1020" s="55" t="s">
        <v>4430</v>
      </c>
      <c r="P1020" s="49" t="s">
        <v>29</v>
      </c>
      <c r="Q1020" s="114">
        <v>0.0</v>
      </c>
      <c r="R1020" s="46"/>
    </row>
    <row r="1021" ht="14.25" customHeight="1">
      <c r="A1021" s="211">
        <v>16.0</v>
      </c>
      <c r="B1021" s="212" t="s">
        <v>4431</v>
      </c>
      <c r="C1021" s="212" t="s">
        <v>1552</v>
      </c>
      <c r="D1021" s="235" t="s">
        <v>2000</v>
      </c>
      <c r="E1021" s="235" t="s">
        <v>3743</v>
      </c>
      <c r="F1021" s="243" t="s">
        <v>1137</v>
      </c>
      <c r="G1021" s="225">
        <v>982.0</v>
      </c>
      <c r="H1021" s="243">
        <v>20.0</v>
      </c>
      <c r="I1021" s="226">
        <v>100.0</v>
      </c>
      <c r="J1021" s="226">
        <v>1.0</v>
      </c>
      <c r="K1021" s="226">
        <v>1.0</v>
      </c>
      <c r="L1021" s="49">
        <v>0.0</v>
      </c>
      <c r="M1021" s="212" t="s">
        <v>4389</v>
      </c>
      <c r="N1021" s="49" t="s">
        <v>1137</v>
      </c>
      <c r="O1021" s="55" t="s">
        <v>4432</v>
      </c>
      <c r="P1021" s="49" t="s">
        <v>66</v>
      </c>
      <c r="Q1021" s="114">
        <v>32.0</v>
      </c>
      <c r="R1021" s="46"/>
    </row>
    <row r="1022" ht="15.75" customHeight="1">
      <c r="A1022" s="181"/>
      <c r="B1022" s="182" t="s">
        <v>4433</v>
      </c>
      <c r="C1022" s="182"/>
      <c r="D1022" s="22"/>
      <c r="E1022" s="22"/>
      <c r="F1022" s="209"/>
      <c r="G1022" s="210"/>
      <c r="H1022" s="22"/>
      <c r="I1022" s="22"/>
      <c r="J1022" s="22"/>
      <c r="K1022" s="22"/>
      <c r="L1022" s="22"/>
      <c r="M1022" s="22"/>
      <c r="N1022" s="22"/>
      <c r="O1022" s="22"/>
      <c r="P1022" s="22"/>
      <c r="Q1022" s="209"/>
      <c r="R1022" s="22"/>
    </row>
    <row r="1023" ht="14.25" customHeight="1">
      <c r="A1023" s="211">
        <v>1.0</v>
      </c>
      <c r="B1023" s="212" t="s">
        <v>4434</v>
      </c>
      <c r="C1023" s="212" t="s">
        <v>4435</v>
      </c>
      <c r="D1023" s="235" t="s">
        <v>25</v>
      </c>
      <c r="E1023" s="235" t="s">
        <v>57</v>
      </c>
      <c r="F1023" s="243" t="s">
        <v>401</v>
      </c>
      <c r="G1023" s="225" t="s">
        <v>4436</v>
      </c>
      <c r="H1023" s="237">
        <v>43.0</v>
      </c>
      <c r="I1023" s="226">
        <v>176.0</v>
      </c>
      <c r="J1023" s="226">
        <v>0.0</v>
      </c>
      <c r="K1023" s="226">
        <v>0.0</v>
      </c>
      <c r="L1023" s="49">
        <v>0.0</v>
      </c>
      <c r="M1023" s="212" t="s">
        <v>27</v>
      </c>
      <c r="N1023" s="49" t="s">
        <v>401</v>
      </c>
      <c r="O1023" s="49">
        <v>100.0</v>
      </c>
      <c r="P1023" s="49" t="s">
        <v>29</v>
      </c>
      <c r="Q1023" s="114">
        <v>0.0</v>
      </c>
      <c r="R1023" s="46"/>
    </row>
    <row r="1024" ht="14.25" customHeight="1">
      <c r="A1024" s="211">
        <v>2.0</v>
      </c>
      <c r="B1024" s="212" t="s">
        <v>4437</v>
      </c>
      <c r="C1024" s="212" t="s">
        <v>4435</v>
      </c>
      <c r="D1024" s="235" t="s">
        <v>25</v>
      </c>
      <c r="E1024" s="235" t="s">
        <v>57</v>
      </c>
      <c r="F1024" s="243" t="s">
        <v>401</v>
      </c>
      <c r="G1024" s="225" t="s">
        <v>4438</v>
      </c>
      <c r="H1024" s="237">
        <v>67.0</v>
      </c>
      <c r="I1024" s="226">
        <v>275.0</v>
      </c>
      <c r="J1024" s="226">
        <v>0.0</v>
      </c>
      <c r="K1024" s="226">
        <v>0.0</v>
      </c>
      <c r="L1024" s="49">
        <v>1.0</v>
      </c>
      <c r="M1024" s="212" t="s">
        <v>27</v>
      </c>
      <c r="N1024" s="49" t="s">
        <v>401</v>
      </c>
      <c r="O1024" s="49">
        <v>200.0</v>
      </c>
      <c r="P1024" s="49" t="s">
        <v>29</v>
      </c>
      <c r="Q1024" s="114">
        <v>0.0</v>
      </c>
      <c r="R1024" s="46"/>
    </row>
    <row r="1025" ht="14.25" customHeight="1">
      <c r="A1025" s="211">
        <v>3.0</v>
      </c>
      <c r="B1025" s="212" t="s">
        <v>4439</v>
      </c>
      <c r="C1025" s="212" t="s">
        <v>4440</v>
      </c>
      <c r="D1025" s="235" t="s">
        <v>25</v>
      </c>
      <c r="E1025" s="235" t="s">
        <v>57</v>
      </c>
      <c r="F1025" s="243" t="s">
        <v>401</v>
      </c>
      <c r="G1025" s="225" t="s">
        <v>4441</v>
      </c>
      <c r="H1025" s="237">
        <v>52.0</v>
      </c>
      <c r="I1025" s="226">
        <v>212.0</v>
      </c>
      <c r="J1025" s="226">
        <v>1.0</v>
      </c>
      <c r="K1025" s="226">
        <v>1.0</v>
      </c>
      <c r="L1025" s="49">
        <v>0.0</v>
      </c>
      <c r="M1025" s="212" t="s">
        <v>27</v>
      </c>
      <c r="N1025" s="49" t="s">
        <v>401</v>
      </c>
      <c r="O1025" s="49">
        <v>100.0</v>
      </c>
      <c r="P1025" s="49" t="s">
        <v>29</v>
      </c>
      <c r="Q1025" s="114">
        <v>0.0</v>
      </c>
      <c r="R1025" s="46"/>
    </row>
    <row r="1026" ht="14.25" customHeight="1">
      <c r="A1026" s="211">
        <v>4.0</v>
      </c>
      <c r="B1026" s="212" t="s">
        <v>4442</v>
      </c>
      <c r="C1026" s="212" t="s">
        <v>4443</v>
      </c>
      <c r="D1026" s="235" t="s">
        <v>25</v>
      </c>
      <c r="E1026" s="235" t="s">
        <v>57</v>
      </c>
      <c r="F1026" s="243" t="s">
        <v>401</v>
      </c>
      <c r="G1026" s="225" t="s">
        <v>4444</v>
      </c>
      <c r="H1026" s="237">
        <v>37.0</v>
      </c>
      <c r="I1026" s="226">
        <v>153.0</v>
      </c>
      <c r="J1026" s="226">
        <v>1.0</v>
      </c>
      <c r="K1026" s="226">
        <v>1.0</v>
      </c>
      <c r="L1026" s="49">
        <v>0.0</v>
      </c>
      <c r="M1026" s="212" t="s">
        <v>27</v>
      </c>
      <c r="N1026" s="49" t="s">
        <v>401</v>
      </c>
      <c r="O1026" s="49">
        <v>100.0</v>
      </c>
      <c r="P1026" s="49" t="s">
        <v>29</v>
      </c>
      <c r="Q1026" s="114">
        <v>0.0</v>
      </c>
      <c r="R1026" s="46"/>
    </row>
    <row r="1027" ht="14.25" customHeight="1">
      <c r="A1027" s="211">
        <v>5.0</v>
      </c>
      <c r="B1027" s="212" t="s">
        <v>4445</v>
      </c>
      <c r="C1027" s="212" t="s">
        <v>4443</v>
      </c>
      <c r="D1027" s="235" t="s">
        <v>25</v>
      </c>
      <c r="E1027" s="235" t="s">
        <v>57</v>
      </c>
      <c r="F1027" s="243" t="s">
        <v>401</v>
      </c>
      <c r="G1027" s="225" t="s">
        <v>2791</v>
      </c>
      <c r="H1027" s="237">
        <v>28.0</v>
      </c>
      <c r="I1027" s="226">
        <v>113.0</v>
      </c>
      <c r="J1027" s="226">
        <v>1.0</v>
      </c>
      <c r="K1027" s="226">
        <v>1.0</v>
      </c>
      <c r="L1027" s="49">
        <v>0.0</v>
      </c>
      <c r="M1027" s="212" t="s">
        <v>27</v>
      </c>
      <c r="N1027" s="49" t="s">
        <v>401</v>
      </c>
      <c r="O1027" s="49">
        <v>100.0</v>
      </c>
      <c r="P1027" s="49" t="s">
        <v>29</v>
      </c>
      <c r="Q1027" s="114">
        <v>0.0</v>
      </c>
      <c r="R1027" s="46"/>
    </row>
    <row r="1028" ht="14.25" customHeight="1">
      <c r="A1028" s="211">
        <v>6.0</v>
      </c>
      <c r="B1028" s="212" t="s">
        <v>4446</v>
      </c>
      <c r="C1028" s="212" t="s">
        <v>4447</v>
      </c>
      <c r="D1028" s="235" t="s">
        <v>25</v>
      </c>
      <c r="E1028" s="235" t="s">
        <v>57</v>
      </c>
      <c r="F1028" s="243" t="s">
        <v>401</v>
      </c>
      <c r="G1028" s="225" t="s">
        <v>4448</v>
      </c>
      <c r="H1028" s="237">
        <v>36.0</v>
      </c>
      <c r="I1028" s="226">
        <v>149.0</v>
      </c>
      <c r="J1028" s="226">
        <v>1.0</v>
      </c>
      <c r="K1028" s="226">
        <v>1.0</v>
      </c>
      <c r="L1028" s="49">
        <v>0.0</v>
      </c>
      <c r="M1028" s="212" t="s">
        <v>27</v>
      </c>
      <c r="N1028" s="49" t="s">
        <v>401</v>
      </c>
      <c r="O1028" s="49">
        <v>100.0</v>
      </c>
      <c r="P1028" s="49" t="s">
        <v>29</v>
      </c>
      <c r="Q1028" s="114">
        <v>0.0</v>
      </c>
      <c r="R1028" s="46"/>
    </row>
    <row r="1029" ht="14.25" customHeight="1">
      <c r="A1029" s="211">
        <v>7.0</v>
      </c>
      <c r="B1029" s="212" t="s">
        <v>4449</v>
      </c>
      <c r="C1029" s="212" t="s">
        <v>4447</v>
      </c>
      <c r="D1029" s="235" t="s">
        <v>25</v>
      </c>
      <c r="E1029" s="235" t="s">
        <v>57</v>
      </c>
      <c r="F1029" s="243" t="s">
        <v>401</v>
      </c>
      <c r="G1029" s="225" t="s">
        <v>4450</v>
      </c>
      <c r="H1029" s="237">
        <v>30.0</v>
      </c>
      <c r="I1029" s="226">
        <v>123.0</v>
      </c>
      <c r="J1029" s="226">
        <v>1.0</v>
      </c>
      <c r="K1029" s="226">
        <v>1.0</v>
      </c>
      <c r="L1029" s="49">
        <v>0.0</v>
      </c>
      <c r="M1029" s="212" t="s">
        <v>27</v>
      </c>
      <c r="N1029" s="49" t="s">
        <v>401</v>
      </c>
      <c r="O1029" s="49">
        <v>100.0</v>
      </c>
      <c r="P1029" s="49" t="s">
        <v>29</v>
      </c>
      <c r="Q1029" s="114">
        <v>0.0</v>
      </c>
      <c r="R1029" s="46"/>
    </row>
    <row r="1030" ht="14.25" customHeight="1">
      <c r="A1030" s="211">
        <v>8.0</v>
      </c>
      <c r="B1030" s="212" t="s">
        <v>2130</v>
      </c>
      <c r="C1030" s="212" t="s">
        <v>4451</v>
      </c>
      <c r="D1030" s="235" t="s">
        <v>25</v>
      </c>
      <c r="E1030" s="235" t="s">
        <v>57</v>
      </c>
      <c r="F1030" s="243" t="s">
        <v>401</v>
      </c>
      <c r="G1030" s="225" t="s">
        <v>4452</v>
      </c>
      <c r="H1030" s="237">
        <v>38.0</v>
      </c>
      <c r="I1030" s="226">
        <v>157.0</v>
      </c>
      <c r="J1030" s="226">
        <v>0.0</v>
      </c>
      <c r="K1030" s="226">
        <v>0.0</v>
      </c>
      <c r="L1030" s="49">
        <v>0.0</v>
      </c>
      <c r="M1030" s="212" t="s">
        <v>27</v>
      </c>
      <c r="N1030" s="49" t="s">
        <v>401</v>
      </c>
      <c r="O1030" s="49">
        <v>100.0</v>
      </c>
      <c r="P1030" s="49" t="s">
        <v>29</v>
      </c>
      <c r="Q1030" s="114">
        <v>0.0</v>
      </c>
      <c r="R1030" s="46"/>
    </row>
    <row r="1031" ht="14.25" customHeight="1">
      <c r="A1031" s="211">
        <v>9.0</v>
      </c>
      <c r="B1031" s="212" t="s">
        <v>4453</v>
      </c>
      <c r="C1031" s="212" t="s">
        <v>4454</v>
      </c>
      <c r="D1031" s="235" t="s">
        <v>25</v>
      </c>
      <c r="E1031" s="235" t="s">
        <v>57</v>
      </c>
      <c r="F1031" s="243" t="s">
        <v>401</v>
      </c>
      <c r="G1031" s="225" t="s">
        <v>4455</v>
      </c>
      <c r="H1031" s="237">
        <v>62.0</v>
      </c>
      <c r="I1031" s="226">
        <v>255.0</v>
      </c>
      <c r="J1031" s="226">
        <v>1.0</v>
      </c>
      <c r="K1031" s="226">
        <v>1.0</v>
      </c>
      <c r="L1031" s="49">
        <v>0.0</v>
      </c>
      <c r="M1031" s="212" t="s">
        <v>27</v>
      </c>
      <c r="N1031" s="49" t="s">
        <v>401</v>
      </c>
      <c r="O1031" s="49">
        <v>150.0</v>
      </c>
      <c r="P1031" s="49" t="s">
        <v>29</v>
      </c>
      <c r="Q1031" s="114">
        <v>0.0</v>
      </c>
      <c r="R1031" s="46"/>
    </row>
    <row r="1032" ht="14.25" customHeight="1">
      <c r="A1032" s="211">
        <v>10.0</v>
      </c>
      <c r="B1032" s="212" t="s">
        <v>4456</v>
      </c>
      <c r="C1032" s="212" t="s">
        <v>4454</v>
      </c>
      <c r="D1032" s="235" t="s">
        <v>25</v>
      </c>
      <c r="E1032" s="235" t="s">
        <v>57</v>
      </c>
      <c r="F1032" s="243" t="s">
        <v>401</v>
      </c>
      <c r="G1032" s="225" t="s">
        <v>4457</v>
      </c>
      <c r="H1032" s="237">
        <v>50.0</v>
      </c>
      <c r="I1032" s="226">
        <v>205.0</v>
      </c>
      <c r="J1032" s="226">
        <v>1.0</v>
      </c>
      <c r="K1032" s="226">
        <v>1.0</v>
      </c>
      <c r="L1032" s="49">
        <v>0.0</v>
      </c>
      <c r="M1032" s="212" t="s">
        <v>27</v>
      </c>
      <c r="N1032" s="49" t="s">
        <v>401</v>
      </c>
      <c r="O1032" s="49">
        <v>150.0</v>
      </c>
      <c r="P1032" s="49" t="s">
        <v>29</v>
      </c>
      <c r="Q1032" s="114">
        <v>0.0</v>
      </c>
      <c r="R1032" s="46"/>
    </row>
    <row r="1033" ht="14.25" customHeight="1">
      <c r="A1033" s="211">
        <v>11.0</v>
      </c>
      <c r="B1033" s="212" t="s">
        <v>4458</v>
      </c>
      <c r="C1033" s="212" t="s">
        <v>4459</v>
      </c>
      <c r="D1033" s="235" t="s">
        <v>25</v>
      </c>
      <c r="E1033" s="235" t="s">
        <v>57</v>
      </c>
      <c r="F1033" s="243" t="s">
        <v>401</v>
      </c>
      <c r="G1033" s="225" t="s">
        <v>4460</v>
      </c>
      <c r="H1033" s="237">
        <v>63.0</v>
      </c>
      <c r="I1033" s="226">
        <v>259.0</v>
      </c>
      <c r="J1033" s="226">
        <v>1.0</v>
      </c>
      <c r="K1033" s="226">
        <v>1.0</v>
      </c>
      <c r="L1033" s="49">
        <v>0.0</v>
      </c>
      <c r="M1033" s="212" t="s">
        <v>27</v>
      </c>
      <c r="N1033" s="49" t="s">
        <v>401</v>
      </c>
      <c r="O1033" s="49">
        <v>200.0</v>
      </c>
      <c r="P1033" s="49" t="s">
        <v>29</v>
      </c>
      <c r="Q1033" s="114">
        <v>0.0</v>
      </c>
      <c r="R1033" s="46"/>
    </row>
    <row r="1034" ht="14.25" customHeight="1">
      <c r="A1034" s="211">
        <v>12.0</v>
      </c>
      <c r="B1034" s="212" t="s">
        <v>4461</v>
      </c>
      <c r="C1034" s="212" t="s">
        <v>4459</v>
      </c>
      <c r="D1034" s="235" t="s">
        <v>25</v>
      </c>
      <c r="E1034" s="235" t="s">
        <v>57</v>
      </c>
      <c r="F1034" s="243" t="s">
        <v>401</v>
      </c>
      <c r="G1034" s="225" t="s">
        <v>4462</v>
      </c>
      <c r="H1034" s="237">
        <v>33.0</v>
      </c>
      <c r="I1034" s="226">
        <v>136.0</v>
      </c>
      <c r="J1034" s="226">
        <v>1.0</v>
      </c>
      <c r="K1034" s="226">
        <v>1.0</v>
      </c>
      <c r="L1034" s="49">
        <v>0.0</v>
      </c>
      <c r="M1034" s="212" t="s">
        <v>27</v>
      </c>
      <c r="N1034" s="49" t="s">
        <v>401</v>
      </c>
      <c r="O1034" s="49">
        <v>150.0</v>
      </c>
      <c r="P1034" s="49" t="s">
        <v>29</v>
      </c>
      <c r="Q1034" s="114">
        <v>0.0</v>
      </c>
      <c r="R1034" s="46"/>
    </row>
    <row r="1035" ht="14.25" customHeight="1">
      <c r="A1035" s="211">
        <v>13.0</v>
      </c>
      <c r="B1035" s="212" t="s">
        <v>4463</v>
      </c>
      <c r="C1035" s="212" t="s">
        <v>4464</v>
      </c>
      <c r="D1035" s="235" t="s">
        <v>25</v>
      </c>
      <c r="E1035" s="235" t="s">
        <v>57</v>
      </c>
      <c r="F1035" s="243" t="s">
        <v>401</v>
      </c>
      <c r="G1035" s="225" t="s">
        <v>4465</v>
      </c>
      <c r="H1035" s="237">
        <v>116.0</v>
      </c>
      <c r="I1035" s="226">
        <v>477.0</v>
      </c>
      <c r="J1035" s="226">
        <v>1.0</v>
      </c>
      <c r="K1035" s="226">
        <v>1.0</v>
      </c>
      <c r="L1035" s="49">
        <v>0.0</v>
      </c>
      <c r="M1035" s="212" t="s">
        <v>27</v>
      </c>
      <c r="N1035" s="49" t="s">
        <v>401</v>
      </c>
      <c r="O1035" s="49">
        <v>100.0</v>
      </c>
      <c r="P1035" s="49" t="s">
        <v>29</v>
      </c>
      <c r="Q1035" s="114">
        <v>0.0</v>
      </c>
      <c r="R1035" s="46"/>
    </row>
    <row r="1036" ht="14.25" customHeight="1">
      <c r="A1036" s="211">
        <v>14.0</v>
      </c>
      <c r="B1036" s="212" t="s">
        <v>4466</v>
      </c>
      <c r="C1036" s="212" t="s">
        <v>4467</v>
      </c>
      <c r="D1036" s="235" t="s">
        <v>25</v>
      </c>
      <c r="E1036" s="235" t="s">
        <v>57</v>
      </c>
      <c r="F1036" s="243" t="s">
        <v>401</v>
      </c>
      <c r="G1036" s="225" t="s">
        <v>1754</v>
      </c>
      <c r="H1036" s="237">
        <v>117.0</v>
      </c>
      <c r="I1036" s="226">
        <v>480.0</v>
      </c>
      <c r="J1036" s="226">
        <v>1.0</v>
      </c>
      <c r="K1036" s="226">
        <v>1.0</v>
      </c>
      <c r="L1036" s="49">
        <v>1.0</v>
      </c>
      <c r="M1036" s="212" t="s">
        <v>4468</v>
      </c>
      <c r="N1036" s="49" t="s">
        <v>401</v>
      </c>
      <c r="O1036" s="49">
        <v>2000.0</v>
      </c>
      <c r="P1036" s="49" t="s">
        <v>66</v>
      </c>
      <c r="Q1036" s="114">
        <v>40.0</v>
      </c>
      <c r="R1036" s="46"/>
    </row>
    <row r="1037" ht="14.25" customHeight="1">
      <c r="A1037" s="211">
        <v>15.0</v>
      </c>
      <c r="B1037" s="212" t="s">
        <v>4469</v>
      </c>
      <c r="C1037" s="212" t="s">
        <v>4470</v>
      </c>
      <c r="D1037" s="235" t="s">
        <v>25</v>
      </c>
      <c r="E1037" s="235" t="s">
        <v>57</v>
      </c>
      <c r="F1037" s="243" t="s">
        <v>401</v>
      </c>
      <c r="G1037" s="225" t="s">
        <v>4471</v>
      </c>
      <c r="H1037" s="237">
        <v>93.0</v>
      </c>
      <c r="I1037" s="226">
        <v>383.0</v>
      </c>
      <c r="J1037" s="226">
        <v>0.0</v>
      </c>
      <c r="K1037" s="226">
        <v>0.0</v>
      </c>
      <c r="L1037" s="49">
        <v>1.0</v>
      </c>
      <c r="M1037" s="212" t="s">
        <v>27</v>
      </c>
      <c r="N1037" s="49" t="s">
        <v>401</v>
      </c>
      <c r="O1037" s="49">
        <v>200.0</v>
      </c>
      <c r="P1037" s="49" t="s">
        <v>29</v>
      </c>
      <c r="Q1037" s="114">
        <v>0.0</v>
      </c>
      <c r="R1037" s="46"/>
    </row>
    <row r="1038" ht="14.25" customHeight="1">
      <c r="A1038" s="211">
        <v>16.0</v>
      </c>
      <c r="B1038" s="212" t="s">
        <v>4472</v>
      </c>
      <c r="C1038" s="212" t="s">
        <v>4470</v>
      </c>
      <c r="D1038" s="235" t="s">
        <v>25</v>
      </c>
      <c r="E1038" s="235" t="s">
        <v>57</v>
      </c>
      <c r="F1038" s="243" t="s">
        <v>401</v>
      </c>
      <c r="G1038" s="225" t="s">
        <v>4473</v>
      </c>
      <c r="H1038" s="237">
        <v>77.0</v>
      </c>
      <c r="I1038" s="226">
        <v>316.0</v>
      </c>
      <c r="J1038" s="226">
        <v>0.0</v>
      </c>
      <c r="K1038" s="226">
        <v>0.0</v>
      </c>
      <c r="L1038" s="49">
        <v>0.0</v>
      </c>
      <c r="M1038" s="212" t="s">
        <v>27</v>
      </c>
      <c r="N1038" s="49" t="s">
        <v>401</v>
      </c>
      <c r="O1038" s="49">
        <v>200.0</v>
      </c>
      <c r="P1038" s="49" t="s">
        <v>29</v>
      </c>
      <c r="Q1038" s="114">
        <v>0.0</v>
      </c>
      <c r="R1038" s="46"/>
    </row>
    <row r="1039" ht="14.25" customHeight="1">
      <c r="A1039" s="211">
        <v>17.0</v>
      </c>
      <c r="B1039" s="212" t="s">
        <v>4474</v>
      </c>
      <c r="C1039" s="212" t="s">
        <v>4475</v>
      </c>
      <c r="D1039" s="235" t="s">
        <v>25</v>
      </c>
      <c r="E1039" s="235" t="s">
        <v>57</v>
      </c>
      <c r="F1039" s="243" t="s">
        <v>401</v>
      </c>
      <c r="G1039" s="225" t="s">
        <v>4476</v>
      </c>
      <c r="H1039" s="237">
        <v>80.0</v>
      </c>
      <c r="I1039" s="226">
        <v>327.0</v>
      </c>
      <c r="J1039" s="226">
        <v>0.0</v>
      </c>
      <c r="K1039" s="226">
        <v>0.0</v>
      </c>
      <c r="L1039" s="49">
        <v>1.0</v>
      </c>
      <c r="M1039" s="212" t="s">
        <v>27</v>
      </c>
      <c r="N1039" s="49" t="s">
        <v>401</v>
      </c>
      <c r="O1039" s="49">
        <v>200.0</v>
      </c>
      <c r="P1039" s="49" t="s">
        <v>29</v>
      </c>
      <c r="Q1039" s="114">
        <v>0.0</v>
      </c>
      <c r="R1039" s="46"/>
    </row>
    <row r="1040" ht="14.25" customHeight="1">
      <c r="A1040" s="211">
        <v>18.0</v>
      </c>
      <c r="B1040" s="212" t="s">
        <v>4477</v>
      </c>
      <c r="C1040" s="212" t="s">
        <v>4475</v>
      </c>
      <c r="D1040" s="235" t="s">
        <v>25</v>
      </c>
      <c r="E1040" s="235" t="s">
        <v>57</v>
      </c>
      <c r="F1040" s="243" t="s">
        <v>401</v>
      </c>
      <c r="G1040" s="225" t="s">
        <v>4478</v>
      </c>
      <c r="H1040" s="237">
        <v>55.0</v>
      </c>
      <c r="I1040" s="226">
        <v>227.0</v>
      </c>
      <c r="J1040" s="226">
        <v>0.0</v>
      </c>
      <c r="K1040" s="226">
        <v>0.0</v>
      </c>
      <c r="L1040" s="49">
        <v>0.0</v>
      </c>
      <c r="M1040" s="212" t="s">
        <v>27</v>
      </c>
      <c r="N1040" s="49" t="s">
        <v>401</v>
      </c>
      <c r="O1040" s="49">
        <v>200.0</v>
      </c>
      <c r="P1040" s="49" t="s">
        <v>29</v>
      </c>
      <c r="Q1040" s="114">
        <v>0.0</v>
      </c>
      <c r="R1040" s="46"/>
    </row>
    <row r="1041" ht="14.25" customHeight="1">
      <c r="A1041" s="211">
        <v>19.0</v>
      </c>
      <c r="B1041" s="212" t="s">
        <v>4479</v>
      </c>
      <c r="C1041" s="212" t="s">
        <v>4480</v>
      </c>
      <c r="D1041" s="235" t="s">
        <v>25</v>
      </c>
      <c r="E1041" s="235" t="s">
        <v>57</v>
      </c>
      <c r="F1041" s="243" t="s">
        <v>401</v>
      </c>
      <c r="G1041" s="225" t="s">
        <v>4481</v>
      </c>
      <c r="H1041" s="237">
        <v>42.0</v>
      </c>
      <c r="I1041" s="226">
        <v>171.0</v>
      </c>
      <c r="J1041" s="226">
        <v>0.0</v>
      </c>
      <c r="K1041" s="226">
        <v>0.0</v>
      </c>
      <c r="L1041" s="49">
        <v>0.0</v>
      </c>
      <c r="M1041" s="212" t="s">
        <v>27</v>
      </c>
      <c r="N1041" s="49" t="s">
        <v>401</v>
      </c>
      <c r="O1041" s="49">
        <v>200.0</v>
      </c>
      <c r="P1041" s="49" t="s">
        <v>29</v>
      </c>
      <c r="Q1041" s="114">
        <v>0.0</v>
      </c>
      <c r="R1041" s="46"/>
    </row>
    <row r="1042" ht="14.25" customHeight="1">
      <c r="A1042" s="211">
        <v>20.0</v>
      </c>
      <c r="B1042" s="212" t="s">
        <v>4482</v>
      </c>
      <c r="C1042" s="212" t="s">
        <v>4480</v>
      </c>
      <c r="D1042" s="235" t="s">
        <v>25</v>
      </c>
      <c r="E1042" s="235" t="s">
        <v>57</v>
      </c>
      <c r="F1042" s="243" t="s">
        <v>401</v>
      </c>
      <c r="G1042" s="225" t="s">
        <v>4483</v>
      </c>
      <c r="H1042" s="237">
        <v>37.0</v>
      </c>
      <c r="I1042" s="226">
        <v>152.0</v>
      </c>
      <c r="J1042" s="226">
        <v>1.0</v>
      </c>
      <c r="K1042" s="226">
        <v>1.0</v>
      </c>
      <c r="L1042" s="49">
        <v>0.0</v>
      </c>
      <c r="M1042" s="212" t="s">
        <v>27</v>
      </c>
      <c r="N1042" s="49" t="s">
        <v>401</v>
      </c>
      <c r="O1042" s="49">
        <v>100.0</v>
      </c>
      <c r="P1042" s="49" t="s">
        <v>29</v>
      </c>
      <c r="Q1042" s="114">
        <v>0.0</v>
      </c>
      <c r="R1042" s="46"/>
    </row>
    <row r="1043" ht="14.25" customHeight="1">
      <c r="A1043" s="211">
        <v>21.0</v>
      </c>
      <c r="B1043" s="212" t="s">
        <v>4484</v>
      </c>
      <c r="C1043" s="212" t="s">
        <v>4485</v>
      </c>
      <c r="D1043" s="235" t="s">
        <v>25</v>
      </c>
      <c r="E1043" s="235" t="s">
        <v>57</v>
      </c>
      <c r="F1043" s="243" t="s">
        <v>401</v>
      </c>
      <c r="G1043" s="225" t="s">
        <v>4486</v>
      </c>
      <c r="H1043" s="237">
        <v>25.0</v>
      </c>
      <c r="I1043" s="226">
        <v>103.0</v>
      </c>
      <c r="J1043" s="226">
        <v>1.0</v>
      </c>
      <c r="K1043" s="226">
        <v>1.0</v>
      </c>
      <c r="L1043" s="49">
        <v>1.0</v>
      </c>
      <c r="M1043" s="212" t="s">
        <v>27</v>
      </c>
      <c r="N1043" s="49" t="s">
        <v>401</v>
      </c>
      <c r="O1043" s="49">
        <v>200.0</v>
      </c>
      <c r="P1043" s="49" t="s">
        <v>29</v>
      </c>
      <c r="Q1043" s="114">
        <v>0.0</v>
      </c>
      <c r="R1043" s="46"/>
    </row>
    <row r="1044" ht="14.25" customHeight="1">
      <c r="A1044" s="211">
        <v>22.0</v>
      </c>
      <c r="B1044" s="212" t="s">
        <v>4487</v>
      </c>
      <c r="C1044" s="212" t="s">
        <v>4488</v>
      </c>
      <c r="D1044" s="235" t="s">
        <v>25</v>
      </c>
      <c r="E1044" s="235" t="s">
        <v>57</v>
      </c>
      <c r="F1044" s="243" t="s">
        <v>401</v>
      </c>
      <c r="G1044" s="225" t="s">
        <v>4438</v>
      </c>
      <c r="H1044" s="237">
        <v>66.0</v>
      </c>
      <c r="I1044" s="226">
        <v>270.0</v>
      </c>
      <c r="J1044" s="226">
        <v>0.0</v>
      </c>
      <c r="K1044" s="226">
        <v>0.0</v>
      </c>
      <c r="L1044" s="49">
        <v>0.0</v>
      </c>
      <c r="M1044" s="212" t="s">
        <v>27</v>
      </c>
      <c r="N1044" s="49" t="s">
        <v>401</v>
      </c>
      <c r="O1044" s="49">
        <v>500.0</v>
      </c>
      <c r="P1044" s="49" t="s">
        <v>29</v>
      </c>
      <c r="Q1044" s="114">
        <v>0.0</v>
      </c>
      <c r="R1044" s="46"/>
    </row>
    <row r="1045" ht="14.25" customHeight="1">
      <c r="A1045" s="211">
        <v>23.0</v>
      </c>
      <c r="B1045" s="212" t="s">
        <v>4489</v>
      </c>
      <c r="C1045" s="212" t="s">
        <v>4488</v>
      </c>
      <c r="D1045" s="235" t="s">
        <v>25</v>
      </c>
      <c r="E1045" s="235" t="s">
        <v>57</v>
      </c>
      <c r="F1045" s="243" t="s">
        <v>401</v>
      </c>
      <c r="G1045" s="225" t="s">
        <v>4490</v>
      </c>
      <c r="H1045" s="237">
        <v>55.0</v>
      </c>
      <c r="I1045" s="226">
        <v>225.0</v>
      </c>
      <c r="J1045" s="226">
        <v>0.0</v>
      </c>
      <c r="K1045" s="226">
        <v>0.0</v>
      </c>
      <c r="L1045" s="49">
        <v>1.0</v>
      </c>
      <c r="M1045" s="212" t="s">
        <v>27</v>
      </c>
      <c r="N1045" s="49" t="s">
        <v>401</v>
      </c>
      <c r="O1045" s="49">
        <v>200.0</v>
      </c>
      <c r="P1045" s="49" t="s">
        <v>29</v>
      </c>
      <c r="Q1045" s="114">
        <v>0.0</v>
      </c>
      <c r="R1045" s="46"/>
    </row>
    <row r="1046" ht="14.25" customHeight="1">
      <c r="A1046" s="211">
        <v>24.0</v>
      </c>
      <c r="B1046" s="212" t="s">
        <v>4491</v>
      </c>
      <c r="C1046" s="212" t="s">
        <v>4492</v>
      </c>
      <c r="D1046" s="235" t="s">
        <v>25</v>
      </c>
      <c r="E1046" s="235" t="s">
        <v>57</v>
      </c>
      <c r="F1046" s="243" t="s">
        <v>401</v>
      </c>
      <c r="G1046" s="225" t="s">
        <v>4493</v>
      </c>
      <c r="H1046" s="237">
        <v>51.0</v>
      </c>
      <c r="I1046" s="226">
        <v>208.0</v>
      </c>
      <c r="J1046" s="226">
        <v>0.0</v>
      </c>
      <c r="K1046" s="226">
        <v>0.0</v>
      </c>
      <c r="L1046" s="49">
        <v>0.0</v>
      </c>
      <c r="M1046" s="212" t="s">
        <v>27</v>
      </c>
      <c r="N1046" s="49" t="s">
        <v>401</v>
      </c>
      <c r="O1046" s="49">
        <v>500.0</v>
      </c>
      <c r="P1046" s="49" t="s">
        <v>29</v>
      </c>
      <c r="Q1046" s="114">
        <v>0.0</v>
      </c>
      <c r="R1046" s="46"/>
    </row>
    <row r="1047" ht="14.25" customHeight="1">
      <c r="A1047" s="211">
        <v>25.0</v>
      </c>
      <c r="B1047" s="212" t="s">
        <v>4494</v>
      </c>
      <c r="C1047" s="212" t="s">
        <v>4492</v>
      </c>
      <c r="D1047" s="235" t="s">
        <v>25</v>
      </c>
      <c r="E1047" s="235" t="s">
        <v>57</v>
      </c>
      <c r="F1047" s="243" t="s">
        <v>401</v>
      </c>
      <c r="G1047" s="225" t="s">
        <v>4495</v>
      </c>
      <c r="H1047" s="237">
        <v>18.0</v>
      </c>
      <c r="I1047" s="226">
        <v>73.0</v>
      </c>
      <c r="J1047" s="226">
        <v>1.0</v>
      </c>
      <c r="K1047" s="226">
        <v>1.0</v>
      </c>
      <c r="L1047" s="49">
        <v>0.0</v>
      </c>
      <c r="M1047" s="212" t="s">
        <v>27</v>
      </c>
      <c r="N1047" s="49" t="s">
        <v>401</v>
      </c>
      <c r="O1047" s="49">
        <v>100.0</v>
      </c>
      <c r="P1047" s="49" t="s">
        <v>29</v>
      </c>
      <c r="Q1047" s="114">
        <v>0.0</v>
      </c>
      <c r="R1047" s="46"/>
    </row>
    <row r="1048" ht="14.25" customHeight="1">
      <c r="A1048" s="211">
        <v>26.0</v>
      </c>
      <c r="B1048" s="212" t="s">
        <v>751</v>
      </c>
      <c r="C1048" s="212" t="s">
        <v>4496</v>
      </c>
      <c r="D1048" s="235" t="s">
        <v>25</v>
      </c>
      <c r="E1048" s="235" t="s">
        <v>57</v>
      </c>
      <c r="F1048" s="243" t="s">
        <v>401</v>
      </c>
      <c r="G1048" s="225" t="s">
        <v>4497</v>
      </c>
      <c r="H1048" s="237">
        <v>22.0</v>
      </c>
      <c r="I1048" s="226">
        <v>92.0</v>
      </c>
      <c r="J1048" s="226">
        <v>1.0</v>
      </c>
      <c r="K1048" s="226">
        <v>1.0</v>
      </c>
      <c r="L1048" s="49">
        <v>0.0</v>
      </c>
      <c r="M1048" s="212" t="s">
        <v>27</v>
      </c>
      <c r="N1048" s="49" t="s">
        <v>401</v>
      </c>
      <c r="O1048" s="49">
        <v>100.0</v>
      </c>
      <c r="P1048" s="49" t="s">
        <v>29</v>
      </c>
      <c r="Q1048" s="114">
        <v>0.0</v>
      </c>
      <c r="R1048" s="46"/>
    </row>
    <row r="1049" ht="14.25" customHeight="1">
      <c r="A1049" s="211">
        <v>27.0</v>
      </c>
      <c r="B1049" s="212" t="s">
        <v>4498</v>
      </c>
      <c r="C1049" s="212" t="s">
        <v>4496</v>
      </c>
      <c r="D1049" s="235" t="s">
        <v>25</v>
      </c>
      <c r="E1049" s="235" t="s">
        <v>57</v>
      </c>
      <c r="F1049" s="243" t="s">
        <v>401</v>
      </c>
      <c r="G1049" s="225" t="s">
        <v>4499</v>
      </c>
      <c r="H1049" s="237">
        <v>78.0</v>
      </c>
      <c r="I1049" s="226">
        <v>320.0</v>
      </c>
      <c r="J1049" s="226">
        <v>0.0</v>
      </c>
      <c r="K1049" s="226">
        <v>0.0</v>
      </c>
      <c r="L1049" s="49">
        <v>0.0</v>
      </c>
      <c r="M1049" s="212" t="s">
        <v>27</v>
      </c>
      <c r="N1049" s="49" t="s">
        <v>401</v>
      </c>
      <c r="O1049" s="49">
        <v>500.0</v>
      </c>
      <c r="P1049" s="49" t="s">
        <v>29</v>
      </c>
      <c r="Q1049" s="114">
        <v>0.0</v>
      </c>
      <c r="R1049" s="46"/>
    </row>
    <row r="1050" ht="14.25" customHeight="1">
      <c r="A1050" s="211">
        <v>28.0</v>
      </c>
      <c r="B1050" s="212" t="s">
        <v>4500</v>
      </c>
      <c r="C1050" s="212" t="s">
        <v>4501</v>
      </c>
      <c r="D1050" s="235" t="s">
        <v>25</v>
      </c>
      <c r="E1050" s="235" t="s">
        <v>57</v>
      </c>
      <c r="F1050" s="243" t="s">
        <v>401</v>
      </c>
      <c r="G1050" s="225" t="s">
        <v>4502</v>
      </c>
      <c r="H1050" s="237">
        <v>9.0</v>
      </c>
      <c r="I1050" s="226">
        <v>37.0</v>
      </c>
      <c r="J1050" s="226">
        <v>1.0</v>
      </c>
      <c r="K1050" s="226">
        <v>1.0</v>
      </c>
      <c r="L1050" s="49">
        <v>0.0</v>
      </c>
      <c r="M1050" s="212" t="s">
        <v>27</v>
      </c>
      <c r="N1050" s="49" t="s">
        <v>401</v>
      </c>
      <c r="O1050" s="49">
        <v>500.0</v>
      </c>
      <c r="P1050" s="49" t="s">
        <v>29</v>
      </c>
      <c r="Q1050" s="114">
        <v>0.0</v>
      </c>
      <c r="R1050" s="46"/>
    </row>
    <row r="1051" ht="15.75" customHeight="1">
      <c r="A1051" s="181"/>
      <c r="B1051" s="182" t="s">
        <v>4503</v>
      </c>
      <c r="C1051" s="182"/>
      <c r="D1051" s="22"/>
      <c r="E1051" s="22"/>
      <c r="F1051" s="209"/>
      <c r="G1051" s="210"/>
      <c r="H1051" s="22"/>
      <c r="I1051" s="22"/>
      <c r="J1051" s="22"/>
      <c r="K1051" s="22"/>
      <c r="L1051" s="22"/>
      <c r="M1051" s="22"/>
      <c r="N1051" s="22"/>
      <c r="O1051" s="22"/>
      <c r="P1051" s="22"/>
      <c r="Q1051" s="209"/>
      <c r="R1051" s="22"/>
    </row>
    <row r="1052" ht="14.25" customHeight="1">
      <c r="A1052" s="211">
        <v>1.0</v>
      </c>
      <c r="B1052" s="212" t="s">
        <v>4504</v>
      </c>
      <c r="C1052" s="212" t="s">
        <v>1552</v>
      </c>
      <c r="D1052" s="235" t="s">
        <v>25</v>
      </c>
      <c r="E1052" s="235" t="s">
        <v>4260</v>
      </c>
      <c r="F1052" s="243"/>
      <c r="G1052" s="225" t="s">
        <v>4505</v>
      </c>
      <c r="H1052" s="237">
        <v>600.0</v>
      </c>
      <c r="I1052" s="226" t="s">
        <v>4506</v>
      </c>
      <c r="J1052" s="226">
        <v>2.0</v>
      </c>
      <c r="K1052" s="226">
        <v>2.0</v>
      </c>
      <c r="L1052" s="49" t="s">
        <v>138</v>
      </c>
      <c r="M1052" s="212" t="s">
        <v>4507</v>
      </c>
      <c r="N1052" s="49" t="s">
        <v>59</v>
      </c>
      <c r="O1052" s="49">
        <v>1000.0</v>
      </c>
      <c r="P1052" s="49" t="s">
        <v>29</v>
      </c>
      <c r="Q1052" s="114">
        <v>0.0</v>
      </c>
      <c r="R1052" s="46"/>
    </row>
    <row r="1053" ht="14.25" customHeight="1">
      <c r="A1053" s="211">
        <v>2.0</v>
      </c>
      <c r="B1053" s="212" t="s">
        <v>4508</v>
      </c>
      <c r="C1053" s="212" t="s">
        <v>4509</v>
      </c>
      <c r="D1053" s="235" t="s">
        <v>25</v>
      </c>
      <c r="E1053" s="235" t="s">
        <v>4260</v>
      </c>
      <c r="F1053" s="243"/>
      <c r="G1053" s="225" t="s">
        <v>4510</v>
      </c>
      <c r="H1053" s="237">
        <v>183.0</v>
      </c>
      <c r="I1053" s="226" t="s">
        <v>4511</v>
      </c>
      <c r="J1053" s="226">
        <v>1.0</v>
      </c>
      <c r="K1053" s="226">
        <v>1.0</v>
      </c>
      <c r="L1053" s="49" t="s">
        <v>138</v>
      </c>
      <c r="M1053" s="212" t="s">
        <v>4512</v>
      </c>
      <c r="N1053" s="49" t="s">
        <v>59</v>
      </c>
      <c r="O1053" s="49">
        <v>1000.0</v>
      </c>
      <c r="P1053" s="49" t="s">
        <v>29</v>
      </c>
      <c r="Q1053" s="114">
        <v>0.0</v>
      </c>
      <c r="R1053" s="46"/>
    </row>
    <row r="1054" ht="14.25" customHeight="1">
      <c r="A1054" s="211">
        <v>3.0</v>
      </c>
      <c r="B1054" s="212" t="s">
        <v>4513</v>
      </c>
      <c r="C1054" s="212" t="s">
        <v>4509</v>
      </c>
      <c r="D1054" s="235" t="s">
        <v>25</v>
      </c>
      <c r="E1054" s="235" t="s">
        <v>4260</v>
      </c>
      <c r="F1054" s="243"/>
      <c r="G1054" s="225" t="s">
        <v>4514</v>
      </c>
      <c r="H1054" s="237">
        <v>300.0</v>
      </c>
      <c r="I1054" s="226" t="s">
        <v>4515</v>
      </c>
      <c r="J1054" s="226" t="s">
        <v>46</v>
      </c>
      <c r="K1054" s="226" t="s">
        <v>138</v>
      </c>
      <c r="L1054" s="49" t="s">
        <v>4516</v>
      </c>
      <c r="M1054" s="212" t="s">
        <v>4512</v>
      </c>
      <c r="N1054" s="49" t="s">
        <v>59</v>
      </c>
      <c r="O1054" s="49">
        <v>25.0</v>
      </c>
      <c r="P1054" s="49" t="s">
        <v>29</v>
      </c>
      <c r="Q1054" s="114">
        <v>0.0</v>
      </c>
      <c r="R1054" s="46"/>
    </row>
    <row r="1055" ht="14.25" customHeight="1">
      <c r="A1055" s="211">
        <v>4.0</v>
      </c>
      <c r="B1055" s="212" t="s">
        <v>4517</v>
      </c>
      <c r="C1055" s="212" t="s">
        <v>4518</v>
      </c>
      <c r="D1055" s="235" t="s">
        <v>25</v>
      </c>
      <c r="E1055" s="235" t="s">
        <v>4260</v>
      </c>
      <c r="F1055" s="243"/>
      <c r="G1055" s="225" t="s">
        <v>4519</v>
      </c>
      <c r="H1055" s="237">
        <v>103.0</v>
      </c>
      <c r="I1055" s="226" t="s">
        <v>4520</v>
      </c>
      <c r="J1055" s="226">
        <v>1.0</v>
      </c>
      <c r="K1055" s="226">
        <v>1.0</v>
      </c>
      <c r="L1055" s="49" t="s">
        <v>138</v>
      </c>
      <c r="M1055" s="212" t="s">
        <v>4512</v>
      </c>
      <c r="N1055" s="49" t="s">
        <v>83</v>
      </c>
      <c r="O1055" s="49">
        <v>650.0</v>
      </c>
      <c r="P1055" s="49" t="s">
        <v>29</v>
      </c>
      <c r="Q1055" s="114">
        <v>0.0</v>
      </c>
      <c r="R1055" s="46"/>
    </row>
    <row r="1056" ht="14.25" customHeight="1">
      <c r="A1056" s="211">
        <v>5.0</v>
      </c>
      <c r="B1056" s="212" t="s">
        <v>4521</v>
      </c>
      <c r="C1056" s="212" t="s">
        <v>4522</v>
      </c>
      <c r="D1056" s="235" t="s">
        <v>25</v>
      </c>
      <c r="E1056" s="235" t="s">
        <v>4260</v>
      </c>
      <c r="F1056" s="243"/>
      <c r="G1056" s="225" t="s">
        <v>4523</v>
      </c>
      <c r="H1056" s="237">
        <v>139.0</v>
      </c>
      <c r="I1056" s="226" t="s">
        <v>4524</v>
      </c>
      <c r="J1056" s="226" t="s">
        <v>138</v>
      </c>
      <c r="K1056" s="226" t="s">
        <v>138</v>
      </c>
      <c r="L1056" s="49" t="s">
        <v>4516</v>
      </c>
      <c r="M1056" s="212" t="s">
        <v>4512</v>
      </c>
      <c r="N1056" s="49" t="s">
        <v>83</v>
      </c>
      <c r="O1056" s="49">
        <v>25.0</v>
      </c>
      <c r="P1056" s="49" t="s">
        <v>29</v>
      </c>
      <c r="Q1056" s="114">
        <v>0.0</v>
      </c>
      <c r="R1056" s="46"/>
    </row>
    <row r="1057" ht="14.25" customHeight="1">
      <c r="A1057" s="211">
        <v>6.0</v>
      </c>
      <c r="B1057" s="212" t="s">
        <v>4525</v>
      </c>
      <c r="C1057" s="212" t="s">
        <v>1552</v>
      </c>
      <c r="D1057" s="235" t="s">
        <v>25</v>
      </c>
      <c r="E1057" s="235" t="s">
        <v>4260</v>
      </c>
      <c r="F1057" s="243"/>
      <c r="G1057" s="225" t="s">
        <v>4526</v>
      </c>
      <c r="H1057" s="237">
        <v>537.0</v>
      </c>
      <c r="I1057" s="226" t="s">
        <v>4527</v>
      </c>
      <c r="J1057" s="226" t="s">
        <v>138</v>
      </c>
      <c r="K1057" s="226" t="s">
        <v>138</v>
      </c>
      <c r="L1057" s="49" t="s">
        <v>4516</v>
      </c>
      <c r="M1057" s="212" t="s">
        <v>4512</v>
      </c>
      <c r="N1057" s="49" t="s">
        <v>59</v>
      </c>
      <c r="O1057" s="49">
        <v>25.0</v>
      </c>
      <c r="P1057" s="49" t="s">
        <v>29</v>
      </c>
      <c r="Q1057" s="114">
        <v>0.0</v>
      </c>
      <c r="R1057" s="46"/>
    </row>
    <row r="1058" ht="14.25" customHeight="1">
      <c r="A1058" s="211">
        <v>7.0</v>
      </c>
      <c r="B1058" s="212" t="s">
        <v>4528</v>
      </c>
      <c r="C1058" s="212" t="s">
        <v>4529</v>
      </c>
      <c r="D1058" s="235" t="s">
        <v>25</v>
      </c>
      <c r="E1058" s="235" t="s">
        <v>4260</v>
      </c>
      <c r="F1058" s="243"/>
      <c r="G1058" s="225" t="s">
        <v>4530</v>
      </c>
      <c r="H1058" s="237">
        <v>130.0</v>
      </c>
      <c r="I1058" s="226" t="s">
        <v>4531</v>
      </c>
      <c r="J1058" s="226" t="s">
        <v>138</v>
      </c>
      <c r="K1058" s="226" t="s">
        <v>138</v>
      </c>
      <c r="L1058" s="49" t="s">
        <v>4516</v>
      </c>
      <c r="M1058" s="212" t="s">
        <v>4512</v>
      </c>
      <c r="N1058" s="49" t="s">
        <v>59</v>
      </c>
      <c r="O1058" s="49">
        <v>25.0</v>
      </c>
      <c r="P1058" s="49" t="s">
        <v>29</v>
      </c>
      <c r="Q1058" s="114">
        <v>0.0</v>
      </c>
      <c r="R1058" s="46"/>
    </row>
    <row r="1059" ht="14.25" customHeight="1">
      <c r="A1059" s="211">
        <v>8.0</v>
      </c>
      <c r="B1059" s="212" t="s">
        <v>4532</v>
      </c>
      <c r="C1059" s="212" t="s">
        <v>4533</v>
      </c>
      <c r="D1059" s="235" t="s">
        <v>25</v>
      </c>
      <c r="E1059" s="235" t="s">
        <v>4260</v>
      </c>
      <c r="F1059" s="243"/>
      <c r="G1059" s="225" t="s">
        <v>4534</v>
      </c>
      <c r="H1059" s="237">
        <v>177.0</v>
      </c>
      <c r="I1059" s="226" t="s">
        <v>4535</v>
      </c>
      <c r="J1059" s="226" t="s">
        <v>138</v>
      </c>
      <c r="K1059" s="226" t="s">
        <v>138</v>
      </c>
      <c r="L1059" s="49" t="s">
        <v>4516</v>
      </c>
      <c r="M1059" s="212" t="s">
        <v>4512</v>
      </c>
      <c r="N1059" s="49" t="s">
        <v>59</v>
      </c>
      <c r="O1059" s="49">
        <v>25.0</v>
      </c>
      <c r="P1059" s="49" t="s">
        <v>29</v>
      </c>
      <c r="Q1059" s="114">
        <v>0.0</v>
      </c>
      <c r="R1059" s="46"/>
    </row>
    <row r="1060" ht="14.25" customHeight="1">
      <c r="A1060" s="211">
        <v>9.0</v>
      </c>
      <c r="B1060" s="212" t="s">
        <v>4536</v>
      </c>
      <c r="C1060" s="212" t="s">
        <v>4537</v>
      </c>
      <c r="D1060" s="235" t="s">
        <v>25</v>
      </c>
      <c r="E1060" s="235" t="s">
        <v>4260</v>
      </c>
      <c r="F1060" s="243"/>
      <c r="G1060" s="225" t="s">
        <v>4538</v>
      </c>
      <c r="H1060" s="237">
        <v>34.0</v>
      </c>
      <c r="I1060" s="226" t="s">
        <v>4539</v>
      </c>
      <c r="J1060" s="226" t="s">
        <v>138</v>
      </c>
      <c r="K1060" s="226" t="s">
        <v>138</v>
      </c>
      <c r="L1060" s="49" t="s">
        <v>4516</v>
      </c>
      <c r="M1060" s="212" t="s">
        <v>4512</v>
      </c>
      <c r="N1060" s="49" t="s">
        <v>83</v>
      </c>
      <c r="O1060" s="49">
        <v>25.0</v>
      </c>
      <c r="P1060" s="49" t="s">
        <v>29</v>
      </c>
      <c r="Q1060" s="114">
        <v>0.0</v>
      </c>
      <c r="R1060" s="46"/>
    </row>
    <row r="1061" ht="14.25" customHeight="1">
      <c r="A1061" s="211">
        <v>10.0</v>
      </c>
      <c r="B1061" s="212" t="s">
        <v>4540</v>
      </c>
      <c r="C1061" s="212" t="s">
        <v>4541</v>
      </c>
      <c r="D1061" s="235" t="s">
        <v>25</v>
      </c>
      <c r="E1061" s="235" t="s">
        <v>4260</v>
      </c>
      <c r="F1061" s="243"/>
      <c r="G1061" s="225" t="s">
        <v>4542</v>
      </c>
      <c r="H1061" s="237">
        <v>162.0</v>
      </c>
      <c r="I1061" s="226" t="s">
        <v>4543</v>
      </c>
      <c r="J1061" s="226" t="s">
        <v>138</v>
      </c>
      <c r="K1061" s="226" t="s">
        <v>138</v>
      </c>
      <c r="L1061" s="49" t="s">
        <v>4516</v>
      </c>
      <c r="M1061" s="212" t="s">
        <v>4512</v>
      </c>
      <c r="N1061" s="49" t="s">
        <v>59</v>
      </c>
      <c r="O1061" s="49">
        <v>25.0</v>
      </c>
      <c r="P1061" s="49" t="s">
        <v>29</v>
      </c>
      <c r="Q1061" s="114">
        <v>0.0</v>
      </c>
      <c r="R1061" s="46"/>
    </row>
    <row r="1062" ht="14.25" customHeight="1">
      <c r="A1062" s="211">
        <v>11.0</v>
      </c>
      <c r="B1062" s="212" t="s">
        <v>4544</v>
      </c>
      <c r="C1062" s="212" t="s">
        <v>4545</v>
      </c>
      <c r="D1062" s="235" t="s">
        <v>25</v>
      </c>
      <c r="E1062" s="235" t="s">
        <v>4260</v>
      </c>
      <c r="F1062" s="243"/>
      <c r="G1062" s="225" t="s">
        <v>4546</v>
      </c>
      <c r="H1062" s="237">
        <v>20.0</v>
      </c>
      <c r="I1062" s="226" t="s">
        <v>4547</v>
      </c>
      <c r="J1062" s="226" t="s">
        <v>138</v>
      </c>
      <c r="K1062" s="226" t="s">
        <v>138</v>
      </c>
      <c r="L1062" s="49" t="s">
        <v>4516</v>
      </c>
      <c r="M1062" s="212" t="s">
        <v>4512</v>
      </c>
      <c r="N1062" s="49" t="s">
        <v>59</v>
      </c>
      <c r="O1062" s="49">
        <v>25.0</v>
      </c>
      <c r="P1062" s="49" t="s">
        <v>29</v>
      </c>
      <c r="Q1062" s="114">
        <v>0.0</v>
      </c>
      <c r="R1062" s="46"/>
    </row>
    <row r="1063" ht="14.25" customHeight="1">
      <c r="A1063" s="211">
        <v>12.0</v>
      </c>
      <c r="B1063" s="212" t="s">
        <v>4548</v>
      </c>
      <c r="C1063" s="212" t="s">
        <v>4549</v>
      </c>
      <c r="D1063" s="235" t="s">
        <v>25</v>
      </c>
      <c r="E1063" s="235" t="s">
        <v>4260</v>
      </c>
      <c r="F1063" s="243"/>
      <c r="G1063" s="225" t="s">
        <v>4550</v>
      </c>
      <c r="H1063" s="237">
        <v>205.0</v>
      </c>
      <c r="I1063" s="226" t="s">
        <v>4551</v>
      </c>
      <c r="J1063" s="226" t="s">
        <v>138</v>
      </c>
      <c r="K1063" s="226" t="s">
        <v>138</v>
      </c>
      <c r="L1063" s="49" t="s">
        <v>4516</v>
      </c>
      <c r="M1063" s="212" t="s">
        <v>4512</v>
      </c>
      <c r="N1063" s="49" t="s">
        <v>59</v>
      </c>
      <c r="O1063" s="49">
        <v>25.0</v>
      </c>
      <c r="P1063" s="49" t="s">
        <v>29</v>
      </c>
      <c r="Q1063" s="114">
        <v>0.0</v>
      </c>
      <c r="R1063" s="46"/>
    </row>
    <row r="1064" ht="14.25" customHeight="1">
      <c r="A1064" s="211">
        <v>13.0</v>
      </c>
      <c r="B1064" s="212" t="s">
        <v>4552</v>
      </c>
      <c r="C1064" s="212" t="s">
        <v>4553</v>
      </c>
      <c r="D1064" s="235" t="s">
        <v>25</v>
      </c>
      <c r="E1064" s="235" t="s">
        <v>4260</v>
      </c>
      <c r="F1064" s="243"/>
      <c r="G1064" s="225" t="s">
        <v>4554</v>
      </c>
      <c r="H1064" s="237">
        <v>177.0</v>
      </c>
      <c r="I1064" s="226" t="s">
        <v>4535</v>
      </c>
      <c r="J1064" s="226" t="s">
        <v>138</v>
      </c>
      <c r="K1064" s="226" t="s">
        <v>138</v>
      </c>
      <c r="L1064" s="49" t="s">
        <v>4516</v>
      </c>
      <c r="M1064" s="212" t="s">
        <v>4512</v>
      </c>
      <c r="N1064" s="49" t="s">
        <v>83</v>
      </c>
      <c r="O1064" s="49">
        <v>25.0</v>
      </c>
      <c r="P1064" s="49" t="s">
        <v>29</v>
      </c>
      <c r="Q1064" s="114">
        <v>0.0</v>
      </c>
      <c r="R1064" s="46"/>
    </row>
    <row r="1065" ht="14.25" customHeight="1">
      <c r="A1065" s="211">
        <v>14.0</v>
      </c>
      <c r="B1065" s="212" t="s">
        <v>4555</v>
      </c>
      <c r="C1065" s="212" t="s">
        <v>4556</v>
      </c>
      <c r="D1065" s="235" t="s">
        <v>25</v>
      </c>
      <c r="E1065" s="235" t="s">
        <v>4260</v>
      </c>
      <c r="F1065" s="243"/>
      <c r="G1065" s="225" t="s">
        <v>4557</v>
      </c>
      <c r="H1065" s="237">
        <v>156.0</v>
      </c>
      <c r="I1065" s="226" t="s">
        <v>4558</v>
      </c>
      <c r="J1065" s="226" t="s">
        <v>138</v>
      </c>
      <c r="K1065" s="226" t="s">
        <v>138</v>
      </c>
      <c r="L1065" s="49" t="s">
        <v>4516</v>
      </c>
      <c r="M1065" s="212" t="s">
        <v>4512</v>
      </c>
      <c r="N1065" s="49" t="s">
        <v>83</v>
      </c>
      <c r="O1065" s="49">
        <v>25.0</v>
      </c>
      <c r="P1065" s="49" t="s">
        <v>29</v>
      </c>
      <c r="Q1065" s="114">
        <v>0.0</v>
      </c>
      <c r="R1065" s="46"/>
    </row>
    <row r="1066" ht="14.25" customHeight="1">
      <c r="A1066" s="211">
        <v>15.0</v>
      </c>
      <c r="B1066" s="212" t="s">
        <v>4559</v>
      </c>
      <c r="C1066" s="212" t="s">
        <v>4560</v>
      </c>
      <c r="D1066" s="235" t="s">
        <v>25</v>
      </c>
      <c r="E1066" s="235" t="s">
        <v>4260</v>
      </c>
      <c r="F1066" s="243"/>
      <c r="G1066" s="225" t="s">
        <v>4561</v>
      </c>
      <c r="H1066" s="237">
        <v>18.0</v>
      </c>
      <c r="I1066" s="226" t="s">
        <v>4562</v>
      </c>
      <c r="J1066" s="226" t="s">
        <v>138</v>
      </c>
      <c r="K1066" s="226" t="s">
        <v>138</v>
      </c>
      <c r="L1066" s="49" t="s">
        <v>4516</v>
      </c>
      <c r="M1066" s="212" t="s">
        <v>4512</v>
      </c>
      <c r="N1066" s="49" t="s">
        <v>59</v>
      </c>
      <c r="O1066" s="49">
        <v>25.0</v>
      </c>
      <c r="P1066" s="49" t="s">
        <v>29</v>
      </c>
      <c r="Q1066" s="114">
        <v>0.0</v>
      </c>
      <c r="R1066" s="46"/>
    </row>
    <row r="1067" ht="14.25" customHeight="1">
      <c r="A1067" s="211">
        <v>16.0</v>
      </c>
      <c r="B1067" s="212" t="s">
        <v>4563</v>
      </c>
      <c r="C1067" s="212" t="s">
        <v>4564</v>
      </c>
      <c r="D1067" s="235" t="s">
        <v>25</v>
      </c>
      <c r="E1067" s="235" t="s">
        <v>4260</v>
      </c>
      <c r="F1067" s="243"/>
      <c r="G1067" s="225" t="s">
        <v>4565</v>
      </c>
      <c r="H1067" s="237">
        <v>95.0</v>
      </c>
      <c r="I1067" s="226" t="s">
        <v>4515</v>
      </c>
      <c r="J1067" s="226" t="s">
        <v>138</v>
      </c>
      <c r="K1067" s="226" t="s">
        <v>138</v>
      </c>
      <c r="L1067" s="49" t="s">
        <v>4516</v>
      </c>
      <c r="M1067" s="212" t="s">
        <v>4512</v>
      </c>
      <c r="N1067" s="49" t="s">
        <v>59</v>
      </c>
      <c r="O1067" s="49">
        <v>25.0</v>
      </c>
      <c r="P1067" s="49" t="s">
        <v>29</v>
      </c>
      <c r="Q1067" s="114">
        <v>0.0</v>
      </c>
      <c r="R1067" s="46"/>
    </row>
    <row r="1068" ht="14.25" customHeight="1">
      <c r="A1068" s="211">
        <v>17.0</v>
      </c>
      <c r="B1068" s="212" t="s">
        <v>4566</v>
      </c>
      <c r="C1068" s="212" t="s">
        <v>3944</v>
      </c>
      <c r="D1068" s="235" t="s">
        <v>25</v>
      </c>
      <c r="E1068" s="235" t="s">
        <v>4260</v>
      </c>
      <c r="F1068" s="243"/>
      <c r="G1068" s="225" t="s">
        <v>4567</v>
      </c>
      <c r="H1068" s="237">
        <v>123.0</v>
      </c>
      <c r="I1068" s="226" t="s">
        <v>4568</v>
      </c>
      <c r="J1068" s="226" t="s">
        <v>138</v>
      </c>
      <c r="K1068" s="226" t="s">
        <v>138</v>
      </c>
      <c r="L1068" s="49" t="s">
        <v>4516</v>
      </c>
      <c r="M1068" s="212" t="s">
        <v>4512</v>
      </c>
      <c r="N1068" s="49" t="s">
        <v>59</v>
      </c>
      <c r="O1068" s="49">
        <v>25.0</v>
      </c>
      <c r="P1068" s="49" t="s">
        <v>66</v>
      </c>
      <c r="Q1068" s="114">
        <v>0.0</v>
      </c>
      <c r="R1068" s="46"/>
    </row>
    <row r="1069" ht="14.25" customHeight="1">
      <c r="A1069" s="211">
        <v>18.0</v>
      </c>
      <c r="B1069" s="212" t="s">
        <v>4569</v>
      </c>
      <c r="C1069" s="212" t="s">
        <v>4570</v>
      </c>
      <c r="D1069" s="235" t="s">
        <v>25</v>
      </c>
      <c r="E1069" s="235" t="s">
        <v>4260</v>
      </c>
      <c r="F1069" s="243"/>
      <c r="G1069" s="225" t="s">
        <v>4571</v>
      </c>
      <c r="H1069" s="237">
        <v>35.0</v>
      </c>
      <c r="I1069" s="226" t="s">
        <v>4572</v>
      </c>
      <c r="J1069" s="226" t="s">
        <v>138</v>
      </c>
      <c r="K1069" s="226" t="s">
        <v>138</v>
      </c>
      <c r="L1069" s="49" t="s">
        <v>4516</v>
      </c>
      <c r="M1069" s="212" t="s">
        <v>4512</v>
      </c>
      <c r="N1069" s="49" t="s">
        <v>83</v>
      </c>
      <c r="O1069" s="49">
        <v>25.0</v>
      </c>
      <c r="P1069" s="49" t="s">
        <v>29</v>
      </c>
      <c r="Q1069" s="114">
        <v>0.0</v>
      </c>
      <c r="R1069" s="46"/>
    </row>
    <row r="1070" ht="14.25" customHeight="1">
      <c r="A1070" s="211">
        <v>19.0</v>
      </c>
      <c r="B1070" s="212" t="s">
        <v>4573</v>
      </c>
      <c r="C1070" s="212" t="s">
        <v>4574</v>
      </c>
      <c r="D1070" s="235" t="s">
        <v>25</v>
      </c>
      <c r="E1070" s="235" t="s">
        <v>4260</v>
      </c>
      <c r="F1070" s="243"/>
      <c r="G1070" s="225" t="s">
        <v>4575</v>
      </c>
      <c r="H1070" s="237">
        <v>106.0</v>
      </c>
      <c r="I1070" s="226" t="s">
        <v>4576</v>
      </c>
      <c r="J1070" s="226" t="s">
        <v>138</v>
      </c>
      <c r="K1070" s="226" t="s">
        <v>138</v>
      </c>
      <c r="L1070" s="49" t="s">
        <v>4516</v>
      </c>
      <c r="M1070" s="212" t="s">
        <v>4512</v>
      </c>
      <c r="N1070" s="49" t="s">
        <v>59</v>
      </c>
      <c r="O1070" s="49">
        <v>25.0</v>
      </c>
      <c r="P1070" s="49" t="s">
        <v>29</v>
      </c>
      <c r="Q1070" s="114">
        <v>0.0</v>
      </c>
      <c r="R1070" s="46"/>
    </row>
    <row r="1071" ht="14.25" customHeight="1">
      <c r="A1071" s="211">
        <v>20.0</v>
      </c>
      <c r="B1071" s="212" t="s">
        <v>4577</v>
      </c>
      <c r="C1071" s="212" t="s">
        <v>4578</v>
      </c>
      <c r="D1071" s="235" t="s">
        <v>25</v>
      </c>
      <c r="E1071" s="235" t="s">
        <v>4260</v>
      </c>
      <c r="F1071" s="243"/>
      <c r="G1071" s="225" t="s">
        <v>4579</v>
      </c>
      <c r="H1071" s="237">
        <v>10.0</v>
      </c>
      <c r="I1071" s="226" t="s">
        <v>4580</v>
      </c>
      <c r="J1071" s="226" t="s">
        <v>138</v>
      </c>
      <c r="K1071" s="226" t="s">
        <v>138</v>
      </c>
      <c r="L1071" s="49" t="s">
        <v>4516</v>
      </c>
      <c r="M1071" s="212" t="s">
        <v>4581</v>
      </c>
      <c r="N1071" s="49" t="s">
        <v>59</v>
      </c>
      <c r="O1071" s="49">
        <v>25.0</v>
      </c>
      <c r="P1071" s="49" t="s">
        <v>29</v>
      </c>
      <c r="Q1071" s="114">
        <v>0.0</v>
      </c>
      <c r="R1071" s="46"/>
    </row>
    <row r="1072" ht="14.25" customHeight="1">
      <c r="A1072" s="211">
        <v>21.0</v>
      </c>
      <c r="B1072" s="212" t="s">
        <v>4582</v>
      </c>
      <c r="C1072" s="212" t="s">
        <v>4578</v>
      </c>
      <c r="D1072" s="235" t="s">
        <v>25</v>
      </c>
      <c r="E1072" s="235" t="s">
        <v>4260</v>
      </c>
      <c r="F1072" s="243"/>
      <c r="G1072" s="225" t="s">
        <v>4583</v>
      </c>
      <c r="H1072" s="237">
        <v>10.0</v>
      </c>
      <c r="I1072" s="226" t="s">
        <v>4580</v>
      </c>
      <c r="J1072" s="226" t="s">
        <v>138</v>
      </c>
      <c r="K1072" s="226" t="s">
        <v>138</v>
      </c>
      <c r="L1072" s="49">
        <v>1.0</v>
      </c>
      <c r="M1072" s="212" t="s">
        <v>4581</v>
      </c>
      <c r="N1072" s="49" t="s">
        <v>59</v>
      </c>
      <c r="O1072" s="49">
        <v>25.0</v>
      </c>
      <c r="P1072" s="49" t="s">
        <v>29</v>
      </c>
      <c r="Q1072" s="114">
        <v>0.0</v>
      </c>
      <c r="R1072" s="46"/>
    </row>
    <row r="1073" ht="14.25" customHeight="1">
      <c r="A1073" s="211">
        <v>22.0</v>
      </c>
      <c r="B1073" s="212" t="s">
        <v>4584</v>
      </c>
      <c r="C1073" s="212" t="s">
        <v>4585</v>
      </c>
      <c r="D1073" s="235" t="s">
        <v>25</v>
      </c>
      <c r="E1073" s="235" t="s">
        <v>4260</v>
      </c>
      <c r="F1073" s="243"/>
      <c r="G1073" s="225" t="s">
        <v>4586</v>
      </c>
      <c r="H1073" s="237">
        <v>243.0</v>
      </c>
      <c r="I1073" s="226" t="s">
        <v>4587</v>
      </c>
      <c r="J1073" s="226" t="s">
        <v>138</v>
      </c>
      <c r="K1073" s="226" t="s">
        <v>138</v>
      </c>
      <c r="L1073" s="49" t="s">
        <v>4516</v>
      </c>
      <c r="M1073" s="212" t="s">
        <v>4011</v>
      </c>
      <c r="N1073" s="49" t="s">
        <v>83</v>
      </c>
      <c r="O1073" s="49">
        <v>25.0</v>
      </c>
      <c r="P1073" s="49" t="s">
        <v>29</v>
      </c>
      <c r="Q1073" s="114">
        <v>0.0</v>
      </c>
      <c r="R1073" s="46"/>
    </row>
    <row r="1074" ht="14.25" customHeight="1">
      <c r="A1074" s="211">
        <v>23.0</v>
      </c>
      <c r="B1074" s="212" t="s">
        <v>4588</v>
      </c>
      <c r="C1074" s="212" t="s">
        <v>4589</v>
      </c>
      <c r="D1074" s="235" t="s">
        <v>25</v>
      </c>
      <c r="E1074" s="235" t="s">
        <v>4260</v>
      </c>
      <c r="F1074" s="243"/>
      <c r="G1074" s="225" t="s">
        <v>4590</v>
      </c>
      <c r="H1074" s="237">
        <v>32.0</v>
      </c>
      <c r="I1074" s="226" t="s">
        <v>4591</v>
      </c>
      <c r="J1074" s="226" t="s">
        <v>138</v>
      </c>
      <c r="K1074" s="226" t="s">
        <v>138</v>
      </c>
      <c r="L1074" s="49" t="s">
        <v>4516</v>
      </c>
      <c r="M1074" s="212" t="s">
        <v>4581</v>
      </c>
      <c r="N1074" s="49" t="s">
        <v>59</v>
      </c>
      <c r="O1074" s="49">
        <v>25.0</v>
      </c>
      <c r="P1074" s="49" t="s">
        <v>29</v>
      </c>
      <c r="Q1074" s="114">
        <v>0.0</v>
      </c>
      <c r="R1074" s="46"/>
    </row>
    <row r="1075" ht="14.25" customHeight="1">
      <c r="A1075" s="211">
        <v>24.0</v>
      </c>
      <c r="B1075" s="212" t="s">
        <v>4592</v>
      </c>
      <c r="C1075" s="212" t="s">
        <v>4593</v>
      </c>
      <c r="D1075" s="235" t="s">
        <v>25</v>
      </c>
      <c r="E1075" s="235" t="s">
        <v>4260</v>
      </c>
      <c r="F1075" s="243"/>
      <c r="G1075" s="225" t="s">
        <v>4594</v>
      </c>
      <c r="H1075" s="237">
        <v>15.0</v>
      </c>
      <c r="I1075" s="226" t="s">
        <v>4595</v>
      </c>
      <c r="J1075" s="226" t="s">
        <v>138</v>
      </c>
      <c r="K1075" s="226" t="s">
        <v>138</v>
      </c>
      <c r="L1075" s="49" t="s">
        <v>4516</v>
      </c>
      <c r="M1075" s="212" t="s">
        <v>4512</v>
      </c>
      <c r="N1075" s="49" t="s">
        <v>59</v>
      </c>
      <c r="O1075" s="49">
        <v>25.0</v>
      </c>
      <c r="P1075" s="49" t="s">
        <v>29</v>
      </c>
      <c r="Q1075" s="114">
        <v>0.0</v>
      </c>
      <c r="R1075" s="46"/>
    </row>
    <row r="1076" ht="14.25" customHeight="1">
      <c r="A1076" s="211">
        <v>25.0</v>
      </c>
      <c r="B1076" s="212" t="s">
        <v>4596</v>
      </c>
      <c r="C1076" s="212" t="s">
        <v>4597</v>
      </c>
      <c r="D1076" s="235" t="s">
        <v>25</v>
      </c>
      <c r="E1076" s="235" t="s">
        <v>4260</v>
      </c>
      <c r="F1076" s="243"/>
      <c r="G1076" s="225" t="s">
        <v>4598</v>
      </c>
      <c r="H1076" s="237">
        <v>204.0</v>
      </c>
      <c r="I1076" s="226" t="s">
        <v>4599</v>
      </c>
      <c r="J1076" s="226" t="s">
        <v>138</v>
      </c>
      <c r="K1076" s="226" t="s">
        <v>138</v>
      </c>
      <c r="L1076" s="49" t="s">
        <v>4516</v>
      </c>
      <c r="M1076" s="212" t="s">
        <v>4581</v>
      </c>
      <c r="N1076" s="49" t="s">
        <v>83</v>
      </c>
      <c r="O1076" s="49">
        <v>25.0</v>
      </c>
      <c r="P1076" s="49" t="s">
        <v>29</v>
      </c>
      <c r="Q1076" s="114">
        <v>0.0</v>
      </c>
      <c r="R1076" s="46"/>
    </row>
    <row r="1077" ht="14.25" customHeight="1">
      <c r="A1077" s="211">
        <v>26.0</v>
      </c>
      <c r="B1077" s="212" t="s">
        <v>4600</v>
      </c>
      <c r="C1077" s="212" t="s">
        <v>4601</v>
      </c>
      <c r="D1077" s="235" t="s">
        <v>25</v>
      </c>
      <c r="E1077" s="235" t="s">
        <v>4260</v>
      </c>
      <c r="F1077" s="243"/>
      <c r="G1077" s="225" t="s">
        <v>4602</v>
      </c>
      <c r="H1077" s="237">
        <v>70.0</v>
      </c>
      <c r="I1077" s="226" t="s">
        <v>4603</v>
      </c>
      <c r="J1077" s="226" t="s">
        <v>138</v>
      </c>
      <c r="K1077" s="226" t="s">
        <v>138</v>
      </c>
      <c r="L1077" s="49" t="s">
        <v>4516</v>
      </c>
      <c r="M1077" s="212" t="s">
        <v>4581</v>
      </c>
      <c r="N1077" s="49" t="s">
        <v>59</v>
      </c>
      <c r="O1077" s="49">
        <v>25.0</v>
      </c>
      <c r="P1077" s="49" t="s">
        <v>29</v>
      </c>
      <c r="Q1077" s="114">
        <v>0.0</v>
      </c>
      <c r="R1077" s="46"/>
    </row>
    <row r="1078" ht="14.25" customHeight="1">
      <c r="A1078" s="211">
        <v>27.0</v>
      </c>
      <c r="B1078" s="212" t="s">
        <v>4604</v>
      </c>
      <c r="C1078" s="212" t="s">
        <v>4605</v>
      </c>
      <c r="D1078" s="235" t="s">
        <v>25</v>
      </c>
      <c r="E1078" s="235" t="s">
        <v>4260</v>
      </c>
      <c r="F1078" s="243"/>
      <c r="G1078" s="225" t="s">
        <v>4606</v>
      </c>
      <c r="H1078" s="237">
        <v>73.0</v>
      </c>
      <c r="I1078" s="226" t="s">
        <v>4607</v>
      </c>
      <c r="J1078" s="226" t="s">
        <v>138</v>
      </c>
      <c r="K1078" s="226" t="s">
        <v>138</v>
      </c>
      <c r="L1078" s="49" t="s">
        <v>4516</v>
      </c>
      <c r="M1078" s="212" t="s">
        <v>4512</v>
      </c>
      <c r="N1078" s="49" t="s">
        <v>59</v>
      </c>
      <c r="O1078" s="49">
        <v>25.0</v>
      </c>
      <c r="P1078" s="49" t="s">
        <v>29</v>
      </c>
      <c r="Q1078" s="114">
        <v>0.0</v>
      </c>
      <c r="R1078" s="46"/>
    </row>
    <row r="1079" ht="14.25" customHeight="1">
      <c r="A1079" s="211">
        <v>28.0</v>
      </c>
      <c r="B1079" s="212" t="s">
        <v>4608</v>
      </c>
      <c r="C1079" s="212" t="s">
        <v>4609</v>
      </c>
      <c r="D1079" s="235" t="s">
        <v>25</v>
      </c>
      <c r="E1079" s="235" t="s">
        <v>4260</v>
      </c>
      <c r="F1079" s="243"/>
      <c r="G1079" s="225" t="s">
        <v>4610</v>
      </c>
      <c r="H1079" s="237">
        <v>172.0</v>
      </c>
      <c r="I1079" s="226" t="s">
        <v>4611</v>
      </c>
      <c r="J1079" s="226" t="s">
        <v>138</v>
      </c>
      <c r="K1079" s="226" t="s">
        <v>138</v>
      </c>
      <c r="L1079" s="49" t="s">
        <v>4516</v>
      </c>
      <c r="M1079" s="212" t="s">
        <v>4512</v>
      </c>
      <c r="N1079" s="49" t="s">
        <v>59</v>
      </c>
      <c r="O1079" s="49">
        <v>25.0</v>
      </c>
      <c r="P1079" s="49" t="s">
        <v>29</v>
      </c>
      <c r="Q1079" s="114">
        <v>0.0</v>
      </c>
      <c r="R1079" s="46"/>
    </row>
    <row r="1080" ht="14.25" customHeight="1">
      <c r="A1080" s="211">
        <v>29.0</v>
      </c>
      <c r="B1080" s="212" t="s">
        <v>4612</v>
      </c>
      <c r="C1080" s="212" t="s">
        <v>4613</v>
      </c>
      <c r="D1080" s="235" t="s">
        <v>25</v>
      </c>
      <c r="E1080" s="235" t="s">
        <v>4260</v>
      </c>
      <c r="F1080" s="243"/>
      <c r="G1080" s="225" t="s">
        <v>4614</v>
      </c>
      <c r="H1080" s="237">
        <v>119.0</v>
      </c>
      <c r="I1080" s="226" t="s">
        <v>4615</v>
      </c>
      <c r="J1080" s="226" t="s">
        <v>138</v>
      </c>
      <c r="K1080" s="226" t="s">
        <v>138</v>
      </c>
      <c r="L1080" s="49" t="s">
        <v>4516</v>
      </c>
      <c r="M1080" s="212" t="s">
        <v>4512</v>
      </c>
      <c r="N1080" s="49" t="s">
        <v>59</v>
      </c>
      <c r="O1080" s="49">
        <v>25.0</v>
      </c>
      <c r="P1080" s="49" t="s">
        <v>29</v>
      </c>
      <c r="Q1080" s="114">
        <v>0.0</v>
      </c>
      <c r="R1080" s="46"/>
    </row>
    <row r="1081" ht="14.25" customHeight="1">
      <c r="A1081" s="211">
        <v>30.0</v>
      </c>
      <c r="B1081" s="212" t="s">
        <v>4616</v>
      </c>
      <c r="C1081" s="212" t="s">
        <v>4617</v>
      </c>
      <c r="D1081" s="235" t="s">
        <v>25</v>
      </c>
      <c r="E1081" s="235" t="s">
        <v>4260</v>
      </c>
      <c r="F1081" s="243"/>
      <c r="G1081" s="225" t="s">
        <v>4618</v>
      </c>
      <c r="H1081" s="237">
        <v>28.0</v>
      </c>
      <c r="I1081" s="226" t="s">
        <v>4619</v>
      </c>
      <c r="J1081" s="226" t="s">
        <v>138</v>
      </c>
      <c r="K1081" s="226" t="s">
        <v>138</v>
      </c>
      <c r="L1081" s="49" t="s">
        <v>4516</v>
      </c>
      <c r="M1081" s="212" t="s">
        <v>4512</v>
      </c>
      <c r="N1081" s="49" t="s">
        <v>59</v>
      </c>
      <c r="O1081" s="49">
        <v>25.0</v>
      </c>
      <c r="P1081" s="49" t="s">
        <v>29</v>
      </c>
      <c r="Q1081" s="114">
        <v>0.0</v>
      </c>
      <c r="R1081" s="46"/>
    </row>
    <row r="1082" ht="14.25" customHeight="1">
      <c r="A1082" s="211">
        <v>31.0</v>
      </c>
      <c r="B1082" s="212" t="s">
        <v>2975</v>
      </c>
      <c r="C1082" s="212" t="s">
        <v>3868</v>
      </c>
      <c r="D1082" s="235" t="s">
        <v>25</v>
      </c>
      <c r="E1082" s="235" t="s">
        <v>4260</v>
      </c>
      <c r="F1082" s="243"/>
      <c r="G1082" s="225">
        <v>340.34</v>
      </c>
      <c r="H1082" s="237">
        <v>136.0</v>
      </c>
      <c r="I1082" s="226" t="s">
        <v>4620</v>
      </c>
      <c r="J1082" s="226" t="s">
        <v>138</v>
      </c>
      <c r="K1082" s="226" t="s">
        <v>138</v>
      </c>
      <c r="L1082" s="49" t="s">
        <v>4516</v>
      </c>
      <c r="M1082" s="212" t="s">
        <v>4507</v>
      </c>
      <c r="N1082" s="49" t="s">
        <v>59</v>
      </c>
      <c r="O1082" s="49">
        <v>25.0</v>
      </c>
      <c r="P1082" s="49" t="s">
        <v>29</v>
      </c>
      <c r="Q1082" s="114">
        <v>0.0</v>
      </c>
      <c r="R1082" s="46"/>
    </row>
    <row r="1083" ht="14.25" customHeight="1">
      <c r="A1083" s="211">
        <v>33.0</v>
      </c>
      <c r="B1083" s="212" t="s">
        <v>4621</v>
      </c>
      <c r="C1083" s="212" t="s">
        <v>4522</v>
      </c>
      <c r="D1083" s="235" t="s">
        <v>25</v>
      </c>
      <c r="E1083" s="235" t="s">
        <v>4260</v>
      </c>
      <c r="F1083" s="243"/>
      <c r="G1083" s="225" t="s">
        <v>4622</v>
      </c>
      <c r="H1083" s="237">
        <v>98.0</v>
      </c>
      <c r="I1083" s="226" t="s">
        <v>4623</v>
      </c>
      <c r="J1083" s="226" t="s">
        <v>138</v>
      </c>
      <c r="K1083" s="226" t="s">
        <v>138</v>
      </c>
      <c r="L1083" s="49" t="s">
        <v>4516</v>
      </c>
      <c r="M1083" s="212" t="s">
        <v>4512</v>
      </c>
      <c r="N1083" s="49" t="s">
        <v>59</v>
      </c>
      <c r="O1083" s="49">
        <v>300.0</v>
      </c>
      <c r="P1083" s="49" t="s">
        <v>29</v>
      </c>
      <c r="Q1083" s="114">
        <v>0.0</v>
      </c>
      <c r="R1083" s="46"/>
    </row>
    <row r="1084" ht="14.25" customHeight="1">
      <c r="A1084" s="211">
        <v>34.0</v>
      </c>
      <c r="B1084" s="212" t="s">
        <v>4624</v>
      </c>
      <c r="C1084" s="212" t="s">
        <v>4533</v>
      </c>
      <c r="D1084" s="235" t="s">
        <v>25</v>
      </c>
      <c r="E1084" s="235" t="s">
        <v>4260</v>
      </c>
      <c r="F1084" s="243"/>
      <c r="G1084" s="225" t="s">
        <v>4625</v>
      </c>
      <c r="H1084" s="237">
        <v>178.0</v>
      </c>
      <c r="I1084" s="226" t="s">
        <v>4626</v>
      </c>
      <c r="J1084" s="226" t="s">
        <v>138</v>
      </c>
      <c r="K1084" s="226" t="s">
        <v>138</v>
      </c>
      <c r="L1084" s="49">
        <v>1.0</v>
      </c>
      <c r="M1084" s="212" t="s">
        <v>4512</v>
      </c>
      <c r="N1084" s="49" t="s">
        <v>59</v>
      </c>
      <c r="O1084" s="49">
        <v>25.0</v>
      </c>
      <c r="P1084" s="49" t="s">
        <v>29</v>
      </c>
      <c r="Q1084" s="114">
        <v>0.0</v>
      </c>
      <c r="R1084" s="46"/>
    </row>
    <row r="1085" ht="14.25" customHeight="1">
      <c r="A1085" s="211">
        <v>35.0</v>
      </c>
      <c r="B1085" s="212" t="s">
        <v>4627</v>
      </c>
      <c r="C1085" s="212" t="s">
        <v>4628</v>
      </c>
      <c r="D1085" s="235" t="s">
        <v>25</v>
      </c>
      <c r="E1085" s="235" t="s">
        <v>4260</v>
      </c>
      <c r="F1085" s="243"/>
      <c r="G1085" s="225" t="s">
        <v>4629</v>
      </c>
      <c r="H1085" s="237">
        <v>20.0</v>
      </c>
      <c r="I1085" s="226" t="s">
        <v>4547</v>
      </c>
      <c r="J1085" s="226" t="s">
        <v>46</v>
      </c>
      <c r="K1085" s="226" t="s">
        <v>46</v>
      </c>
      <c r="L1085" s="49">
        <v>1.0</v>
      </c>
      <c r="M1085" s="212" t="s">
        <v>4512</v>
      </c>
      <c r="N1085" s="49" t="s">
        <v>59</v>
      </c>
      <c r="O1085" s="49">
        <v>25.0</v>
      </c>
      <c r="P1085" s="49" t="s">
        <v>29</v>
      </c>
      <c r="Q1085" s="114">
        <v>0.0</v>
      </c>
      <c r="R1085" s="46"/>
    </row>
    <row r="1086" ht="14.25" customHeight="1">
      <c r="A1086" s="211">
        <v>36.0</v>
      </c>
      <c r="B1086" s="212" t="s">
        <v>4630</v>
      </c>
      <c r="C1086" s="212" t="s">
        <v>4617</v>
      </c>
      <c r="D1086" s="235" t="s">
        <v>25</v>
      </c>
      <c r="E1086" s="235" t="s">
        <v>4260</v>
      </c>
      <c r="F1086" s="243"/>
      <c r="G1086" s="225" t="s">
        <v>4631</v>
      </c>
      <c r="H1086" s="237">
        <v>25.0</v>
      </c>
      <c r="I1086" s="226" t="s">
        <v>4632</v>
      </c>
      <c r="J1086" s="226" t="s">
        <v>46</v>
      </c>
      <c r="K1086" s="226" t="s">
        <v>46</v>
      </c>
      <c r="L1086" s="49" t="s">
        <v>4633</v>
      </c>
      <c r="M1086" s="212" t="s">
        <v>4512</v>
      </c>
      <c r="N1086" s="49" t="s">
        <v>59</v>
      </c>
      <c r="O1086" s="49">
        <v>25.0</v>
      </c>
      <c r="P1086" s="49" t="s">
        <v>29</v>
      </c>
      <c r="Q1086" s="114">
        <v>0.0</v>
      </c>
      <c r="R1086" s="46"/>
    </row>
    <row r="1087" ht="14.25" customHeight="1">
      <c r="A1087" s="211">
        <v>37.0</v>
      </c>
      <c r="B1087" s="212" t="s">
        <v>4634</v>
      </c>
      <c r="C1087" s="212" t="s">
        <v>4574</v>
      </c>
      <c r="D1087" s="235" t="s">
        <v>25</v>
      </c>
      <c r="E1087" s="235" t="s">
        <v>4260</v>
      </c>
      <c r="F1087" s="243"/>
      <c r="G1087" s="225" t="s">
        <v>4635</v>
      </c>
      <c r="H1087" s="237">
        <v>105.0</v>
      </c>
      <c r="I1087" s="226" t="s">
        <v>4636</v>
      </c>
      <c r="J1087" s="226" t="s">
        <v>46</v>
      </c>
      <c r="K1087" s="226" t="s">
        <v>46</v>
      </c>
      <c r="L1087" s="49" t="s">
        <v>4633</v>
      </c>
      <c r="M1087" s="212" t="s">
        <v>4512</v>
      </c>
      <c r="N1087" s="49" t="s">
        <v>59</v>
      </c>
      <c r="O1087" s="49">
        <v>25.0</v>
      </c>
      <c r="P1087" s="49" t="s">
        <v>29</v>
      </c>
      <c r="Q1087" s="114">
        <v>0.0</v>
      </c>
      <c r="R1087" s="46"/>
    </row>
    <row r="1088" ht="14.25" customHeight="1">
      <c r="A1088" s="211">
        <v>38.0</v>
      </c>
      <c r="B1088" s="212" t="s">
        <v>4637</v>
      </c>
      <c r="C1088" s="212" t="s">
        <v>4638</v>
      </c>
      <c r="D1088" s="235" t="s">
        <v>25</v>
      </c>
      <c r="E1088" s="235" t="s">
        <v>4260</v>
      </c>
      <c r="F1088" s="243"/>
      <c r="G1088" s="225" t="s">
        <v>4639</v>
      </c>
      <c r="H1088" s="237">
        <v>170.0</v>
      </c>
      <c r="I1088" s="226" t="s">
        <v>4640</v>
      </c>
      <c r="J1088" s="226" t="s">
        <v>46</v>
      </c>
      <c r="K1088" s="226" t="s">
        <v>46</v>
      </c>
      <c r="L1088" s="49" t="s">
        <v>4633</v>
      </c>
      <c r="M1088" s="212" t="s">
        <v>4512</v>
      </c>
      <c r="N1088" s="49" t="s">
        <v>59</v>
      </c>
      <c r="O1088" s="49">
        <v>25.0</v>
      </c>
      <c r="P1088" s="49" t="s">
        <v>29</v>
      </c>
      <c r="Q1088" s="114">
        <v>0.0</v>
      </c>
      <c r="R1088" s="46"/>
    </row>
    <row r="1089" ht="14.25" customHeight="1">
      <c r="A1089" s="211">
        <v>39.0</v>
      </c>
      <c r="B1089" s="212" t="s">
        <v>4641</v>
      </c>
      <c r="C1089" s="212" t="s">
        <v>4509</v>
      </c>
      <c r="D1089" s="235" t="s">
        <v>25</v>
      </c>
      <c r="E1089" s="235" t="s">
        <v>4260</v>
      </c>
      <c r="F1089" s="243"/>
      <c r="G1089" s="225" t="s">
        <v>4642</v>
      </c>
      <c r="H1089" s="237">
        <v>107.0</v>
      </c>
      <c r="I1089" s="226" t="s">
        <v>4643</v>
      </c>
      <c r="J1089" s="226" t="s">
        <v>46</v>
      </c>
      <c r="K1089" s="226" t="s">
        <v>46</v>
      </c>
      <c r="L1089" s="49">
        <v>1.0</v>
      </c>
      <c r="M1089" s="212" t="s">
        <v>4512</v>
      </c>
      <c r="N1089" s="49" t="s">
        <v>59</v>
      </c>
      <c r="O1089" s="49">
        <v>25.0</v>
      </c>
      <c r="P1089" s="49" t="s">
        <v>29</v>
      </c>
      <c r="Q1089" s="114">
        <v>0.0</v>
      </c>
      <c r="R1089" s="46"/>
    </row>
    <row r="1090" ht="14.25" customHeight="1">
      <c r="A1090" s="211">
        <v>40.0</v>
      </c>
      <c r="B1090" s="212" t="s">
        <v>4644</v>
      </c>
      <c r="C1090" s="212" t="s">
        <v>4570</v>
      </c>
      <c r="D1090" s="235" t="s">
        <v>25</v>
      </c>
      <c r="E1090" s="235" t="s">
        <v>4260</v>
      </c>
      <c r="F1090" s="243"/>
      <c r="G1090" s="225" t="s">
        <v>4645</v>
      </c>
      <c r="H1090" s="237">
        <v>30.0</v>
      </c>
      <c r="I1090" s="226" t="s">
        <v>4646</v>
      </c>
      <c r="J1090" s="226" t="s">
        <v>46</v>
      </c>
      <c r="K1090" s="226" t="s">
        <v>46</v>
      </c>
      <c r="L1090" s="49">
        <v>1.0</v>
      </c>
      <c r="M1090" s="212" t="s">
        <v>4512</v>
      </c>
      <c r="N1090" s="49" t="s">
        <v>59</v>
      </c>
      <c r="O1090" s="49">
        <v>25.0</v>
      </c>
      <c r="P1090" s="49" t="s">
        <v>29</v>
      </c>
      <c r="Q1090" s="114">
        <v>0.0</v>
      </c>
      <c r="R1090" s="46"/>
    </row>
    <row r="1091" ht="14.25" customHeight="1">
      <c r="A1091" s="211">
        <v>41.0</v>
      </c>
      <c r="B1091" s="212" t="s">
        <v>4647</v>
      </c>
      <c r="C1091" s="212" t="s">
        <v>3949</v>
      </c>
      <c r="D1091" s="235" t="s">
        <v>25</v>
      </c>
      <c r="E1091" s="235" t="s">
        <v>4260</v>
      </c>
      <c r="F1091" s="243"/>
      <c r="G1091" s="225" t="s">
        <v>4648</v>
      </c>
      <c r="H1091" s="237">
        <v>15.0</v>
      </c>
      <c r="I1091" s="226" t="s">
        <v>4595</v>
      </c>
      <c r="J1091" s="226" t="s">
        <v>46</v>
      </c>
      <c r="K1091" s="226" t="s">
        <v>46</v>
      </c>
      <c r="L1091" s="49">
        <v>1.0</v>
      </c>
      <c r="M1091" s="212" t="s">
        <v>4512</v>
      </c>
      <c r="N1091" s="49" t="s">
        <v>59</v>
      </c>
      <c r="O1091" s="49">
        <v>25.0</v>
      </c>
      <c r="P1091" s="49" t="s">
        <v>29</v>
      </c>
      <c r="Q1091" s="114">
        <v>0.0</v>
      </c>
      <c r="R1091" s="46"/>
    </row>
    <row r="1092" ht="14.25" customHeight="1">
      <c r="A1092" s="211">
        <v>42.0</v>
      </c>
      <c r="B1092" s="212" t="s">
        <v>4649</v>
      </c>
      <c r="C1092" s="212" t="s">
        <v>4650</v>
      </c>
      <c r="D1092" s="235" t="s">
        <v>25</v>
      </c>
      <c r="E1092" s="235" t="s">
        <v>4260</v>
      </c>
      <c r="F1092" s="243"/>
      <c r="G1092" s="225" t="s">
        <v>4651</v>
      </c>
      <c r="H1092" s="237">
        <v>15.0</v>
      </c>
      <c r="I1092" s="226" t="s">
        <v>4595</v>
      </c>
      <c r="J1092" s="226" t="s">
        <v>46</v>
      </c>
      <c r="K1092" s="226" t="s">
        <v>46</v>
      </c>
      <c r="L1092" s="49">
        <v>1.0</v>
      </c>
      <c r="M1092" s="212" t="s">
        <v>4512</v>
      </c>
      <c r="N1092" s="49" t="s">
        <v>59</v>
      </c>
      <c r="O1092" s="49">
        <v>25.0</v>
      </c>
      <c r="P1092" s="49" t="s">
        <v>29</v>
      </c>
      <c r="Q1092" s="114">
        <v>0.0</v>
      </c>
      <c r="R1092" s="46"/>
    </row>
    <row r="1093" ht="14.25" customHeight="1">
      <c r="A1093" s="211">
        <v>43.0</v>
      </c>
      <c r="B1093" s="212" t="s">
        <v>4652</v>
      </c>
      <c r="C1093" s="212" t="s">
        <v>4653</v>
      </c>
      <c r="D1093" s="235" t="s">
        <v>25</v>
      </c>
      <c r="E1093" s="235" t="s">
        <v>4260</v>
      </c>
      <c r="F1093" s="243"/>
      <c r="G1093" s="225" t="s">
        <v>4654</v>
      </c>
      <c r="H1093" s="237">
        <v>14.0</v>
      </c>
      <c r="I1093" s="226" t="s">
        <v>4655</v>
      </c>
      <c r="J1093" s="226" t="s">
        <v>46</v>
      </c>
      <c r="K1093" s="226" t="s">
        <v>46</v>
      </c>
      <c r="L1093" s="49">
        <v>1.0</v>
      </c>
      <c r="M1093" s="212" t="s">
        <v>4512</v>
      </c>
      <c r="N1093" s="49" t="s">
        <v>59</v>
      </c>
      <c r="O1093" s="49">
        <v>25.0</v>
      </c>
      <c r="P1093" s="49" t="s">
        <v>29</v>
      </c>
      <c r="Q1093" s="114">
        <v>0.0</v>
      </c>
      <c r="R1093" s="46"/>
    </row>
    <row r="1094" ht="14.25" customHeight="1">
      <c r="A1094" s="211">
        <v>44.0</v>
      </c>
      <c r="B1094" s="212" t="s">
        <v>4656</v>
      </c>
      <c r="C1094" s="212" t="s">
        <v>4657</v>
      </c>
      <c r="D1094" s="235" t="s">
        <v>25</v>
      </c>
      <c r="E1094" s="235" t="s">
        <v>4260</v>
      </c>
      <c r="F1094" s="243"/>
      <c r="G1094" s="225" t="s">
        <v>4658</v>
      </c>
      <c r="H1094" s="237">
        <v>160.0</v>
      </c>
      <c r="I1094" s="226" t="s">
        <v>4659</v>
      </c>
      <c r="J1094" s="226" t="s">
        <v>46</v>
      </c>
      <c r="K1094" s="226" t="s">
        <v>46</v>
      </c>
      <c r="L1094" s="49">
        <v>1.0</v>
      </c>
      <c r="M1094" s="212" t="s">
        <v>4512</v>
      </c>
      <c r="N1094" s="49" t="s">
        <v>59</v>
      </c>
      <c r="O1094" s="49">
        <v>25.0</v>
      </c>
      <c r="P1094" s="49" t="s">
        <v>29</v>
      </c>
      <c r="Q1094" s="114">
        <v>0.0</v>
      </c>
      <c r="R1094" s="46"/>
    </row>
    <row r="1095" ht="14.25" customHeight="1">
      <c r="A1095" s="211">
        <v>45.0</v>
      </c>
      <c r="B1095" s="212" t="s">
        <v>4660</v>
      </c>
      <c r="C1095" s="212" t="s">
        <v>4661</v>
      </c>
      <c r="D1095" s="235" t="s">
        <v>25</v>
      </c>
      <c r="E1095" s="235" t="s">
        <v>4260</v>
      </c>
      <c r="F1095" s="243"/>
      <c r="G1095" s="225" t="s">
        <v>4662</v>
      </c>
      <c r="H1095" s="237">
        <v>140.0</v>
      </c>
      <c r="I1095" s="226" t="s">
        <v>4663</v>
      </c>
      <c r="J1095" s="226" t="s">
        <v>46</v>
      </c>
      <c r="K1095" s="226" t="s">
        <v>46</v>
      </c>
      <c r="L1095" s="49">
        <v>1.0</v>
      </c>
      <c r="M1095" s="212" t="s">
        <v>4512</v>
      </c>
      <c r="N1095" s="49" t="s">
        <v>59</v>
      </c>
      <c r="O1095" s="49">
        <v>25.0</v>
      </c>
      <c r="P1095" s="49" t="s">
        <v>29</v>
      </c>
      <c r="Q1095" s="114">
        <v>0.0</v>
      </c>
      <c r="R1095" s="46"/>
    </row>
    <row r="1096" ht="15.75" customHeight="1">
      <c r="A1096" s="181"/>
      <c r="B1096" s="182" t="s">
        <v>4664</v>
      </c>
      <c r="C1096" s="182"/>
      <c r="D1096" s="22"/>
      <c r="E1096" s="22"/>
      <c r="F1096" s="209"/>
      <c r="G1096" s="210"/>
      <c r="H1096" s="22"/>
      <c r="I1096" s="22"/>
      <c r="J1096" s="22"/>
      <c r="K1096" s="22"/>
      <c r="L1096" s="22"/>
      <c r="M1096" s="22"/>
      <c r="N1096" s="22"/>
      <c r="O1096" s="22"/>
      <c r="P1096" s="22"/>
      <c r="Q1096" s="209"/>
      <c r="R1096" s="22"/>
    </row>
    <row r="1097" ht="14.25" customHeight="1">
      <c r="A1097" s="211">
        <v>1.0</v>
      </c>
      <c r="B1097" s="212" t="s">
        <v>4665</v>
      </c>
      <c r="C1097" s="212" t="s">
        <v>4666</v>
      </c>
      <c r="D1097" s="235" t="s">
        <v>25</v>
      </c>
      <c r="E1097" s="235" t="s">
        <v>4260</v>
      </c>
      <c r="F1097" s="243"/>
      <c r="G1097" s="225" t="s">
        <v>4667</v>
      </c>
      <c r="H1097" s="237">
        <v>300.0</v>
      </c>
      <c r="I1097" s="226">
        <v>1500.0</v>
      </c>
      <c r="J1097" s="226">
        <v>3.0</v>
      </c>
      <c r="K1097" s="226">
        <v>3.0</v>
      </c>
      <c r="L1097" s="49">
        <v>0.0</v>
      </c>
      <c r="M1097" s="212" t="s">
        <v>661</v>
      </c>
      <c r="N1097" s="49" t="s">
        <v>59</v>
      </c>
      <c r="O1097" s="49">
        <v>600.0</v>
      </c>
      <c r="P1097" s="49" t="s">
        <v>66</v>
      </c>
      <c r="Q1097" s="114">
        <v>30.0</v>
      </c>
      <c r="R1097" s="46"/>
    </row>
    <row r="1098" ht="14.25" customHeight="1">
      <c r="A1098" s="211">
        <v>2.0</v>
      </c>
      <c r="B1098" s="212" t="s">
        <v>43</v>
      </c>
      <c r="C1098" s="212" t="s">
        <v>4668</v>
      </c>
      <c r="D1098" s="235" t="s">
        <v>25</v>
      </c>
      <c r="E1098" s="235" t="s">
        <v>4260</v>
      </c>
      <c r="F1098" s="243"/>
      <c r="G1098" s="225" t="s">
        <v>4669</v>
      </c>
      <c r="H1098" s="237">
        <v>20.0</v>
      </c>
      <c r="I1098" s="226">
        <v>100.0</v>
      </c>
      <c r="J1098" s="226">
        <v>3.0</v>
      </c>
      <c r="K1098" s="226">
        <v>3.0</v>
      </c>
      <c r="L1098" s="49">
        <v>0.0</v>
      </c>
      <c r="M1098" s="212" t="s">
        <v>661</v>
      </c>
      <c r="N1098" s="49" t="s">
        <v>59</v>
      </c>
      <c r="O1098" s="49">
        <v>50.0</v>
      </c>
      <c r="P1098" s="49" t="s">
        <v>29</v>
      </c>
      <c r="Q1098" s="239">
        <v>0.0</v>
      </c>
      <c r="R1098" s="46"/>
    </row>
    <row r="1099" ht="14.25" customHeight="1">
      <c r="A1099" s="211">
        <v>3.0</v>
      </c>
      <c r="B1099" s="212" t="s">
        <v>4670</v>
      </c>
      <c r="C1099" s="212" t="s">
        <v>4671</v>
      </c>
      <c r="D1099" s="235" t="s">
        <v>25</v>
      </c>
      <c r="E1099" s="235" t="s">
        <v>4260</v>
      </c>
      <c r="F1099" s="243"/>
      <c r="G1099" s="225" t="s">
        <v>4672</v>
      </c>
      <c r="H1099" s="237">
        <v>15.0</v>
      </c>
      <c r="I1099" s="226">
        <v>75.0</v>
      </c>
      <c r="J1099" s="226">
        <v>1.0</v>
      </c>
      <c r="K1099" s="226">
        <v>1.0</v>
      </c>
      <c r="L1099" s="49">
        <v>0.0</v>
      </c>
      <c r="M1099" s="212" t="s">
        <v>661</v>
      </c>
      <c r="N1099" s="49" t="s">
        <v>59</v>
      </c>
      <c r="O1099" s="49">
        <v>20.0</v>
      </c>
      <c r="P1099" s="49" t="s">
        <v>29</v>
      </c>
      <c r="Q1099" s="239">
        <v>0.0</v>
      </c>
      <c r="R1099" s="46"/>
    </row>
    <row r="1100" ht="14.25" customHeight="1">
      <c r="A1100" s="211">
        <v>4.0</v>
      </c>
      <c r="B1100" s="212" t="s">
        <v>4673</v>
      </c>
      <c r="C1100" s="212" t="s">
        <v>4674</v>
      </c>
      <c r="D1100" s="235" t="s">
        <v>25</v>
      </c>
      <c r="E1100" s="235" t="s">
        <v>4260</v>
      </c>
      <c r="F1100" s="243"/>
      <c r="G1100" s="225" t="s">
        <v>4675</v>
      </c>
      <c r="H1100" s="237">
        <v>6.0</v>
      </c>
      <c r="I1100" s="226">
        <v>30.0</v>
      </c>
      <c r="J1100" s="226">
        <v>1.0</v>
      </c>
      <c r="K1100" s="226">
        <v>1.0</v>
      </c>
      <c r="L1100" s="49">
        <v>0.0</v>
      </c>
      <c r="M1100" s="212" t="s">
        <v>661</v>
      </c>
      <c r="N1100" s="49" t="s">
        <v>397</v>
      </c>
      <c r="O1100" s="49">
        <v>15.0</v>
      </c>
      <c r="P1100" s="49" t="s">
        <v>29</v>
      </c>
      <c r="Q1100" s="239">
        <v>0.0</v>
      </c>
      <c r="R1100" s="46"/>
    </row>
    <row r="1101" ht="14.25" customHeight="1">
      <c r="A1101" s="211">
        <v>5.0</v>
      </c>
      <c r="B1101" s="212" t="s">
        <v>4676</v>
      </c>
      <c r="C1101" s="212" t="s">
        <v>4677</v>
      </c>
      <c r="D1101" s="235" t="s">
        <v>25</v>
      </c>
      <c r="E1101" s="235" t="s">
        <v>4260</v>
      </c>
      <c r="F1101" s="243"/>
      <c r="G1101" s="225" t="s">
        <v>4678</v>
      </c>
      <c r="H1101" s="237">
        <v>4.0</v>
      </c>
      <c r="I1101" s="226">
        <v>20.0</v>
      </c>
      <c r="J1101" s="226">
        <v>1.0</v>
      </c>
      <c r="K1101" s="226">
        <v>1.0</v>
      </c>
      <c r="L1101" s="49">
        <v>0.0</v>
      </c>
      <c r="M1101" s="212" t="s">
        <v>661</v>
      </c>
      <c r="N1101" s="49" t="s">
        <v>59</v>
      </c>
      <c r="O1101" s="49">
        <v>10.0</v>
      </c>
      <c r="P1101" s="49" t="s">
        <v>29</v>
      </c>
      <c r="Q1101" s="239">
        <v>0.0</v>
      </c>
      <c r="R1101" s="46"/>
    </row>
    <row r="1102" ht="15.75" customHeight="1">
      <c r="A1102" s="181"/>
      <c r="B1102" s="182" t="s">
        <v>4679</v>
      </c>
      <c r="C1102" s="182"/>
      <c r="D1102" s="22"/>
      <c r="E1102" s="22"/>
      <c r="F1102" s="209"/>
      <c r="G1102" s="210"/>
      <c r="H1102" s="22"/>
      <c r="I1102" s="22"/>
      <c r="J1102" s="22"/>
      <c r="K1102" s="22"/>
      <c r="L1102" s="22"/>
      <c r="M1102" s="22"/>
      <c r="N1102" s="22"/>
      <c r="O1102" s="22"/>
      <c r="P1102" s="22"/>
      <c r="Q1102" s="209"/>
      <c r="R1102" s="22"/>
    </row>
    <row r="1103" ht="14.25" customHeight="1">
      <c r="A1103" s="211">
        <v>1.0</v>
      </c>
      <c r="B1103" s="212" t="s">
        <v>4680</v>
      </c>
      <c r="C1103" s="212" t="s">
        <v>4681</v>
      </c>
      <c r="D1103" s="235" t="s">
        <v>2000</v>
      </c>
      <c r="E1103" s="235" t="s">
        <v>3607</v>
      </c>
      <c r="F1103" s="243"/>
      <c r="G1103" s="225" t="s">
        <v>4682</v>
      </c>
      <c r="H1103" s="237">
        <v>100.0</v>
      </c>
      <c r="I1103" s="226">
        <v>500.0</v>
      </c>
      <c r="J1103" s="226">
        <v>1.0</v>
      </c>
      <c r="K1103" s="226">
        <v>1.0</v>
      </c>
      <c r="L1103" s="49">
        <v>1.0</v>
      </c>
      <c r="M1103" s="212" t="s">
        <v>4683</v>
      </c>
      <c r="N1103" s="49" t="s">
        <v>401</v>
      </c>
      <c r="O1103" s="49">
        <v>300.0</v>
      </c>
      <c r="P1103" s="49" t="s">
        <v>29</v>
      </c>
      <c r="Q1103" s="114"/>
      <c r="R1103" s="46"/>
    </row>
    <row r="1104" ht="14.25" customHeight="1">
      <c r="A1104" s="211">
        <v>2.0</v>
      </c>
      <c r="B1104" s="212" t="s">
        <v>4684</v>
      </c>
      <c r="C1104" s="212" t="s">
        <v>4685</v>
      </c>
      <c r="D1104" s="235" t="s">
        <v>2000</v>
      </c>
      <c r="E1104" s="235" t="s">
        <v>3607</v>
      </c>
      <c r="F1104" s="243"/>
      <c r="G1104" s="225" t="s">
        <v>4686</v>
      </c>
      <c r="H1104" s="237">
        <v>50.0</v>
      </c>
      <c r="I1104" s="226">
        <v>150.0</v>
      </c>
      <c r="J1104" s="226">
        <v>1.0</v>
      </c>
      <c r="K1104" s="226">
        <v>1.0</v>
      </c>
      <c r="L1104" s="49">
        <v>0.0</v>
      </c>
      <c r="M1104" s="212" t="s">
        <v>4687</v>
      </c>
      <c r="N1104" s="49" t="s">
        <v>401</v>
      </c>
      <c r="O1104" s="49">
        <v>100.0</v>
      </c>
      <c r="P1104" s="49" t="s">
        <v>29</v>
      </c>
      <c r="Q1104" s="114"/>
      <c r="R1104" s="46"/>
    </row>
    <row r="1105" ht="14.25" customHeight="1">
      <c r="A1105" s="211">
        <v>3.0</v>
      </c>
      <c r="B1105" s="212" t="s">
        <v>4688</v>
      </c>
      <c r="C1105" s="212" t="s">
        <v>4689</v>
      </c>
      <c r="D1105" s="235" t="s">
        <v>2000</v>
      </c>
      <c r="E1105" s="235" t="s">
        <v>3607</v>
      </c>
      <c r="F1105" s="243"/>
      <c r="G1105" s="225" t="s">
        <v>4690</v>
      </c>
      <c r="H1105" s="237">
        <v>100.0</v>
      </c>
      <c r="I1105" s="226">
        <v>500.0</v>
      </c>
      <c r="J1105" s="226">
        <v>1.0</v>
      </c>
      <c r="K1105" s="226">
        <v>1.0</v>
      </c>
      <c r="L1105" s="49">
        <v>0.0</v>
      </c>
      <c r="M1105" s="212" t="s">
        <v>4687</v>
      </c>
      <c r="N1105" s="49" t="s">
        <v>401</v>
      </c>
      <c r="O1105" s="49">
        <v>200.0</v>
      </c>
      <c r="P1105" s="49" t="s">
        <v>29</v>
      </c>
      <c r="Q1105" s="114"/>
      <c r="R1105" s="46"/>
    </row>
    <row r="1106" ht="14.25" customHeight="1">
      <c r="A1106" s="211">
        <v>4.0</v>
      </c>
      <c r="B1106" s="212" t="s">
        <v>4691</v>
      </c>
      <c r="C1106" s="212" t="s">
        <v>4692</v>
      </c>
      <c r="D1106" s="235" t="s">
        <v>2000</v>
      </c>
      <c r="E1106" s="235" t="s">
        <v>3607</v>
      </c>
      <c r="F1106" s="243"/>
      <c r="G1106" s="225" t="s">
        <v>4693</v>
      </c>
      <c r="H1106" s="237">
        <v>70.0</v>
      </c>
      <c r="I1106" s="226">
        <v>350.0</v>
      </c>
      <c r="J1106" s="226">
        <v>1.0</v>
      </c>
      <c r="K1106" s="226">
        <v>1.0</v>
      </c>
      <c r="L1106" s="49">
        <v>0.0</v>
      </c>
      <c r="M1106" s="212" t="s">
        <v>4687</v>
      </c>
      <c r="N1106" s="49" t="s">
        <v>401</v>
      </c>
      <c r="O1106" s="49">
        <v>100.0</v>
      </c>
      <c r="P1106" s="49" t="s">
        <v>29</v>
      </c>
      <c r="Q1106" s="114"/>
      <c r="R1106" s="46"/>
    </row>
    <row r="1107" ht="14.25" customHeight="1">
      <c r="A1107" s="211">
        <v>5.0</v>
      </c>
      <c r="B1107" s="212" t="s">
        <v>4694</v>
      </c>
      <c r="C1107" s="212" t="s">
        <v>4695</v>
      </c>
      <c r="D1107" s="235" t="s">
        <v>2000</v>
      </c>
      <c r="E1107" s="235" t="s">
        <v>3607</v>
      </c>
      <c r="F1107" s="243"/>
      <c r="G1107" s="225" t="s">
        <v>4696</v>
      </c>
      <c r="H1107" s="237">
        <v>60.0</v>
      </c>
      <c r="I1107" s="226">
        <v>250.0</v>
      </c>
      <c r="J1107" s="226">
        <v>1.0</v>
      </c>
      <c r="K1107" s="226">
        <v>1.0</v>
      </c>
      <c r="L1107" s="49">
        <v>0.0</v>
      </c>
      <c r="M1107" s="212" t="s">
        <v>4687</v>
      </c>
      <c r="N1107" s="49" t="s">
        <v>401</v>
      </c>
      <c r="O1107" s="49">
        <v>100.0</v>
      </c>
      <c r="P1107" s="49" t="s">
        <v>29</v>
      </c>
      <c r="Q1107" s="114"/>
      <c r="R1107" s="46"/>
    </row>
    <row r="1108" ht="14.25" customHeight="1">
      <c r="A1108" s="211">
        <v>6.0</v>
      </c>
      <c r="B1108" s="212" t="s">
        <v>4697</v>
      </c>
      <c r="C1108" s="212" t="s">
        <v>4698</v>
      </c>
      <c r="D1108" s="235" t="s">
        <v>2000</v>
      </c>
      <c r="E1108" s="235" t="s">
        <v>3607</v>
      </c>
      <c r="F1108" s="243"/>
      <c r="G1108" s="225" t="s">
        <v>4696</v>
      </c>
      <c r="H1108" s="237">
        <v>60.0</v>
      </c>
      <c r="I1108" s="226">
        <v>250.0</v>
      </c>
      <c r="J1108" s="226">
        <v>1.0</v>
      </c>
      <c r="K1108" s="226">
        <v>1.0</v>
      </c>
      <c r="L1108" s="49">
        <v>0.0</v>
      </c>
      <c r="M1108" s="212" t="s">
        <v>4687</v>
      </c>
      <c r="N1108" s="49" t="s">
        <v>401</v>
      </c>
      <c r="O1108" s="49">
        <v>100.0</v>
      </c>
      <c r="P1108" s="49" t="s">
        <v>29</v>
      </c>
      <c r="Q1108" s="114"/>
      <c r="R1108" s="46"/>
    </row>
    <row r="1109" ht="14.25" customHeight="1">
      <c r="A1109" s="211">
        <v>7.0</v>
      </c>
      <c r="B1109" s="212" t="s">
        <v>4699</v>
      </c>
      <c r="C1109" s="212" t="s">
        <v>4700</v>
      </c>
      <c r="D1109" s="235" t="s">
        <v>2000</v>
      </c>
      <c r="E1109" s="235" t="s">
        <v>3607</v>
      </c>
      <c r="F1109" s="243"/>
      <c r="G1109" s="225" t="s">
        <v>4696</v>
      </c>
      <c r="H1109" s="237">
        <v>60.0</v>
      </c>
      <c r="I1109" s="226" t="s">
        <v>1137</v>
      </c>
      <c r="J1109" s="226">
        <v>1.0</v>
      </c>
      <c r="K1109" s="226">
        <v>1.0</v>
      </c>
      <c r="L1109" s="49">
        <v>0.0</v>
      </c>
      <c r="M1109" s="212" t="s">
        <v>4687</v>
      </c>
      <c r="N1109" s="49" t="s">
        <v>401</v>
      </c>
      <c r="O1109" s="49">
        <v>100.0</v>
      </c>
      <c r="P1109" s="49" t="s">
        <v>29</v>
      </c>
      <c r="Q1109" s="114"/>
      <c r="R1109" s="46"/>
    </row>
    <row r="1110" ht="14.25" customHeight="1">
      <c r="A1110" s="211">
        <v>8.0</v>
      </c>
      <c r="B1110" s="212" t="s">
        <v>4701</v>
      </c>
      <c r="C1110" s="212" t="s">
        <v>4702</v>
      </c>
      <c r="D1110" s="235" t="s">
        <v>2000</v>
      </c>
      <c r="E1110" s="235" t="s">
        <v>3607</v>
      </c>
      <c r="F1110" s="243"/>
      <c r="G1110" s="225" t="s">
        <v>4696</v>
      </c>
      <c r="H1110" s="237">
        <v>50.0</v>
      </c>
      <c r="I1110" s="226">
        <v>200.0</v>
      </c>
      <c r="J1110" s="226">
        <v>1.0</v>
      </c>
      <c r="K1110" s="226" t="s">
        <v>4703</v>
      </c>
      <c r="L1110" s="49">
        <v>0.0</v>
      </c>
      <c r="M1110" s="212" t="s">
        <v>4687</v>
      </c>
      <c r="N1110" s="49" t="s">
        <v>401</v>
      </c>
      <c r="O1110" s="49">
        <v>100.0</v>
      </c>
      <c r="P1110" s="49" t="s">
        <v>29</v>
      </c>
      <c r="Q1110" s="114"/>
      <c r="R1110" s="46"/>
    </row>
    <row r="1111" ht="14.25" customHeight="1">
      <c r="A1111" s="211">
        <v>9.0</v>
      </c>
      <c r="B1111" s="212" t="s">
        <v>4704</v>
      </c>
      <c r="C1111" s="212" t="s">
        <v>4705</v>
      </c>
      <c r="D1111" s="235" t="s">
        <v>2000</v>
      </c>
      <c r="E1111" s="235" t="s">
        <v>3607</v>
      </c>
      <c r="F1111" s="243"/>
      <c r="G1111" s="225" t="s">
        <v>4706</v>
      </c>
      <c r="H1111" s="237">
        <v>60.0</v>
      </c>
      <c r="I1111" s="226">
        <v>300.0</v>
      </c>
      <c r="J1111" s="226">
        <v>1.0</v>
      </c>
      <c r="K1111" s="226">
        <v>1.0</v>
      </c>
      <c r="L1111" s="49">
        <v>0.0</v>
      </c>
      <c r="M1111" s="212" t="s">
        <v>4687</v>
      </c>
      <c r="N1111" s="49" t="s">
        <v>401</v>
      </c>
      <c r="O1111" s="49">
        <v>100.0</v>
      </c>
      <c r="P1111" s="49" t="s">
        <v>29</v>
      </c>
      <c r="Q1111" s="114"/>
      <c r="R1111" s="46"/>
    </row>
    <row r="1112" ht="14.25" customHeight="1">
      <c r="A1112" s="211">
        <v>10.0</v>
      </c>
      <c r="B1112" s="212" t="s">
        <v>4707</v>
      </c>
      <c r="C1112" s="212" t="s">
        <v>4708</v>
      </c>
      <c r="D1112" s="235" t="s">
        <v>2000</v>
      </c>
      <c r="E1112" s="235" t="s">
        <v>3607</v>
      </c>
      <c r="F1112" s="243"/>
      <c r="G1112" s="225" t="s">
        <v>4706</v>
      </c>
      <c r="H1112" s="237">
        <v>70.0</v>
      </c>
      <c r="I1112" s="226">
        <v>350.0</v>
      </c>
      <c r="J1112" s="226">
        <v>1.0</v>
      </c>
      <c r="K1112" s="226">
        <v>1.0</v>
      </c>
      <c r="L1112" s="49">
        <v>0.0</v>
      </c>
      <c r="M1112" s="212" t="s">
        <v>4687</v>
      </c>
      <c r="N1112" s="49" t="s">
        <v>401</v>
      </c>
      <c r="O1112" s="49">
        <v>100.0</v>
      </c>
      <c r="P1112" s="49" t="s">
        <v>29</v>
      </c>
      <c r="Q1112" s="114"/>
      <c r="R1112" s="46"/>
    </row>
    <row r="1113" ht="14.25" customHeight="1">
      <c r="A1113" s="211">
        <v>11.0</v>
      </c>
      <c r="B1113" s="212" t="s">
        <v>4709</v>
      </c>
      <c r="C1113" s="212" t="s">
        <v>4710</v>
      </c>
      <c r="D1113" s="235" t="s">
        <v>2000</v>
      </c>
      <c r="E1113" s="235" t="s">
        <v>3607</v>
      </c>
      <c r="F1113" s="243"/>
      <c r="G1113" s="225" t="s">
        <v>4696</v>
      </c>
      <c r="H1113" s="237" t="s">
        <v>1137</v>
      </c>
      <c r="I1113" s="226">
        <v>200.0</v>
      </c>
      <c r="J1113" s="226">
        <v>1.0</v>
      </c>
      <c r="K1113" s="226">
        <v>1.0</v>
      </c>
      <c r="L1113" s="49">
        <v>0.0</v>
      </c>
      <c r="M1113" s="212" t="s">
        <v>4687</v>
      </c>
      <c r="N1113" s="49" t="s">
        <v>401</v>
      </c>
      <c r="O1113" s="49">
        <v>100.0</v>
      </c>
      <c r="P1113" s="49" t="s">
        <v>29</v>
      </c>
      <c r="Q1113" s="114"/>
      <c r="R1113" s="46"/>
    </row>
    <row r="1114" ht="14.25" customHeight="1">
      <c r="A1114" s="211">
        <v>12.0</v>
      </c>
      <c r="B1114" s="212" t="s">
        <v>4711</v>
      </c>
      <c r="C1114" s="212" t="s">
        <v>4712</v>
      </c>
      <c r="D1114" s="235" t="s">
        <v>2000</v>
      </c>
      <c r="E1114" s="235" t="s">
        <v>3607</v>
      </c>
      <c r="F1114" s="243"/>
      <c r="G1114" s="225" t="s">
        <v>4713</v>
      </c>
      <c r="H1114" s="237">
        <v>30.0</v>
      </c>
      <c r="I1114" s="226">
        <v>200.0</v>
      </c>
      <c r="J1114" s="226">
        <v>1.0</v>
      </c>
      <c r="K1114" s="226">
        <v>1.0</v>
      </c>
      <c r="L1114" s="49">
        <v>0.0</v>
      </c>
      <c r="M1114" s="212" t="s">
        <v>4687</v>
      </c>
      <c r="N1114" s="49" t="s">
        <v>401</v>
      </c>
      <c r="O1114" s="49">
        <v>75.0</v>
      </c>
      <c r="P1114" s="49" t="s">
        <v>29</v>
      </c>
      <c r="Q1114" s="114"/>
      <c r="R1114" s="46"/>
    </row>
    <row r="1115" ht="14.25" customHeight="1">
      <c r="A1115" s="211">
        <v>13.0</v>
      </c>
      <c r="B1115" s="212" t="s">
        <v>4714</v>
      </c>
      <c r="C1115" s="212" t="s">
        <v>4715</v>
      </c>
      <c r="D1115" s="235" t="s">
        <v>2000</v>
      </c>
      <c r="E1115" s="235" t="s">
        <v>3607</v>
      </c>
      <c r="F1115" s="243"/>
      <c r="G1115" s="225" t="s">
        <v>4686</v>
      </c>
      <c r="H1115" s="237" t="s">
        <v>1137</v>
      </c>
      <c r="I1115" s="226">
        <v>250.0</v>
      </c>
      <c r="J1115" s="226">
        <v>1.0</v>
      </c>
      <c r="K1115" s="226">
        <v>1.0</v>
      </c>
      <c r="L1115" s="49">
        <v>0.0</v>
      </c>
      <c r="M1115" s="212" t="s">
        <v>4687</v>
      </c>
      <c r="N1115" s="49" t="s">
        <v>401</v>
      </c>
      <c r="O1115" s="49">
        <v>100.0</v>
      </c>
      <c r="P1115" s="49" t="s">
        <v>29</v>
      </c>
      <c r="Q1115" s="114"/>
      <c r="R1115" s="46"/>
    </row>
    <row r="1116" ht="14.25" customHeight="1">
      <c r="A1116" s="211">
        <v>14.0</v>
      </c>
      <c r="B1116" s="212" t="s">
        <v>4716</v>
      </c>
      <c r="C1116" s="212" t="s">
        <v>4717</v>
      </c>
      <c r="D1116" s="235" t="s">
        <v>2000</v>
      </c>
      <c r="E1116" s="235" t="s">
        <v>3607</v>
      </c>
      <c r="F1116" s="243"/>
      <c r="G1116" s="225" t="s">
        <v>4686</v>
      </c>
      <c r="H1116" s="237">
        <v>50.0</v>
      </c>
      <c r="I1116" s="226">
        <v>250.0</v>
      </c>
      <c r="J1116" s="226">
        <v>1.0</v>
      </c>
      <c r="K1116" s="226">
        <v>1.0</v>
      </c>
      <c r="L1116" s="49">
        <v>0.0</v>
      </c>
      <c r="M1116" s="212" t="s">
        <v>4687</v>
      </c>
      <c r="N1116" s="49" t="s">
        <v>401</v>
      </c>
      <c r="O1116" s="49">
        <v>100.0</v>
      </c>
      <c r="P1116" s="49" t="s">
        <v>29</v>
      </c>
      <c r="Q1116" s="114"/>
      <c r="R1116" s="46"/>
    </row>
    <row r="1117" ht="14.25" customHeight="1">
      <c r="A1117" s="211">
        <v>15.0</v>
      </c>
      <c r="B1117" s="212" t="s">
        <v>4718</v>
      </c>
      <c r="C1117" s="212" t="s">
        <v>4719</v>
      </c>
      <c r="D1117" s="235" t="s">
        <v>2000</v>
      </c>
      <c r="E1117" s="235" t="s">
        <v>3607</v>
      </c>
      <c r="F1117" s="243"/>
      <c r="G1117" s="225" t="s">
        <v>4686</v>
      </c>
      <c r="H1117" s="237">
        <v>40.0</v>
      </c>
      <c r="I1117" s="226">
        <v>200.0</v>
      </c>
      <c r="J1117" s="226">
        <v>1.0</v>
      </c>
      <c r="K1117" s="226">
        <v>1.0</v>
      </c>
      <c r="L1117" s="49">
        <v>0.0</v>
      </c>
      <c r="M1117" s="212" t="s">
        <v>4687</v>
      </c>
      <c r="N1117" s="49" t="s">
        <v>401</v>
      </c>
      <c r="O1117" s="49">
        <v>100.0</v>
      </c>
      <c r="P1117" s="49" t="s">
        <v>29</v>
      </c>
      <c r="Q1117" s="114"/>
      <c r="R1117" s="46"/>
    </row>
    <row r="1118" ht="14.25" customHeight="1">
      <c r="A1118" s="211">
        <v>16.0</v>
      </c>
      <c r="B1118" s="212" t="s">
        <v>4720</v>
      </c>
      <c r="C1118" s="212" t="s">
        <v>4721</v>
      </c>
      <c r="D1118" s="235" t="s">
        <v>2000</v>
      </c>
      <c r="E1118" s="235" t="s">
        <v>3607</v>
      </c>
      <c r="F1118" s="243"/>
      <c r="G1118" s="225" t="s">
        <v>4686</v>
      </c>
      <c r="H1118" s="237">
        <v>40.0</v>
      </c>
      <c r="I1118" s="226">
        <v>200.0</v>
      </c>
      <c r="J1118" s="226">
        <v>1.0</v>
      </c>
      <c r="K1118" s="226">
        <v>1.0</v>
      </c>
      <c r="L1118" s="49">
        <v>0.0</v>
      </c>
      <c r="M1118" s="212" t="s">
        <v>4687</v>
      </c>
      <c r="N1118" s="49" t="s">
        <v>401</v>
      </c>
      <c r="O1118" s="49">
        <v>100.0</v>
      </c>
      <c r="P1118" s="49" t="s">
        <v>29</v>
      </c>
      <c r="Q1118" s="114"/>
      <c r="R1118" s="46"/>
    </row>
    <row r="1119" ht="14.25" customHeight="1">
      <c r="A1119" s="211">
        <v>17.0</v>
      </c>
      <c r="B1119" s="212" t="s">
        <v>4722</v>
      </c>
      <c r="C1119" s="212" t="s">
        <v>4723</v>
      </c>
      <c r="D1119" s="235" t="s">
        <v>2000</v>
      </c>
      <c r="E1119" s="235" t="s">
        <v>3607</v>
      </c>
      <c r="F1119" s="243"/>
      <c r="G1119" s="225" t="s">
        <v>4686</v>
      </c>
      <c r="H1119" s="237">
        <v>40.0</v>
      </c>
      <c r="I1119" s="226">
        <v>200.0</v>
      </c>
      <c r="J1119" s="226">
        <v>1.0</v>
      </c>
      <c r="K1119" s="226">
        <v>1.0</v>
      </c>
      <c r="L1119" s="49">
        <v>0.0</v>
      </c>
      <c r="M1119" s="212" t="s">
        <v>4687</v>
      </c>
      <c r="N1119" s="49" t="s">
        <v>401</v>
      </c>
      <c r="O1119" s="49">
        <v>75.0</v>
      </c>
      <c r="P1119" s="49" t="s">
        <v>29</v>
      </c>
      <c r="Q1119" s="114"/>
      <c r="R1119" s="46"/>
    </row>
    <row r="1120" ht="14.25" customHeight="1">
      <c r="A1120" s="211">
        <v>18.0</v>
      </c>
      <c r="B1120" s="212" t="s">
        <v>4724</v>
      </c>
      <c r="C1120" s="212" t="s">
        <v>4725</v>
      </c>
      <c r="D1120" s="235" t="s">
        <v>2000</v>
      </c>
      <c r="E1120" s="235" t="s">
        <v>3607</v>
      </c>
      <c r="F1120" s="243"/>
      <c r="G1120" s="225" t="s">
        <v>4696</v>
      </c>
      <c r="H1120" s="237">
        <v>30.0</v>
      </c>
      <c r="I1120" s="226">
        <v>175.0</v>
      </c>
      <c r="J1120" s="226">
        <v>1.0</v>
      </c>
      <c r="K1120" s="226">
        <v>1.0</v>
      </c>
      <c r="L1120" s="49">
        <v>0.0</v>
      </c>
      <c r="M1120" s="212" t="s">
        <v>4687</v>
      </c>
      <c r="N1120" s="49" t="s">
        <v>401</v>
      </c>
      <c r="O1120" s="49">
        <v>75.0</v>
      </c>
      <c r="P1120" s="49" t="s">
        <v>29</v>
      </c>
      <c r="Q1120" s="114"/>
      <c r="R1120" s="46"/>
    </row>
    <row r="1121" ht="14.25" customHeight="1">
      <c r="A1121" s="211">
        <v>19.0</v>
      </c>
      <c r="B1121" s="212" t="s">
        <v>4726</v>
      </c>
      <c r="C1121" s="212" t="s">
        <v>4727</v>
      </c>
      <c r="D1121" s="235" t="s">
        <v>2000</v>
      </c>
      <c r="E1121" s="235" t="s">
        <v>3607</v>
      </c>
      <c r="F1121" s="243"/>
      <c r="G1121" s="225" t="s">
        <v>4706</v>
      </c>
      <c r="H1121" s="237">
        <v>70.0</v>
      </c>
      <c r="I1121" s="226">
        <v>350.0</v>
      </c>
      <c r="J1121" s="226">
        <v>1.0</v>
      </c>
      <c r="K1121" s="226">
        <v>1.0</v>
      </c>
      <c r="L1121" s="49">
        <v>0.0</v>
      </c>
      <c r="M1121" s="212" t="s">
        <v>4687</v>
      </c>
      <c r="N1121" s="49" t="s">
        <v>401</v>
      </c>
      <c r="O1121" s="49">
        <v>100.0</v>
      </c>
      <c r="P1121" s="49" t="s">
        <v>29</v>
      </c>
      <c r="Q1121" s="114"/>
      <c r="R1121" s="46"/>
    </row>
    <row r="1122" ht="14.25" customHeight="1">
      <c r="A1122" s="211">
        <v>20.0</v>
      </c>
      <c r="B1122" s="212" t="s">
        <v>4728</v>
      </c>
      <c r="C1122" s="212" t="s">
        <v>4729</v>
      </c>
      <c r="D1122" s="235" t="s">
        <v>2000</v>
      </c>
      <c r="E1122" s="235" t="s">
        <v>3607</v>
      </c>
      <c r="F1122" s="243"/>
      <c r="G1122" s="225" t="s">
        <v>4696</v>
      </c>
      <c r="H1122" s="237">
        <v>60.0</v>
      </c>
      <c r="I1122" s="226">
        <v>300.0</v>
      </c>
      <c r="J1122" s="226">
        <v>1.0</v>
      </c>
      <c r="K1122" s="226">
        <v>1.0</v>
      </c>
      <c r="L1122" s="49">
        <v>0.0</v>
      </c>
      <c r="M1122" s="212" t="s">
        <v>4687</v>
      </c>
      <c r="N1122" s="49" t="s">
        <v>401</v>
      </c>
      <c r="O1122" s="49">
        <v>100.0</v>
      </c>
      <c r="P1122" s="49" t="s">
        <v>29</v>
      </c>
      <c r="Q1122" s="114"/>
      <c r="R1122" s="46"/>
    </row>
    <row r="1123" ht="14.25" customHeight="1">
      <c r="A1123" s="211">
        <v>21.0</v>
      </c>
      <c r="B1123" s="212" t="s">
        <v>4730</v>
      </c>
      <c r="C1123" s="212" t="s">
        <v>4731</v>
      </c>
      <c r="D1123" s="235" t="s">
        <v>2000</v>
      </c>
      <c r="E1123" s="235" t="s">
        <v>3607</v>
      </c>
      <c r="F1123" s="243"/>
      <c r="G1123" s="225" t="s">
        <v>4696</v>
      </c>
      <c r="H1123" s="237">
        <v>60.0</v>
      </c>
      <c r="I1123" s="226">
        <v>300.0</v>
      </c>
      <c r="J1123" s="226">
        <v>1.0</v>
      </c>
      <c r="K1123" s="226">
        <v>1.0</v>
      </c>
      <c r="L1123" s="49">
        <v>0.0</v>
      </c>
      <c r="M1123" s="212" t="s">
        <v>4683</v>
      </c>
      <c r="N1123" s="49" t="s">
        <v>401</v>
      </c>
      <c r="O1123" s="49">
        <v>100.0</v>
      </c>
      <c r="P1123" s="49" t="s">
        <v>29</v>
      </c>
      <c r="Q1123" s="114"/>
      <c r="R1123" s="46"/>
    </row>
    <row r="1124" ht="14.25" customHeight="1">
      <c r="A1124" s="211">
        <v>22.0</v>
      </c>
      <c r="B1124" s="212" t="s">
        <v>4732</v>
      </c>
      <c r="C1124" s="212" t="s">
        <v>4733</v>
      </c>
      <c r="D1124" s="235" t="s">
        <v>2000</v>
      </c>
      <c r="E1124" s="235" t="s">
        <v>3607</v>
      </c>
      <c r="F1124" s="243"/>
      <c r="G1124" s="225" t="s">
        <v>4696</v>
      </c>
      <c r="H1124" s="237">
        <v>50.0</v>
      </c>
      <c r="I1124" s="226">
        <v>250.0</v>
      </c>
      <c r="J1124" s="226">
        <v>2.0</v>
      </c>
      <c r="K1124" s="226">
        <v>2.0</v>
      </c>
      <c r="L1124" s="49">
        <v>0.0</v>
      </c>
      <c r="M1124" s="212" t="s">
        <v>4683</v>
      </c>
      <c r="N1124" s="49" t="s">
        <v>401</v>
      </c>
      <c r="O1124" s="49">
        <v>75.0</v>
      </c>
      <c r="P1124" s="49" t="s">
        <v>29</v>
      </c>
      <c r="Q1124" s="114"/>
      <c r="R1124" s="46"/>
    </row>
    <row r="1125" ht="14.25" customHeight="1">
      <c r="A1125" s="211">
        <v>23.0</v>
      </c>
      <c r="B1125" s="212" t="s">
        <v>4734</v>
      </c>
      <c r="C1125" s="212" t="s">
        <v>4735</v>
      </c>
      <c r="D1125" s="235" t="s">
        <v>2000</v>
      </c>
      <c r="E1125" s="235" t="s">
        <v>3607</v>
      </c>
      <c r="F1125" s="243"/>
      <c r="G1125" s="225" t="s">
        <v>4736</v>
      </c>
      <c r="H1125" s="237">
        <v>25.0</v>
      </c>
      <c r="I1125" s="226">
        <v>150.0</v>
      </c>
      <c r="J1125" s="226">
        <v>2.0</v>
      </c>
      <c r="K1125" s="226">
        <v>2.0</v>
      </c>
      <c r="L1125" s="49">
        <v>1.0</v>
      </c>
      <c r="M1125" s="212" t="s">
        <v>4683</v>
      </c>
      <c r="N1125" s="49" t="s">
        <v>401</v>
      </c>
      <c r="O1125" s="49">
        <v>150.0</v>
      </c>
      <c r="P1125" s="49" t="s">
        <v>66</v>
      </c>
      <c r="Q1125" s="114">
        <v>50.0</v>
      </c>
      <c r="R1125" s="46"/>
    </row>
    <row r="1126" ht="15.75" customHeight="1">
      <c r="A1126" s="181"/>
      <c r="B1126" s="182" t="s">
        <v>4737</v>
      </c>
      <c r="C1126" s="182"/>
      <c r="D1126" s="22"/>
      <c r="E1126" s="22"/>
      <c r="F1126" s="209"/>
      <c r="G1126" s="210"/>
      <c r="H1126" s="22"/>
      <c r="I1126" s="22"/>
      <c r="J1126" s="22"/>
      <c r="K1126" s="22"/>
      <c r="L1126" s="22"/>
      <c r="M1126" s="22"/>
      <c r="N1126" s="22"/>
      <c r="O1126" s="22"/>
      <c r="P1126" s="22"/>
      <c r="Q1126" s="209"/>
      <c r="R1126" s="22"/>
    </row>
    <row r="1127" ht="14.25" customHeight="1">
      <c r="A1127" s="211">
        <v>1.0</v>
      </c>
      <c r="B1127" s="212" t="s">
        <v>4738</v>
      </c>
      <c r="C1127" s="212" t="s">
        <v>4739</v>
      </c>
      <c r="D1127" s="235" t="s">
        <v>2000</v>
      </c>
      <c r="E1127" s="235" t="s">
        <v>4740</v>
      </c>
      <c r="F1127" s="243" t="s">
        <v>1137</v>
      </c>
      <c r="G1127" s="225">
        <v>96.0</v>
      </c>
      <c r="H1127" s="237">
        <v>50.0</v>
      </c>
      <c r="I1127" s="226">
        <v>250.0</v>
      </c>
      <c r="J1127" s="226">
        <v>1.0</v>
      </c>
      <c r="K1127" s="226">
        <v>1.0</v>
      </c>
      <c r="L1127" s="49">
        <v>1.0</v>
      </c>
      <c r="M1127" s="212" t="s">
        <v>449</v>
      </c>
      <c r="N1127" s="49" t="s">
        <v>39</v>
      </c>
      <c r="O1127" s="49">
        <v>50.0</v>
      </c>
      <c r="P1127" s="49" t="s">
        <v>29</v>
      </c>
      <c r="Q1127" s="114" t="s">
        <v>39</v>
      </c>
      <c r="R1127" s="46"/>
    </row>
    <row r="1128" ht="14.25" customHeight="1">
      <c r="A1128" s="211">
        <v>2.0</v>
      </c>
      <c r="B1128" s="212" t="s">
        <v>4741</v>
      </c>
      <c r="C1128" s="212" t="s">
        <v>4742</v>
      </c>
      <c r="D1128" s="235" t="s">
        <v>2000</v>
      </c>
      <c r="E1128" s="235" t="s">
        <v>4740</v>
      </c>
      <c r="F1128" s="243" t="s">
        <v>1137</v>
      </c>
      <c r="G1128" s="225">
        <v>96.0</v>
      </c>
      <c r="H1128" s="237">
        <v>50.0</v>
      </c>
      <c r="I1128" s="226">
        <v>250.0</v>
      </c>
      <c r="J1128" s="226">
        <v>1.0</v>
      </c>
      <c r="K1128" s="226">
        <v>1.0</v>
      </c>
      <c r="L1128" s="49">
        <v>1.0</v>
      </c>
      <c r="M1128" s="212" t="s">
        <v>449</v>
      </c>
      <c r="N1128" s="49" t="s">
        <v>39</v>
      </c>
      <c r="O1128" s="49">
        <v>50.0</v>
      </c>
      <c r="P1128" s="49" t="s">
        <v>29</v>
      </c>
      <c r="Q1128" s="114" t="s">
        <v>39</v>
      </c>
      <c r="R1128" s="46"/>
    </row>
    <row r="1129" ht="14.25" customHeight="1">
      <c r="A1129" s="211">
        <v>3.0</v>
      </c>
      <c r="B1129" s="212" t="s">
        <v>4743</v>
      </c>
      <c r="C1129" s="212" t="s">
        <v>4744</v>
      </c>
      <c r="D1129" s="235" t="s">
        <v>2000</v>
      </c>
      <c r="E1129" s="235" t="s">
        <v>4740</v>
      </c>
      <c r="F1129" s="243" t="s">
        <v>1137</v>
      </c>
      <c r="G1129" s="225">
        <v>1500.0</v>
      </c>
      <c r="H1129" s="237">
        <v>200.0</v>
      </c>
      <c r="I1129" s="226">
        <v>1000.0</v>
      </c>
      <c r="J1129" s="226">
        <v>2.0</v>
      </c>
      <c r="K1129" s="226">
        <v>2.0</v>
      </c>
      <c r="L1129" s="49">
        <v>7.0</v>
      </c>
      <c r="M1129" s="212" t="s">
        <v>449</v>
      </c>
      <c r="N1129" s="49" t="s">
        <v>39</v>
      </c>
      <c r="O1129" s="49">
        <v>200.0</v>
      </c>
      <c r="P1129" s="49" t="s">
        <v>29</v>
      </c>
      <c r="Q1129" s="114" t="s">
        <v>39</v>
      </c>
      <c r="R1129" s="46"/>
    </row>
    <row r="1130" ht="14.25" customHeight="1">
      <c r="A1130" s="211">
        <v>4.0</v>
      </c>
      <c r="B1130" s="212" t="s">
        <v>4745</v>
      </c>
      <c r="C1130" s="212" t="s">
        <v>4746</v>
      </c>
      <c r="D1130" s="235" t="s">
        <v>2000</v>
      </c>
      <c r="E1130" s="235" t="s">
        <v>4740</v>
      </c>
      <c r="F1130" s="243" t="s">
        <v>1137</v>
      </c>
      <c r="G1130" s="225">
        <v>800.0</v>
      </c>
      <c r="H1130" s="237">
        <v>300.0</v>
      </c>
      <c r="I1130" s="226">
        <v>1500.0</v>
      </c>
      <c r="J1130" s="226">
        <v>2.0</v>
      </c>
      <c r="K1130" s="226">
        <v>2.0</v>
      </c>
      <c r="L1130" s="49">
        <v>10.0</v>
      </c>
      <c r="M1130" s="212" t="s">
        <v>449</v>
      </c>
      <c r="N1130" s="49" t="s">
        <v>39</v>
      </c>
      <c r="O1130" s="49">
        <v>300.0</v>
      </c>
      <c r="P1130" s="49" t="s">
        <v>29</v>
      </c>
      <c r="Q1130" s="114" t="s">
        <v>39</v>
      </c>
      <c r="R1130" s="46"/>
    </row>
    <row r="1131" ht="14.25" customHeight="1">
      <c r="A1131" s="211">
        <v>5.0</v>
      </c>
      <c r="B1131" s="212" t="s">
        <v>4747</v>
      </c>
      <c r="C1131" s="212" t="s">
        <v>4748</v>
      </c>
      <c r="D1131" s="235" t="s">
        <v>2000</v>
      </c>
      <c r="E1131" s="235" t="s">
        <v>4740</v>
      </c>
      <c r="F1131" s="243" t="s">
        <v>1137</v>
      </c>
      <c r="G1131" s="225">
        <v>900.0</v>
      </c>
      <c r="H1131" s="237">
        <v>200.0</v>
      </c>
      <c r="I1131" s="226">
        <v>1000.0</v>
      </c>
      <c r="J1131" s="226">
        <v>0.0</v>
      </c>
      <c r="K1131" s="226">
        <v>0.0</v>
      </c>
      <c r="L1131" s="49">
        <v>3.0</v>
      </c>
      <c r="M1131" s="212" t="s">
        <v>449</v>
      </c>
      <c r="N1131" s="49" t="s">
        <v>39</v>
      </c>
      <c r="O1131" s="49">
        <v>200.0</v>
      </c>
      <c r="P1131" s="49" t="s">
        <v>29</v>
      </c>
      <c r="Q1131" s="114" t="s">
        <v>39</v>
      </c>
      <c r="R1131" s="46"/>
    </row>
    <row r="1132" ht="14.25" customHeight="1">
      <c r="A1132" s="211">
        <v>6.0</v>
      </c>
      <c r="B1132" s="212" t="s">
        <v>4749</v>
      </c>
      <c r="C1132" s="212" t="s">
        <v>4748</v>
      </c>
      <c r="D1132" s="235" t="s">
        <v>2000</v>
      </c>
      <c r="E1132" s="235" t="s">
        <v>4740</v>
      </c>
      <c r="F1132" s="243" t="s">
        <v>1137</v>
      </c>
      <c r="G1132" s="225" t="s">
        <v>39</v>
      </c>
      <c r="H1132" s="237" t="s">
        <v>39</v>
      </c>
      <c r="I1132" s="226" t="s">
        <v>39</v>
      </c>
      <c r="J1132" s="226" t="s">
        <v>39</v>
      </c>
      <c r="K1132" s="226" t="s">
        <v>39</v>
      </c>
      <c r="L1132" s="49" t="s">
        <v>39</v>
      </c>
      <c r="M1132" s="212" t="s">
        <v>39</v>
      </c>
      <c r="N1132" s="49" t="s">
        <v>39</v>
      </c>
      <c r="O1132" s="49" t="s">
        <v>39</v>
      </c>
      <c r="P1132" s="49" t="s">
        <v>29</v>
      </c>
      <c r="Q1132" s="114" t="s">
        <v>39</v>
      </c>
      <c r="R1132" s="46"/>
    </row>
    <row r="1133" ht="14.25" customHeight="1">
      <c r="A1133" s="211">
        <v>7.0</v>
      </c>
      <c r="B1133" s="212" t="s">
        <v>4750</v>
      </c>
      <c r="C1133" s="212" t="s">
        <v>4748</v>
      </c>
      <c r="D1133" s="235" t="s">
        <v>2000</v>
      </c>
      <c r="E1133" s="235" t="s">
        <v>4740</v>
      </c>
      <c r="F1133" s="243" t="s">
        <v>1137</v>
      </c>
      <c r="G1133" s="225" t="s">
        <v>39</v>
      </c>
      <c r="H1133" s="237" t="s">
        <v>39</v>
      </c>
      <c r="I1133" s="226" t="s">
        <v>39</v>
      </c>
      <c r="J1133" s="226" t="s">
        <v>39</v>
      </c>
      <c r="K1133" s="226" t="s">
        <v>39</v>
      </c>
      <c r="L1133" s="49" t="s">
        <v>39</v>
      </c>
      <c r="M1133" s="212" t="s">
        <v>39</v>
      </c>
      <c r="N1133" s="49" t="s">
        <v>39</v>
      </c>
      <c r="O1133" s="49" t="s">
        <v>39</v>
      </c>
      <c r="P1133" s="49" t="s">
        <v>29</v>
      </c>
      <c r="Q1133" s="114" t="s">
        <v>39</v>
      </c>
      <c r="R1133" s="46"/>
    </row>
    <row r="1134" ht="14.25" customHeight="1">
      <c r="A1134" s="211">
        <v>8.0</v>
      </c>
      <c r="B1134" s="212" t="s">
        <v>4751</v>
      </c>
      <c r="C1134" s="55" t="s">
        <v>4695</v>
      </c>
      <c r="D1134" s="235" t="s">
        <v>2000</v>
      </c>
      <c r="E1134" s="235" t="s">
        <v>4740</v>
      </c>
      <c r="F1134" s="243" t="s">
        <v>1137</v>
      </c>
      <c r="G1134" s="225">
        <v>750.0</v>
      </c>
      <c r="H1134" s="237">
        <v>200.0</v>
      </c>
      <c r="I1134" s="226">
        <v>1000.0</v>
      </c>
      <c r="J1134" s="226">
        <v>2.0</v>
      </c>
      <c r="K1134" s="226">
        <v>2.0</v>
      </c>
      <c r="L1134" s="49">
        <v>16.0</v>
      </c>
      <c r="M1134" s="212" t="s">
        <v>449</v>
      </c>
      <c r="N1134" s="49" t="s">
        <v>39</v>
      </c>
      <c r="O1134" s="49">
        <v>200.0</v>
      </c>
      <c r="P1134" s="49" t="s">
        <v>29</v>
      </c>
      <c r="Q1134" s="114" t="s">
        <v>39</v>
      </c>
      <c r="R1134" s="46"/>
    </row>
    <row r="1135" ht="14.25" customHeight="1">
      <c r="A1135" s="211">
        <v>9.0</v>
      </c>
      <c r="B1135" s="212" t="s">
        <v>4752</v>
      </c>
      <c r="C1135" s="212" t="s">
        <v>4753</v>
      </c>
      <c r="D1135" s="235" t="s">
        <v>2000</v>
      </c>
      <c r="E1135" s="235" t="s">
        <v>4740</v>
      </c>
      <c r="F1135" s="243" t="s">
        <v>1137</v>
      </c>
      <c r="G1135" s="225" t="s">
        <v>39</v>
      </c>
      <c r="H1135" s="237" t="s">
        <v>39</v>
      </c>
      <c r="I1135" s="226" t="s">
        <v>39</v>
      </c>
      <c r="J1135" s="226" t="s">
        <v>39</v>
      </c>
      <c r="K1135" s="226" t="s">
        <v>39</v>
      </c>
      <c r="L1135" s="49" t="s">
        <v>39</v>
      </c>
      <c r="M1135" s="212" t="s">
        <v>39</v>
      </c>
      <c r="N1135" s="49" t="s">
        <v>39</v>
      </c>
      <c r="O1135" s="49" t="s">
        <v>39</v>
      </c>
      <c r="P1135" s="49" t="s">
        <v>29</v>
      </c>
      <c r="Q1135" s="114" t="s">
        <v>39</v>
      </c>
      <c r="R1135" s="46"/>
    </row>
    <row r="1136" ht="14.25" customHeight="1">
      <c r="A1136" s="211">
        <v>10.0</v>
      </c>
      <c r="B1136" s="212" t="s">
        <v>4754</v>
      </c>
      <c r="C1136" s="212" t="s">
        <v>4755</v>
      </c>
      <c r="D1136" s="235" t="s">
        <v>2000</v>
      </c>
      <c r="E1136" s="235" t="s">
        <v>4740</v>
      </c>
      <c r="F1136" s="243" t="s">
        <v>1137</v>
      </c>
      <c r="G1136" s="225" t="s">
        <v>39</v>
      </c>
      <c r="H1136" s="237">
        <v>50.0</v>
      </c>
      <c r="I1136" s="226">
        <v>250.0</v>
      </c>
      <c r="J1136" s="226">
        <v>1.0</v>
      </c>
      <c r="K1136" s="226">
        <v>1.0</v>
      </c>
      <c r="L1136" s="49">
        <v>7.0</v>
      </c>
      <c r="M1136" s="212" t="s">
        <v>449</v>
      </c>
      <c r="N1136" s="49" t="s">
        <v>39</v>
      </c>
      <c r="O1136" s="49">
        <v>50.0</v>
      </c>
      <c r="P1136" s="49" t="s">
        <v>29</v>
      </c>
      <c r="Q1136" s="114" t="s">
        <v>39</v>
      </c>
      <c r="R1136" s="46"/>
    </row>
    <row r="1137" ht="14.25" customHeight="1">
      <c r="A1137" s="211">
        <v>11.0</v>
      </c>
      <c r="B1137" s="212" t="s">
        <v>4756</v>
      </c>
      <c r="C1137" s="212" t="s">
        <v>4755</v>
      </c>
      <c r="D1137" s="235" t="s">
        <v>2000</v>
      </c>
      <c r="E1137" s="235" t="s">
        <v>4740</v>
      </c>
      <c r="F1137" s="243" t="s">
        <v>1137</v>
      </c>
      <c r="G1137" s="225" t="s">
        <v>39</v>
      </c>
      <c r="H1137" s="237" t="s">
        <v>39</v>
      </c>
      <c r="I1137" s="226" t="s">
        <v>39</v>
      </c>
      <c r="J1137" s="226" t="s">
        <v>39</v>
      </c>
      <c r="K1137" s="226" t="s">
        <v>39</v>
      </c>
      <c r="L1137" s="49" t="s">
        <v>39</v>
      </c>
      <c r="M1137" s="212" t="s">
        <v>39</v>
      </c>
      <c r="N1137" s="49" t="s">
        <v>39</v>
      </c>
      <c r="O1137" s="49" t="s">
        <v>39</v>
      </c>
      <c r="P1137" s="49" t="s">
        <v>29</v>
      </c>
      <c r="Q1137" s="114" t="s">
        <v>39</v>
      </c>
      <c r="R1137" s="46"/>
    </row>
    <row r="1138" ht="14.25" customHeight="1">
      <c r="A1138" s="211">
        <v>12.0</v>
      </c>
      <c r="B1138" s="212" t="s">
        <v>4757</v>
      </c>
      <c r="C1138" s="212" t="s">
        <v>4758</v>
      </c>
      <c r="D1138" s="235" t="s">
        <v>2000</v>
      </c>
      <c r="E1138" s="235" t="s">
        <v>4740</v>
      </c>
      <c r="F1138" s="243" t="s">
        <v>1137</v>
      </c>
      <c r="G1138" s="225" t="s">
        <v>39</v>
      </c>
      <c r="H1138" s="237">
        <v>50.0</v>
      </c>
      <c r="I1138" s="226">
        <v>250.0</v>
      </c>
      <c r="J1138" s="226">
        <v>1.0</v>
      </c>
      <c r="K1138" s="226">
        <v>1.0</v>
      </c>
      <c r="L1138" s="49">
        <v>5.0</v>
      </c>
      <c r="M1138" s="212" t="s">
        <v>449</v>
      </c>
      <c r="N1138" s="49" t="s">
        <v>39</v>
      </c>
      <c r="O1138" s="49">
        <v>250.0</v>
      </c>
      <c r="P1138" s="49" t="s">
        <v>29</v>
      </c>
      <c r="Q1138" s="114" t="s">
        <v>39</v>
      </c>
      <c r="R1138" s="46"/>
    </row>
    <row r="1139" ht="14.25" customHeight="1">
      <c r="A1139" s="211">
        <v>13.0</v>
      </c>
      <c r="B1139" s="212" t="s">
        <v>4759</v>
      </c>
      <c r="C1139" s="212" t="s">
        <v>4758</v>
      </c>
      <c r="D1139" s="235" t="s">
        <v>2000</v>
      </c>
      <c r="E1139" s="235" t="s">
        <v>4740</v>
      </c>
      <c r="F1139" s="243" t="s">
        <v>1137</v>
      </c>
      <c r="G1139" s="225" t="s">
        <v>39</v>
      </c>
      <c r="H1139" s="237" t="s">
        <v>39</v>
      </c>
      <c r="I1139" s="226" t="s">
        <v>39</v>
      </c>
      <c r="J1139" s="226" t="s">
        <v>39</v>
      </c>
      <c r="K1139" s="226" t="s">
        <v>39</v>
      </c>
      <c r="L1139" s="49" t="s">
        <v>39</v>
      </c>
      <c r="M1139" s="212" t="s">
        <v>39</v>
      </c>
      <c r="N1139" s="49" t="s">
        <v>39</v>
      </c>
      <c r="O1139" s="49" t="s">
        <v>39</v>
      </c>
      <c r="P1139" s="49" t="s">
        <v>29</v>
      </c>
      <c r="Q1139" s="114" t="s">
        <v>39</v>
      </c>
      <c r="R1139" s="46"/>
    </row>
    <row r="1140" ht="14.25" customHeight="1">
      <c r="A1140" s="211">
        <v>14.0</v>
      </c>
      <c r="B1140" s="212" t="s">
        <v>4760</v>
      </c>
      <c r="C1140" s="212" t="s">
        <v>4761</v>
      </c>
      <c r="D1140" s="235" t="s">
        <v>2000</v>
      </c>
      <c r="E1140" s="235" t="s">
        <v>4740</v>
      </c>
      <c r="F1140" s="243" t="s">
        <v>1137</v>
      </c>
      <c r="G1140" s="225" t="s">
        <v>39</v>
      </c>
      <c r="H1140" s="237" t="s">
        <v>39</v>
      </c>
      <c r="I1140" s="226" t="s">
        <v>39</v>
      </c>
      <c r="J1140" s="226" t="s">
        <v>39</v>
      </c>
      <c r="K1140" s="226" t="s">
        <v>39</v>
      </c>
      <c r="L1140" s="49" t="s">
        <v>39</v>
      </c>
      <c r="M1140" s="212" t="s">
        <v>449</v>
      </c>
      <c r="N1140" s="49" t="s">
        <v>39</v>
      </c>
      <c r="O1140" s="49" t="s">
        <v>39</v>
      </c>
      <c r="P1140" s="49" t="s">
        <v>29</v>
      </c>
      <c r="Q1140" s="114" t="s">
        <v>39</v>
      </c>
      <c r="R1140" s="46"/>
    </row>
    <row r="1141" ht="14.25" customHeight="1">
      <c r="A1141" s="211">
        <v>15.0</v>
      </c>
      <c r="B1141" s="212" t="s">
        <v>4762</v>
      </c>
      <c r="C1141" s="212" t="s">
        <v>4761</v>
      </c>
      <c r="D1141" s="235" t="s">
        <v>2000</v>
      </c>
      <c r="E1141" s="235" t="s">
        <v>4740</v>
      </c>
      <c r="F1141" s="243" t="s">
        <v>1137</v>
      </c>
      <c r="G1141" s="225" t="s">
        <v>39</v>
      </c>
      <c r="H1141" s="237" t="s">
        <v>39</v>
      </c>
      <c r="I1141" s="226" t="s">
        <v>39</v>
      </c>
      <c r="J1141" s="226" t="s">
        <v>39</v>
      </c>
      <c r="K1141" s="226" t="s">
        <v>39</v>
      </c>
      <c r="L1141" s="49" t="s">
        <v>39</v>
      </c>
      <c r="M1141" s="212" t="s">
        <v>39</v>
      </c>
      <c r="N1141" s="49" t="s">
        <v>39</v>
      </c>
      <c r="O1141" s="49" t="s">
        <v>39</v>
      </c>
      <c r="P1141" s="49" t="s">
        <v>29</v>
      </c>
      <c r="Q1141" s="114" t="s">
        <v>39</v>
      </c>
      <c r="R1141" s="46"/>
    </row>
    <row r="1142" ht="14.25" customHeight="1">
      <c r="A1142" s="211">
        <v>16.0</v>
      </c>
      <c r="B1142" s="212" t="s">
        <v>4763</v>
      </c>
      <c r="C1142" s="212" t="s">
        <v>4764</v>
      </c>
      <c r="D1142" s="235" t="s">
        <v>2000</v>
      </c>
      <c r="E1142" s="235" t="s">
        <v>4740</v>
      </c>
      <c r="F1142" s="243" t="s">
        <v>1137</v>
      </c>
      <c r="G1142" s="225" t="s">
        <v>39</v>
      </c>
      <c r="H1142" s="237" t="s">
        <v>39</v>
      </c>
      <c r="I1142" s="226" t="s">
        <v>39</v>
      </c>
      <c r="J1142" s="226" t="s">
        <v>39</v>
      </c>
      <c r="K1142" s="226" t="s">
        <v>39</v>
      </c>
      <c r="L1142" s="49">
        <v>7.0</v>
      </c>
      <c r="M1142" s="212" t="s">
        <v>449</v>
      </c>
      <c r="N1142" s="49" t="s">
        <v>39</v>
      </c>
      <c r="O1142" s="49" t="s">
        <v>39</v>
      </c>
      <c r="P1142" s="49" t="s">
        <v>29</v>
      </c>
      <c r="Q1142" s="114" t="s">
        <v>39</v>
      </c>
      <c r="R1142" s="46"/>
    </row>
    <row r="1143" ht="14.25" customHeight="1">
      <c r="A1143" s="211">
        <v>17.0</v>
      </c>
      <c r="B1143" s="212" t="s">
        <v>4371</v>
      </c>
      <c r="C1143" s="212" t="s">
        <v>4764</v>
      </c>
      <c r="D1143" s="235" t="s">
        <v>2000</v>
      </c>
      <c r="E1143" s="235" t="s">
        <v>4740</v>
      </c>
      <c r="F1143" s="243" t="s">
        <v>1137</v>
      </c>
      <c r="G1143" s="225" t="s">
        <v>39</v>
      </c>
      <c r="H1143" s="237" t="s">
        <v>39</v>
      </c>
      <c r="I1143" s="226" t="s">
        <v>39</v>
      </c>
      <c r="J1143" s="226" t="s">
        <v>39</v>
      </c>
      <c r="K1143" s="226" t="s">
        <v>39</v>
      </c>
      <c r="L1143" s="49" t="s">
        <v>39</v>
      </c>
      <c r="M1143" s="212" t="s">
        <v>39</v>
      </c>
      <c r="N1143" s="49" t="s">
        <v>39</v>
      </c>
      <c r="O1143" s="49" t="s">
        <v>39</v>
      </c>
      <c r="P1143" s="49" t="s">
        <v>29</v>
      </c>
      <c r="Q1143" s="114" t="s">
        <v>39</v>
      </c>
      <c r="R1143" s="46"/>
    </row>
    <row r="1144" ht="14.25" customHeight="1">
      <c r="A1144" s="211">
        <v>18.0</v>
      </c>
      <c r="B1144" s="212" t="s">
        <v>4765</v>
      </c>
      <c r="C1144" s="212" t="s">
        <v>4764</v>
      </c>
      <c r="D1144" s="235" t="s">
        <v>2000</v>
      </c>
      <c r="E1144" s="235" t="s">
        <v>4740</v>
      </c>
      <c r="F1144" s="243" t="s">
        <v>1137</v>
      </c>
      <c r="G1144" s="225" t="s">
        <v>39</v>
      </c>
      <c r="H1144" s="237" t="s">
        <v>39</v>
      </c>
      <c r="I1144" s="226" t="s">
        <v>39</v>
      </c>
      <c r="J1144" s="226" t="s">
        <v>39</v>
      </c>
      <c r="K1144" s="226" t="s">
        <v>39</v>
      </c>
      <c r="L1144" s="49" t="s">
        <v>39</v>
      </c>
      <c r="M1144" s="212" t="s">
        <v>39</v>
      </c>
      <c r="N1144" s="49" t="s">
        <v>39</v>
      </c>
      <c r="O1144" s="49" t="s">
        <v>39</v>
      </c>
      <c r="P1144" s="49" t="s">
        <v>29</v>
      </c>
      <c r="Q1144" s="114" t="s">
        <v>39</v>
      </c>
      <c r="R1144" s="46"/>
    </row>
    <row r="1145" ht="14.25" customHeight="1">
      <c r="A1145" s="211">
        <v>19.0</v>
      </c>
      <c r="B1145" s="212" t="s">
        <v>4371</v>
      </c>
      <c r="C1145" s="212" t="s">
        <v>4766</v>
      </c>
      <c r="D1145" s="235" t="s">
        <v>2000</v>
      </c>
      <c r="E1145" s="235" t="s">
        <v>4740</v>
      </c>
      <c r="F1145" s="243" t="s">
        <v>1137</v>
      </c>
      <c r="G1145" s="225">
        <v>21.0</v>
      </c>
      <c r="H1145" s="237">
        <v>2.0</v>
      </c>
      <c r="I1145" s="226">
        <v>10.0</v>
      </c>
      <c r="J1145" s="226" t="s">
        <v>39</v>
      </c>
      <c r="K1145" s="226" t="s">
        <v>39</v>
      </c>
      <c r="L1145" s="49">
        <v>1.0</v>
      </c>
      <c r="M1145" s="212" t="s">
        <v>449</v>
      </c>
      <c r="N1145" s="49" t="s">
        <v>39</v>
      </c>
      <c r="O1145" s="49">
        <v>2.0</v>
      </c>
      <c r="P1145" s="49" t="s">
        <v>29</v>
      </c>
      <c r="Q1145" s="114" t="s">
        <v>39</v>
      </c>
      <c r="R1145" s="46"/>
    </row>
    <row r="1146" ht="14.25" customHeight="1">
      <c r="A1146" s="211">
        <v>20.0</v>
      </c>
      <c r="B1146" s="212" t="s">
        <v>4767</v>
      </c>
      <c r="C1146" s="212" t="s">
        <v>4766</v>
      </c>
      <c r="D1146" s="235" t="s">
        <v>2000</v>
      </c>
      <c r="E1146" s="235" t="s">
        <v>4740</v>
      </c>
      <c r="F1146" s="243" t="s">
        <v>1137</v>
      </c>
      <c r="G1146" s="225" t="s">
        <v>39</v>
      </c>
      <c r="H1146" s="237" t="s">
        <v>39</v>
      </c>
      <c r="I1146" s="226" t="s">
        <v>39</v>
      </c>
      <c r="J1146" s="226" t="s">
        <v>39</v>
      </c>
      <c r="K1146" s="226" t="s">
        <v>39</v>
      </c>
      <c r="L1146" s="49" t="s">
        <v>39</v>
      </c>
      <c r="M1146" s="212" t="s">
        <v>449</v>
      </c>
      <c r="N1146" s="49" t="s">
        <v>39</v>
      </c>
      <c r="O1146" s="49" t="s">
        <v>39</v>
      </c>
      <c r="P1146" s="49" t="s">
        <v>29</v>
      </c>
      <c r="Q1146" s="114" t="s">
        <v>39</v>
      </c>
      <c r="R1146" s="46"/>
    </row>
    <row r="1147" ht="14.25" customHeight="1">
      <c r="A1147" s="211">
        <v>21.0</v>
      </c>
      <c r="B1147" s="212" t="s">
        <v>4768</v>
      </c>
      <c r="C1147" s="212" t="s">
        <v>4766</v>
      </c>
      <c r="D1147" s="235" t="s">
        <v>2000</v>
      </c>
      <c r="E1147" s="235" t="s">
        <v>4740</v>
      </c>
      <c r="F1147" s="243" t="s">
        <v>1137</v>
      </c>
      <c r="G1147" s="225" t="s">
        <v>39</v>
      </c>
      <c r="H1147" s="237" t="s">
        <v>39</v>
      </c>
      <c r="I1147" s="226" t="s">
        <v>39</v>
      </c>
      <c r="J1147" s="226" t="s">
        <v>39</v>
      </c>
      <c r="K1147" s="226" t="s">
        <v>39</v>
      </c>
      <c r="L1147" s="49" t="s">
        <v>39</v>
      </c>
      <c r="M1147" s="212" t="s">
        <v>449</v>
      </c>
      <c r="N1147" s="49" t="s">
        <v>39</v>
      </c>
      <c r="O1147" s="49" t="s">
        <v>39</v>
      </c>
      <c r="P1147" s="49" t="s">
        <v>29</v>
      </c>
      <c r="Q1147" s="114" t="s">
        <v>39</v>
      </c>
      <c r="R1147" s="46"/>
    </row>
    <row r="1148" ht="14.25" customHeight="1">
      <c r="A1148" s="211">
        <v>22.0</v>
      </c>
      <c r="B1148" s="212" t="s">
        <v>4769</v>
      </c>
      <c r="C1148" s="212" t="s">
        <v>4766</v>
      </c>
      <c r="D1148" s="235" t="s">
        <v>2000</v>
      </c>
      <c r="E1148" s="235" t="s">
        <v>4740</v>
      </c>
      <c r="F1148" s="243" t="s">
        <v>1137</v>
      </c>
      <c r="G1148" s="225" t="s">
        <v>39</v>
      </c>
      <c r="H1148" s="237" t="s">
        <v>39</v>
      </c>
      <c r="I1148" s="226" t="s">
        <v>39</v>
      </c>
      <c r="J1148" s="226" t="s">
        <v>39</v>
      </c>
      <c r="K1148" s="226" t="s">
        <v>39</v>
      </c>
      <c r="L1148" s="49" t="s">
        <v>39</v>
      </c>
      <c r="M1148" s="212" t="s">
        <v>449</v>
      </c>
      <c r="N1148" s="49" t="s">
        <v>39</v>
      </c>
      <c r="O1148" s="49" t="s">
        <v>39</v>
      </c>
      <c r="P1148" s="49" t="s">
        <v>29</v>
      </c>
      <c r="Q1148" s="114" t="s">
        <v>39</v>
      </c>
      <c r="R1148" s="46"/>
    </row>
    <row r="1149" ht="14.25" customHeight="1">
      <c r="A1149" s="211">
        <v>23.0</v>
      </c>
      <c r="B1149" s="212" t="s">
        <v>4760</v>
      </c>
      <c r="C1149" s="212" t="s">
        <v>4770</v>
      </c>
      <c r="D1149" s="235" t="s">
        <v>2000</v>
      </c>
      <c r="E1149" s="235" t="s">
        <v>4740</v>
      </c>
      <c r="F1149" s="243" t="s">
        <v>1137</v>
      </c>
      <c r="G1149" s="225">
        <v>90.0</v>
      </c>
      <c r="H1149" s="237">
        <v>6.0</v>
      </c>
      <c r="I1149" s="226">
        <v>30.0</v>
      </c>
      <c r="J1149" s="226" t="s">
        <v>39</v>
      </c>
      <c r="K1149" s="226" t="s">
        <v>39</v>
      </c>
      <c r="L1149" s="49">
        <v>1.0</v>
      </c>
      <c r="M1149" s="212" t="s">
        <v>449</v>
      </c>
      <c r="N1149" s="49" t="s">
        <v>39</v>
      </c>
      <c r="O1149" s="49">
        <v>6.0</v>
      </c>
      <c r="P1149" s="49" t="s">
        <v>29</v>
      </c>
      <c r="Q1149" s="114" t="s">
        <v>39</v>
      </c>
      <c r="R1149" s="46"/>
    </row>
    <row r="1150" ht="14.25" customHeight="1">
      <c r="A1150" s="211">
        <v>24.0</v>
      </c>
      <c r="B1150" s="212" t="s">
        <v>4371</v>
      </c>
      <c r="C1150" s="212" t="s">
        <v>4770</v>
      </c>
      <c r="D1150" s="235" t="s">
        <v>2000</v>
      </c>
      <c r="E1150" s="235" t="s">
        <v>4740</v>
      </c>
      <c r="F1150" s="243" t="s">
        <v>1137</v>
      </c>
      <c r="G1150" s="225">
        <v>100.0</v>
      </c>
      <c r="H1150" s="237">
        <v>8.0</v>
      </c>
      <c r="I1150" s="226">
        <v>40.0</v>
      </c>
      <c r="J1150" s="226" t="s">
        <v>39</v>
      </c>
      <c r="K1150" s="226" t="s">
        <v>39</v>
      </c>
      <c r="L1150" s="49">
        <v>1.0</v>
      </c>
      <c r="M1150" s="212" t="s">
        <v>449</v>
      </c>
      <c r="N1150" s="49" t="s">
        <v>39</v>
      </c>
      <c r="O1150" s="49">
        <v>8.0</v>
      </c>
      <c r="P1150" s="49" t="s">
        <v>29</v>
      </c>
      <c r="Q1150" s="114" t="s">
        <v>39</v>
      </c>
      <c r="R1150" s="46"/>
    </row>
    <row r="1151" ht="14.25" customHeight="1">
      <c r="A1151" s="211">
        <v>25.0</v>
      </c>
      <c r="B1151" s="212" t="s">
        <v>4771</v>
      </c>
      <c r="C1151" s="212" t="s">
        <v>4770</v>
      </c>
      <c r="D1151" s="235" t="s">
        <v>2000</v>
      </c>
      <c r="E1151" s="235" t="s">
        <v>4740</v>
      </c>
      <c r="F1151" s="243" t="s">
        <v>1137</v>
      </c>
      <c r="G1151" s="225">
        <v>600.0</v>
      </c>
      <c r="H1151" s="237">
        <v>200.0</v>
      </c>
      <c r="I1151" s="226">
        <v>1000.0</v>
      </c>
      <c r="J1151" s="226" t="s">
        <v>39</v>
      </c>
      <c r="K1151" s="226" t="s">
        <v>39</v>
      </c>
      <c r="L1151" s="49">
        <v>2.0</v>
      </c>
      <c r="M1151" s="212" t="s">
        <v>449</v>
      </c>
      <c r="N1151" s="49" t="s">
        <v>39</v>
      </c>
      <c r="O1151" s="49">
        <v>200.0</v>
      </c>
      <c r="P1151" s="49" t="s">
        <v>29</v>
      </c>
      <c r="Q1151" s="114" t="s">
        <v>39</v>
      </c>
      <c r="R1151" s="46"/>
    </row>
    <row r="1152" ht="14.25" customHeight="1">
      <c r="A1152" s="211">
        <v>26.0</v>
      </c>
      <c r="B1152" s="212" t="s">
        <v>4371</v>
      </c>
      <c r="C1152" s="212" t="s">
        <v>4739</v>
      </c>
      <c r="D1152" s="235" t="s">
        <v>2000</v>
      </c>
      <c r="E1152" s="235" t="s">
        <v>4740</v>
      </c>
      <c r="F1152" s="243" t="s">
        <v>1137</v>
      </c>
      <c r="G1152" s="225">
        <v>90.0</v>
      </c>
      <c r="H1152" s="237">
        <v>100.0</v>
      </c>
      <c r="I1152" s="226">
        <v>500.0</v>
      </c>
      <c r="J1152" s="226" t="s">
        <v>39</v>
      </c>
      <c r="K1152" s="226" t="s">
        <v>39</v>
      </c>
      <c r="L1152" s="49">
        <v>1.0</v>
      </c>
      <c r="M1152" s="212" t="s">
        <v>449</v>
      </c>
      <c r="N1152" s="49" t="s">
        <v>39</v>
      </c>
      <c r="O1152" s="49">
        <v>90.0</v>
      </c>
      <c r="P1152" s="49" t="s">
        <v>29</v>
      </c>
      <c r="Q1152" s="114" t="s">
        <v>39</v>
      </c>
      <c r="R1152" s="46"/>
    </row>
    <row r="1153" ht="14.25" customHeight="1">
      <c r="A1153" s="211">
        <v>27.0</v>
      </c>
      <c r="B1153" s="212" t="s">
        <v>4772</v>
      </c>
      <c r="C1153" s="212" t="s">
        <v>4773</v>
      </c>
      <c r="D1153" s="235" t="s">
        <v>2000</v>
      </c>
      <c r="E1153" s="235" t="s">
        <v>4740</v>
      </c>
      <c r="F1153" s="243" t="s">
        <v>1137</v>
      </c>
      <c r="G1153" s="225">
        <v>432.0</v>
      </c>
      <c r="H1153" s="237">
        <v>300.0</v>
      </c>
      <c r="I1153" s="226">
        <v>1500.0</v>
      </c>
      <c r="J1153" s="226" t="s">
        <v>39</v>
      </c>
      <c r="K1153" s="226" t="s">
        <v>39</v>
      </c>
      <c r="L1153" s="49">
        <v>1.0</v>
      </c>
      <c r="M1153" s="212" t="s">
        <v>449</v>
      </c>
      <c r="N1153" s="49" t="s">
        <v>39</v>
      </c>
      <c r="O1153" s="49">
        <v>300.0</v>
      </c>
      <c r="P1153" s="49" t="s">
        <v>29</v>
      </c>
      <c r="Q1153" s="114" t="s">
        <v>39</v>
      </c>
      <c r="R1153" s="46"/>
    </row>
    <row r="1154" ht="14.25" customHeight="1">
      <c r="A1154" s="211">
        <v>28.0</v>
      </c>
      <c r="B1154" s="212" t="s">
        <v>4774</v>
      </c>
      <c r="C1154" s="212" t="s">
        <v>4775</v>
      </c>
      <c r="D1154" s="235" t="s">
        <v>2000</v>
      </c>
      <c r="E1154" s="235" t="s">
        <v>4740</v>
      </c>
      <c r="F1154" s="243" t="s">
        <v>1137</v>
      </c>
      <c r="G1154" s="225">
        <v>40.0</v>
      </c>
      <c r="H1154" s="237">
        <v>5.0</v>
      </c>
      <c r="I1154" s="226">
        <v>125.0</v>
      </c>
      <c r="J1154" s="226" t="s">
        <v>39</v>
      </c>
      <c r="K1154" s="226" t="s">
        <v>39</v>
      </c>
      <c r="L1154" s="49">
        <v>1.0</v>
      </c>
      <c r="M1154" s="212" t="s">
        <v>449</v>
      </c>
      <c r="N1154" s="49" t="s">
        <v>39</v>
      </c>
      <c r="O1154" s="49">
        <v>5.0</v>
      </c>
      <c r="P1154" s="49" t="s">
        <v>29</v>
      </c>
      <c r="Q1154" s="114" t="s">
        <v>39</v>
      </c>
      <c r="R1154" s="46"/>
    </row>
    <row r="1155" ht="14.25" customHeight="1">
      <c r="A1155" s="211">
        <v>29.0</v>
      </c>
      <c r="B1155" s="212" t="s">
        <v>4776</v>
      </c>
      <c r="C1155" s="212" t="s">
        <v>4777</v>
      </c>
      <c r="D1155" s="235" t="s">
        <v>2000</v>
      </c>
      <c r="E1155" s="235" t="s">
        <v>4740</v>
      </c>
      <c r="F1155" s="243" t="s">
        <v>1137</v>
      </c>
      <c r="G1155" s="225">
        <v>50.0</v>
      </c>
      <c r="H1155" s="237">
        <v>20.0</v>
      </c>
      <c r="I1155" s="226">
        <v>100.0</v>
      </c>
      <c r="J1155" s="226" t="s">
        <v>39</v>
      </c>
      <c r="K1155" s="226" t="s">
        <v>39</v>
      </c>
      <c r="L1155" s="49">
        <v>1.0</v>
      </c>
      <c r="M1155" s="212" t="s">
        <v>449</v>
      </c>
      <c r="N1155" s="49" t="s">
        <v>39</v>
      </c>
      <c r="O1155" s="49">
        <v>20.0</v>
      </c>
      <c r="P1155" s="49" t="s">
        <v>29</v>
      </c>
      <c r="Q1155" s="114" t="s">
        <v>39</v>
      </c>
      <c r="R1155" s="46"/>
    </row>
    <row r="1156" ht="14.25" customHeight="1">
      <c r="A1156" s="211">
        <v>30.0</v>
      </c>
      <c r="B1156" s="212" t="s">
        <v>4774</v>
      </c>
      <c r="C1156" s="212" t="s">
        <v>4778</v>
      </c>
      <c r="D1156" s="235" t="s">
        <v>2000</v>
      </c>
      <c r="E1156" s="235" t="s">
        <v>4740</v>
      </c>
      <c r="F1156" s="243" t="s">
        <v>1137</v>
      </c>
      <c r="G1156" s="225" t="s">
        <v>39</v>
      </c>
      <c r="H1156" s="237" t="s">
        <v>39</v>
      </c>
      <c r="I1156" s="226" t="s">
        <v>39</v>
      </c>
      <c r="J1156" s="226" t="s">
        <v>39</v>
      </c>
      <c r="K1156" s="226" t="s">
        <v>39</v>
      </c>
      <c r="L1156" s="49">
        <v>1.0</v>
      </c>
      <c r="M1156" s="212" t="s">
        <v>449</v>
      </c>
      <c r="N1156" s="49" t="s">
        <v>39</v>
      </c>
      <c r="O1156" s="49" t="s">
        <v>39</v>
      </c>
      <c r="P1156" s="49" t="s">
        <v>29</v>
      </c>
      <c r="Q1156" s="114" t="s">
        <v>39</v>
      </c>
      <c r="R1156" s="46"/>
    </row>
    <row r="1157" ht="14.25" customHeight="1">
      <c r="A1157" s="211">
        <v>31.0</v>
      </c>
      <c r="B1157" s="212" t="s">
        <v>4371</v>
      </c>
      <c r="C1157" s="212" t="s">
        <v>4778</v>
      </c>
      <c r="D1157" s="235" t="s">
        <v>2000</v>
      </c>
      <c r="E1157" s="235" t="s">
        <v>4740</v>
      </c>
      <c r="F1157" s="243" t="s">
        <v>1137</v>
      </c>
      <c r="G1157" s="225" t="s">
        <v>39</v>
      </c>
      <c r="H1157" s="237" t="s">
        <v>39</v>
      </c>
      <c r="I1157" s="226" t="s">
        <v>39</v>
      </c>
      <c r="J1157" s="226" t="s">
        <v>39</v>
      </c>
      <c r="K1157" s="226" t="s">
        <v>39</v>
      </c>
      <c r="L1157" s="49">
        <v>1.0</v>
      </c>
      <c r="M1157" s="212" t="s">
        <v>39</v>
      </c>
      <c r="N1157" s="49" t="s">
        <v>39</v>
      </c>
      <c r="O1157" s="49" t="s">
        <v>39</v>
      </c>
      <c r="P1157" s="49" t="s">
        <v>29</v>
      </c>
      <c r="Q1157" s="114" t="s">
        <v>39</v>
      </c>
      <c r="R1157" s="46"/>
    </row>
    <row r="1158" ht="14.25" customHeight="1">
      <c r="A1158" s="211">
        <v>32.0</v>
      </c>
      <c r="B1158" s="212" t="s">
        <v>4371</v>
      </c>
      <c r="C1158" s="212" t="s">
        <v>4779</v>
      </c>
      <c r="D1158" s="235" t="s">
        <v>2000</v>
      </c>
      <c r="E1158" s="235" t="s">
        <v>4740</v>
      </c>
      <c r="F1158" s="243" t="s">
        <v>1137</v>
      </c>
      <c r="G1158" s="225" t="s">
        <v>39</v>
      </c>
      <c r="H1158" s="237" t="s">
        <v>39</v>
      </c>
      <c r="I1158" s="226" t="s">
        <v>39</v>
      </c>
      <c r="J1158" s="226" t="s">
        <v>39</v>
      </c>
      <c r="K1158" s="226" t="s">
        <v>39</v>
      </c>
      <c r="L1158" s="49">
        <v>1.0</v>
      </c>
      <c r="M1158" s="212" t="s">
        <v>449</v>
      </c>
      <c r="N1158" s="49" t="s">
        <v>39</v>
      </c>
      <c r="O1158" s="49" t="s">
        <v>39</v>
      </c>
      <c r="P1158" s="49" t="s">
        <v>29</v>
      </c>
      <c r="Q1158" s="114" t="s">
        <v>39</v>
      </c>
      <c r="R1158" s="46"/>
    </row>
    <row r="1159" ht="14.25" customHeight="1">
      <c r="A1159" s="211">
        <v>33.0</v>
      </c>
      <c r="B1159" s="212" t="s">
        <v>4780</v>
      </c>
      <c r="C1159" s="212" t="s">
        <v>4781</v>
      </c>
      <c r="D1159" s="235" t="s">
        <v>2000</v>
      </c>
      <c r="E1159" s="235" t="s">
        <v>4740</v>
      </c>
      <c r="F1159" s="243" t="s">
        <v>1137</v>
      </c>
      <c r="G1159" s="225">
        <v>520.0</v>
      </c>
      <c r="H1159" s="237">
        <v>300.0</v>
      </c>
      <c r="I1159" s="226">
        <v>1500.0</v>
      </c>
      <c r="J1159" s="226" t="s">
        <v>39</v>
      </c>
      <c r="K1159" s="226" t="s">
        <v>39</v>
      </c>
      <c r="L1159" s="49">
        <v>1.0</v>
      </c>
      <c r="M1159" s="212" t="s">
        <v>449</v>
      </c>
      <c r="N1159" s="49" t="s">
        <v>39</v>
      </c>
      <c r="O1159" s="49">
        <v>300.0</v>
      </c>
      <c r="P1159" s="49" t="s">
        <v>29</v>
      </c>
      <c r="Q1159" s="114" t="s">
        <v>39</v>
      </c>
      <c r="R1159" s="46"/>
    </row>
    <row r="1160" ht="14.25" customHeight="1">
      <c r="A1160" s="211">
        <v>34.0</v>
      </c>
      <c r="B1160" s="212" t="s">
        <v>4371</v>
      </c>
      <c r="C1160" s="212" t="s">
        <v>4782</v>
      </c>
      <c r="D1160" s="235" t="s">
        <v>2000</v>
      </c>
      <c r="E1160" s="235" t="s">
        <v>4740</v>
      </c>
      <c r="F1160" s="243" t="s">
        <v>1137</v>
      </c>
      <c r="G1160" s="225">
        <v>35.0</v>
      </c>
      <c r="H1160" s="237">
        <v>30.0</v>
      </c>
      <c r="I1160" s="226">
        <v>150.0</v>
      </c>
      <c r="J1160" s="226" t="s">
        <v>39</v>
      </c>
      <c r="K1160" s="226" t="s">
        <v>39</v>
      </c>
      <c r="L1160" s="49">
        <v>1.0</v>
      </c>
      <c r="M1160" s="212" t="s">
        <v>449</v>
      </c>
      <c r="N1160" s="49" t="s">
        <v>39</v>
      </c>
      <c r="O1160" s="49">
        <v>30.0</v>
      </c>
      <c r="P1160" s="49" t="s">
        <v>29</v>
      </c>
      <c r="Q1160" s="114" t="s">
        <v>39</v>
      </c>
      <c r="R1160" s="46"/>
    </row>
    <row r="1161" ht="14.25" customHeight="1">
      <c r="A1161" s="211">
        <v>35.0</v>
      </c>
      <c r="B1161" s="212" t="s">
        <v>4774</v>
      </c>
      <c r="C1161" s="212" t="s">
        <v>4781</v>
      </c>
      <c r="D1161" s="235" t="s">
        <v>2000</v>
      </c>
      <c r="E1161" s="235" t="s">
        <v>4740</v>
      </c>
      <c r="F1161" s="243" t="s">
        <v>1137</v>
      </c>
      <c r="G1161" s="225">
        <v>70.0</v>
      </c>
      <c r="H1161" s="237">
        <v>50.0</v>
      </c>
      <c r="I1161" s="226">
        <v>250.0</v>
      </c>
      <c r="J1161" s="226" t="s">
        <v>39</v>
      </c>
      <c r="K1161" s="226" t="s">
        <v>39</v>
      </c>
      <c r="L1161" s="49">
        <v>1.0</v>
      </c>
      <c r="M1161" s="212" t="s">
        <v>449</v>
      </c>
      <c r="N1161" s="49" t="s">
        <v>39</v>
      </c>
      <c r="O1161" s="49">
        <v>50.0</v>
      </c>
      <c r="P1161" s="49" t="s">
        <v>29</v>
      </c>
      <c r="Q1161" s="114" t="s">
        <v>39</v>
      </c>
      <c r="R1161" s="46"/>
    </row>
    <row r="1162" ht="14.25" customHeight="1">
      <c r="A1162" s="211">
        <v>36.0</v>
      </c>
      <c r="B1162" s="212" t="s">
        <v>4371</v>
      </c>
      <c r="C1162" s="212" t="s">
        <v>4783</v>
      </c>
      <c r="D1162" s="235" t="s">
        <v>2000</v>
      </c>
      <c r="E1162" s="235" t="s">
        <v>4740</v>
      </c>
      <c r="F1162" s="243" t="s">
        <v>1137</v>
      </c>
      <c r="G1162" s="225">
        <v>121.0</v>
      </c>
      <c r="H1162" s="237">
        <v>50.0</v>
      </c>
      <c r="I1162" s="226">
        <v>250.0</v>
      </c>
      <c r="J1162" s="226" t="s">
        <v>39</v>
      </c>
      <c r="K1162" s="226" t="s">
        <v>39</v>
      </c>
      <c r="L1162" s="49">
        <v>3.0</v>
      </c>
      <c r="M1162" s="212" t="s">
        <v>449</v>
      </c>
      <c r="N1162" s="49" t="s">
        <v>39</v>
      </c>
      <c r="O1162" s="49">
        <v>50.0</v>
      </c>
      <c r="P1162" s="49" t="s">
        <v>29</v>
      </c>
      <c r="Q1162" s="114" t="s">
        <v>39</v>
      </c>
      <c r="R1162" s="46"/>
    </row>
    <row r="1163" ht="14.25" customHeight="1">
      <c r="A1163" s="211">
        <v>37.0</v>
      </c>
      <c r="B1163" s="212" t="s">
        <v>4771</v>
      </c>
      <c r="C1163" s="212" t="s">
        <v>4783</v>
      </c>
      <c r="D1163" s="235" t="s">
        <v>2000</v>
      </c>
      <c r="E1163" s="235" t="s">
        <v>4740</v>
      </c>
      <c r="F1163" s="243" t="s">
        <v>1137</v>
      </c>
      <c r="G1163" s="225" t="s">
        <v>39</v>
      </c>
      <c r="H1163" s="237" t="s">
        <v>39</v>
      </c>
      <c r="I1163" s="226" t="s">
        <v>39</v>
      </c>
      <c r="J1163" s="226" t="s">
        <v>39</v>
      </c>
      <c r="K1163" s="226" t="s">
        <v>39</v>
      </c>
      <c r="L1163" s="49" t="s">
        <v>39</v>
      </c>
      <c r="M1163" s="212" t="s">
        <v>39</v>
      </c>
      <c r="N1163" s="49" t="s">
        <v>39</v>
      </c>
      <c r="O1163" s="49" t="s">
        <v>39</v>
      </c>
      <c r="P1163" s="49" t="s">
        <v>29</v>
      </c>
      <c r="Q1163" s="114" t="s">
        <v>39</v>
      </c>
      <c r="R1163" s="46"/>
    </row>
    <row r="1164" ht="14.25" customHeight="1">
      <c r="A1164" s="211">
        <v>38.0</v>
      </c>
      <c r="B1164" s="212" t="s">
        <v>4774</v>
      </c>
      <c r="C1164" s="212" t="s">
        <v>4783</v>
      </c>
      <c r="D1164" s="235" t="s">
        <v>2000</v>
      </c>
      <c r="E1164" s="235" t="s">
        <v>4740</v>
      </c>
      <c r="F1164" s="243" t="s">
        <v>1137</v>
      </c>
      <c r="G1164" s="225" t="s">
        <v>39</v>
      </c>
      <c r="H1164" s="237" t="s">
        <v>39</v>
      </c>
      <c r="I1164" s="226" t="s">
        <v>39</v>
      </c>
      <c r="J1164" s="226" t="s">
        <v>39</v>
      </c>
      <c r="K1164" s="226" t="s">
        <v>39</v>
      </c>
      <c r="L1164" s="49" t="s">
        <v>39</v>
      </c>
      <c r="M1164" s="212" t="s">
        <v>39</v>
      </c>
      <c r="N1164" s="49" t="s">
        <v>39</v>
      </c>
      <c r="O1164" s="49" t="s">
        <v>39</v>
      </c>
      <c r="P1164" s="49" t="s">
        <v>29</v>
      </c>
      <c r="Q1164" s="114" t="s">
        <v>39</v>
      </c>
      <c r="R1164" s="46"/>
    </row>
    <row r="1165" ht="14.25" customHeight="1">
      <c r="A1165" s="211">
        <v>39.0</v>
      </c>
      <c r="B1165" s="212" t="s">
        <v>4771</v>
      </c>
      <c r="C1165" s="212" t="s">
        <v>4784</v>
      </c>
      <c r="D1165" s="235" t="s">
        <v>2000</v>
      </c>
      <c r="E1165" s="235" t="s">
        <v>4740</v>
      </c>
      <c r="F1165" s="243" t="s">
        <v>1137</v>
      </c>
      <c r="G1165" s="225" t="s">
        <v>39</v>
      </c>
      <c r="H1165" s="237">
        <v>416.0</v>
      </c>
      <c r="I1165" s="226">
        <v>2080.0</v>
      </c>
      <c r="J1165" s="226" t="s">
        <v>39</v>
      </c>
      <c r="K1165" s="226" t="s">
        <v>39</v>
      </c>
      <c r="L1165" s="49">
        <v>1.0</v>
      </c>
      <c r="M1165" s="212" t="s">
        <v>449</v>
      </c>
      <c r="N1165" s="49" t="s">
        <v>39</v>
      </c>
      <c r="O1165" s="49">
        <v>416.0</v>
      </c>
      <c r="P1165" s="49" t="s">
        <v>29</v>
      </c>
      <c r="Q1165" s="114" t="s">
        <v>39</v>
      </c>
      <c r="R1165" s="46"/>
    </row>
    <row r="1166" ht="14.25" customHeight="1">
      <c r="A1166" s="211">
        <v>40.0</v>
      </c>
      <c r="B1166" s="212" t="s">
        <v>4371</v>
      </c>
      <c r="C1166" s="212" t="s">
        <v>4785</v>
      </c>
      <c r="D1166" s="235" t="s">
        <v>2000</v>
      </c>
      <c r="E1166" s="235" t="s">
        <v>4740</v>
      </c>
      <c r="F1166" s="243" t="s">
        <v>1137</v>
      </c>
      <c r="G1166" s="225" t="s">
        <v>39</v>
      </c>
      <c r="H1166" s="237">
        <v>4.0</v>
      </c>
      <c r="I1166" s="226">
        <v>20.0</v>
      </c>
      <c r="J1166" s="226" t="s">
        <v>39</v>
      </c>
      <c r="K1166" s="226" t="s">
        <v>39</v>
      </c>
      <c r="L1166" s="49">
        <v>1.0</v>
      </c>
      <c r="M1166" s="212" t="s">
        <v>449</v>
      </c>
      <c r="N1166" s="49" t="s">
        <v>39</v>
      </c>
      <c r="O1166" s="49">
        <v>4.0</v>
      </c>
      <c r="P1166" s="49" t="s">
        <v>29</v>
      </c>
      <c r="Q1166" s="114" t="s">
        <v>39</v>
      </c>
      <c r="R1166" s="46"/>
    </row>
    <row r="1167" ht="14.25" customHeight="1">
      <c r="A1167" s="211">
        <v>41.0</v>
      </c>
      <c r="B1167" s="212" t="s">
        <v>4371</v>
      </c>
      <c r="C1167" s="212" t="s">
        <v>4786</v>
      </c>
      <c r="D1167" s="235" t="s">
        <v>2000</v>
      </c>
      <c r="E1167" s="235" t="s">
        <v>4740</v>
      </c>
      <c r="F1167" s="243" t="s">
        <v>1137</v>
      </c>
      <c r="G1167" s="225">
        <v>84.0</v>
      </c>
      <c r="H1167" s="237">
        <v>24.0</v>
      </c>
      <c r="I1167" s="226">
        <v>120.0</v>
      </c>
      <c r="J1167" s="226" t="s">
        <v>39</v>
      </c>
      <c r="K1167" s="226" t="s">
        <v>39</v>
      </c>
      <c r="L1167" s="49">
        <v>1.0</v>
      </c>
      <c r="M1167" s="212" t="s">
        <v>449</v>
      </c>
      <c r="N1167" s="49" t="s">
        <v>39</v>
      </c>
      <c r="O1167" s="49">
        <v>24.0</v>
      </c>
      <c r="P1167" s="49" t="s">
        <v>29</v>
      </c>
      <c r="Q1167" s="114" t="s">
        <v>39</v>
      </c>
      <c r="R1167" s="46"/>
    </row>
    <row r="1168" ht="14.25" customHeight="1">
      <c r="A1168" s="211">
        <v>42.0</v>
      </c>
      <c r="B1168" s="212" t="s">
        <v>4371</v>
      </c>
      <c r="C1168" s="212" t="s">
        <v>4787</v>
      </c>
      <c r="D1168" s="235" t="s">
        <v>2000</v>
      </c>
      <c r="E1168" s="235" t="s">
        <v>4740</v>
      </c>
      <c r="F1168" s="243" t="s">
        <v>1137</v>
      </c>
      <c r="G1168" s="225">
        <v>30.0</v>
      </c>
      <c r="H1168" s="237">
        <v>10.0</v>
      </c>
      <c r="I1168" s="226">
        <v>50.0</v>
      </c>
      <c r="J1168" s="226" t="s">
        <v>39</v>
      </c>
      <c r="K1168" s="226" t="s">
        <v>39</v>
      </c>
      <c r="L1168" s="49">
        <v>1.0</v>
      </c>
      <c r="M1168" s="212" t="s">
        <v>449</v>
      </c>
      <c r="N1168" s="49" t="s">
        <v>39</v>
      </c>
      <c r="O1168" s="49">
        <v>10.0</v>
      </c>
      <c r="P1168" s="49" t="s">
        <v>29</v>
      </c>
      <c r="Q1168" s="114" t="s">
        <v>39</v>
      </c>
      <c r="R1168" s="46"/>
    </row>
    <row r="1169" ht="14.25" customHeight="1">
      <c r="A1169" s="211">
        <v>43.0</v>
      </c>
      <c r="B1169" s="212" t="s">
        <v>4788</v>
      </c>
      <c r="C1169" s="212" t="s">
        <v>4787</v>
      </c>
      <c r="D1169" s="235" t="s">
        <v>2000</v>
      </c>
      <c r="E1169" s="235" t="s">
        <v>4740</v>
      </c>
      <c r="F1169" s="243" t="s">
        <v>1137</v>
      </c>
      <c r="G1169" s="225">
        <v>20.0</v>
      </c>
      <c r="H1169" s="237">
        <v>50.0</v>
      </c>
      <c r="I1169" s="226">
        <v>250.0</v>
      </c>
      <c r="J1169" s="226" t="s">
        <v>39</v>
      </c>
      <c r="K1169" s="226" t="s">
        <v>39</v>
      </c>
      <c r="L1169" s="49">
        <v>4.0</v>
      </c>
      <c r="M1169" s="212" t="s">
        <v>449</v>
      </c>
      <c r="N1169" s="49" t="s">
        <v>39</v>
      </c>
      <c r="O1169" s="49">
        <v>50.0</v>
      </c>
      <c r="P1169" s="49" t="s">
        <v>29</v>
      </c>
      <c r="Q1169" s="114" t="s">
        <v>39</v>
      </c>
      <c r="R1169" s="46"/>
    </row>
    <row r="1170" ht="14.25" customHeight="1">
      <c r="A1170" s="211">
        <v>44.0</v>
      </c>
      <c r="B1170" s="212" t="s">
        <v>4771</v>
      </c>
      <c r="C1170" s="212" t="s">
        <v>4742</v>
      </c>
      <c r="D1170" s="235" t="s">
        <v>2000</v>
      </c>
      <c r="E1170" s="235" t="s">
        <v>4740</v>
      </c>
      <c r="F1170" s="243" t="s">
        <v>1137</v>
      </c>
      <c r="G1170" s="225">
        <v>3600.0</v>
      </c>
      <c r="H1170" s="237">
        <v>300.0</v>
      </c>
      <c r="I1170" s="226">
        <v>1500.0</v>
      </c>
      <c r="J1170" s="226" t="s">
        <v>39</v>
      </c>
      <c r="K1170" s="226" t="s">
        <v>39</v>
      </c>
      <c r="L1170" s="49">
        <v>1.0</v>
      </c>
      <c r="M1170" s="212" t="s">
        <v>449</v>
      </c>
      <c r="N1170" s="49" t="s">
        <v>39</v>
      </c>
      <c r="O1170" s="49">
        <v>300.0</v>
      </c>
      <c r="P1170" s="49" t="s">
        <v>29</v>
      </c>
      <c r="Q1170" s="114" t="s">
        <v>39</v>
      </c>
      <c r="R1170" s="46"/>
    </row>
    <row r="1171" ht="14.25" customHeight="1">
      <c r="A1171" s="211">
        <v>45.0</v>
      </c>
      <c r="B1171" s="212" t="s">
        <v>4789</v>
      </c>
      <c r="C1171" s="212" t="s">
        <v>4790</v>
      </c>
      <c r="D1171" s="235" t="s">
        <v>2000</v>
      </c>
      <c r="E1171" s="235" t="s">
        <v>4740</v>
      </c>
      <c r="F1171" s="243" t="s">
        <v>1137</v>
      </c>
      <c r="G1171" s="225">
        <v>20.0</v>
      </c>
      <c r="H1171" s="237">
        <v>200.0</v>
      </c>
      <c r="I1171" s="226">
        <v>1000.0</v>
      </c>
      <c r="J1171" s="226" t="s">
        <v>39</v>
      </c>
      <c r="K1171" s="226" t="s">
        <v>39</v>
      </c>
      <c r="L1171" s="49">
        <v>20.0</v>
      </c>
      <c r="M1171" s="212" t="s">
        <v>449</v>
      </c>
      <c r="N1171" s="49" t="s">
        <v>39</v>
      </c>
      <c r="O1171" s="49">
        <v>200.0</v>
      </c>
      <c r="P1171" s="49" t="s">
        <v>29</v>
      </c>
      <c r="Q1171" s="114" t="s">
        <v>39</v>
      </c>
      <c r="R1171" s="46"/>
    </row>
    <row r="1172" ht="14.25" customHeight="1">
      <c r="A1172" s="211">
        <v>46.0</v>
      </c>
      <c r="B1172" s="212" t="s">
        <v>4371</v>
      </c>
      <c r="C1172" s="212" t="s">
        <v>4790</v>
      </c>
      <c r="D1172" s="235" t="s">
        <v>2000</v>
      </c>
      <c r="E1172" s="235" t="s">
        <v>4740</v>
      </c>
      <c r="F1172" s="243" t="s">
        <v>1137</v>
      </c>
      <c r="G1172" s="225">
        <v>100.0</v>
      </c>
      <c r="H1172" s="237">
        <v>15.0</v>
      </c>
      <c r="I1172" s="226">
        <v>75.0</v>
      </c>
      <c r="J1172" s="226" t="s">
        <v>39</v>
      </c>
      <c r="K1172" s="226" t="s">
        <v>39</v>
      </c>
      <c r="L1172" s="49">
        <v>1.0</v>
      </c>
      <c r="M1172" s="212" t="s">
        <v>449</v>
      </c>
      <c r="N1172" s="49" t="s">
        <v>39</v>
      </c>
      <c r="O1172" s="49">
        <v>15.0</v>
      </c>
      <c r="P1172" s="49" t="s">
        <v>29</v>
      </c>
      <c r="Q1172" s="114" t="s">
        <v>39</v>
      </c>
      <c r="R1172" s="46"/>
    </row>
    <row r="1173" ht="14.25" customHeight="1">
      <c r="A1173" s="211">
        <v>47.0</v>
      </c>
      <c r="B1173" s="212" t="s">
        <v>4771</v>
      </c>
      <c r="C1173" s="212" t="s">
        <v>4790</v>
      </c>
      <c r="D1173" s="235" t="s">
        <v>2000</v>
      </c>
      <c r="E1173" s="235" t="s">
        <v>4740</v>
      </c>
      <c r="F1173" s="243" t="s">
        <v>1137</v>
      </c>
      <c r="G1173" s="225">
        <v>5.0</v>
      </c>
      <c r="H1173" s="237">
        <v>50.0</v>
      </c>
      <c r="I1173" s="226">
        <v>250.0</v>
      </c>
      <c r="J1173" s="226" t="s">
        <v>39</v>
      </c>
      <c r="K1173" s="226" t="s">
        <v>39</v>
      </c>
      <c r="L1173" s="49">
        <v>1.0</v>
      </c>
      <c r="M1173" s="212" t="s">
        <v>449</v>
      </c>
      <c r="N1173" s="49" t="s">
        <v>39</v>
      </c>
      <c r="O1173" s="49">
        <v>50.0</v>
      </c>
      <c r="P1173" s="49" t="s">
        <v>29</v>
      </c>
      <c r="Q1173" s="114" t="s">
        <v>39</v>
      </c>
      <c r="R1173" s="46"/>
    </row>
    <row r="1174" ht="14.25" customHeight="1">
      <c r="A1174" s="211">
        <v>48.0</v>
      </c>
      <c r="B1174" s="212" t="s">
        <v>4791</v>
      </c>
      <c r="C1174" s="212" t="s">
        <v>4790</v>
      </c>
      <c r="D1174" s="235" t="s">
        <v>2000</v>
      </c>
      <c r="E1174" s="235" t="s">
        <v>4740</v>
      </c>
      <c r="F1174" s="243" t="s">
        <v>1137</v>
      </c>
      <c r="G1174" s="225">
        <v>150.0</v>
      </c>
      <c r="H1174" s="237">
        <v>30.0</v>
      </c>
      <c r="I1174" s="226">
        <v>150.0</v>
      </c>
      <c r="J1174" s="226" t="s">
        <v>39</v>
      </c>
      <c r="K1174" s="226" t="s">
        <v>39</v>
      </c>
      <c r="L1174" s="49">
        <v>1.0</v>
      </c>
      <c r="M1174" s="212" t="s">
        <v>449</v>
      </c>
      <c r="N1174" s="49" t="s">
        <v>39</v>
      </c>
      <c r="O1174" s="49">
        <v>30.0</v>
      </c>
      <c r="P1174" s="49" t="s">
        <v>29</v>
      </c>
      <c r="Q1174" s="114" t="s">
        <v>39</v>
      </c>
      <c r="R1174" s="46"/>
    </row>
    <row r="1175" ht="14.25" customHeight="1">
      <c r="A1175" s="211">
        <v>49.0</v>
      </c>
      <c r="B1175" s="212" t="s">
        <v>4792</v>
      </c>
      <c r="C1175" s="212" t="s">
        <v>4793</v>
      </c>
      <c r="D1175" s="235" t="s">
        <v>2000</v>
      </c>
      <c r="E1175" s="235" t="s">
        <v>4740</v>
      </c>
      <c r="F1175" s="243" t="s">
        <v>1137</v>
      </c>
      <c r="G1175" s="225">
        <v>800.0</v>
      </c>
      <c r="H1175" s="237">
        <v>400.0</v>
      </c>
      <c r="I1175" s="226">
        <v>2000.0</v>
      </c>
      <c r="J1175" s="226" t="s">
        <v>39</v>
      </c>
      <c r="K1175" s="226" t="s">
        <v>39</v>
      </c>
      <c r="L1175" s="49">
        <v>1.0</v>
      </c>
      <c r="M1175" s="212" t="s">
        <v>449</v>
      </c>
      <c r="N1175" s="49" t="s">
        <v>39</v>
      </c>
      <c r="O1175" s="49">
        <v>400.0</v>
      </c>
      <c r="P1175" s="49" t="s">
        <v>29</v>
      </c>
      <c r="Q1175" s="114" t="s">
        <v>39</v>
      </c>
      <c r="R1175" s="46"/>
    </row>
    <row r="1176" ht="14.25" customHeight="1">
      <c r="A1176" s="211">
        <v>50.0</v>
      </c>
      <c r="B1176" s="212" t="s">
        <v>4794</v>
      </c>
      <c r="C1176" s="212" t="s">
        <v>4793</v>
      </c>
      <c r="D1176" s="235" t="s">
        <v>2000</v>
      </c>
      <c r="E1176" s="235" t="s">
        <v>4740</v>
      </c>
      <c r="F1176" s="243" t="s">
        <v>1137</v>
      </c>
      <c r="G1176" s="225">
        <v>500.0</v>
      </c>
      <c r="H1176" s="237">
        <v>300.0</v>
      </c>
      <c r="I1176" s="226">
        <v>1500.0</v>
      </c>
      <c r="J1176" s="226" t="s">
        <v>39</v>
      </c>
      <c r="K1176" s="226" t="s">
        <v>39</v>
      </c>
      <c r="L1176" s="49">
        <v>1.0</v>
      </c>
      <c r="M1176" s="212" t="s">
        <v>449</v>
      </c>
      <c r="N1176" s="49" t="s">
        <v>39</v>
      </c>
      <c r="O1176" s="49">
        <v>300.0</v>
      </c>
      <c r="P1176" s="49" t="s">
        <v>29</v>
      </c>
      <c r="Q1176" s="114" t="s">
        <v>39</v>
      </c>
      <c r="R1176" s="46"/>
    </row>
    <row r="1177" ht="14.25" customHeight="1">
      <c r="A1177" s="211">
        <v>51.0</v>
      </c>
      <c r="B1177" s="212" t="s">
        <v>4371</v>
      </c>
      <c r="C1177" s="212" t="s">
        <v>4793</v>
      </c>
      <c r="D1177" s="235" t="s">
        <v>2000</v>
      </c>
      <c r="E1177" s="235" t="s">
        <v>4740</v>
      </c>
      <c r="F1177" s="243" t="s">
        <v>1137</v>
      </c>
      <c r="G1177" s="225">
        <v>50.0</v>
      </c>
      <c r="H1177" s="237">
        <v>20.0</v>
      </c>
      <c r="I1177" s="226">
        <v>100.0</v>
      </c>
      <c r="J1177" s="226" t="s">
        <v>39</v>
      </c>
      <c r="K1177" s="226" t="s">
        <v>39</v>
      </c>
      <c r="L1177" s="49">
        <v>1.0</v>
      </c>
      <c r="M1177" s="212" t="s">
        <v>449</v>
      </c>
      <c r="N1177" s="49" t="s">
        <v>39</v>
      </c>
      <c r="O1177" s="49">
        <v>20.0</v>
      </c>
      <c r="P1177" s="49" t="s">
        <v>29</v>
      </c>
      <c r="Q1177" s="114" t="s">
        <v>39</v>
      </c>
      <c r="R1177" s="46"/>
    </row>
    <row r="1178" ht="14.25" customHeight="1">
      <c r="A1178" s="211">
        <v>52.0</v>
      </c>
      <c r="B1178" s="212" t="s">
        <v>4774</v>
      </c>
      <c r="C1178" s="212" t="s">
        <v>4793</v>
      </c>
      <c r="D1178" s="235" t="s">
        <v>2000</v>
      </c>
      <c r="E1178" s="235" t="s">
        <v>4740</v>
      </c>
      <c r="F1178" s="243" t="s">
        <v>1137</v>
      </c>
      <c r="G1178" s="225">
        <v>40.0</v>
      </c>
      <c r="H1178" s="237">
        <v>5.0</v>
      </c>
      <c r="I1178" s="226">
        <v>25.0</v>
      </c>
      <c r="J1178" s="226" t="s">
        <v>39</v>
      </c>
      <c r="K1178" s="226" t="s">
        <v>39</v>
      </c>
      <c r="L1178" s="49">
        <v>1.0</v>
      </c>
      <c r="M1178" s="212" t="s">
        <v>449</v>
      </c>
      <c r="N1178" s="49" t="s">
        <v>39</v>
      </c>
      <c r="O1178" s="49">
        <v>5.0</v>
      </c>
      <c r="P1178" s="49" t="s">
        <v>29</v>
      </c>
      <c r="Q1178" s="114" t="s">
        <v>39</v>
      </c>
      <c r="R1178" s="46"/>
    </row>
    <row r="1179" ht="14.25" customHeight="1">
      <c r="A1179" s="211">
        <v>53.0</v>
      </c>
      <c r="B1179" s="212" t="s">
        <v>4371</v>
      </c>
      <c r="C1179" s="212" t="s">
        <v>4795</v>
      </c>
      <c r="D1179" s="235" t="s">
        <v>2000</v>
      </c>
      <c r="E1179" s="235" t="s">
        <v>4740</v>
      </c>
      <c r="F1179" s="243" t="s">
        <v>1137</v>
      </c>
      <c r="G1179" s="225">
        <v>208.0</v>
      </c>
      <c r="H1179" s="237">
        <v>4.0</v>
      </c>
      <c r="I1179" s="226">
        <v>20.0</v>
      </c>
      <c r="J1179" s="226" t="s">
        <v>39</v>
      </c>
      <c r="K1179" s="226" t="s">
        <v>39</v>
      </c>
      <c r="L1179" s="49">
        <v>1.0</v>
      </c>
      <c r="M1179" s="212" t="s">
        <v>449</v>
      </c>
      <c r="N1179" s="49" t="s">
        <v>39</v>
      </c>
      <c r="O1179" s="49">
        <v>4.0</v>
      </c>
      <c r="P1179" s="49" t="s">
        <v>29</v>
      </c>
      <c r="Q1179" s="114" t="s">
        <v>39</v>
      </c>
      <c r="R1179" s="46"/>
    </row>
    <row r="1180" ht="14.25" customHeight="1">
      <c r="A1180" s="211">
        <v>54.0</v>
      </c>
      <c r="B1180" s="212" t="s">
        <v>4796</v>
      </c>
      <c r="C1180" s="212" t="s">
        <v>4797</v>
      </c>
      <c r="D1180" s="235" t="s">
        <v>2000</v>
      </c>
      <c r="E1180" s="235" t="s">
        <v>4740</v>
      </c>
      <c r="F1180" s="243" t="s">
        <v>1137</v>
      </c>
      <c r="G1180" s="225">
        <v>224.0</v>
      </c>
      <c r="H1180" s="237">
        <v>8.0</v>
      </c>
      <c r="I1180" s="226">
        <v>40.0</v>
      </c>
      <c r="J1180" s="226" t="s">
        <v>39</v>
      </c>
      <c r="K1180" s="226" t="s">
        <v>39</v>
      </c>
      <c r="L1180" s="49">
        <v>1.0</v>
      </c>
      <c r="M1180" s="212" t="s">
        <v>449</v>
      </c>
      <c r="N1180" s="49" t="s">
        <v>39</v>
      </c>
      <c r="O1180" s="49">
        <v>8.0</v>
      </c>
      <c r="P1180" s="49" t="s">
        <v>29</v>
      </c>
      <c r="Q1180" s="114" t="s">
        <v>39</v>
      </c>
      <c r="R1180" s="46"/>
    </row>
    <row r="1181" ht="14.25" customHeight="1">
      <c r="A1181" s="211">
        <v>55.0</v>
      </c>
      <c r="B1181" s="212" t="s">
        <v>4371</v>
      </c>
      <c r="C1181" s="212" t="s">
        <v>4798</v>
      </c>
      <c r="D1181" s="235" t="s">
        <v>2000</v>
      </c>
      <c r="E1181" s="235" t="s">
        <v>4740</v>
      </c>
      <c r="F1181" s="243" t="s">
        <v>1137</v>
      </c>
      <c r="G1181" s="225" t="s">
        <v>39</v>
      </c>
      <c r="H1181" s="237" t="s">
        <v>39</v>
      </c>
      <c r="I1181" s="226" t="s">
        <v>39</v>
      </c>
      <c r="J1181" s="226" t="s">
        <v>39</v>
      </c>
      <c r="K1181" s="226" t="s">
        <v>39</v>
      </c>
      <c r="L1181" s="49">
        <v>1.0</v>
      </c>
      <c r="M1181" s="212" t="s">
        <v>449</v>
      </c>
      <c r="N1181" s="49" t="s">
        <v>39</v>
      </c>
      <c r="O1181" s="49" t="s">
        <v>39</v>
      </c>
      <c r="P1181" s="49" t="s">
        <v>29</v>
      </c>
      <c r="Q1181" s="114" t="s">
        <v>39</v>
      </c>
      <c r="R1181" s="46"/>
    </row>
    <row r="1182" ht="14.25" customHeight="1">
      <c r="A1182" s="211">
        <v>56.0</v>
      </c>
      <c r="B1182" s="212" t="s">
        <v>4371</v>
      </c>
      <c r="C1182" s="212" t="s">
        <v>4799</v>
      </c>
      <c r="D1182" s="235" t="s">
        <v>2000</v>
      </c>
      <c r="E1182" s="235" t="s">
        <v>4740</v>
      </c>
      <c r="F1182" s="243" t="s">
        <v>1137</v>
      </c>
      <c r="G1182" s="225" t="s">
        <v>39</v>
      </c>
      <c r="H1182" s="237" t="s">
        <v>39</v>
      </c>
      <c r="I1182" s="226" t="s">
        <v>39</v>
      </c>
      <c r="J1182" s="226" t="s">
        <v>39</v>
      </c>
      <c r="K1182" s="226" t="s">
        <v>39</v>
      </c>
      <c r="L1182" s="49">
        <v>1.0</v>
      </c>
      <c r="M1182" s="212" t="s">
        <v>449</v>
      </c>
      <c r="N1182" s="49" t="s">
        <v>39</v>
      </c>
      <c r="O1182" s="49" t="s">
        <v>39</v>
      </c>
      <c r="P1182" s="49" t="s">
        <v>29</v>
      </c>
      <c r="Q1182" s="114" t="s">
        <v>39</v>
      </c>
      <c r="R1182" s="46"/>
    </row>
    <row r="1183" ht="14.25" customHeight="1">
      <c r="A1183" s="211">
        <v>57.0</v>
      </c>
      <c r="B1183" s="212" t="s">
        <v>4800</v>
      </c>
      <c r="C1183" s="212" t="s">
        <v>3210</v>
      </c>
      <c r="D1183" s="235" t="s">
        <v>2000</v>
      </c>
      <c r="E1183" s="235" t="s">
        <v>4740</v>
      </c>
      <c r="F1183" s="243" t="s">
        <v>1137</v>
      </c>
      <c r="G1183" s="225">
        <v>600.0</v>
      </c>
      <c r="H1183" s="237">
        <v>150.0</v>
      </c>
      <c r="I1183" s="226">
        <v>750.0</v>
      </c>
      <c r="J1183" s="226" t="s">
        <v>39</v>
      </c>
      <c r="K1183" s="226" t="s">
        <v>39</v>
      </c>
      <c r="L1183" s="49">
        <v>1.0</v>
      </c>
      <c r="M1183" s="212" t="s">
        <v>449</v>
      </c>
      <c r="N1183" s="49" t="s">
        <v>39</v>
      </c>
      <c r="O1183" s="49">
        <v>150.0</v>
      </c>
      <c r="P1183" s="49" t="s">
        <v>29</v>
      </c>
      <c r="Q1183" s="114" t="s">
        <v>39</v>
      </c>
      <c r="R1183" s="46"/>
    </row>
    <row r="1184" ht="14.25" customHeight="1">
      <c r="A1184" s="211">
        <v>58.0</v>
      </c>
      <c r="B1184" s="212" t="s">
        <v>4801</v>
      </c>
      <c r="C1184" s="212" t="s">
        <v>3210</v>
      </c>
      <c r="D1184" s="235" t="s">
        <v>2000</v>
      </c>
      <c r="E1184" s="235" t="s">
        <v>4740</v>
      </c>
      <c r="F1184" s="243" t="s">
        <v>1137</v>
      </c>
      <c r="G1184" s="225">
        <v>1500.0</v>
      </c>
      <c r="H1184" s="237">
        <v>180.0</v>
      </c>
      <c r="I1184" s="226">
        <v>900.0</v>
      </c>
      <c r="J1184" s="226">
        <v>1.0</v>
      </c>
      <c r="K1184" s="226">
        <v>1.0</v>
      </c>
      <c r="L1184" s="49">
        <v>0.0</v>
      </c>
      <c r="M1184" s="212" t="s">
        <v>449</v>
      </c>
      <c r="N1184" s="49" t="s">
        <v>39</v>
      </c>
      <c r="O1184" s="49">
        <v>180.0</v>
      </c>
      <c r="P1184" s="49" t="s">
        <v>29</v>
      </c>
      <c r="Q1184" s="114" t="s">
        <v>39</v>
      </c>
      <c r="R1184" s="46"/>
    </row>
    <row r="1185" ht="14.25" customHeight="1">
      <c r="A1185" s="211">
        <v>59.0</v>
      </c>
      <c r="B1185" s="212" t="s">
        <v>4802</v>
      </c>
      <c r="C1185" s="212" t="s">
        <v>3210</v>
      </c>
      <c r="D1185" s="235" t="s">
        <v>2000</v>
      </c>
      <c r="E1185" s="235" t="s">
        <v>4740</v>
      </c>
      <c r="F1185" s="243" t="s">
        <v>1137</v>
      </c>
      <c r="G1185" s="225">
        <v>800.0</v>
      </c>
      <c r="H1185" s="237">
        <v>60.0</v>
      </c>
      <c r="I1185" s="226">
        <v>300.0</v>
      </c>
      <c r="J1185" s="226">
        <v>1.0</v>
      </c>
      <c r="K1185" s="226">
        <v>1.0</v>
      </c>
      <c r="L1185" s="49">
        <v>1.0</v>
      </c>
      <c r="M1185" s="212" t="s">
        <v>449</v>
      </c>
      <c r="N1185" s="49" t="s">
        <v>39</v>
      </c>
      <c r="O1185" s="49">
        <v>60.0</v>
      </c>
      <c r="P1185" s="49" t="s">
        <v>29</v>
      </c>
      <c r="Q1185" s="114" t="s">
        <v>39</v>
      </c>
      <c r="R1185" s="46"/>
    </row>
    <row r="1186" ht="14.25" customHeight="1">
      <c r="A1186" s="211">
        <v>60.0</v>
      </c>
      <c r="B1186" s="212" t="s">
        <v>4803</v>
      </c>
      <c r="C1186" s="212" t="s">
        <v>3210</v>
      </c>
      <c r="D1186" s="235" t="s">
        <v>2000</v>
      </c>
      <c r="E1186" s="235" t="s">
        <v>4740</v>
      </c>
      <c r="F1186" s="243" t="s">
        <v>1137</v>
      </c>
      <c r="G1186" s="225">
        <v>900.0</v>
      </c>
      <c r="H1186" s="237">
        <v>200.0</v>
      </c>
      <c r="I1186" s="226">
        <v>1000.0</v>
      </c>
      <c r="J1186" s="226">
        <v>1.0</v>
      </c>
      <c r="K1186" s="226">
        <v>1.0</v>
      </c>
      <c r="L1186" s="49">
        <v>10.0</v>
      </c>
      <c r="M1186" s="212" t="s">
        <v>449</v>
      </c>
      <c r="N1186" s="49" t="s">
        <v>39</v>
      </c>
      <c r="O1186" s="49">
        <v>200.0</v>
      </c>
      <c r="P1186" s="49" t="s">
        <v>29</v>
      </c>
      <c r="Q1186" s="114" t="s">
        <v>39</v>
      </c>
      <c r="R1186" s="46"/>
    </row>
    <row r="1187" ht="14.25" customHeight="1">
      <c r="A1187" s="211">
        <v>61.0</v>
      </c>
      <c r="B1187" s="212" t="s">
        <v>4804</v>
      </c>
      <c r="C1187" s="212" t="s">
        <v>3210</v>
      </c>
      <c r="D1187" s="235" t="s">
        <v>2000</v>
      </c>
      <c r="E1187" s="235" t="s">
        <v>4740</v>
      </c>
      <c r="F1187" s="243" t="s">
        <v>1137</v>
      </c>
      <c r="G1187" s="225">
        <v>750.0</v>
      </c>
      <c r="H1187" s="237">
        <v>200.0</v>
      </c>
      <c r="I1187" s="226">
        <v>1000.0</v>
      </c>
      <c r="J1187" s="226">
        <v>1.0</v>
      </c>
      <c r="K1187" s="226">
        <v>1.0</v>
      </c>
      <c r="L1187" s="49">
        <v>9.0</v>
      </c>
      <c r="M1187" s="212" t="s">
        <v>449</v>
      </c>
      <c r="N1187" s="49" t="s">
        <v>39</v>
      </c>
      <c r="O1187" s="49">
        <v>200.0</v>
      </c>
      <c r="P1187" s="49" t="s">
        <v>29</v>
      </c>
      <c r="Q1187" s="114" t="s">
        <v>39</v>
      </c>
      <c r="R1187" s="46"/>
    </row>
    <row r="1188" ht="14.25" customHeight="1">
      <c r="A1188" s="211">
        <v>62.0</v>
      </c>
      <c r="B1188" s="212" t="s">
        <v>4805</v>
      </c>
      <c r="C1188" s="212" t="s">
        <v>3210</v>
      </c>
      <c r="D1188" s="235" t="s">
        <v>2000</v>
      </c>
      <c r="E1188" s="235" t="s">
        <v>4740</v>
      </c>
      <c r="F1188" s="243" t="s">
        <v>1137</v>
      </c>
      <c r="G1188" s="225">
        <v>210.0</v>
      </c>
      <c r="H1188" s="237">
        <v>100.0</v>
      </c>
      <c r="I1188" s="226">
        <v>500.0</v>
      </c>
      <c r="J1188" s="226">
        <v>4.0</v>
      </c>
      <c r="K1188" s="226">
        <v>4.0</v>
      </c>
      <c r="L1188" s="49">
        <v>1.0</v>
      </c>
      <c r="M1188" s="212" t="s">
        <v>449</v>
      </c>
      <c r="N1188" s="49" t="s">
        <v>39</v>
      </c>
      <c r="O1188" s="49">
        <v>100.0</v>
      </c>
      <c r="P1188" s="49" t="s">
        <v>29</v>
      </c>
      <c r="Q1188" s="114" t="s">
        <v>39</v>
      </c>
      <c r="R1188" s="46"/>
    </row>
    <row r="1189" ht="14.25" customHeight="1">
      <c r="A1189" s="211">
        <v>63.0</v>
      </c>
      <c r="B1189" s="212" t="s">
        <v>4800</v>
      </c>
      <c r="C1189" s="212" t="s">
        <v>4806</v>
      </c>
      <c r="D1189" s="235" t="s">
        <v>2000</v>
      </c>
      <c r="E1189" s="235" t="s">
        <v>4740</v>
      </c>
      <c r="F1189" s="243" t="s">
        <v>1137</v>
      </c>
      <c r="G1189" s="225">
        <v>600.0</v>
      </c>
      <c r="H1189" s="237">
        <v>150.0</v>
      </c>
      <c r="I1189" s="226">
        <v>750.0</v>
      </c>
      <c r="J1189" s="226" t="s">
        <v>39</v>
      </c>
      <c r="K1189" s="226" t="s">
        <v>39</v>
      </c>
      <c r="L1189" s="49">
        <v>1.0</v>
      </c>
      <c r="M1189" s="212" t="s">
        <v>449</v>
      </c>
      <c r="N1189" s="49" t="s">
        <v>39</v>
      </c>
      <c r="O1189" s="49">
        <v>150.0</v>
      </c>
      <c r="P1189" s="49" t="s">
        <v>29</v>
      </c>
      <c r="Q1189" s="114" t="s">
        <v>39</v>
      </c>
      <c r="R1189" s="46"/>
    </row>
    <row r="1190" ht="14.25" customHeight="1">
      <c r="A1190" s="211">
        <v>64.0</v>
      </c>
      <c r="B1190" s="212" t="s">
        <v>4371</v>
      </c>
      <c r="C1190" s="212" t="s">
        <v>4806</v>
      </c>
      <c r="D1190" s="235" t="s">
        <v>2000</v>
      </c>
      <c r="E1190" s="235" t="s">
        <v>4740</v>
      </c>
      <c r="F1190" s="243" t="s">
        <v>1137</v>
      </c>
      <c r="G1190" s="225" t="s">
        <v>39</v>
      </c>
      <c r="H1190" s="237" t="s">
        <v>39</v>
      </c>
      <c r="I1190" s="226" t="s">
        <v>39</v>
      </c>
      <c r="J1190" s="226" t="s">
        <v>39</v>
      </c>
      <c r="K1190" s="226" t="s">
        <v>39</v>
      </c>
      <c r="L1190" s="49">
        <v>1.0</v>
      </c>
      <c r="M1190" s="212" t="s">
        <v>449</v>
      </c>
      <c r="N1190" s="49" t="s">
        <v>39</v>
      </c>
      <c r="O1190" s="49" t="s">
        <v>39</v>
      </c>
      <c r="P1190" s="49" t="s">
        <v>29</v>
      </c>
      <c r="Q1190" s="114" t="s">
        <v>39</v>
      </c>
      <c r="R1190" s="46"/>
    </row>
    <row r="1191" ht="14.25" customHeight="1">
      <c r="A1191" s="211">
        <v>65.0</v>
      </c>
      <c r="B1191" s="212" t="s">
        <v>4371</v>
      </c>
      <c r="C1191" s="212" t="s">
        <v>4807</v>
      </c>
      <c r="D1191" s="235" t="s">
        <v>2000</v>
      </c>
      <c r="E1191" s="235" t="s">
        <v>4740</v>
      </c>
      <c r="F1191" s="243" t="s">
        <v>1137</v>
      </c>
      <c r="G1191" s="225" t="s">
        <v>39</v>
      </c>
      <c r="H1191" s="237" t="s">
        <v>39</v>
      </c>
      <c r="I1191" s="226" t="s">
        <v>39</v>
      </c>
      <c r="J1191" s="226" t="s">
        <v>39</v>
      </c>
      <c r="K1191" s="226" t="s">
        <v>39</v>
      </c>
      <c r="L1191" s="49">
        <v>1.0</v>
      </c>
      <c r="M1191" s="212" t="s">
        <v>449</v>
      </c>
      <c r="N1191" s="49" t="s">
        <v>39</v>
      </c>
      <c r="O1191" s="49" t="s">
        <v>39</v>
      </c>
      <c r="P1191" s="49" t="s">
        <v>29</v>
      </c>
      <c r="Q1191" s="114" t="s">
        <v>39</v>
      </c>
      <c r="R1191" s="46"/>
    </row>
    <row r="1192" ht="14.25" customHeight="1">
      <c r="A1192" s="211">
        <v>66.0</v>
      </c>
      <c r="B1192" s="212" t="s">
        <v>4771</v>
      </c>
      <c r="C1192" s="212" t="s">
        <v>4808</v>
      </c>
      <c r="D1192" s="235" t="s">
        <v>2000</v>
      </c>
      <c r="E1192" s="235" t="s">
        <v>4740</v>
      </c>
      <c r="F1192" s="243" t="s">
        <v>1137</v>
      </c>
      <c r="G1192" s="225">
        <v>140.0</v>
      </c>
      <c r="H1192" s="237">
        <v>30.0</v>
      </c>
      <c r="I1192" s="226">
        <v>150.0</v>
      </c>
      <c r="J1192" s="226" t="s">
        <v>39</v>
      </c>
      <c r="K1192" s="226" t="s">
        <v>39</v>
      </c>
      <c r="L1192" s="49">
        <v>1.0</v>
      </c>
      <c r="M1192" s="212" t="s">
        <v>449</v>
      </c>
      <c r="N1192" s="49" t="s">
        <v>39</v>
      </c>
      <c r="O1192" s="49" t="s">
        <v>39</v>
      </c>
      <c r="P1192" s="49" t="s">
        <v>29</v>
      </c>
      <c r="Q1192" s="114" t="s">
        <v>39</v>
      </c>
      <c r="R1192" s="46"/>
    </row>
    <row r="1193" ht="14.25" customHeight="1">
      <c r="A1193" s="211">
        <v>67.0</v>
      </c>
      <c r="B1193" s="212" t="s">
        <v>4371</v>
      </c>
      <c r="C1193" s="212" t="s">
        <v>4809</v>
      </c>
      <c r="D1193" s="235" t="s">
        <v>2000</v>
      </c>
      <c r="E1193" s="235" t="s">
        <v>4740</v>
      </c>
      <c r="F1193" s="243" t="s">
        <v>1137</v>
      </c>
      <c r="G1193" s="225">
        <v>272.0</v>
      </c>
      <c r="H1193" s="237">
        <v>17.0</v>
      </c>
      <c r="I1193" s="226">
        <v>85.0</v>
      </c>
      <c r="J1193" s="226" t="s">
        <v>39</v>
      </c>
      <c r="K1193" s="226" t="s">
        <v>39</v>
      </c>
      <c r="L1193" s="49">
        <v>1.0</v>
      </c>
      <c r="M1193" s="212" t="s">
        <v>449</v>
      </c>
      <c r="N1193" s="49" t="s">
        <v>39</v>
      </c>
      <c r="O1193" s="49">
        <v>17.0</v>
      </c>
      <c r="P1193" s="49" t="s">
        <v>29</v>
      </c>
      <c r="Q1193" s="114" t="s">
        <v>39</v>
      </c>
      <c r="R1193" s="46"/>
    </row>
    <row r="1194" ht="14.25" customHeight="1">
      <c r="A1194" s="211">
        <v>68.0</v>
      </c>
      <c r="B1194" s="212" t="s">
        <v>4760</v>
      </c>
      <c r="C1194" s="212" t="s">
        <v>4810</v>
      </c>
      <c r="D1194" s="235" t="s">
        <v>2000</v>
      </c>
      <c r="E1194" s="235" t="s">
        <v>4740</v>
      </c>
      <c r="F1194" s="243" t="s">
        <v>1137</v>
      </c>
      <c r="G1194" s="225">
        <v>50.76</v>
      </c>
      <c r="H1194" s="237">
        <v>5.0</v>
      </c>
      <c r="I1194" s="226">
        <v>25.0</v>
      </c>
      <c r="J1194" s="226" t="s">
        <v>39</v>
      </c>
      <c r="K1194" s="226" t="s">
        <v>39</v>
      </c>
      <c r="L1194" s="49">
        <v>1.0</v>
      </c>
      <c r="M1194" s="212" t="s">
        <v>449</v>
      </c>
      <c r="N1194" s="49" t="s">
        <v>39</v>
      </c>
      <c r="O1194" s="49">
        <v>5.0</v>
      </c>
      <c r="P1194" s="49" t="s">
        <v>29</v>
      </c>
      <c r="Q1194" s="114" t="s">
        <v>39</v>
      </c>
      <c r="R1194" s="46"/>
    </row>
    <row r="1195" ht="14.25" customHeight="1">
      <c r="A1195" s="211">
        <v>69.0</v>
      </c>
      <c r="B1195" s="212" t="s">
        <v>4371</v>
      </c>
      <c r="C1195" s="212" t="s">
        <v>4810</v>
      </c>
      <c r="D1195" s="235" t="s">
        <v>2000</v>
      </c>
      <c r="E1195" s="235" t="s">
        <v>4740</v>
      </c>
      <c r="F1195" s="243" t="s">
        <v>1137</v>
      </c>
      <c r="G1195" s="225">
        <v>51.0</v>
      </c>
      <c r="H1195" s="237">
        <v>5.0</v>
      </c>
      <c r="I1195" s="226">
        <v>25.0</v>
      </c>
      <c r="J1195" s="226" t="s">
        <v>39</v>
      </c>
      <c r="K1195" s="226" t="s">
        <v>39</v>
      </c>
      <c r="L1195" s="49">
        <v>1.0</v>
      </c>
      <c r="M1195" s="212" t="s">
        <v>449</v>
      </c>
      <c r="N1195" s="49" t="s">
        <v>39</v>
      </c>
      <c r="O1195" s="49">
        <v>5.0</v>
      </c>
      <c r="P1195" s="49" t="s">
        <v>29</v>
      </c>
      <c r="Q1195" s="114" t="s">
        <v>39</v>
      </c>
      <c r="R1195" s="46"/>
    </row>
    <row r="1196" ht="14.25" customHeight="1">
      <c r="A1196" s="211">
        <v>70.0</v>
      </c>
      <c r="B1196" s="212" t="s">
        <v>4811</v>
      </c>
      <c r="C1196" s="212" t="s">
        <v>4810</v>
      </c>
      <c r="D1196" s="235" t="s">
        <v>2000</v>
      </c>
      <c r="E1196" s="235" t="s">
        <v>4740</v>
      </c>
      <c r="F1196" s="243" t="s">
        <v>1137</v>
      </c>
      <c r="G1196" s="225">
        <v>34.8</v>
      </c>
      <c r="H1196" s="237">
        <v>3.0</v>
      </c>
      <c r="I1196" s="226">
        <v>15.0</v>
      </c>
      <c r="J1196" s="226" t="s">
        <v>39</v>
      </c>
      <c r="K1196" s="226" t="s">
        <v>39</v>
      </c>
      <c r="L1196" s="49">
        <v>1.0</v>
      </c>
      <c r="M1196" s="212" t="s">
        <v>449</v>
      </c>
      <c r="N1196" s="49" t="s">
        <v>39</v>
      </c>
      <c r="O1196" s="49">
        <v>3.0</v>
      </c>
      <c r="P1196" s="49" t="s">
        <v>29</v>
      </c>
      <c r="Q1196" s="114" t="s">
        <v>39</v>
      </c>
      <c r="R1196" s="46"/>
    </row>
    <row r="1197" ht="14.25" customHeight="1">
      <c r="A1197" s="211">
        <v>71.0</v>
      </c>
      <c r="B1197" s="212" t="s">
        <v>4812</v>
      </c>
      <c r="C1197" s="212" t="s">
        <v>4813</v>
      </c>
      <c r="D1197" s="235" t="s">
        <v>2000</v>
      </c>
      <c r="E1197" s="235" t="s">
        <v>4740</v>
      </c>
      <c r="F1197" s="243" t="s">
        <v>1137</v>
      </c>
      <c r="G1197" s="225">
        <v>250.0</v>
      </c>
      <c r="H1197" s="237">
        <v>45.0</v>
      </c>
      <c r="I1197" s="226">
        <v>225.0</v>
      </c>
      <c r="J1197" s="226" t="s">
        <v>39</v>
      </c>
      <c r="K1197" s="226" t="s">
        <v>39</v>
      </c>
      <c r="L1197" s="49">
        <v>1.0</v>
      </c>
      <c r="M1197" s="212" t="s">
        <v>449</v>
      </c>
      <c r="N1197" s="49" t="s">
        <v>39</v>
      </c>
      <c r="O1197" s="49">
        <v>45.0</v>
      </c>
      <c r="P1197" s="49" t="s">
        <v>29</v>
      </c>
      <c r="Q1197" s="114" t="s">
        <v>39</v>
      </c>
      <c r="R1197" s="46"/>
    </row>
    <row r="1198" ht="14.25" customHeight="1">
      <c r="A1198" s="211">
        <v>72.0</v>
      </c>
      <c r="B1198" s="212" t="s">
        <v>4371</v>
      </c>
      <c r="C1198" s="212" t="s">
        <v>4813</v>
      </c>
      <c r="D1198" s="235" t="s">
        <v>2000</v>
      </c>
      <c r="E1198" s="235" t="s">
        <v>4740</v>
      </c>
      <c r="F1198" s="243" t="s">
        <v>1137</v>
      </c>
      <c r="G1198" s="225">
        <v>90.0</v>
      </c>
      <c r="H1198" s="237">
        <v>15.0</v>
      </c>
      <c r="I1198" s="226">
        <v>75.0</v>
      </c>
      <c r="J1198" s="226" t="s">
        <v>39</v>
      </c>
      <c r="K1198" s="226" t="s">
        <v>39</v>
      </c>
      <c r="L1198" s="49">
        <v>1.0</v>
      </c>
      <c r="M1198" s="212" t="s">
        <v>449</v>
      </c>
      <c r="N1198" s="49" t="s">
        <v>39</v>
      </c>
      <c r="O1198" s="49">
        <v>15.0</v>
      </c>
      <c r="P1198" s="49" t="s">
        <v>29</v>
      </c>
      <c r="Q1198" s="114" t="s">
        <v>39</v>
      </c>
      <c r="R1198" s="46"/>
    </row>
    <row r="1199" ht="15.75" customHeight="1">
      <c r="A1199" s="181"/>
      <c r="B1199" s="182" t="s">
        <v>4814</v>
      </c>
      <c r="C1199" s="182"/>
      <c r="D1199" s="22"/>
      <c r="E1199" s="22"/>
      <c r="F1199" s="209"/>
      <c r="G1199" s="210"/>
      <c r="H1199" s="22"/>
      <c r="I1199" s="22"/>
      <c r="J1199" s="22"/>
      <c r="K1199" s="22"/>
      <c r="L1199" s="22"/>
      <c r="M1199" s="22"/>
      <c r="N1199" s="22"/>
      <c r="O1199" s="22"/>
      <c r="P1199" s="22"/>
      <c r="Q1199" s="209"/>
      <c r="R1199" s="22"/>
    </row>
    <row r="1200" ht="14.25" customHeight="1">
      <c r="A1200" s="211">
        <v>1.0</v>
      </c>
      <c r="B1200" s="212" t="s">
        <v>4815</v>
      </c>
      <c r="C1200" s="212" t="s">
        <v>1552</v>
      </c>
      <c r="D1200" s="235" t="s">
        <v>2000</v>
      </c>
      <c r="E1200" s="235" t="s">
        <v>3607</v>
      </c>
      <c r="F1200" s="236" t="s">
        <v>46</v>
      </c>
      <c r="G1200" s="225" t="s">
        <v>4816</v>
      </c>
      <c r="H1200" s="237">
        <v>20.0</v>
      </c>
      <c r="I1200" s="226">
        <v>100.0</v>
      </c>
      <c r="J1200" s="226">
        <v>1.0</v>
      </c>
      <c r="K1200" s="226">
        <v>1.0</v>
      </c>
      <c r="L1200" s="49">
        <v>2.0</v>
      </c>
      <c r="M1200" s="212" t="s">
        <v>4817</v>
      </c>
      <c r="N1200" s="238" t="s">
        <v>3481</v>
      </c>
      <c r="O1200" s="238" t="s">
        <v>3481</v>
      </c>
      <c r="P1200" s="49" t="s">
        <v>29</v>
      </c>
      <c r="Q1200" s="114"/>
      <c r="R1200" s="46"/>
    </row>
    <row r="1201" ht="14.25" customHeight="1">
      <c r="A1201" s="211">
        <v>2.0</v>
      </c>
      <c r="B1201" s="212" t="s">
        <v>4818</v>
      </c>
      <c r="C1201" s="212" t="s">
        <v>1552</v>
      </c>
      <c r="D1201" s="235" t="s">
        <v>2000</v>
      </c>
      <c r="E1201" s="235" t="s">
        <v>3607</v>
      </c>
      <c r="F1201" s="236" t="s">
        <v>46</v>
      </c>
      <c r="G1201" s="225" t="s">
        <v>4819</v>
      </c>
      <c r="H1201" s="237">
        <v>20.0</v>
      </c>
      <c r="I1201" s="226">
        <v>100.0</v>
      </c>
      <c r="J1201" s="226">
        <v>1.0</v>
      </c>
      <c r="K1201" s="226">
        <v>1.0</v>
      </c>
      <c r="L1201" s="49">
        <v>2.0</v>
      </c>
      <c r="M1201" s="212" t="s">
        <v>4817</v>
      </c>
      <c r="N1201" s="238" t="s">
        <v>3481</v>
      </c>
      <c r="O1201" s="238" t="s">
        <v>3481</v>
      </c>
      <c r="P1201" s="49" t="s">
        <v>29</v>
      </c>
      <c r="Q1201" s="114"/>
      <c r="R1201" s="46"/>
    </row>
    <row r="1202" ht="14.25" customHeight="1">
      <c r="A1202" s="211">
        <v>3.0</v>
      </c>
      <c r="B1202" s="212" t="s">
        <v>4820</v>
      </c>
      <c r="C1202" s="212" t="s">
        <v>4821</v>
      </c>
      <c r="D1202" s="235" t="s">
        <v>2000</v>
      </c>
      <c r="E1202" s="235" t="s">
        <v>3607</v>
      </c>
      <c r="F1202" s="236" t="s">
        <v>46</v>
      </c>
      <c r="G1202" s="225" t="s">
        <v>4822</v>
      </c>
      <c r="H1202" s="237">
        <v>3.0</v>
      </c>
      <c r="I1202" s="226">
        <v>15.0</v>
      </c>
      <c r="J1202" s="226">
        <v>0.0</v>
      </c>
      <c r="K1202" s="226">
        <v>0.0</v>
      </c>
      <c r="L1202" s="49">
        <v>1.0</v>
      </c>
      <c r="M1202" s="212" t="s">
        <v>4817</v>
      </c>
      <c r="N1202" s="238" t="s">
        <v>3481</v>
      </c>
      <c r="O1202" s="49">
        <v>3.0</v>
      </c>
      <c r="P1202" s="49" t="s">
        <v>29</v>
      </c>
      <c r="Q1202" s="114" t="s">
        <v>59</v>
      </c>
      <c r="R1202" s="46"/>
    </row>
    <row r="1203" ht="14.25" customHeight="1">
      <c r="A1203" s="211">
        <v>4.0</v>
      </c>
      <c r="B1203" s="212" t="s">
        <v>4823</v>
      </c>
      <c r="C1203" s="212" t="s">
        <v>4824</v>
      </c>
      <c r="D1203" s="235" t="s">
        <v>2000</v>
      </c>
      <c r="E1203" s="235" t="s">
        <v>3607</v>
      </c>
      <c r="F1203" s="236" t="s">
        <v>46</v>
      </c>
      <c r="G1203" s="225" t="s">
        <v>28</v>
      </c>
      <c r="H1203" s="237">
        <v>5.0</v>
      </c>
      <c r="I1203" s="226">
        <v>25.0</v>
      </c>
      <c r="J1203" s="226">
        <v>3.0</v>
      </c>
      <c r="K1203" s="226">
        <v>3.0</v>
      </c>
      <c r="L1203" s="49">
        <v>3.0</v>
      </c>
      <c r="M1203" s="212" t="s">
        <v>4825</v>
      </c>
      <c r="N1203" s="238" t="s">
        <v>3481</v>
      </c>
      <c r="O1203" s="49">
        <v>25.0</v>
      </c>
      <c r="P1203" s="49" t="s">
        <v>29</v>
      </c>
      <c r="Q1203" s="114"/>
      <c r="R1203" s="46"/>
    </row>
    <row r="1204" ht="14.25" customHeight="1">
      <c r="A1204" s="211">
        <v>5.0</v>
      </c>
      <c r="B1204" s="212" t="s">
        <v>1171</v>
      </c>
      <c r="C1204" s="212" t="s">
        <v>4826</v>
      </c>
      <c r="D1204" s="235" t="s">
        <v>2000</v>
      </c>
      <c r="E1204" s="235" t="s">
        <v>3607</v>
      </c>
      <c r="F1204" s="236" t="s">
        <v>46</v>
      </c>
      <c r="G1204" s="225" t="s">
        <v>4827</v>
      </c>
      <c r="H1204" s="237">
        <v>7.0</v>
      </c>
      <c r="I1204" s="226">
        <v>28.0</v>
      </c>
      <c r="J1204" s="226">
        <v>0.0</v>
      </c>
      <c r="K1204" s="226">
        <v>0.0</v>
      </c>
      <c r="L1204" s="49">
        <v>1.0</v>
      </c>
      <c r="M1204" s="212" t="s">
        <v>27</v>
      </c>
      <c r="N1204" s="238" t="s">
        <v>3481</v>
      </c>
      <c r="O1204" s="49">
        <v>477.0</v>
      </c>
      <c r="P1204" s="49" t="s">
        <v>29</v>
      </c>
      <c r="Q1204" s="114"/>
      <c r="R1204" s="46"/>
    </row>
    <row r="1205" ht="14.25" customHeight="1">
      <c r="A1205" s="211">
        <v>6.0</v>
      </c>
      <c r="B1205" s="212" t="s">
        <v>68</v>
      </c>
      <c r="C1205" s="212" t="s">
        <v>4828</v>
      </c>
      <c r="D1205" s="235" t="s">
        <v>2000</v>
      </c>
      <c r="E1205" s="235" t="s">
        <v>3607</v>
      </c>
      <c r="F1205" s="236" t="s">
        <v>46</v>
      </c>
      <c r="G1205" s="225" t="s">
        <v>4829</v>
      </c>
      <c r="H1205" s="237">
        <v>6.0</v>
      </c>
      <c r="I1205" s="226">
        <v>30.0</v>
      </c>
      <c r="J1205" s="226">
        <v>1.0</v>
      </c>
      <c r="K1205" s="226">
        <v>1.0</v>
      </c>
      <c r="L1205" s="49">
        <v>0.0</v>
      </c>
      <c r="M1205" s="212" t="s">
        <v>4817</v>
      </c>
      <c r="N1205" s="238" t="s">
        <v>3481</v>
      </c>
      <c r="O1205" s="49">
        <v>3000.0</v>
      </c>
      <c r="P1205" s="49" t="s">
        <v>29</v>
      </c>
      <c r="Q1205" s="114"/>
      <c r="R1205" s="46"/>
    </row>
    <row r="1206" ht="14.25" customHeight="1">
      <c r="A1206" s="211">
        <v>7.0</v>
      </c>
      <c r="B1206" s="212" t="s">
        <v>4830</v>
      </c>
      <c r="C1206" s="212" t="s">
        <v>4831</v>
      </c>
      <c r="D1206" s="235" t="s">
        <v>2000</v>
      </c>
      <c r="E1206" s="235" t="s">
        <v>3607</v>
      </c>
      <c r="F1206" s="236" t="s">
        <v>46</v>
      </c>
      <c r="G1206" s="225" t="s">
        <v>28</v>
      </c>
      <c r="H1206" s="237">
        <v>6.0</v>
      </c>
      <c r="I1206" s="226">
        <v>20.0</v>
      </c>
      <c r="J1206" s="226">
        <v>0.0</v>
      </c>
      <c r="K1206" s="226">
        <v>0.0</v>
      </c>
      <c r="L1206" s="49">
        <v>1.0</v>
      </c>
      <c r="M1206" s="212" t="s">
        <v>27</v>
      </c>
      <c r="N1206" s="238" t="s">
        <v>3481</v>
      </c>
      <c r="O1206" s="49">
        <v>25.0</v>
      </c>
      <c r="P1206" s="49" t="s">
        <v>29</v>
      </c>
      <c r="Q1206" s="114"/>
      <c r="R1206" s="46"/>
    </row>
    <row r="1207" ht="14.25" customHeight="1">
      <c r="A1207" s="211">
        <v>8.0</v>
      </c>
      <c r="B1207" s="212" t="s">
        <v>4832</v>
      </c>
      <c r="C1207" s="212" t="s">
        <v>4831</v>
      </c>
      <c r="D1207" s="235" t="s">
        <v>2000</v>
      </c>
      <c r="E1207" s="235" t="s">
        <v>3607</v>
      </c>
      <c r="F1207" s="236" t="s">
        <v>46</v>
      </c>
      <c r="G1207" s="225" t="s">
        <v>28</v>
      </c>
      <c r="H1207" s="237">
        <v>5.0</v>
      </c>
      <c r="I1207" s="226">
        <v>15.0</v>
      </c>
      <c r="J1207" s="226">
        <v>0.0</v>
      </c>
      <c r="K1207" s="226">
        <v>0.0</v>
      </c>
      <c r="L1207" s="49">
        <v>1.0</v>
      </c>
      <c r="M1207" s="212" t="s">
        <v>27</v>
      </c>
      <c r="N1207" s="238" t="s">
        <v>3481</v>
      </c>
      <c r="O1207" s="49">
        <v>20.0</v>
      </c>
      <c r="P1207" s="49" t="s">
        <v>29</v>
      </c>
      <c r="Q1207" s="114"/>
      <c r="R1207" s="46"/>
    </row>
    <row r="1208" ht="14.25" customHeight="1">
      <c r="A1208" s="211">
        <v>9.0</v>
      </c>
      <c r="B1208" s="212" t="s">
        <v>2300</v>
      </c>
      <c r="C1208" s="212" t="s">
        <v>4831</v>
      </c>
      <c r="D1208" s="235" t="s">
        <v>2000</v>
      </c>
      <c r="E1208" s="235" t="s">
        <v>3607</v>
      </c>
      <c r="F1208" s="236" t="s">
        <v>46</v>
      </c>
      <c r="G1208" s="225" t="s">
        <v>28</v>
      </c>
      <c r="H1208" s="237">
        <v>50.0</v>
      </c>
      <c r="I1208" s="226">
        <v>200.0</v>
      </c>
      <c r="J1208" s="226">
        <v>1.0</v>
      </c>
      <c r="K1208" s="226">
        <v>1.0</v>
      </c>
      <c r="L1208" s="49">
        <v>1.0</v>
      </c>
      <c r="M1208" s="212" t="s">
        <v>27</v>
      </c>
      <c r="N1208" s="238" t="s">
        <v>3481</v>
      </c>
      <c r="O1208" s="49">
        <v>200.0</v>
      </c>
      <c r="P1208" s="49" t="s">
        <v>29</v>
      </c>
      <c r="Q1208" s="114"/>
      <c r="R1208" s="46"/>
    </row>
    <row r="1209" ht="14.25" customHeight="1">
      <c r="A1209" s="211">
        <v>10.0</v>
      </c>
      <c r="B1209" s="212" t="s">
        <v>68</v>
      </c>
      <c r="C1209" s="212" t="s">
        <v>4833</v>
      </c>
      <c r="D1209" s="235" t="s">
        <v>2000</v>
      </c>
      <c r="E1209" s="235" t="s">
        <v>3607</v>
      </c>
      <c r="F1209" s="236" t="s">
        <v>46</v>
      </c>
      <c r="G1209" s="225" t="s">
        <v>4834</v>
      </c>
      <c r="H1209" s="237">
        <v>5.0</v>
      </c>
      <c r="I1209" s="226" t="s">
        <v>4835</v>
      </c>
      <c r="J1209" s="226">
        <v>0.0</v>
      </c>
      <c r="K1209" s="226">
        <v>0.0</v>
      </c>
      <c r="L1209" s="49">
        <v>1.0</v>
      </c>
      <c r="M1209" s="212" t="s">
        <v>4817</v>
      </c>
      <c r="N1209" s="238" t="s">
        <v>3481</v>
      </c>
      <c r="O1209" s="49">
        <v>50.0</v>
      </c>
      <c r="P1209" s="49" t="s">
        <v>29</v>
      </c>
      <c r="Q1209" s="114"/>
      <c r="R1209" s="46"/>
    </row>
    <row r="1210" ht="14.25" customHeight="1">
      <c r="A1210" s="211">
        <v>11.0</v>
      </c>
      <c r="B1210" s="212" t="s">
        <v>1171</v>
      </c>
      <c r="C1210" s="212" t="s">
        <v>4836</v>
      </c>
      <c r="D1210" s="235" t="s">
        <v>2000</v>
      </c>
      <c r="E1210" s="235" t="s">
        <v>3607</v>
      </c>
      <c r="F1210" s="236" t="s">
        <v>46</v>
      </c>
      <c r="G1210" s="225" t="s">
        <v>4837</v>
      </c>
      <c r="H1210" s="237">
        <v>12.0</v>
      </c>
      <c r="I1210" s="226">
        <v>60.0</v>
      </c>
      <c r="J1210" s="226">
        <v>0.0</v>
      </c>
      <c r="K1210" s="226">
        <v>0.0</v>
      </c>
      <c r="L1210" s="49">
        <v>2.0</v>
      </c>
      <c r="M1210" s="212" t="s">
        <v>4817</v>
      </c>
      <c r="N1210" s="238" t="s">
        <v>3481</v>
      </c>
      <c r="O1210" s="49">
        <v>800.0</v>
      </c>
      <c r="P1210" s="49" t="s">
        <v>29</v>
      </c>
      <c r="Q1210" s="114"/>
      <c r="R1210" s="46"/>
    </row>
    <row r="1211" ht="14.25" customHeight="1">
      <c r="A1211" s="211">
        <v>12.0</v>
      </c>
      <c r="B1211" s="212" t="s">
        <v>2300</v>
      </c>
      <c r="C1211" s="212" t="s">
        <v>4838</v>
      </c>
      <c r="D1211" s="235" t="s">
        <v>2000</v>
      </c>
      <c r="E1211" s="235" t="s">
        <v>3607</v>
      </c>
      <c r="F1211" s="236" t="s">
        <v>46</v>
      </c>
      <c r="G1211" s="225" t="s">
        <v>4839</v>
      </c>
      <c r="H1211" s="237">
        <v>120.0</v>
      </c>
      <c r="I1211" s="226">
        <v>600.0</v>
      </c>
      <c r="J1211" s="226">
        <v>1.0</v>
      </c>
      <c r="K1211" s="226">
        <v>1.0</v>
      </c>
      <c r="L1211" s="49">
        <v>13.0</v>
      </c>
      <c r="M1211" s="212" t="s">
        <v>4817</v>
      </c>
      <c r="N1211" s="238" t="s">
        <v>3481</v>
      </c>
      <c r="O1211" s="49">
        <v>120.0</v>
      </c>
      <c r="P1211" s="49" t="s">
        <v>29</v>
      </c>
      <c r="Q1211" s="114"/>
      <c r="R1211" s="46"/>
    </row>
    <row r="1212" ht="14.25" customHeight="1">
      <c r="A1212" s="211">
        <v>13.0</v>
      </c>
      <c r="B1212" s="212" t="s">
        <v>4840</v>
      </c>
      <c r="C1212" s="212" t="s">
        <v>4838</v>
      </c>
      <c r="D1212" s="235" t="s">
        <v>2000</v>
      </c>
      <c r="E1212" s="235" t="s">
        <v>3607</v>
      </c>
      <c r="F1212" s="236" t="s">
        <v>46</v>
      </c>
      <c r="G1212" s="225" t="s">
        <v>4841</v>
      </c>
      <c r="H1212" s="237">
        <v>200.0</v>
      </c>
      <c r="I1212" s="226">
        <v>1000.0</v>
      </c>
      <c r="J1212" s="226">
        <v>3.0</v>
      </c>
      <c r="K1212" s="226">
        <v>3.0</v>
      </c>
      <c r="L1212" s="49">
        <v>14.0</v>
      </c>
      <c r="M1212" s="212" t="s">
        <v>4817</v>
      </c>
      <c r="N1212" s="238" t="s">
        <v>3481</v>
      </c>
      <c r="O1212" s="49">
        <v>200.0</v>
      </c>
      <c r="P1212" s="49" t="s">
        <v>29</v>
      </c>
      <c r="Q1212" s="114"/>
      <c r="R1212" s="46"/>
    </row>
    <row r="1213" ht="14.25" customHeight="1">
      <c r="A1213" s="211">
        <v>14.0</v>
      </c>
      <c r="B1213" s="212" t="s">
        <v>4842</v>
      </c>
      <c r="C1213" s="212" t="s">
        <v>4843</v>
      </c>
      <c r="D1213" s="235" t="s">
        <v>2000</v>
      </c>
      <c r="E1213" s="235" t="s">
        <v>3607</v>
      </c>
      <c r="F1213" s="236" t="s">
        <v>46</v>
      </c>
      <c r="G1213" s="225" t="s">
        <v>4844</v>
      </c>
      <c r="H1213" s="237">
        <v>79.0</v>
      </c>
      <c r="I1213" s="226">
        <v>316.0</v>
      </c>
      <c r="J1213" s="226">
        <v>0.0</v>
      </c>
      <c r="K1213" s="226">
        <v>0.0</v>
      </c>
      <c r="L1213" s="49">
        <v>0.0</v>
      </c>
      <c r="M1213" s="212" t="s">
        <v>4825</v>
      </c>
      <c r="N1213" s="238" t="s">
        <v>3481</v>
      </c>
      <c r="O1213" s="238" t="s">
        <v>3481</v>
      </c>
      <c r="P1213" s="49" t="s">
        <v>29</v>
      </c>
      <c r="Q1213" s="114"/>
      <c r="R1213" s="46"/>
    </row>
    <row r="1214" ht="14.25" customHeight="1">
      <c r="A1214" s="211">
        <v>15.0</v>
      </c>
      <c r="B1214" s="212" t="s">
        <v>1134</v>
      </c>
      <c r="C1214" s="212" t="s">
        <v>4843</v>
      </c>
      <c r="D1214" s="235" t="s">
        <v>2000</v>
      </c>
      <c r="E1214" s="235" t="s">
        <v>3607</v>
      </c>
      <c r="F1214" s="236" t="s">
        <v>46</v>
      </c>
      <c r="G1214" s="225" t="s">
        <v>4845</v>
      </c>
      <c r="H1214" s="237">
        <v>3.0</v>
      </c>
      <c r="I1214" s="226">
        <v>12.0</v>
      </c>
      <c r="J1214" s="226">
        <v>1.0</v>
      </c>
      <c r="K1214" s="226">
        <v>1.0</v>
      </c>
      <c r="L1214" s="49">
        <v>0.0</v>
      </c>
      <c r="M1214" s="212" t="s">
        <v>4817</v>
      </c>
      <c r="N1214" s="238" t="s">
        <v>3481</v>
      </c>
      <c r="O1214" s="238" t="s">
        <v>3481</v>
      </c>
      <c r="P1214" s="49" t="s">
        <v>29</v>
      </c>
      <c r="Q1214" s="114"/>
      <c r="R1214" s="46"/>
    </row>
    <row r="1215" ht="14.25" customHeight="1">
      <c r="A1215" s="211">
        <v>16.0</v>
      </c>
      <c r="B1215" s="212" t="s">
        <v>1171</v>
      </c>
      <c r="C1215" s="212" t="s">
        <v>4843</v>
      </c>
      <c r="D1215" s="235" t="s">
        <v>2000</v>
      </c>
      <c r="E1215" s="235" t="s">
        <v>3607</v>
      </c>
      <c r="F1215" s="236" t="s">
        <v>46</v>
      </c>
      <c r="G1215" s="225" t="s">
        <v>4846</v>
      </c>
      <c r="H1215" s="237">
        <v>4.0</v>
      </c>
      <c r="I1215" s="226">
        <v>16.0</v>
      </c>
      <c r="J1215" s="226">
        <v>0.0</v>
      </c>
      <c r="K1215" s="226">
        <v>0.0</v>
      </c>
      <c r="L1215" s="49">
        <v>1.0</v>
      </c>
      <c r="M1215" s="212" t="s">
        <v>4825</v>
      </c>
      <c r="N1215" s="238" t="s">
        <v>3481</v>
      </c>
      <c r="O1215" s="238" t="s">
        <v>3481</v>
      </c>
      <c r="P1215" s="49" t="s">
        <v>29</v>
      </c>
      <c r="Q1215" s="114"/>
      <c r="R1215" s="46"/>
    </row>
    <row r="1216" ht="14.25" customHeight="1">
      <c r="A1216" s="211">
        <v>17.0</v>
      </c>
      <c r="B1216" s="212" t="s">
        <v>68</v>
      </c>
      <c r="C1216" s="212" t="s">
        <v>4847</v>
      </c>
      <c r="D1216" s="235" t="s">
        <v>2000</v>
      </c>
      <c r="E1216" s="235" t="s">
        <v>3607</v>
      </c>
      <c r="F1216" s="236" t="s">
        <v>46</v>
      </c>
      <c r="G1216" s="225" t="s">
        <v>28</v>
      </c>
      <c r="H1216" s="237">
        <v>10.0</v>
      </c>
      <c r="I1216" s="226">
        <v>33.0</v>
      </c>
      <c r="J1216" s="226">
        <v>0.0</v>
      </c>
      <c r="K1216" s="226">
        <v>0.0</v>
      </c>
      <c r="L1216" s="49">
        <v>1.0</v>
      </c>
      <c r="M1216" s="212" t="s">
        <v>4817</v>
      </c>
      <c r="N1216" s="238" t="s">
        <v>3481</v>
      </c>
      <c r="O1216" s="49">
        <v>33.0</v>
      </c>
      <c r="P1216" s="49" t="s">
        <v>29</v>
      </c>
      <c r="Q1216" s="114"/>
      <c r="R1216" s="46"/>
    </row>
    <row r="1217" ht="14.25" customHeight="1">
      <c r="A1217" s="211">
        <v>18.0</v>
      </c>
      <c r="B1217" s="212" t="s">
        <v>4848</v>
      </c>
      <c r="C1217" s="212" t="s">
        <v>4847</v>
      </c>
      <c r="D1217" s="235" t="s">
        <v>2000</v>
      </c>
      <c r="E1217" s="235" t="s">
        <v>3607</v>
      </c>
      <c r="F1217" s="236" t="s">
        <v>46</v>
      </c>
      <c r="G1217" s="225" t="s">
        <v>28</v>
      </c>
      <c r="H1217" s="237">
        <v>12.0</v>
      </c>
      <c r="I1217" s="226">
        <v>28.0</v>
      </c>
      <c r="J1217" s="226">
        <v>0.0</v>
      </c>
      <c r="K1217" s="226">
        <v>0.0</v>
      </c>
      <c r="L1217" s="49">
        <v>1.0</v>
      </c>
      <c r="M1217" s="212" t="s">
        <v>27</v>
      </c>
      <c r="N1217" s="238" t="s">
        <v>3481</v>
      </c>
      <c r="O1217" s="49">
        <v>12.0</v>
      </c>
      <c r="P1217" s="49" t="s">
        <v>29</v>
      </c>
      <c r="Q1217" s="114"/>
      <c r="R1217" s="46"/>
    </row>
    <row r="1218" ht="14.25" customHeight="1">
      <c r="A1218" s="211">
        <v>19.0</v>
      </c>
      <c r="B1218" s="212" t="s">
        <v>68</v>
      </c>
      <c r="C1218" s="212" t="s">
        <v>4849</v>
      </c>
      <c r="D1218" s="235" t="s">
        <v>2000</v>
      </c>
      <c r="E1218" s="235" t="s">
        <v>3607</v>
      </c>
      <c r="F1218" s="236" t="s">
        <v>46</v>
      </c>
      <c r="G1218" s="225" t="s">
        <v>4850</v>
      </c>
      <c r="H1218" s="237">
        <v>10.0</v>
      </c>
      <c r="I1218" s="226">
        <v>40.0</v>
      </c>
      <c r="J1218" s="226">
        <v>0.0</v>
      </c>
      <c r="K1218" s="226">
        <v>0.0</v>
      </c>
      <c r="L1218" s="49">
        <v>1.0</v>
      </c>
      <c r="M1218" s="212" t="s">
        <v>4817</v>
      </c>
      <c r="N1218" s="238" t="s">
        <v>3481</v>
      </c>
      <c r="O1218" s="49">
        <v>120.0</v>
      </c>
      <c r="P1218" s="49" t="s">
        <v>29</v>
      </c>
      <c r="Q1218" s="114" t="s">
        <v>401</v>
      </c>
      <c r="R1218" s="46"/>
    </row>
    <row r="1219" ht="14.25" customHeight="1">
      <c r="A1219" s="211">
        <v>20.0</v>
      </c>
      <c r="B1219" s="212" t="s">
        <v>2781</v>
      </c>
      <c r="C1219" s="212" t="s">
        <v>4851</v>
      </c>
      <c r="D1219" s="235" t="s">
        <v>2000</v>
      </c>
      <c r="E1219" s="235" t="s">
        <v>3607</v>
      </c>
      <c r="F1219" s="236" t="s">
        <v>46</v>
      </c>
      <c r="G1219" s="225" t="s">
        <v>4852</v>
      </c>
      <c r="H1219" s="237">
        <v>10.0</v>
      </c>
      <c r="I1219" s="226">
        <v>100.0</v>
      </c>
      <c r="J1219" s="226">
        <v>2.0</v>
      </c>
      <c r="K1219" s="226">
        <v>3.0</v>
      </c>
      <c r="L1219" s="49">
        <v>5.0</v>
      </c>
      <c r="M1219" s="212" t="s">
        <v>4817</v>
      </c>
      <c r="N1219" s="238" t="s">
        <v>3481</v>
      </c>
      <c r="O1219" s="49">
        <v>100.0</v>
      </c>
      <c r="P1219" s="49" t="s">
        <v>29</v>
      </c>
      <c r="Q1219" s="114"/>
      <c r="R1219" s="46"/>
    </row>
    <row r="1220" ht="14.25" customHeight="1">
      <c r="A1220" s="211">
        <v>21.0</v>
      </c>
      <c r="B1220" s="212" t="s">
        <v>2300</v>
      </c>
      <c r="C1220" s="212" t="s">
        <v>4853</v>
      </c>
      <c r="D1220" s="235" t="s">
        <v>2000</v>
      </c>
      <c r="E1220" s="235" t="s">
        <v>3607</v>
      </c>
      <c r="F1220" s="236" t="s">
        <v>46</v>
      </c>
      <c r="G1220" s="225" t="s">
        <v>4854</v>
      </c>
      <c r="H1220" s="237">
        <v>100.0</v>
      </c>
      <c r="I1220" s="226">
        <v>250.0</v>
      </c>
      <c r="J1220" s="226">
        <v>0.0</v>
      </c>
      <c r="K1220" s="226">
        <v>0.0</v>
      </c>
      <c r="L1220" s="49">
        <v>6.0</v>
      </c>
      <c r="M1220" s="212" t="s">
        <v>4817</v>
      </c>
      <c r="N1220" s="238" t="s">
        <v>3481</v>
      </c>
      <c r="O1220" s="49">
        <v>100.0</v>
      </c>
      <c r="P1220" s="49" t="s">
        <v>29</v>
      </c>
      <c r="Q1220" s="114"/>
      <c r="R1220" s="46"/>
    </row>
    <row r="1221" ht="14.25" customHeight="1">
      <c r="A1221" s="211">
        <v>22.0</v>
      </c>
      <c r="B1221" s="212" t="s">
        <v>68</v>
      </c>
      <c r="C1221" s="212" t="s">
        <v>4855</v>
      </c>
      <c r="D1221" s="235" t="s">
        <v>2000</v>
      </c>
      <c r="E1221" s="235" t="s">
        <v>3607</v>
      </c>
      <c r="F1221" s="236" t="s">
        <v>46</v>
      </c>
      <c r="G1221" s="225" t="s">
        <v>4837</v>
      </c>
      <c r="H1221" s="237">
        <v>8.0</v>
      </c>
      <c r="I1221" s="226">
        <v>40.0</v>
      </c>
      <c r="J1221" s="226">
        <v>0.0</v>
      </c>
      <c r="K1221" s="226">
        <v>0.0</v>
      </c>
      <c r="L1221" s="49">
        <v>1.0</v>
      </c>
      <c r="M1221" s="212" t="s">
        <v>4825</v>
      </c>
      <c r="N1221" s="238" t="s">
        <v>3481</v>
      </c>
      <c r="O1221" s="49">
        <v>150.0</v>
      </c>
      <c r="P1221" s="49" t="s">
        <v>29</v>
      </c>
      <c r="Q1221" s="114"/>
      <c r="R1221" s="46"/>
    </row>
    <row r="1222" ht="14.25" customHeight="1">
      <c r="A1222" s="211">
        <v>23.0</v>
      </c>
      <c r="B1222" s="212" t="s">
        <v>4842</v>
      </c>
      <c r="C1222" s="212" t="s">
        <v>4855</v>
      </c>
      <c r="D1222" s="235" t="s">
        <v>2000</v>
      </c>
      <c r="E1222" s="235" t="s">
        <v>3607</v>
      </c>
      <c r="F1222" s="236" t="s">
        <v>46</v>
      </c>
      <c r="G1222" s="225" t="s">
        <v>4856</v>
      </c>
      <c r="H1222" s="237">
        <v>6.0</v>
      </c>
      <c r="I1222" s="226">
        <v>25.0</v>
      </c>
      <c r="J1222" s="226">
        <v>0.0</v>
      </c>
      <c r="K1222" s="226">
        <v>0.0</v>
      </c>
      <c r="L1222" s="49">
        <v>1.0</v>
      </c>
      <c r="M1222" s="212" t="s">
        <v>4825</v>
      </c>
      <c r="N1222" s="238" t="s">
        <v>3481</v>
      </c>
      <c r="O1222" s="49">
        <v>320.0</v>
      </c>
      <c r="P1222" s="49" t="s">
        <v>29</v>
      </c>
      <c r="Q1222" s="114"/>
      <c r="R1222" s="46"/>
    </row>
    <row r="1223" ht="14.25" customHeight="1">
      <c r="A1223" s="211">
        <v>24.0</v>
      </c>
      <c r="B1223" s="212" t="s">
        <v>68</v>
      </c>
      <c r="C1223" s="212" t="s">
        <v>4857</v>
      </c>
      <c r="D1223" s="235" t="s">
        <v>2000</v>
      </c>
      <c r="E1223" s="235" t="s">
        <v>3607</v>
      </c>
      <c r="F1223" s="236" t="s">
        <v>46</v>
      </c>
      <c r="G1223" s="225" t="s">
        <v>2735</v>
      </c>
      <c r="H1223" s="237">
        <v>44656.0</v>
      </c>
      <c r="I1223" s="226" t="s">
        <v>4835</v>
      </c>
      <c r="J1223" s="226">
        <v>0.0</v>
      </c>
      <c r="K1223" s="226">
        <v>0.0</v>
      </c>
      <c r="L1223" s="49">
        <v>1.0</v>
      </c>
      <c r="M1223" s="212" t="s">
        <v>4817</v>
      </c>
      <c r="N1223" s="238" t="s">
        <v>3481</v>
      </c>
      <c r="O1223" s="49" t="s">
        <v>4858</v>
      </c>
      <c r="P1223" s="49" t="s">
        <v>29</v>
      </c>
      <c r="Q1223" s="114"/>
      <c r="R1223" s="46"/>
    </row>
    <row r="1224" ht="14.25" customHeight="1">
      <c r="A1224" s="211">
        <v>25.0</v>
      </c>
      <c r="B1224" s="212" t="s">
        <v>2300</v>
      </c>
      <c r="C1224" s="212" t="s">
        <v>4859</v>
      </c>
      <c r="D1224" s="235" t="s">
        <v>2000</v>
      </c>
      <c r="E1224" s="235" t="s">
        <v>3607</v>
      </c>
      <c r="F1224" s="236" t="s">
        <v>46</v>
      </c>
      <c r="G1224" s="225" t="s">
        <v>4860</v>
      </c>
      <c r="H1224" s="237">
        <v>50.0</v>
      </c>
      <c r="I1224" s="226">
        <v>100.0</v>
      </c>
      <c r="J1224" s="226">
        <v>0.0</v>
      </c>
      <c r="K1224" s="226">
        <v>0.0</v>
      </c>
      <c r="L1224" s="49">
        <v>1.0</v>
      </c>
      <c r="M1224" s="212" t="s">
        <v>27</v>
      </c>
      <c r="N1224" s="238" t="s">
        <v>3481</v>
      </c>
      <c r="O1224" s="238" t="s">
        <v>3481</v>
      </c>
      <c r="P1224" s="49" t="s">
        <v>29</v>
      </c>
      <c r="Q1224" s="114"/>
      <c r="R1224" s="46"/>
    </row>
    <row r="1225" ht="14.25" customHeight="1">
      <c r="A1225" s="211">
        <v>26.0</v>
      </c>
      <c r="B1225" s="212" t="s">
        <v>68</v>
      </c>
      <c r="C1225" s="212" t="s">
        <v>4861</v>
      </c>
      <c r="D1225" s="235" t="s">
        <v>2000</v>
      </c>
      <c r="E1225" s="235" t="s">
        <v>3607</v>
      </c>
      <c r="F1225" s="236" t="s">
        <v>46</v>
      </c>
      <c r="G1225" s="225" t="s">
        <v>4862</v>
      </c>
      <c r="H1225" s="237">
        <v>4.0</v>
      </c>
      <c r="I1225" s="226">
        <v>16.0</v>
      </c>
      <c r="J1225" s="226">
        <v>0.0</v>
      </c>
      <c r="K1225" s="226">
        <v>0.0</v>
      </c>
      <c r="L1225" s="49">
        <v>1.0</v>
      </c>
      <c r="M1225" s="212" t="s">
        <v>4863</v>
      </c>
      <c r="N1225" s="238" t="s">
        <v>3481</v>
      </c>
      <c r="O1225" s="49">
        <v>20.0</v>
      </c>
      <c r="P1225" s="49" t="s">
        <v>29</v>
      </c>
      <c r="Q1225" s="114"/>
      <c r="R1225" s="46"/>
    </row>
    <row r="1226" ht="14.25" customHeight="1">
      <c r="A1226" s="211">
        <v>27.0</v>
      </c>
      <c r="B1226" s="212" t="s">
        <v>68</v>
      </c>
      <c r="C1226" s="212" t="s">
        <v>4864</v>
      </c>
      <c r="D1226" s="235" t="s">
        <v>2000</v>
      </c>
      <c r="E1226" s="235" t="s">
        <v>3607</v>
      </c>
      <c r="F1226" s="236" t="s">
        <v>46</v>
      </c>
      <c r="G1226" s="225" t="s">
        <v>4865</v>
      </c>
      <c r="H1226" s="237">
        <v>10.0</v>
      </c>
      <c r="I1226" s="226">
        <v>40.0</v>
      </c>
      <c r="J1226" s="226">
        <v>0.0</v>
      </c>
      <c r="K1226" s="226">
        <v>0.0</v>
      </c>
      <c r="L1226" s="49">
        <v>1.0</v>
      </c>
      <c r="M1226" s="212" t="s">
        <v>4866</v>
      </c>
      <c r="N1226" s="238" t="s">
        <v>3481</v>
      </c>
      <c r="O1226" s="49">
        <v>50.0</v>
      </c>
      <c r="P1226" s="49" t="s">
        <v>29</v>
      </c>
      <c r="Q1226" s="114"/>
      <c r="R1226" s="46"/>
    </row>
    <row r="1227" ht="15.75" customHeight="1">
      <c r="A1227" s="181"/>
      <c r="B1227" s="182" t="s">
        <v>4867</v>
      </c>
      <c r="C1227" s="182"/>
      <c r="D1227" s="22"/>
      <c r="E1227" s="22"/>
      <c r="F1227" s="209"/>
      <c r="G1227" s="210"/>
      <c r="H1227" s="22"/>
      <c r="I1227" s="22"/>
      <c r="J1227" s="22"/>
      <c r="K1227" s="22"/>
      <c r="L1227" s="22"/>
      <c r="M1227" s="22"/>
      <c r="N1227" s="22"/>
      <c r="O1227" s="22"/>
      <c r="P1227" s="22"/>
      <c r="Q1227" s="209"/>
      <c r="R1227" s="22"/>
    </row>
    <row r="1228" ht="14.25" customHeight="1">
      <c r="A1228" s="211">
        <v>1.0</v>
      </c>
      <c r="B1228" s="212" t="s">
        <v>4868</v>
      </c>
      <c r="C1228" s="212" t="s">
        <v>4869</v>
      </c>
      <c r="D1228" s="235" t="s">
        <v>2000</v>
      </c>
      <c r="E1228" s="235" t="s">
        <v>3607</v>
      </c>
      <c r="F1228" s="243"/>
      <c r="G1228" s="225">
        <v>5400.0</v>
      </c>
      <c r="H1228" s="237">
        <v>250.0</v>
      </c>
      <c r="I1228" s="226">
        <v>1000.0</v>
      </c>
      <c r="J1228" s="226">
        <v>3.0</v>
      </c>
      <c r="K1228" s="226">
        <v>3.0</v>
      </c>
      <c r="L1228" s="49">
        <v>1.0</v>
      </c>
      <c r="M1228" s="212" t="s">
        <v>4870</v>
      </c>
      <c r="N1228" s="49" t="s">
        <v>59</v>
      </c>
      <c r="O1228" s="49">
        <v>1500.0</v>
      </c>
      <c r="P1228" s="49" t="s">
        <v>65</v>
      </c>
      <c r="Q1228" s="114">
        <v>50.0</v>
      </c>
      <c r="R1228" s="46"/>
    </row>
    <row r="1229" ht="14.25" customHeight="1">
      <c r="A1229" s="211">
        <v>2.0</v>
      </c>
      <c r="B1229" s="212" t="s">
        <v>4871</v>
      </c>
      <c r="C1229" s="212" t="s">
        <v>4869</v>
      </c>
      <c r="D1229" s="235" t="s">
        <v>2000</v>
      </c>
      <c r="E1229" s="235" t="s">
        <v>3607</v>
      </c>
      <c r="F1229" s="243"/>
      <c r="G1229" s="225">
        <v>1000.0</v>
      </c>
      <c r="H1229" s="237">
        <v>75.0</v>
      </c>
      <c r="I1229" s="226">
        <v>300.0</v>
      </c>
      <c r="J1229" s="226">
        <v>2.0</v>
      </c>
      <c r="K1229" s="226">
        <v>2.0</v>
      </c>
      <c r="L1229" s="49">
        <v>1.0</v>
      </c>
      <c r="M1229" s="212" t="s">
        <v>4870</v>
      </c>
      <c r="N1229" s="49" t="s">
        <v>59</v>
      </c>
      <c r="O1229" s="49">
        <v>700.0</v>
      </c>
      <c r="P1229" s="49" t="s">
        <v>52</v>
      </c>
      <c r="Q1229" s="31">
        <v>0.0</v>
      </c>
      <c r="R1229" s="46"/>
    </row>
    <row r="1230" ht="14.25" customHeight="1">
      <c r="A1230" s="211">
        <v>3.0</v>
      </c>
      <c r="B1230" s="212" t="s">
        <v>4872</v>
      </c>
      <c r="C1230" s="212" t="s">
        <v>4869</v>
      </c>
      <c r="D1230" s="235" t="s">
        <v>2000</v>
      </c>
      <c r="E1230" s="235" t="s">
        <v>3607</v>
      </c>
      <c r="F1230" s="243"/>
      <c r="G1230" s="225">
        <v>900.0</v>
      </c>
      <c r="H1230" s="237">
        <v>37.0</v>
      </c>
      <c r="I1230" s="226">
        <v>150.0</v>
      </c>
      <c r="J1230" s="226">
        <v>2.0</v>
      </c>
      <c r="K1230" s="226">
        <v>2.0</v>
      </c>
      <c r="L1230" s="49">
        <v>1.0</v>
      </c>
      <c r="M1230" s="212" t="s">
        <v>4870</v>
      </c>
      <c r="N1230" s="49" t="s">
        <v>59</v>
      </c>
      <c r="O1230" s="49">
        <v>350.0</v>
      </c>
      <c r="P1230" s="49" t="s">
        <v>52</v>
      </c>
      <c r="Q1230" s="31">
        <v>0.0</v>
      </c>
      <c r="R1230" s="46"/>
    </row>
    <row r="1231" ht="14.25" customHeight="1">
      <c r="A1231" s="211">
        <v>4.0</v>
      </c>
      <c r="B1231" s="212" t="s">
        <v>4873</v>
      </c>
      <c r="C1231" s="212" t="s">
        <v>4874</v>
      </c>
      <c r="D1231" s="235" t="s">
        <v>2000</v>
      </c>
      <c r="E1231" s="235" t="s">
        <v>3607</v>
      </c>
      <c r="F1231" s="243"/>
      <c r="G1231" s="225">
        <v>10000.0</v>
      </c>
      <c r="H1231" s="237">
        <v>375.0</v>
      </c>
      <c r="I1231" s="226">
        <v>1500.0</v>
      </c>
      <c r="J1231" s="226">
        <v>26.0</v>
      </c>
      <c r="K1231" s="226">
        <v>26.0</v>
      </c>
      <c r="L1231" s="49">
        <v>1.0</v>
      </c>
      <c r="M1231" s="212" t="s">
        <v>4870</v>
      </c>
      <c r="N1231" s="49" t="s">
        <v>59</v>
      </c>
      <c r="O1231" s="49">
        <v>1050.0</v>
      </c>
      <c r="P1231" s="49" t="s">
        <v>52</v>
      </c>
      <c r="Q1231" s="31">
        <v>0.0</v>
      </c>
      <c r="R1231" s="46"/>
    </row>
    <row r="1232" ht="14.25" customHeight="1">
      <c r="A1232" s="211">
        <v>5.0</v>
      </c>
      <c r="B1232" s="212" t="s">
        <v>4875</v>
      </c>
      <c r="C1232" s="212" t="s">
        <v>4874</v>
      </c>
      <c r="D1232" s="235" t="s">
        <v>2000</v>
      </c>
      <c r="E1232" s="235" t="s">
        <v>3607</v>
      </c>
      <c r="F1232" s="243"/>
      <c r="G1232" s="225">
        <v>10000.0</v>
      </c>
      <c r="H1232" s="237">
        <v>375.0</v>
      </c>
      <c r="I1232" s="226">
        <v>1500.0</v>
      </c>
      <c r="J1232" s="226">
        <v>33.0</v>
      </c>
      <c r="K1232" s="226">
        <v>33.0</v>
      </c>
      <c r="L1232" s="49">
        <v>1.0</v>
      </c>
      <c r="M1232" s="212" t="s">
        <v>4870</v>
      </c>
      <c r="N1232" s="49" t="s">
        <v>59</v>
      </c>
      <c r="O1232" s="49">
        <v>1000.0</v>
      </c>
      <c r="P1232" s="49" t="s">
        <v>52</v>
      </c>
      <c r="Q1232" s="31">
        <v>0.0</v>
      </c>
      <c r="R1232" s="46"/>
    </row>
    <row r="1233" ht="14.25" customHeight="1">
      <c r="A1233" s="211">
        <v>6.0</v>
      </c>
      <c r="B1233" s="212" t="s">
        <v>4876</v>
      </c>
      <c r="C1233" s="212" t="s">
        <v>4877</v>
      </c>
      <c r="D1233" s="235" t="s">
        <v>2000</v>
      </c>
      <c r="E1233" s="235" t="s">
        <v>3607</v>
      </c>
      <c r="F1233" s="243"/>
      <c r="G1233" s="225">
        <v>3500.0</v>
      </c>
      <c r="H1233" s="237">
        <v>187.0</v>
      </c>
      <c r="I1233" s="226">
        <v>750.0</v>
      </c>
      <c r="J1233" s="226">
        <v>9.0</v>
      </c>
      <c r="K1233" s="226">
        <v>9.0</v>
      </c>
      <c r="L1233" s="49">
        <v>1.0</v>
      </c>
      <c r="M1233" s="212" t="s">
        <v>427</v>
      </c>
      <c r="N1233" s="49" t="s">
        <v>59</v>
      </c>
      <c r="O1233" s="49">
        <v>600.0</v>
      </c>
      <c r="P1233" s="49" t="s">
        <v>52</v>
      </c>
      <c r="Q1233" s="31">
        <v>0.0</v>
      </c>
      <c r="R1233" s="46"/>
    </row>
    <row r="1234" ht="14.25" customHeight="1">
      <c r="A1234" s="211">
        <v>7.0</v>
      </c>
      <c r="B1234" s="212" t="s">
        <v>4878</v>
      </c>
      <c r="C1234" s="212" t="s">
        <v>4879</v>
      </c>
      <c r="D1234" s="235" t="s">
        <v>2000</v>
      </c>
      <c r="E1234" s="235" t="s">
        <v>3607</v>
      </c>
      <c r="F1234" s="243"/>
      <c r="G1234" s="225">
        <v>3500.0</v>
      </c>
      <c r="H1234" s="237">
        <v>187.0</v>
      </c>
      <c r="I1234" s="226">
        <v>750.0</v>
      </c>
      <c r="J1234" s="226">
        <v>10.0</v>
      </c>
      <c r="K1234" s="226">
        <v>10.0</v>
      </c>
      <c r="L1234" s="49">
        <v>1.0</v>
      </c>
      <c r="M1234" s="212" t="s">
        <v>4870</v>
      </c>
      <c r="N1234" s="49" t="s">
        <v>59</v>
      </c>
      <c r="O1234" s="49">
        <v>570.0</v>
      </c>
      <c r="P1234" s="49" t="s">
        <v>52</v>
      </c>
      <c r="Q1234" s="31">
        <v>0.0</v>
      </c>
      <c r="R1234" s="46"/>
    </row>
    <row r="1235" ht="14.25" customHeight="1">
      <c r="A1235" s="211">
        <v>8.0</v>
      </c>
      <c r="B1235" s="212" t="s">
        <v>4880</v>
      </c>
      <c r="C1235" s="212" t="s">
        <v>4881</v>
      </c>
      <c r="D1235" s="235" t="s">
        <v>2000</v>
      </c>
      <c r="E1235" s="235" t="s">
        <v>3607</v>
      </c>
      <c r="F1235" s="243"/>
      <c r="G1235" s="225">
        <v>3500.0</v>
      </c>
      <c r="H1235" s="237">
        <v>187.0</v>
      </c>
      <c r="I1235" s="226">
        <v>750.0</v>
      </c>
      <c r="J1235" s="226">
        <v>7.0</v>
      </c>
      <c r="K1235" s="226">
        <v>7.0</v>
      </c>
      <c r="L1235" s="49">
        <v>1.0</v>
      </c>
      <c r="M1235" s="212" t="s">
        <v>4870</v>
      </c>
      <c r="N1235" s="49" t="s">
        <v>59</v>
      </c>
      <c r="O1235" s="49">
        <v>720.0</v>
      </c>
      <c r="P1235" s="49" t="s">
        <v>52</v>
      </c>
      <c r="Q1235" s="31">
        <v>0.0</v>
      </c>
      <c r="R1235" s="46"/>
    </row>
    <row r="1236" ht="14.25" customHeight="1">
      <c r="A1236" s="211">
        <v>9.0</v>
      </c>
      <c r="B1236" s="212" t="s">
        <v>4882</v>
      </c>
      <c r="C1236" s="212" t="s">
        <v>4883</v>
      </c>
      <c r="D1236" s="235" t="s">
        <v>2000</v>
      </c>
      <c r="E1236" s="235" t="s">
        <v>3607</v>
      </c>
      <c r="F1236" s="243"/>
      <c r="G1236" s="225">
        <v>7500.0</v>
      </c>
      <c r="H1236" s="237">
        <v>325.0</v>
      </c>
      <c r="I1236" s="226">
        <v>1300.0</v>
      </c>
      <c r="J1236" s="226">
        <v>19.0</v>
      </c>
      <c r="K1236" s="226">
        <v>19.0</v>
      </c>
      <c r="L1236" s="49">
        <v>1.0</v>
      </c>
      <c r="M1236" s="212" t="s">
        <v>4870</v>
      </c>
      <c r="N1236" s="49" t="s">
        <v>59</v>
      </c>
      <c r="O1236" s="49">
        <v>600.0</v>
      </c>
      <c r="P1236" s="49" t="s">
        <v>52</v>
      </c>
      <c r="Q1236" s="31">
        <v>0.0</v>
      </c>
      <c r="R1236" s="46"/>
    </row>
    <row r="1237" ht="14.25" customHeight="1">
      <c r="A1237" s="211">
        <v>10.0</v>
      </c>
      <c r="B1237" s="212" t="s">
        <v>4884</v>
      </c>
      <c r="C1237" s="212" t="s">
        <v>4885</v>
      </c>
      <c r="D1237" s="235" t="s">
        <v>2000</v>
      </c>
      <c r="E1237" s="235" t="s">
        <v>3607</v>
      </c>
      <c r="F1237" s="243"/>
      <c r="G1237" s="225">
        <v>3500.0</v>
      </c>
      <c r="H1237" s="237">
        <v>125.0</v>
      </c>
      <c r="I1237" s="226">
        <v>500.0</v>
      </c>
      <c r="J1237" s="226">
        <v>6.0</v>
      </c>
      <c r="K1237" s="226">
        <v>6.0</v>
      </c>
      <c r="L1237" s="49">
        <v>1.0</v>
      </c>
      <c r="M1237" s="212" t="s">
        <v>427</v>
      </c>
      <c r="N1237" s="49" t="s">
        <v>59</v>
      </c>
      <c r="O1237" s="49">
        <v>450.0</v>
      </c>
      <c r="P1237" s="49" t="s">
        <v>52</v>
      </c>
      <c r="Q1237" s="31">
        <v>0.0</v>
      </c>
      <c r="R1237" s="46"/>
    </row>
    <row r="1238" ht="14.25" customHeight="1">
      <c r="A1238" s="211">
        <v>11.0</v>
      </c>
      <c r="B1238" s="212" t="s">
        <v>4886</v>
      </c>
      <c r="C1238" s="212" t="s">
        <v>4887</v>
      </c>
      <c r="D1238" s="235" t="s">
        <v>2000</v>
      </c>
      <c r="E1238" s="235" t="s">
        <v>3607</v>
      </c>
      <c r="F1238" s="243"/>
      <c r="G1238" s="225">
        <v>4000.0</v>
      </c>
      <c r="H1238" s="237">
        <v>212.0</v>
      </c>
      <c r="I1238" s="226">
        <v>850.0</v>
      </c>
      <c r="J1238" s="226">
        <v>8.0</v>
      </c>
      <c r="K1238" s="226">
        <v>8.0</v>
      </c>
      <c r="L1238" s="49">
        <v>1.0</v>
      </c>
      <c r="M1238" s="212" t="s">
        <v>4870</v>
      </c>
      <c r="N1238" s="49" t="s">
        <v>59</v>
      </c>
      <c r="O1238" s="49">
        <v>500.0</v>
      </c>
      <c r="P1238" s="49" t="s">
        <v>52</v>
      </c>
      <c r="Q1238" s="31">
        <v>0.0</v>
      </c>
      <c r="R1238" s="46"/>
    </row>
    <row r="1239" ht="14.25" customHeight="1">
      <c r="A1239" s="211">
        <v>12.0</v>
      </c>
      <c r="B1239" s="212" t="s">
        <v>4888</v>
      </c>
      <c r="C1239" s="212" t="s">
        <v>4889</v>
      </c>
      <c r="D1239" s="235" t="s">
        <v>2000</v>
      </c>
      <c r="E1239" s="235" t="s">
        <v>3607</v>
      </c>
      <c r="F1239" s="243"/>
      <c r="G1239" s="225">
        <v>7500.0</v>
      </c>
      <c r="H1239" s="237">
        <v>300.0</v>
      </c>
      <c r="I1239" s="226">
        <v>1200.0</v>
      </c>
      <c r="J1239" s="226">
        <v>12.0</v>
      </c>
      <c r="K1239" s="226">
        <v>12.0</v>
      </c>
      <c r="L1239" s="49">
        <v>1.0</v>
      </c>
      <c r="M1239" s="212" t="s">
        <v>427</v>
      </c>
      <c r="N1239" s="49" t="s">
        <v>59</v>
      </c>
      <c r="O1239" s="49">
        <v>1000.0</v>
      </c>
      <c r="P1239" s="49" t="s">
        <v>52</v>
      </c>
      <c r="Q1239" s="31">
        <v>0.0</v>
      </c>
      <c r="R1239" s="46"/>
    </row>
    <row r="1240" ht="14.25" customHeight="1">
      <c r="A1240" s="211">
        <v>13.0</v>
      </c>
      <c r="B1240" s="212" t="s">
        <v>4890</v>
      </c>
      <c r="C1240" s="212" t="s">
        <v>4891</v>
      </c>
      <c r="D1240" s="235" t="s">
        <v>2000</v>
      </c>
      <c r="E1240" s="235" t="s">
        <v>3607</v>
      </c>
      <c r="F1240" s="243"/>
      <c r="G1240" s="225">
        <v>5000.0</v>
      </c>
      <c r="H1240" s="237">
        <v>250.0</v>
      </c>
      <c r="I1240" s="226">
        <v>1000.0</v>
      </c>
      <c r="J1240" s="226">
        <v>9.0</v>
      </c>
      <c r="K1240" s="226">
        <v>9.0</v>
      </c>
      <c r="L1240" s="49">
        <v>1.0</v>
      </c>
      <c r="M1240" s="212" t="s">
        <v>4870</v>
      </c>
      <c r="N1240" s="49" t="s">
        <v>59</v>
      </c>
      <c r="O1240" s="49">
        <v>700.0</v>
      </c>
      <c r="P1240" s="49" t="s">
        <v>52</v>
      </c>
      <c r="Q1240" s="31">
        <v>0.0</v>
      </c>
      <c r="R1240" s="46"/>
    </row>
    <row r="1241" ht="14.25" customHeight="1">
      <c r="A1241" s="211">
        <v>14.0</v>
      </c>
      <c r="B1241" s="212" t="s">
        <v>4892</v>
      </c>
      <c r="C1241" s="212" t="s">
        <v>4893</v>
      </c>
      <c r="D1241" s="235" t="s">
        <v>2000</v>
      </c>
      <c r="E1241" s="235" t="s">
        <v>3607</v>
      </c>
      <c r="F1241" s="243"/>
      <c r="G1241" s="225">
        <v>5000.0</v>
      </c>
      <c r="H1241" s="237">
        <v>187.0</v>
      </c>
      <c r="I1241" s="226">
        <v>750.0</v>
      </c>
      <c r="J1241" s="226">
        <v>9.0</v>
      </c>
      <c r="K1241" s="226">
        <v>9.0</v>
      </c>
      <c r="L1241" s="49">
        <v>1.0</v>
      </c>
      <c r="M1241" s="212" t="s">
        <v>427</v>
      </c>
      <c r="N1241" s="49" t="s">
        <v>59</v>
      </c>
      <c r="O1241" s="49">
        <v>1000.0</v>
      </c>
      <c r="P1241" s="49" t="s">
        <v>52</v>
      </c>
      <c r="Q1241" s="31">
        <v>0.0</v>
      </c>
      <c r="R1241" s="46"/>
    </row>
    <row r="1242" ht="14.25" customHeight="1">
      <c r="A1242" s="211">
        <v>15.0</v>
      </c>
      <c r="B1242" s="212" t="s">
        <v>4894</v>
      </c>
      <c r="C1242" s="212" t="s">
        <v>4893</v>
      </c>
      <c r="D1242" s="235" t="s">
        <v>2000</v>
      </c>
      <c r="E1242" s="235" t="s">
        <v>3607</v>
      </c>
      <c r="F1242" s="243"/>
      <c r="G1242" s="225">
        <v>3500.0</v>
      </c>
      <c r="H1242" s="237">
        <v>187.0</v>
      </c>
      <c r="I1242" s="226">
        <v>750.0</v>
      </c>
      <c r="J1242" s="226">
        <v>9.0</v>
      </c>
      <c r="K1242" s="226">
        <v>9.0</v>
      </c>
      <c r="L1242" s="49">
        <v>1.0</v>
      </c>
      <c r="M1242" s="212" t="s">
        <v>427</v>
      </c>
      <c r="N1242" s="49" t="s">
        <v>59</v>
      </c>
      <c r="O1242" s="49">
        <v>500.0</v>
      </c>
      <c r="P1242" s="49" t="s">
        <v>52</v>
      </c>
      <c r="Q1242" s="31">
        <v>0.0</v>
      </c>
      <c r="R1242" s="46"/>
    </row>
    <row r="1243" ht="14.25" customHeight="1">
      <c r="A1243" s="211">
        <v>16.0</v>
      </c>
      <c r="B1243" s="212" t="s">
        <v>4895</v>
      </c>
      <c r="C1243" s="212" t="s">
        <v>4896</v>
      </c>
      <c r="D1243" s="235" t="s">
        <v>2000</v>
      </c>
      <c r="E1243" s="235" t="s">
        <v>3607</v>
      </c>
      <c r="F1243" s="243"/>
      <c r="G1243" s="225">
        <v>3500.0</v>
      </c>
      <c r="H1243" s="237">
        <v>187.0</v>
      </c>
      <c r="I1243" s="226">
        <v>750.0</v>
      </c>
      <c r="J1243" s="226">
        <v>9.0</v>
      </c>
      <c r="K1243" s="226">
        <v>9.0</v>
      </c>
      <c r="L1243" s="49">
        <v>1.0</v>
      </c>
      <c r="M1243" s="212" t="s">
        <v>427</v>
      </c>
      <c r="N1243" s="49" t="s">
        <v>59</v>
      </c>
      <c r="O1243" s="49">
        <v>500.0</v>
      </c>
      <c r="P1243" s="49" t="s">
        <v>52</v>
      </c>
      <c r="Q1243" s="31">
        <v>0.0</v>
      </c>
      <c r="R1243" s="46"/>
    </row>
    <row r="1244" ht="14.25" customHeight="1">
      <c r="A1244" s="211">
        <v>17.0</v>
      </c>
      <c r="B1244" s="212" t="s">
        <v>4897</v>
      </c>
      <c r="C1244" s="212" t="s">
        <v>4898</v>
      </c>
      <c r="D1244" s="235" t="s">
        <v>2000</v>
      </c>
      <c r="E1244" s="235" t="s">
        <v>3607</v>
      </c>
      <c r="F1244" s="243"/>
      <c r="G1244" s="225">
        <v>5000.0</v>
      </c>
      <c r="H1244" s="237">
        <v>250.0</v>
      </c>
      <c r="I1244" s="226">
        <v>1000.0</v>
      </c>
      <c r="J1244" s="226">
        <v>11.0</v>
      </c>
      <c r="K1244" s="226">
        <v>11.0</v>
      </c>
      <c r="L1244" s="49">
        <v>1.0</v>
      </c>
      <c r="M1244" s="212" t="s">
        <v>4870</v>
      </c>
      <c r="N1244" s="49" t="s">
        <v>59</v>
      </c>
      <c r="O1244" s="49">
        <v>1100.0</v>
      </c>
      <c r="P1244" s="49" t="s">
        <v>52</v>
      </c>
      <c r="Q1244" s="31">
        <v>0.0</v>
      </c>
      <c r="R1244" s="46"/>
    </row>
    <row r="1245" ht="15.75" customHeight="1">
      <c r="A1245" s="181"/>
      <c r="B1245" s="182" t="s">
        <v>4899</v>
      </c>
      <c r="C1245" s="182"/>
      <c r="D1245" s="22"/>
      <c r="E1245" s="22"/>
      <c r="F1245" s="209"/>
      <c r="G1245" s="210"/>
      <c r="H1245" s="22"/>
      <c r="I1245" s="22"/>
      <c r="J1245" s="22"/>
      <c r="K1245" s="22"/>
      <c r="L1245" s="22"/>
      <c r="M1245" s="22"/>
      <c r="N1245" s="22"/>
      <c r="O1245" s="22"/>
      <c r="P1245" s="22"/>
      <c r="Q1245" s="209"/>
      <c r="R1245" s="22"/>
    </row>
    <row r="1246" ht="14.25" customHeight="1">
      <c r="A1246" s="211">
        <v>1.0</v>
      </c>
      <c r="B1246" s="34" t="s">
        <v>4900</v>
      </c>
      <c r="C1246" s="34" t="s">
        <v>4901</v>
      </c>
      <c r="D1246" s="57" t="s">
        <v>2000</v>
      </c>
      <c r="E1246" s="57" t="s">
        <v>3607</v>
      </c>
      <c r="F1246" s="264"/>
      <c r="G1246" s="265" t="s">
        <v>4902</v>
      </c>
      <c r="H1246" s="72">
        <v>100.0</v>
      </c>
      <c r="I1246" s="42">
        <v>500.0</v>
      </c>
      <c r="J1246" s="42">
        <v>20.0</v>
      </c>
      <c r="K1246" s="42">
        <v>20.0</v>
      </c>
      <c r="L1246" s="70">
        <v>3.0</v>
      </c>
      <c r="M1246" s="34" t="s">
        <v>82</v>
      </c>
      <c r="N1246" s="70" t="s">
        <v>39</v>
      </c>
      <c r="O1246" s="70">
        <v>2000.0</v>
      </c>
      <c r="P1246" s="70" t="s">
        <v>66</v>
      </c>
      <c r="Q1246" s="31">
        <v>100.0</v>
      </c>
      <c r="R1246" s="46"/>
    </row>
    <row r="1247" ht="14.25" customHeight="1">
      <c r="A1247" s="211">
        <v>2.0</v>
      </c>
      <c r="B1247" s="34" t="s">
        <v>4903</v>
      </c>
      <c r="C1247" s="34" t="s">
        <v>4904</v>
      </c>
      <c r="D1247" s="57" t="s">
        <v>2000</v>
      </c>
      <c r="E1247" s="57" t="s">
        <v>3607</v>
      </c>
      <c r="F1247" s="264"/>
      <c r="G1247" s="265" t="s">
        <v>4905</v>
      </c>
      <c r="H1247" s="72" t="s">
        <v>4835</v>
      </c>
      <c r="I1247" s="42">
        <v>200.0</v>
      </c>
      <c r="J1247" s="42">
        <v>1.0</v>
      </c>
      <c r="K1247" s="42">
        <v>1.0</v>
      </c>
      <c r="L1247" s="70">
        <v>1.0</v>
      </c>
      <c r="M1247" s="34" t="s">
        <v>82</v>
      </c>
      <c r="N1247" s="70" t="s">
        <v>39</v>
      </c>
      <c r="O1247" s="70">
        <v>500.0</v>
      </c>
      <c r="P1247" s="70" t="s">
        <v>29</v>
      </c>
      <c r="Q1247" s="31">
        <v>0.0</v>
      </c>
      <c r="R1247" s="46"/>
    </row>
    <row r="1248" ht="14.25" customHeight="1">
      <c r="A1248" s="211">
        <v>3.0</v>
      </c>
      <c r="B1248" s="34" t="s">
        <v>4906</v>
      </c>
      <c r="C1248" s="34" t="s">
        <v>4907</v>
      </c>
      <c r="D1248" s="57" t="s">
        <v>2000</v>
      </c>
      <c r="E1248" s="57" t="s">
        <v>3607</v>
      </c>
      <c r="F1248" s="264"/>
      <c r="G1248" s="265" t="s">
        <v>4908</v>
      </c>
      <c r="H1248" s="298">
        <v>45691.0</v>
      </c>
      <c r="I1248" s="299">
        <v>45945.0</v>
      </c>
      <c r="J1248" s="42" t="s">
        <v>39</v>
      </c>
      <c r="K1248" s="42" t="s">
        <v>39</v>
      </c>
      <c r="L1248" s="70">
        <v>1.0</v>
      </c>
      <c r="M1248" s="34" t="s">
        <v>4870</v>
      </c>
      <c r="N1248" s="70" t="s">
        <v>39</v>
      </c>
      <c r="O1248" s="70" t="s">
        <v>39</v>
      </c>
      <c r="P1248" s="70" t="s">
        <v>29</v>
      </c>
      <c r="Q1248" s="31">
        <v>0.0</v>
      </c>
      <c r="R1248" s="46"/>
    </row>
    <row r="1249" ht="14.25" customHeight="1">
      <c r="A1249" s="211">
        <v>4.0</v>
      </c>
      <c r="B1249" s="34" t="s">
        <v>4909</v>
      </c>
      <c r="C1249" s="34" t="s">
        <v>4910</v>
      </c>
      <c r="D1249" s="57" t="s">
        <v>2000</v>
      </c>
      <c r="E1249" s="57" t="s">
        <v>3607</v>
      </c>
      <c r="F1249" s="264"/>
      <c r="G1249" s="265" t="s">
        <v>4908</v>
      </c>
      <c r="H1249" s="298">
        <v>45691.0</v>
      </c>
      <c r="I1249" s="299">
        <v>45945.0</v>
      </c>
      <c r="J1249" s="42" t="s">
        <v>39</v>
      </c>
      <c r="K1249" s="42" t="s">
        <v>39</v>
      </c>
      <c r="L1249" s="70">
        <v>1.0</v>
      </c>
      <c r="M1249" s="34" t="s">
        <v>4870</v>
      </c>
      <c r="N1249" s="70" t="s">
        <v>39</v>
      </c>
      <c r="O1249" s="70" t="s">
        <v>39</v>
      </c>
      <c r="P1249" s="70" t="s">
        <v>29</v>
      </c>
      <c r="Q1249" s="31">
        <v>0.0</v>
      </c>
      <c r="R1249" s="46"/>
    </row>
    <row r="1250" ht="14.25" customHeight="1">
      <c r="A1250" s="211">
        <v>5.0</v>
      </c>
      <c r="B1250" s="34" t="s">
        <v>4911</v>
      </c>
      <c r="C1250" s="34" t="s">
        <v>4912</v>
      </c>
      <c r="D1250" s="57" t="s">
        <v>2000</v>
      </c>
      <c r="E1250" s="57" t="s">
        <v>3607</v>
      </c>
      <c r="F1250" s="264"/>
      <c r="G1250" s="265" t="s">
        <v>4908</v>
      </c>
      <c r="H1250" s="298">
        <v>45691.0</v>
      </c>
      <c r="I1250" s="299">
        <v>45945.0</v>
      </c>
      <c r="J1250" s="42" t="s">
        <v>39</v>
      </c>
      <c r="K1250" s="42" t="s">
        <v>39</v>
      </c>
      <c r="L1250" s="70">
        <v>1.0</v>
      </c>
      <c r="M1250" s="34" t="s">
        <v>4870</v>
      </c>
      <c r="N1250" s="70" t="s">
        <v>39</v>
      </c>
      <c r="O1250" s="70" t="s">
        <v>39</v>
      </c>
      <c r="P1250" s="70" t="s">
        <v>29</v>
      </c>
      <c r="Q1250" s="31">
        <v>0.0</v>
      </c>
      <c r="R1250" s="46"/>
    </row>
    <row r="1251" ht="14.25" customHeight="1">
      <c r="A1251" s="211">
        <v>6.0</v>
      </c>
      <c r="B1251" s="34" t="s">
        <v>4913</v>
      </c>
      <c r="C1251" s="34" t="s">
        <v>4914</v>
      </c>
      <c r="D1251" s="57" t="s">
        <v>2000</v>
      </c>
      <c r="E1251" s="57" t="s">
        <v>3607</v>
      </c>
      <c r="F1251" s="264"/>
      <c r="G1251" s="265" t="s">
        <v>4908</v>
      </c>
      <c r="H1251" s="298">
        <v>45691.0</v>
      </c>
      <c r="I1251" s="299">
        <v>45945.0</v>
      </c>
      <c r="J1251" s="42" t="s">
        <v>39</v>
      </c>
      <c r="K1251" s="42" t="s">
        <v>39</v>
      </c>
      <c r="L1251" s="70">
        <v>1.0</v>
      </c>
      <c r="M1251" s="34" t="s">
        <v>4870</v>
      </c>
      <c r="N1251" s="70" t="s">
        <v>39</v>
      </c>
      <c r="O1251" s="70" t="s">
        <v>39</v>
      </c>
      <c r="P1251" s="70" t="s">
        <v>29</v>
      </c>
      <c r="Q1251" s="31">
        <v>0.0</v>
      </c>
      <c r="R1251" s="46"/>
    </row>
    <row r="1252" ht="14.25" customHeight="1">
      <c r="A1252" s="211">
        <v>7.0</v>
      </c>
      <c r="B1252" s="34" t="s">
        <v>4915</v>
      </c>
      <c r="C1252" s="34" t="s">
        <v>4916</v>
      </c>
      <c r="D1252" s="57" t="s">
        <v>2000</v>
      </c>
      <c r="E1252" s="57" t="s">
        <v>3607</v>
      </c>
      <c r="F1252" s="264"/>
      <c r="G1252" s="265" t="s">
        <v>4908</v>
      </c>
      <c r="H1252" s="298">
        <v>45691.0</v>
      </c>
      <c r="I1252" s="299">
        <v>45945.0</v>
      </c>
      <c r="J1252" s="42" t="s">
        <v>39</v>
      </c>
      <c r="K1252" s="42" t="s">
        <v>39</v>
      </c>
      <c r="L1252" s="70">
        <v>1.0</v>
      </c>
      <c r="M1252" s="34" t="s">
        <v>4870</v>
      </c>
      <c r="N1252" s="70" t="s">
        <v>39</v>
      </c>
      <c r="O1252" s="70" t="s">
        <v>39</v>
      </c>
      <c r="P1252" s="70" t="s">
        <v>29</v>
      </c>
      <c r="Q1252" s="31">
        <v>0.0</v>
      </c>
      <c r="R1252" s="46"/>
    </row>
    <row r="1253" ht="14.25" customHeight="1">
      <c r="A1253" s="211">
        <v>8.0</v>
      </c>
      <c r="B1253" s="34" t="s">
        <v>4917</v>
      </c>
      <c r="C1253" s="34" t="s">
        <v>4918</v>
      </c>
      <c r="D1253" s="57" t="s">
        <v>2000</v>
      </c>
      <c r="E1253" s="57" t="s">
        <v>3607</v>
      </c>
      <c r="F1253" s="264"/>
      <c r="G1253" s="265" t="s">
        <v>4908</v>
      </c>
      <c r="H1253" s="298">
        <v>45691.0</v>
      </c>
      <c r="I1253" s="299">
        <v>45945.0</v>
      </c>
      <c r="J1253" s="42" t="s">
        <v>39</v>
      </c>
      <c r="K1253" s="42" t="s">
        <v>39</v>
      </c>
      <c r="L1253" s="70">
        <v>1.0</v>
      </c>
      <c r="M1253" s="34" t="s">
        <v>4870</v>
      </c>
      <c r="N1253" s="70" t="s">
        <v>39</v>
      </c>
      <c r="O1253" s="70" t="s">
        <v>39</v>
      </c>
      <c r="P1253" s="70" t="s">
        <v>29</v>
      </c>
      <c r="Q1253" s="31">
        <v>0.0</v>
      </c>
      <c r="R1253" s="46"/>
    </row>
    <row r="1254" ht="14.25" customHeight="1">
      <c r="A1254" s="211">
        <v>9.0</v>
      </c>
      <c r="B1254" s="34" t="s">
        <v>4919</v>
      </c>
      <c r="C1254" s="34" t="s">
        <v>4920</v>
      </c>
      <c r="D1254" s="57" t="s">
        <v>2000</v>
      </c>
      <c r="E1254" s="57" t="s">
        <v>3607</v>
      </c>
      <c r="F1254" s="264"/>
      <c r="G1254" s="265" t="s">
        <v>4921</v>
      </c>
      <c r="H1254" s="298">
        <v>45691.0</v>
      </c>
      <c r="I1254" s="299">
        <v>45945.0</v>
      </c>
      <c r="J1254" s="42" t="s">
        <v>39</v>
      </c>
      <c r="K1254" s="42" t="s">
        <v>39</v>
      </c>
      <c r="L1254" s="70">
        <v>1.0</v>
      </c>
      <c r="M1254" s="34" t="s">
        <v>4870</v>
      </c>
      <c r="N1254" s="70" t="s">
        <v>39</v>
      </c>
      <c r="O1254" s="70" t="s">
        <v>39</v>
      </c>
      <c r="P1254" s="70" t="s">
        <v>29</v>
      </c>
      <c r="Q1254" s="31">
        <v>0.0</v>
      </c>
      <c r="R1254" s="46"/>
    </row>
    <row r="1255" ht="14.25" customHeight="1">
      <c r="A1255" s="211">
        <v>10.0</v>
      </c>
      <c r="B1255" s="34" t="s">
        <v>4922</v>
      </c>
      <c r="C1255" s="34" t="s">
        <v>4923</v>
      </c>
      <c r="D1255" s="57" t="s">
        <v>2000</v>
      </c>
      <c r="E1255" s="57" t="s">
        <v>3607</v>
      </c>
      <c r="F1255" s="264"/>
      <c r="G1255" s="265" t="s">
        <v>4908</v>
      </c>
      <c r="H1255" s="298">
        <v>45691.0</v>
      </c>
      <c r="I1255" s="299">
        <v>45945.0</v>
      </c>
      <c r="J1255" s="42" t="s">
        <v>39</v>
      </c>
      <c r="K1255" s="42" t="s">
        <v>39</v>
      </c>
      <c r="L1255" s="70">
        <v>1.0</v>
      </c>
      <c r="M1255" s="34" t="s">
        <v>4870</v>
      </c>
      <c r="N1255" s="70" t="s">
        <v>39</v>
      </c>
      <c r="O1255" s="70" t="s">
        <v>39</v>
      </c>
      <c r="P1255" s="70" t="s">
        <v>29</v>
      </c>
      <c r="Q1255" s="31">
        <v>0.0</v>
      </c>
      <c r="R1255" s="46"/>
    </row>
    <row r="1256" ht="14.25" customHeight="1">
      <c r="A1256" s="211">
        <v>11.0</v>
      </c>
      <c r="B1256" s="34" t="s">
        <v>4924</v>
      </c>
      <c r="C1256" s="34" t="s">
        <v>4925</v>
      </c>
      <c r="D1256" s="57" t="s">
        <v>2000</v>
      </c>
      <c r="E1256" s="57" t="s">
        <v>3607</v>
      </c>
      <c r="F1256" s="264"/>
      <c r="G1256" s="265" t="s">
        <v>4926</v>
      </c>
      <c r="H1256" s="298">
        <v>45691.0</v>
      </c>
      <c r="I1256" s="299">
        <v>45945.0</v>
      </c>
      <c r="J1256" s="42" t="s">
        <v>39</v>
      </c>
      <c r="K1256" s="42" t="s">
        <v>39</v>
      </c>
      <c r="L1256" s="70">
        <v>1.0</v>
      </c>
      <c r="M1256" s="34" t="s">
        <v>4870</v>
      </c>
      <c r="N1256" s="70" t="s">
        <v>39</v>
      </c>
      <c r="O1256" s="70" t="s">
        <v>39</v>
      </c>
      <c r="P1256" s="70" t="s">
        <v>29</v>
      </c>
      <c r="Q1256" s="31">
        <v>0.0</v>
      </c>
      <c r="R1256" s="46"/>
    </row>
    <row r="1257" ht="14.25" customHeight="1">
      <c r="A1257" s="211">
        <v>12.0</v>
      </c>
      <c r="B1257" s="34" t="s">
        <v>4927</v>
      </c>
      <c r="C1257" s="34" t="s">
        <v>4928</v>
      </c>
      <c r="D1257" s="57" t="s">
        <v>2000</v>
      </c>
      <c r="E1257" s="57" t="s">
        <v>3607</v>
      </c>
      <c r="F1257" s="264"/>
      <c r="G1257" s="265" t="s">
        <v>4908</v>
      </c>
      <c r="H1257" s="298">
        <v>45691.0</v>
      </c>
      <c r="I1257" s="299">
        <v>45945.0</v>
      </c>
      <c r="J1257" s="42" t="s">
        <v>39</v>
      </c>
      <c r="K1257" s="42" t="s">
        <v>39</v>
      </c>
      <c r="L1257" s="70">
        <v>1.0</v>
      </c>
      <c r="M1257" s="34" t="s">
        <v>4870</v>
      </c>
      <c r="N1257" s="70" t="s">
        <v>39</v>
      </c>
      <c r="O1257" s="70" t="s">
        <v>39</v>
      </c>
      <c r="P1257" s="70" t="s">
        <v>29</v>
      </c>
      <c r="Q1257" s="31">
        <v>0.0</v>
      </c>
      <c r="R1257" s="46"/>
    </row>
    <row r="1258" ht="14.25" customHeight="1">
      <c r="A1258" s="211">
        <v>13.0</v>
      </c>
      <c r="B1258" s="34" t="s">
        <v>4929</v>
      </c>
      <c r="C1258" s="34" t="s">
        <v>4930</v>
      </c>
      <c r="D1258" s="57" t="s">
        <v>2000</v>
      </c>
      <c r="E1258" s="57" t="s">
        <v>3607</v>
      </c>
      <c r="F1258" s="264"/>
      <c r="G1258" s="265" t="s">
        <v>4908</v>
      </c>
      <c r="H1258" s="298">
        <v>45691.0</v>
      </c>
      <c r="I1258" s="299">
        <v>45945.0</v>
      </c>
      <c r="J1258" s="42" t="s">
        <v>39</v>
      </c>
      <c r="K1258" s="42" t="s">
        <v>39</v>
      </c>
      <c r="L1258" s="70">
        <v>1.0</v>
      </c>
      <c r="M1258" s="34" t="s">
        <v>427</v>
      </c>
      <c r="N1258" s="70" t="s">
        <v>39</v>
      </c>
      <c r="O1258" s="70" t="s">
        <v>39</v>
      </c>
      <c r="P1258" s="70" t="s">
        <v>29</v>
      </c>
      <c r="Q1258" s="31">
        <v>0.0</v>
      </c>
      <c r="R1258" s="46"/>
    </row>
    <row r="1259" ht="14.25" customHeight="1">
      <c r="A1259" s="211">
        <v>14.0</v>
      </c>
      <c r="B1259" s="34" t="s">
        <v>4931</v>
      </c>
      <c r="C1259" s="34" t="s">
        <v>4932</v>
      </c>
      <c r="D1259" s="57" t="s">
        <v>2000</v>
      </c>
      <c r="E1259" s="57" t="s">
        <v>3607</v>
      </c>
      <c r="F1259" s="264"/>
      <c r="G1259" s="265" t="s">
        <v>4908</v>
      </c>
      <c r="H1259" s="298">
        <v>45691.0</v>
      </c>
      <c r="I1259" s="299">
        <v>45945.0</v>
      </c>
      <c r="J1259" s="42" t="s">
        <v>39</v>
      </c>
      <c r="K1259" s="42" t="s">
        <v>39</v>
      </c>
      <c r="L1259" s="70">
        <v>1.0</v>
      </c>
      <c r="M1259" s="34" t="s">
        <v>4870</v>
      </c>
      <c r="N1259" s="70" t="s">
        <v>39</v>
      </c>
      <c r="O1259" s="70" t="s">
        <v>39</v>
      </c>
      <c r="P1259" s="70" t="s">
        <v>29</v>
      </c>
      <c r="Q1259" s="31">
        <v>0.0</v>
      </c>
      <c r="R1259" s="46"/>
    </row>
    <row r="1260" ht="14.25" customHeight="1">
      <c r="A1260" s="211">
        <v>15.0</v>
      </c>
      <c r="B1260" s="34" t="s">
        <v>4933</v>
      </c>
      <c r="C1260" s="34" t="s">
        <v>4934</v>
      </c>
      <c r="D1260" s="57" t="s">
        <v>2000</v>
      </c>
      <c r="E1260" s="57" t="s">
        <v>3607</v>
      </c>
      <c r="F1260" s="264"/>
      <c r="G1260" s="265" t="s">
        <v>4908</v>
      </c>
      <c r="H1260" s="298">
        <v>45691.0</v>
      </c>
      <c r="I1260" s="299">
        <v>45945.0</v>
      </c>
      <c r="J1260" s="42" t="s">
        <v>39</v>
      </c>
      <c r="K1260" s="42" t="s">
        <v>39</v>
      </c>
      <c r="L1260" s="70">
        <v>1.0</v>
      </c>
      <c r="M1260" s="34" t="s">
        <v>427</v>
      </c>
      <c r="N1260" s="70" t="s">
        <v>39</v>
      </c>
      <c r="O1260" s="70" t="s">
        <v>39</v>
      </c>
      <c r="P1260" s="70" t="s">
        <v>29</v>
      </c>
      <c r="Q1260" s="31">
        <v>0.0</v>
      </c>
      <c r="R1260" s="46"/>
    </row>
    <row r="1261" ht="14.25" customHeight="1">
      <c r="A1261" s="211">
        <v>16.0</v>
      </c>
      <c r="B1261" s="34" t="s">
        <v>4935</v>
      </c>
      <c r="C1261" s="34" t="s">
        <v>4936</v>
      </c>
      <c r="D1261" s="57" t="s">
        <v>2000</v>
      </c>
      <c r="E1261" s="57" t="s">
        <v>3607</v>
      </c>
      <c r="F1261" s="264"/>
      <c r="G1261" s="265" t="s">
        <v>4908</v>
      </c>
      <c r="H1261" s="298">
        <v>45691.0</v>
      </c>
      <c r="I1261" s="299">
        <v>45945.0</v>
      </c>
      <c r="J1261" s="42" t="s">
        <v>39</v>
      </c>
      <c r="K1261" s="42" t="s">
        <v>39</v>
      </c>
      <c r="L1261" s="70">
        <v>1.0</v>
      </c>
      <c r="M1261" s="34" t="s">
        <v>4870</v>
      </c>
      <c r="N1261" s="70" t="s">
        <v>39</v>
      </c>
      <c r="O1261" s="70" t="s">
        <v>39</v>
      </c>
      <c r="P1261" s="70" t="s">
        <v>29</v>
      </c>
      <c r="Q1261" s="31">
        <v>0.0</v>
      </c>
      <c r="R1261" s="46"/>
    </row>
    <row r="1262" ht="14.25" customHeight="1">
      <c r="A1262" s="211">
        <v>17.0</v>
      </c>
      <c r="B1262" s="34" t="s">
        <v>4937</v>
      </c>
      <c r="C1262" s="34" t="s">
        <v>4938</v>
      </c>
      <c r="D1262" s="57" t="s">
        <v>2000</v>
      </c>
      <c r="E1262" s="57" t="s">
        <v>3607</v>
      </c>
      <c r="F1262" s="264"/>
      <c r="G1262" s="265" t="s">
        <v>1250</v>
      </c>
      <c r="H1262" s="298">
        <v>45691.0</v>
      </c>
      <c r="I1262" s="299">
        <v>45945.0</v>
      </c>
      <c r="J1262" s="42" t="s">
        <v>39</v>
      </c>
      <c r="K1262" s="42" t="s">
        <v>39</v>
      </c>
      <c r="L1262" s="70">
        <v>1.0</v>
      </c>
      <c r="M1262" s="34" t="s">
        <v>4870</v>
      </c>
      <c r="N1262" s="70" t="s">
        <v>39</v>
      </c>
      <c r="O1262" s="70" t="s">
        <v>39</v>
      </c>
      <c r="P1262" s="70" t="s">
        <v>29</v>
      </c>
      <c r="Q1262" s="31">
        <v>0.0</v>
      </c>
      <c r="R1262" s="46"/>
    </row>
    <row r="1263" ht="14.25" customHeight="1">
      <c r="A1263" s="211">
        <v>18.0</v>
      </c>
      <c r="B1263" s="34" t="s">
        <v>4939</v>
      </c>
      <c r="C1263" s="34" t="s">
        <v>4940</v>
      </c>
      <c r="D1263" s="57" t="s">
        <v>2000</v>
      </c>
      <c r="E1263" s="57" t="s">
        <v>3607</v>
      </c>
      <c r="F1263" s="264"/>
      <c r="G1263" s="265" t="s">
        <v>4908</v>
      </c>
      <c r="H1263" s="298">
        <v>45691.0</v>
      </c>
      <c r="I1263" s="299">
        <v>45945.0</v>
      </c>
      <c r="J1263" s="42" t="s">
        <v>39</v>
      </c>
      <c r="K1263" s="42" t="s">
        <v>39</v>
      </c>
      <c r="L1263" s="70">
        <v>1.0</v>
      </c>
      <c r="M1263" s="34" t="s">
        <v>4870</v>
      </c>
      <c r="N1263" s="70" t="s">
        <v>39</v>
      </c>
      <c r="O1263" s="70" t="s">
        <v>39</v>
      </c>
      <c r="P1263" s="70" t="s">
        <v>29</v>
      </c>
      <c r="Q1263" s="31">
        <v>0.0</v>
      </c>
      <c r="R1263" s="46"/>
    </row>
    <row r="1264" ht="14.25" customHeight="1">
      <c r="A1264" s="211">
        <v>19.0</v>
      </c>
      <c r="B1264" s="34" t="s">
        <v>4941</v>
      </c>
      <c r="C1264" s="34" t="s">
        <v>4942</v>
      </c>
      <c r="D1264" s="57" t="s">
        <v>2000</v>
      </c>
      <c r="E1264" s="57" t="s">
        <v>3607</v>
      </c>
      <c r="F1264" s="264"/>
      <c r="G1264" s="265" t="s">
        <v>4908</v>
      </c>
      <c r="H1264" s="298">
        <v>45691.0</v>
      </c>
      <c r="I1264" s="299">
        <v>45945.0</v>
      </c>
      <c r="J1264" s="42" t="s">
        <v>39</v>
      </c>
      <c r="K1264" s="42" t="s">
        <v>39</v>
      </c>
      <c r="L1264" s="70">
        <v>1.0</v>
      </c>
      <c r="M1264" s="34" t="s">
        <v>4870</v>
      </c>
      <c r="N1264" s="70" t="s">
        <v>39</v>
      </c>
      <c r="O1264" s="70" t="s">
        <v>39</v>
      </c>
      <c r="P1264" s="70" t="s">
        <v>29</v>
      </c>
      <c r="Q1264" s="31">
        <v>0.0</v>
      </c>
      <c r="R1264" s="46"/>
    </row>
    <row r="1265" ht="14.25" customHeight="1">
      <c r="A1265" s="211">
        <v>20.0</v>
      </c>
      <c r="B1265" s="34" t="s">
        <v>2999</v>
      </c>
      <c r="C1265" s="34" t="s">
        <v>4943</v>
      </c>
      <c r="D1265" s="57" t="s">
        <v>2000</v>
      </c>
      <c r="E1265" s="57" t="s">
        <v>3607</v>
      </c>
      <c r="F1265" s="264"/>
      <c r="G1265" s="265" t="s">
        <v>4908</v>
      </c>
      <c r="H1265" s="298">
        <v>45691.0</v>
      </c>
      <c r="I1265" s="299">
        <v>45945.0</v>
      </c>
      <c r="J1265" s="42" t="s">
        <v>39</v>
      </c>
      <c r="K1265" s="42" t="s">
        <v>39</v>
      </c>
      <c r="L1265" s="70">
        <v>1.0</v>
      </c>
      <c r="M1265" s="34" t="s">
        <v>4870</v>
      </c>
      <c r="N1265" s="70" t="s">
        <v>39</v>
      </c>
      <c r="O1265" s="70" t="s">
        <v>39</v>
      </c>
      <c r="P1265" s="70" t="s">
        <v>29</v>
      </c>
      <c r="Q1265" s="31">
        <v>0.0</v>
      </c>
      <c r="R1265" s="46"/>
    </row>
    <row r="1266" ht="14.25" customHeight="1">
      <c r="A1266" s="211">
        <v>21.0</v>
      </c>
      <c r="B1266" s="34" t="s">
        <v>4944</v>
      </c>
      <c r="C1266" s="34" t="s">
        <v>4945</v>
      </c>
      <c r="D1266" s="57" t="s">
        <v>2000</v>
      </c>
      <c r="E1266" s="57" t="s">
        <v>3607</v>
      </c>
      <c r="F1266" s="264"/>
      <c r="G1266" s="265" t="s">
        <v>4908</v>
      </c>
      <c r="H1266" s="298">
        <v>45691.0</v>
      </c>
      <c r="I1266" s="299">
        <v>45945.0</v>
      </c>
      <c r="J1266" s="42" t="s">
        <v>39</v>
      </c>
      <c r="K1266" s="42" t="s">
        <v>39</v>
      </c>
      <c r="L1266" s="70">
        <v>1.0</v>
      </c>
      <c r="M1266" s="34" t="s">
        <v>4870</v>
      </c>
      <c r="N1266" s="70" t="s">
        <v>39</v>
      </c>
      <c r="O1266" s="70" t="s">
        <v>39</v>
      </c>
      <c r="P1266" s="70" t="s">
        <v>29</v>
      </c>
      <c r="Q1266" s="31">
        <v>0.0</v>
      </c>
      <c r="R1266" s="46"/>
    </row>
    <row r="1267" ht="14.25" customHeight="1">
      <c r="A1267" s="211">
        <v>22.0</v>
      </c>
      <c r="B1267" s="34" t="s">
        <v>4946</v>
      </c>
      <c r="C1267" s="34" t="s">
        <v>4947</v>
      </c>
      <c r="D1267" s="57" t="s">
        <v>2000</v>
      </c>
      <c r="E1267" s="57" t="s">
        <v>3607</v>
      </c>
      <c r="F1267" s="264"/>
      <c r="G1267" s="265" t="s">
        <v>4908</v>
      </c>
      <c r="H1267" s="298">
        <v>45691.0</v>
      </c>
      <c r="I1267" s="299">
        <v>45945.0</v>
      </c>
      <c r="J1267" s="42" t="s">
        <v>39</v>
      </c>
      <c r="K1267" s="42" t="s">
        <v>39</v>
      </c>
      <c r="L1267" s="70">
        <v>1.0</v>
      </c>
      <c r="M1267" s="34" t="s">
        <v>4870</v>
      </c>
      <c r="N1267" s="70" t="s">
        <v>39</v>
      </c>
      <c r="O1267" s="70" t="s">
        <v>39</v>
      </c>
      <c r="P1267" s="70" t="s">
        <v>29</v>
      </c>
      <c r="Q1267" s="31">
        <v>0.0</v>
      </c>
      <c r="R1267" s="46"/>
    </row>
    <row r="1268" ht="14.25" customHeight="1">
      <c r="A1268" s="211">
        <v>23.0</v>
      </c>
      <c r="B1268" s="34" t="s">
        <v>4948</v>
      </c>
      <c r="C1268" s="34" t="s">
        <v>4949</v>
      </c>
      <c r="D1268" s="57" t="s">
        <v>2000</v>
      </c>
      <c r="E1268" s="57" t="s">
        <v>3607</v>
      </c>
      <c r="F1268" s="264"/>
      <c r="G1268" s="265" t="s">
        <v>4950</v>
      </c>
      <c r="H1268" s="298">
        <v>45691.0</v>
      </c>
      <c r="I1268" s="299">
        <v>45945.0</v>
      </c>
      <c r="J1268" s="42" t="s">
        <v>39</v>
      </c>
      <c r="K1268" s="42" t="s">
        <v>39</v>
      </c>
      <c r="L1268" s="70">
        <v>1.0</v>
      </c>
      <c r="M1268" s="34" t="s">
        <v>4870</v>
      </c>
      <c r="N1268" s="70" t="s">
        <v>39</v>
      </c>
      <c r="O1268" s="70" t="s">
        <v>39</v>
      </c>
      <c r="P1268" s="70" t="s">
        <v>29</v>
      </c>
      <c r="Q1268" s="31">
        <v>0.0</v>
      </c>
      <c r="R1268" s="46"/>
    </row>
    <row r="1269" ht="14.25" customHeight="1">
      <c r="A1269" s="211">
        <v>24.0</v>
      </c>
      <c r="B1269" s="34" t="s">
        <v>4951</v>
      </c>
      <c r="C1269" s="34" t="s">
        <v>4952</v>
      </c>
      <c r="D1269" s="57" t="s">
        <v>2000</v>
      </c>
      <c r="E1269" s="57" t="s">
        <v>3607</v>
      </c>
      <c r="F1269" s="264"/>
      <c r="G1269" s="265" t="s">
        <v>4953</v>
      </c>
      <c r="H1269" s="298">
        <v>45691.0</v>
      </c>
      <c r="I1269" s="299">
        <v>45945.0</v>
      </c>
      <c r="J1269" s="42" t="s">
        <v>39</v>
      </c>
      <c r="K1269" s="42" t="s">
        <v>39</v>
      </c>
      <c r="L1269" s="70">
        <v>1.0</v>
      </c>
      <c r="M1269" s="34" t="s">
        <v>4870</v>
      </c>
      <c r="N1269" s="70" t="s">
        <v>39</v>
      </c>
      <c r="O1269" s="70" t="s">
        <v>39</v>
      </c>
      <c r="P1269" s="70" t="s">
        <v>29</v>
      </c>
      <c r="Q1269" s="31">
        <v>0.0</v>
      </c>
      <c r="R1269" s="46"/>
    </row>
    <row r="1270" ht="14.25" customHeight="1">
      <c r="A1270" s="211">
        <v>25.0</v>
      </c>
      <c r="B1270" s="34" t="s">
        <v>4954</v>
      </c>
      <c r="C1270" s="34" t="s">
        <v>4955</v>
      </c>
      <c r="D1270" s="57" t="s">
        <v>2000</v>
      </c>
      <c r="E1270" s="57" t="s">
        <v>3607</v>
      </c>
      <c r="F1270" s="264"/>
      <c r="G1270" s="265" t="s">
        <v>4908</v>
      </c>
      <c r="H1270" s="298">
        <v>45691.0</v>
      </c>
      <c r="I1270" s="299">
        <v>45945.0</v>
      </c>
      <c r="J1270" s="42" t="s">
        <v>39</v>
      </c>
      <c r="K1270" s="42" t="s">
        <v>39</v>
      </c>
      <c r="L1270" s="70">
        <v>1.0</v>
      </c>
      <c r="M1270" s="34" t="s">
        <v>4870</v>
      </c>
      <c r="N1270" s="70" t="s">
        <v>39</v>
      </c>
      <c r="O1270" s="70" t="s">
        <v>39</v>
      </c>
      <c r="P1270" s="70" t="s">
        <v>29</v>
      </c>
      <c r="Q1270" s="31">
        <v>0.0</v>
      </c>
      <c r="R1270" s="46"/>
    </row>
    <row r="1271" ht="14.25" customHeight="1">
      <c r="A1271" s="211">
        <v>26.0</v>
      </c>
      <c r="B1271" s="34" t="s">
        <v>1814</v>
      </c>
      <c r="C1271" s="34" t="s">
        <v>4956</v>
      </c>
      <c r="D1271" s="57" t="s">
        <v>2000</v>
      </c>
      <c r="E1271" s="57" t="s">
        <v>3607</v>
      </c>
      <c r="F1271" s="264"/>
      <c r="G1271" s="265" t="s">
        <v>4908</v>
      </c>
      <c r="H1271" s="298">
        <v>45691.0</v>
      </c>
      <c r="I1271" s="299">
        <v>45945.0</v>
      </c>
      <c r="J1271" s="42" t="s">
        <v>39</v>
      </c>
      <c r="K1271" s="42" t="s">
        <v>39</v>
      </c>
      <c r="L1271" s="70">
        <v>1.0</v>
      </c>
      <c r="M1271" s="34" t="s">
        <v>4870</v>
      </c>
      <c r="N1271" s="70" t="s">
        <v>39</v>
      </c>
      <c r="O1271" s="70" t="s">
        <v>39</v>
      </c>
      <c r="P1271" s="70" t="s">
        <v>29</v>
      </c>
      <c r="Q1271" s="31">
        <v>0.0</v>
      </c>
      <c r="R1271" s="46"/>
    </row>
    <row r="1272" ht="14.25" customHeight="1">
      <c r="A1272" s="211">
        <v>27.0</v>
      </c>
      <c r="B1272" s="34" t="s">
        <v>4957</v>
      </c>
      <c r="C1272" s="34" t="s">
        <v>4958</v>
      </c>
      <c r="D1272" s="57" t="s">
        <v>2000</v>
      </c>
      <c r="E1272" s="57" t="s">
        <v>3607</v>
      </c>
      <c r="F1272" s="264"/>
      <c r="G1272" s="265" t="s">
        <v>4908</v>
      </c>
      <c r="H1272" s="298">
        <v>45691.0</v>
      </c>
      <c r="I1272" s="299">
        <v>45945.0</v>
      </c>
      <c r="J1272" s="42" t="s">
        <v>39</v>
      </c>
      <c r="K1272" s="42" t="s">
        <v>39</v>
      </c>
      <c r="L1272" s="70">
        <v>1.0</v>
      </c>
      <c r="M1272" s="34" t="s">
        <v>4870</v>
      </c>
      <c r="N1272" s="70" t="s">
        <v>39</v>
      </c>
      <c r="O1272" s="70" t="s">
        <v>39</v>
      </c>
      <c r="P1272" s="70" t="s">
        <v>29</v>
      </c>
      <c r="Q1272" s="31">
        <v>0.0</v>
      </c>
      <c r="R1272" s="46"/>
    </row>
    <row r="1273" ht="14.25" customHeight="1">
      <c r="A1273" s="211">
        <v>28.0</v>
      </c>
      <c r="B1273" s="34" t="s">
        <v>4959</v>
      </c>
      <c r="C1273" s="34" t="s">
        <v>4960</v>
      </c>
      <c r="D1273" s="57" t="s">
        <v>2000</v>
      </c>
      <c r="E1273" s="57" t="s">
        <v>3607</v>
      </c>
      <c r="F1273" s="264"/>
      <c r="G1273" s="265" t="s">
        <v>4908</v>
      </c>
      <c r="H1273" s="298">
        <v>45691.0</v>
      </c>
      <c r="I1273" s="299">
        <v>45945.0</v>
      </c>
      <c r="J1273" s="42" t="s">
        <v>39</v>
      </c>
      <c r="K1273" s="42" t="s">
        <v>39</v>
      </c>
      <c r="L1273" s="70">
        <v>1.0</v>
      </c>
      <c r="M1273" s="34" t="s">
        <v>4870</v>
      </c>
      <c r="N1273" s="70" t="s">
        <v>39</v>
      </c>
      <c r="O1273" s="70" t="s">
        <v>39</v>
      </c>
      <c r="P1273" s="70" t="s">
        <v>29</v>
      </c>
      <c r="Q1273" s="31">
        <v>0.0</v>
      </c>
      <c r="R1273" s="46"/>
    </row>
    <row r="1274" ht="14.25" customHeight="1">
      <c r="A1274" s="211">
        <v>29.0</v>
      </c>
      <c r="B1274" s="34" t="s">
        <v>4961</v>
      </c>
      <c r="C1274" s="34" t="s">
        <v>4962</v>
      </c>
      <c r="D1274" s="57" t="s">
        <v>2000</v>
      </c>
      <c r="E1274" s="57" t="s">
        <v>3607</v>
      </c>
      <c r="F1274" s="264"/>
      <c r="G1274" s="265" t="s">
        <v>4963</v>
      </c>
      <c r="H1274" s="298">
        <v>45691.0</v>
      </c>
      <c r="I1274" s="299">
        <v>45945.0</v>
      </c>
      <c r="J1274" s="42" t="s">
        <v>39</v>
      </c>
      <c r="K1274" s="42" t="s">
        <v>39</v>
      </c>
      <c r="L1274" s="70">
        <v>1.0</v>
      </c>
      <c r="M1274" s="34" t="s">
        <v>4870</v>
      </c>
      <c r="N1274" s="70" t="s">
        <v>39</v>
      </c>
      <c r="O1274" s="70" t="s">
        <v>39</v>
      </c>
      <c r="P1274" s="70" t="s">
        <v>29</v>
      </c>
      <c r="Q1274" s="31">
        <v>0.0</v>
      </c>
      <c r="R1274" s="46"/>
    </row>
    <row r="1275" ht="14.25" customHeight="1">
      <c r="A1275" s="211">
        <v>30.0</v>
      </c>
      <c r="B1275" s="34" t="s">
        <v>4964</v>
      </c>
      <c r="C1275" s="34" t="s">
        <v>4965</v>
      </c>
      <c r="D1275" s="57" t="s">
        <v>2000</v>
      </c>
      <c r="E1275" s="57" t="s">
        <v>3607</v>
      </c>
      <c r="F1275" s="264"/>
      <c r="G1275" s="265" t="s">
        <v>4908</v>
      </c>
      <c r="H1275" s="298">
        <v>45691.0</v>
      </c>
      <c r="I1275" s="299">
        <v>45945.0</v>
      </c>
      <c r="J1275" s="42" t="s">
        <v>39</v>
      </c>
      <c r="K1275" s="42" t="s">
        <v>39</v>
      </c>
      <c r="L1275" s="70">
        <v>1.0</v>
      </c>
      <c r="M1275" s="34" t="s">
        <v>4870</v>
      </c>
      <c r="N1275" s="70" t="s">
        <v>39</v>
      </c>
      <c r="O1275" s="70" t="s">
        <v>39</v>
      </c>
      <c r="P1275" s="70" t="s">
        <v>29</v>
      </c>
      <c r="Q1275" s="31">
        <v>0.0</v>
      </c>
      <c r="R1275" s="46"/>
    </row>
    <row r="1276" ht="14.25" customHeight="1">
      <c r="A1276" s="211">
        <v>31.0</v>
      </c>
      <c r="B1276" s="34" t="s">
        <v>4966</v>
      </c>
      <c r="C1276" s="34" t="s">
        <v>4967</v>
      </c>
      <c r="D1276" s="57" t="s">
        <v>2000</v>
      </c>
      <c r="E1276" s="57" t="s">
        <v>3607</v>
      </c>
      <c r="F1276" s="264"/>
      <c r="G1276" s="265" t="s">
        <v>4908</v>
      </c>
      <c r="H1276" s="298">
        <v>45691.0</v>
      </c>
      <c r="I1276" s="299">
        <v>45945.0</v>
      </c>
      <c r="J1276" s="42" t="s">
        <v>39</v>
      </c>
      <c r="K1276" s="42" t="s">
        <v>39</v>
      </c>
      <c r="L1276" s="70">
        <v>1.0</v>
      </c>
      <c r="M1276" s="34" t="s">
        <v>4870</v>
      </c>
      <c r="N1276" s="70" t="s">
        <v>39</v>
      </c>
      <c r="O1276" s="70" t="s">
        <v>39</v>
      </c>
      <c r="P1276" s="70" t="s">
        <v>29</v>
      </c>
      <c r="Q1276" s="31">
        <v>0.0</v>
      </c>
      <c r="R1276" s="46"/>
    </row>
    <row r="1277" ht="14.25" customHeight="1">
      <c r="A1277" s="211">
        <v>32.0</v>
      </c>
      <c r="B1277" s="34" t="s">
        <v>4968</v>
      </c>
      <c r="C1277" s="34" t="s">
        <v>4969</v>
      </c>
      <c r="D1277" s="57" t="s">
        <v>2000</v>
      </c>
      <c r="E1277" s="57" t="s">
        <v>3607</v>
      </c>
      <c r="F1277" s="264"/>
      <c r="G1277" s="265" t="s">
        <v>4908</v>
      </c>
      <c r="H1277" s="298">
        <v>45691.0</v>
      </c>
      <c r="I1277" s="299">
        <v>45945.0</v>
      </c>
      <c r="J1277" s="42" t="s">
        <v>39</v>
      </c>
      <c r="K1277" s="42" t="s">
        <v>39</v>
      </c>
      <c r="L1277" s="70">
        <v>1.0</v>
      </c>
      <c r="M1277" s="34" t="s">
        <v>4870</v>
      </c>
      <c r="N1277" s="70" t="s">
        <v>39</v>
      </c>
      <c r="O1277" s="70" t="s">
        <v>39</v>
      </c>
      <c r="P1277" s="70" t="s">
        <v>29</v>
      </c>
      <c r="Q1277" s="31">
        <v>0.0</v>
      </c>
      <c r="R1277" s="46"/>
    </row>
    <row r="1278" ht="14.25" customHeight="1">
      <c r="A1278" s="211">
        <v>33.0</v>
      </c>
      <c r="B1278" s="34" t="s">
        <v>4970</v>
      </c>
      <c r="C1278" s="34" t="s">
        <v>4971</v>
      </c>
      <c r="D1278" s="57" t="s">
        <v>2000</v>
      </c>
      <c r="E1278" s="57" t="s">
        <v>3607</v>
      </c>
      <c r="F1278" s="264"/>
      <c r="G1278" s="265" t="s">
        <v>4908</v>
      </c>
      <c r="H1278" s="298">
        <v>45691.0</v>
      </c>
      <c r="I1278" s="299">
        <v>45945.0</v>
      </c>
      <c r="J1278" s="42" t="s">
        <v>39</v>
      </c>
      <c r="K1278" s="42" t="s">
        <v>39</v>
      </c>
      <c r="L1278" s="70">
        <v>1.0</v>
      </c>
      <c r="M1278" s="34" t="s">
        <v>4870</v>
      </c>
      <c r="N1278" s="70" t="s">
        <v>39</v>
      </c>
      <c r="O1278" s="70" t="s">
        <v>39</v>
      </c>
      <c r="P1278" s="70" t="s">
        <v>29</v>
      </c>
      <c r="Q1278" s="31">
        <v>0.0</v>
      </c>
      <c r="R1278" s="46"/>
    </row>
    <row r="1279" ht="14.25" customHeight="1">
      <c r="A1279" s="211">
        <v>34.0</v>
      </c>
      <c r="B1279" s="34" t="s">
        <v>4972</v>
      </c>
      <c r="C1279" s="34" t="s">
        <v>4973</v>
      </c>
      <c r="D1279" s="57" t="s">
        <v>2000</v>
      </c>
      <c r="E1279" s="57" t="s">
        <v>3607</v>
      </c>
      <c r="F1279" s="264"/>
      <c r="G1279" s="265" t="s">
        <v>4908</v>
      </c>
      <c r="H1279" s="298">
        <v>45691.0</v>
      </c>
      <c r="I1279" s="299">
        <v>45945.0</v>
      </c>
      <c r="J1279" s="42" t="s">
        <v>39</v>
      </c>
      <c r="K1279" s="42" t="s">
        <v>39</v>
      </c>
      <c r="L1279" s="70">
        <v>1.0</v>
      </c>
      <c r="M1279" s="34" t="s">
        <v>4870</v>
      </c>
      <c r="N1279" s="70" t="s">
        <v>39</v>
      </c>
      <c r="O1279" s="70" t="s">
        <v>39</v>
      </c>
      <c r="P1279" s="70" t="s">
        <v>29</v>
      </c>
      <c r="Q1279" s="31">
        <v>0.0</v>
      </c>
      <c r="R1279" s="46"/>
    </row>
    <row r="1280" ht="14.25" customHeight="1">
      <c r="A1280" s="211">
        <v>35.0</v>
      </c>
      <c r="B1280" s="34" t="s">
        <v>4974</v>
      </c>
      <c r="C1280" s="34" t="s">
        <v>4975</v>
      </c>
      <c r="D1280" s="57" t="s">
        <v>2000</v>
      </c>
      <c r="E1280" s="57" t="s">
        <v>3607</v>
      </c>
      <c r="F1280" s="264"/>
      <c r="G1280" s="265" t="s">
        <v>4908</v>
      </c>
      <c r="H1280" s="298">
        <v>45691.0</v>
      </c>
      <c r="I1280" s="299">
        <v>45945.0</v>
      </c>
      <c r="J1280" s="42" t="s">
        <v>39</v>
      </c>
      <c r="K1280" s="42" t="s">
        <v>39</v>
      </c>
      <c r="L1280" s="70">
        <v>1.0</v>
      </c>
      <c r="M1280" s="34" t="s">
        <v>4870</v>
      </c>
      <c r="N1280" s="70" t="s">
        <v>39</v>
      </c>
      <c r="O1280" s="70" t="s">
        <v>39</v>
      </c>
      <c r="P1280" s="70" t="s">
        <v>29</v>
      </c>
      <c r="Q1280" s="31">
        <v>0.0</v>
      </c>
      <c r="R1280" s="46"/>
    </row>
    <row r="1281" ht="15.75" customHeight="1">
      <c r="A1281" s="181"/>
      <c r="B1281" s="182" t="s">
        <v>4976</v>
      </c>
      <c r="C1281" s="182"/>
      <c r="D1281" s="22"/>
      <c r="E1281" s="22"/>
      <c r="F1281" s="209"/>
      <c r="G1281" s="210"/>
      <c r="H1281" s="22"/>
      <c r="I1281" s="22"/>
      <c r="J1281" s="22"/>
      <c r="K1281" s="22"/>
      <c r="L1281" s="22"/>
      <c r="M1281" s="22"/>
      <c r="N1281" s="22"/>
      <c r="O1281" s="22"/>
      <c r="P1281" s="22"/>
      <c r="Q1281" s="209"/>
      <c r="R1281" s="22"/>
    </row>
    <row r="1282" ht="14.25" customHeight="1">
      <c r="A1282" s="211">
        <v>1.0</v>
      </c>
      <c r="B1282" s="34" t="s">
        <v>4977</v>
      </c>
      <c r="C1282" s="34" t="s">
        <v>4978</v>
      </c>
      <c r="D1282" s="57" t="s">
        <v>2000</v>
      </c>
      <c r="E1282" s="57" t="s">
        <v>3607</v>
      </c>
      <c r="F1282" s="264"/>
      <c r="G1282" s="265" t="s">
        <v>4979</v>
      </c>
      <c r="H1282" s="300" t="s">
        <v>3481</v>
      </c>
      <c r="I1282" s="42">
        <v>200.0</v>
      </c>
      <c r="J1282" s="42">
        <v>1.0</v>
      </c>
      <c r="K1282" s="42">
        <v>1.0</v>
      </c>
      <c r="L1282" s="301">
        <v>0.0</v>
      </c>
      <c r="M1282" s="34" t="s">
        <v>4980</v>
      </c>
      <c r="N1282" s="301" t="s">
        <v>46</v>
      </c>
      <c r="O1282" s="70">
        <v>0.0</v>
      </c>
      <c r="P1282" s="70" t="s">
        <v>66</v>
      </c>
      <c r="Q1282" s="31">
        <v>30.0</v>
      </c>
      <c r="R1282" s="46"/>
    </row>
    <row r="1283" ht="14.25" customHeight="1">
      <c r="A1283" s="211">
        <v>2.0</v>
      </c>
      <c r="B1283" s="34" t="s">
        <v>4981</v>
      </c>
      <c r="C1283" s="34" t="s">
        <v>4982</v>
      </c>
      <c r="D1283" s="57" t="s">
        <v>2000</v>
      </c>
      <c r="E1283" s="57" t="s">
        <v>3607</v>
      </c>
      <c r="F1283" s="264"/>
      <c r="G1283" s="265" t="s">
        <v>4983</v>
      </c>
      <c r="H1283" s="300" t="s">
        <v>3481</v>
      </c>
      <c r="I1283" s="42">
        <v>300.0</v>
      </c>
      <c r="J1283" s="42">
        <v>2.0</v>
      </c>
      <c r="K1283" s="42">
        <v>2.0</v>
      </c>
      <c r="L1283" s="301">
        <v>0.0</v>
      </c>
      <c r="M1283" s="34" t="s">
        <v>4980</v>
      </c>
      <c r="N1283" s="301" t="s">
        <v>46</v>
      </c>
      <c r="O1283" s="70">
        <v>0.0</v>
      </c>
      <c r="P1283" s="70" t="s">
        <v>29</v>
      </c>
      <c r="Q1283" s="31">
        <v>0.0</v>
      </c>
      <c r="R1283" s="46"/>
    </row>
    <row r="1284" ht="14.25" customHeight="1">
      <c r="A1284" s="211">
        <v>3.0</v>
      </c>
      <c r="B1284" s="34" t="s">
        <v>4984</v>
      </c>
      <c r="C1284" s="34" t="s">
        <v>4985</v>
      </c>
      <c r="D1284" s="57" t="s">
        <v>2000</v>
      </c>
      <c r="E1284" s="57" t="s">
        <v>3607</v>
      </c>
      <c r="F1284" s="264"/>
      <c r="G1284" s="265" t="s">
        <v>4986</v>
      </c>
      <c r="H1284" s="300" t="s">
        <v>3481</v>
      </c>
      <c r="I1284" s="42">
        <v>200.0</v>
      </c>
      <c r="J1284" s="42">
        <v>1.0</v>
      </c>
      <c r="K1284" s="42">
        <v>1.0</v>
      </c>
      <c r="L1284" s="301">
        <v>0.0</v>
      </c>
      <c r="M1284" s="34" t="s">
        <v>4980</v>
      </c>
      <c r="N1284" s="301" t="s">
        <v>46</v>
      </c>
      <c r="O1284" s="70">
        <v>0.0</v>
      </c>
      <c r="P1284" s="70" t="s">
        <v>29</v>
      </c>
      <c r="Q1284" s="31">
        <v>0.0</v>
      </c>
      <c r="R1284" s="46"/>
    </row>
    <row r="1285" ht="14.25" customHeight="1">
      <c r="A1285" s="211">
        <v>4.0</v>
      </c>
      <c r="B1285" s="34" t="s">
        <v>4987</v>
      </c>
      <c r="C1285" s="34" t="s">
        <v>4978</v>
      </c>
      <c r="D1285" s="57" t="s">
        <v>2000</v>
      </c>
      <c r="E1285" s="57" t="s">
        <v>3607</v>
      </c>
      <c r="F1285" s="264"/>
      <c r="G1285" s="265" t="s">
        <v>4988</v>
      </c>
      <c r="H1285" s="300" t="s">
        <v>3481</v>
      </c>
      <c r="I1285" s="42">
        <v>1000.0</v>
      </c>
      <c r="J1285" s="42">
        <v>3.0</v>
      </c>
      <c r="K1285" s="42">
        <v>3.0</v>
      </c>
      <c r="L1285" s="301">
        <v>0.0</v>
      </c>
      <c r="M1285" s="34" t="s">
        <v>4980</v>
      </c>
      <c r="N1285" s="301" t="s">
        <v>46</v>
      </c>
      <c r="O1285" s="70">
        <v>0.0</v>
      </c>
      <c r="P1285" s="70" t="s">
        <v>29</v>
      </c>
      <c r="Q1285" s="31">
        <v>0.0</v>
      </c>
      <c r="R1285" s="46"/>
    </row>
    <row r="1286" ht="14.25" customHeight="1">
      <c r="A1286" s="211">
        <v>5.0</v>
      </c>
      <c r="B1286" s="34" t="s">
        <v>4989</v>
      </c>
      <c r="C1286" s="34" t="s">
        <v>4990</v>
      </c>
      <c r="D1286" s="57" t="s">
        <v>2000</v>
      </c>
      <c r="E1286" s="57" t="s">
        <v>3607</v>
      </c>
      <c r="F1286" s="264"/>
      <c r="G1286" s="265" t="s">
        <v>4986</v>
      </c>
      <c r="H1286" s="300" t="s">
        <v>3481</v>
      </c>
      <c r="I1286" s="42">
        <v>700.0</v>
      </c>
      <c r="J1286" s="42">
        <v>1.0</v>
      </c>
      <c r="K1286" s="42">
        <v>1.0</v>
      </c>
      <c r="L1286" s="301">
        <v>0.0</v>
      </c>
      <c r="M1286" s="34" t="s">
        <v>4980</v>
      </c>
      <c r="N1286" s="301" t="s">
        <v>46</v>
      </c>
      <c r="O1286" s="70">
        <v>0.0</v>
      </c>
      <c r="P1286" s="70" t="s">
        <v>29</v>
      </c>
      <c r="Q1286" s="31">
        <v>0.0</v>
      </c>
      <c r="R1286" s="46"/>
    </row>
    <row r="1287" ht="14.25" customHeight="1">
      <c r="A1287" s="211">
        <v>6.0</v>
      </c>
      <c r="B1287" s="34" t="s">
        <v>4991</v>
      </c>
      <c r="C1287" s="34" t="s">
        <v>4992</v>
      </c>
      <c r="D1287" s="57" t="s">
        <v>2000</v>
      </c>
      <c r="E1287" s="57" t="s">
        <v>3607</v>
      </c>
      <c r="F1287" s="264"/>
      <c r="G1287" s="265" t="s">
        <v>4986</v>
      </c>
      <c r="H1287" s="300" t="s">
        <v>3481</v>
      </c>
      <c r="I1287" s="42">
        <v>100.0</v>
      </c>
      <c r="J1287" s="42">
        <v>1.0</v>
      </c>
      <c r="K1287" s="42">
        <v>1.0</v>
      </c>
      <c r="L1287" s="301">
        <v>0.0</v>
      </c>
      <c r="M1287" s="34" t="s">
        <v>4980</v>
      </c>
      <c r="N1287" s="301" t="s">
        <v>46</v>
      </c>
      <c r="O1287" s="70">
        <v>0.0</v>
      </c>
      <c r="P1287" s="70" t="s">
        <v>29</v>
      </c>
      <c r="Q1287" s="31">
        <v>0.0</v>
      </c>
      <c r="R1287" s="46"/>
    </row>
    <row r="1288" ht="14.25" customHeight="1">
      <c r="A1288" s="211">
        <v>7.0</v>
      </c>
      <c r="B1288" s="34" t="s">
        <v>4993</v>
      </c>
      <c r="C1288" s="34" t="s">
        <v>4994</v>
      </c>
      <c r="D1288" s="57" t="s">
        <v>2000</v>
      </c>
      <c r="E1288" s="57" t="s">
        <v>3607</v>
      </c>
      <c r="F1288" s="264"/>
      <c r="G1288" s="265" t="s">
        <v>4986</v>
      </c>
      <c r="H1288" s="300" t="s">
        <v>3481</v>
      </c>
      <c r="I1288" s="42">
        <v>200.0</v>
      </c>
      <c r="J1288" s="42">
        <v>1.0</v>
      </c>
      <c r="K1288" s="42">
        <v>1.0</v>
      </c>
      <c r="L1288" s="301">
        <v>0.0</v>
      </c>
      <c r="M1288" s="34" t="s">
        <v>4980</v>
      </c>
      <c r="N1288" s="301" t="s">
        <v>46</v>
      </c>
      <c r="O1288" s="70">
        <v>0.0</v>
      </c>
      <c r="P1288" s="70" t="s">
        <v>29</v>
      </c>
      <c r="Q1288" s="31">
        <v>0.0</v>
      </c>
      <c r="R1288" s="46"/>
    </row>
    <row r="1289" ht="14.25" customHeight="1">
      <c r="A1289" s="211">
        <v>8.0</v>
      </c>
      <c r="B1289" s="34" t="s">
        <v>4995</v>
      </c>
      <c r="C1289" s="34" t="s">
        <v>4996</v>
      </c>
      <c r="D1289" s="57" t="s">
        <v>2000</v>
      </c>
      <c r="E1289" s="57" t="s">
        <v>3607</v>
      </c>
      <c r="F1289" s="264"/>
      <c r="G1289" s="265" t="s">
        <v>4986</v>
      </c>
      <c r="H1289" s="300" t="s">
        <v>3481</v>
      </c>
      <c r="I1289" s="42">
        <v>300.0</v>
      </c>
      <c r="J1289" s="42">
        <v>2.0</v>
      </c>
      <c r="K1289" s="42">
        <v>2.0</v>
      </c>
      <c r="L1289" s="301">
        <v>0.0</v>
      </c>
      <c r="M1289" s="34" t="s">
        <v>4980</v>
      </c>
      <c r="N1289" s="301" t="s">
        <v>46</v>
      </c>
      <c r="O1289" s="70">
        <v>0.0</v>
      </c>
      <c r="P1289" s="70" t="s">
        <v>29</v>
      </c>
      <c r="Q1289" s="31">
        <v>0.0</v>
      </c>
      <c r="R1289" s="46"/>
    </row>
    <row r="1290" ht="14.25" customHeight="1">
      <c r="A1290" s="211">
        <v>9.0</v>
      </c>
      <c r="B1290" s="34" t="s">
        <v>4997</v>
      </c>
      <c r="C1290" s="34" t="s">
        <v>4998</v>
      </c>
      <c r="D1290" s="57" t="s">
        <v>2000</v>
      </c>
      <c r="E1290" s="57" t="s">
        <v>3607</v>
      </c>
      <c r="F1290" s="264"/>
      <c r="G1290" s="265" t="s">
        <v>4986</v>
      </c>
      <c r="H1290" s="300" t="s">
        <v>3481</v>
      </c>
      <c r="I1290" s="42">
        <v>200.0</v>
      </c>
      <c r="J1290" s="42">
        <v>2.0</v>
      </c>
      <c r="K1290" s="42">
        <v>2.0</v>
      </c>
      <c r="L1290" s="301">
        <v>0.0</v>
      </c>
      <c r="M1290" s="34" t="s">
        <v>4980</v>
      </c>
      <c r="N1290" s="301" t="s">
        <v>46</v>
      </c>
      <c r="O1290" s="70">
        <v>0.0</v>
      </c>
      <c r="P1290" s="70" t="s">
        <v>29</v>
      </c>
      <c r="Q1290" s="31">
        <v>0.0</v>
      </c>
      <c r="R1290" s="46"/>
    </row>
    <row r="1291" ht="14.25" customHeight="1">
      <c r="A1291" s="211">
        <v>10.0</v>
      </c>
      <c r="B1291" s="34" t="s">
        <v>4999</v>
      </c>
      <c r="C1291" s="34" t="s">
        <v>5000</v>
      </c>
      <c r="D1291" s="57" t="s">
        <v>2000</v>
      </c>
      <c r="E1291" s="57" t="s">
        <v>3607</v>
      </c>
      <c r="F1291" s="264"/>
      <c r="G1291" s="265" t="s">
        <v>4986</v>
      </c>
      <c r="H1291" s="300" t="s">
        <v>3481</v>
      </c>
      <c r="I1291" s="42">
        <v>200.0</v>
      </c>
      <c r="J1291" s="42">
        <v>1.0</v>
      </c>
      <c r="K1291" s="42">
        <v>1.0</v>
      </c>
      <c r="L1291" s="301">
        <v>0.0</v>
      </c>
      <c r="M1291" s="34" t="s">
        <v>4980</v>
      </c>
      <c r="N1291" s="301" t="s">
        <v>46</v>
      </c>
      <c r="O1291" s="70">
        <v>0.0</v>
      </c>
      <c r="P1291" s="70" t="s">
        <v>29</v>
      </c>
      <c r="Q1291" s="31">
        <v>0.0</v>
      </c>
      <c r="R1291" s="46"/>
    </row>
    <row r="1292" ht="14.25" customHeight="1">
      <c r="A1292" s="211">
        <v>11.0</v>
      </c>
      <c r="B1292" s="34" t="s">
        <v>5001</v>
      </c>
      <c r="C1292" s="34" t="s">
        <v>5002</v>
      </c>
      <c r="D1292" s="57" t="s">
        <v>2000</v>
      </c>
      <c r="E1292" s="57" t="s">
        <v>3607</v>
      </c>
      <c r="F1292" s="264"/>
      <c r="G1292" s="265" t="s">
        <v>4986</v>
      </c>
      <c r="H1292" s="300" t="s">
        <v>3481</v>
      </c>
      <c r="I1292" s="42">
        <v>250.0</v>
      </c>
      <c r="J1292" s="42">
        <v>1.0</v>
      </c>
      <c r="K1292" s="42">
        <v>1.0</v>
      </c>
      <c r="L1292" s="301">
        <v>0.0</v>
      </c>
      <c r="M1292" s="34" t="s">
        <v>4980</v>
      </c>
      <c r="N1292" s="301" t="s">
        <v>46</v>
      </c>
      <c r="O1292" s="70">
        <v>0.0</v>
      </c>
      <c r="P1292" s="70" t="s">
        <v>29</v>
      </c>
      <c r="Q1292" s="31">
        <v>0.0</v>
      </c>
      <c r="R1292" s="46"/>
    </row>
    <row r="1293" ht="14.25" customHeight="1">
      <c r="A1293" s="211">
        <v>12.0</v>
      </c>
      <c r="B1293" s="34" t="s">
        <v>5003</v>
      </c>
      <c r="C1293" s="34" t="s">
        <v>5004</v>
      </c>
      <c r="D1293" s="57" t="s">
        <v>2000</v>
      </c>
      <c r="E1293" s="57" t="s">
        <v>3607</v>
      </c>
      <c r="F1293" s="264"/>
      <c r="G1293" s="265" t="s">
        <v>4986</v>
      </c>
      <c r="H1293" s="300" t="s">
        <v>3481</v>
      </c>
      <c r="I1293" s="42">
        <v>200.0</v>
      </c>
      <c r="J1293" s="42">
        <v>1.0</v>
      </c>
      <c r="K1293" s="42">
        <v>1.0</v>
      </c>
      <c r="L1293" s="301">
        <v>0.0</v>
      </c>
      <c r="M1293" s="34" t="s">
        <v>4980</v>
      </c>
      <c r="N1293" s="301" t="s">
        <v>46</v>
      </c>
      <c r="O1293" s="70">
        <v>0.0</v>
      </c>
      <c r="P1293" s="70" t="s">
        <v>29</v>
      </c>
      <c r="Q1293" s="31">
        <v>0.0</v>
      </c>
      <c r="R1293" s="46"/>
    </row>
    <row r="1294" ht="14.25" customHeight="1">
      <c r="A1294" s="211">
        <v>13.0</v>
      </c>
      <c r="B1294" s="34" t="s">
        <v>5005</v>
      </c>
      <c r="C1294" s="34" t="s">
        <v>4985</v>
      </c>
      <c r="D1294" s="57" t="s">
        <v>2000</v>
      </c>
      <c r="E1294" s="57" t="s">
        <v>3607</v>
      </c>
      <c r="F1294" s="264"/>
      <c r="G1294" s="265" t="s">
        <v>4986</v>
      </c>
      <c r="H1294" s="300" t="s">
        <v>3481</v>
      </c>
      <c r="I1294" s="42">
        <v>300.0</v>
      </c>
      <c r="J1294" s="42">
        <v>1.0</v>
      </c>
      <c r="K1294" s="42">
        <v>1.0</v>
      </c>
      <c r="L1294" s="301">
        <v>0.0</v>
      </c>
      <c r="M1294" s="34" t="s">
        <v>4980</v>
      </c>
      <c r="N1294" s="301" t="s">
        <v>46</v>
      </c>
      <c r="O1294" s="70">
        <v>0.0</v>
      </c>
      <c r="P1294" s="70" t="s">
        <v>29</v>
      </c>
      <c r="Q1294" s="31">
        <v>0.0</v>
      </c>
      <c r="R1294" s="46"/>
    </row>
    <row r="1295" ht="14.25" customHeight="1">
      <c r="A1295" s="211">
        <v>14.0</v>
      </c>
      <c r="B1295" s="34" t="s">
        <v>5006</v>
      </c>
      <c r="C1295" s="34" t="s">
        <v>5007</v>
      </c>
      <c r="D1295" s="57" t="s">
        <v>2000</v>
      </c>
      <c r="E1295" s="57" t="s">
        <v>3607</v>
      </c>
      <c r="F1295" s="264"/>
      <c r="G1295" s="265" t="s">
        <v>4986</v>
      </c>
      <c r="H1295" s="300" t="s">
        <v>3481</v>
      </c>
      <c r="I1295" s="42">
        <v>350.0</v>
      </c>
      <c r="J1295" s="42">
        <v>2.0</v>
      </c>
      <c r="K1295" s="42">
        <v>2.0</v>
      </c>
      <c r="L1295" s="301">
        <v>0.0</v>
      </c>
      <c r="M1295" s="34" t="s">
        <v>4980</v>
      </c>
      <c r="N1295" s="301" t="s">
        <v>46</v>
      </c>
      <c r="O1295" s="70">
        <v>0.0</v>
      </c>
      <c r="P1295" s="70" t="s">
        <v>29</v>
      </c>
      <c r="Q1295" s="31">
        <v>0.0</v>
      </c>
      <c r="R1295" s="46"/>
    </row>
    <row r="1296" ht="14.25" customHeight="1">
      <c r="A1296" s="211">
        <v>15.0</v>
      </c>
      <c r="B1296" s="34" t="s">
        <v>5008</v>
      </c>
      <c r="C1296" s="34" t="s">
        <v>5009</v>
      </c>
      <c r="D1296" s="57" t="s">
        <v>2000</v>
      </c>
      <c r="E1296" s="57" t="s">
        <v>3607</v>
      </c>
      <c r="F1296" s="264"/>
      <c r="G1296" s="265" t="s">
        <v>4986</v>
      </c>
      <c r="H1296" s="300" t="s">
        <v>3481</v>
      </c>
      <c r="I1296" s="42">
        <v>200.0</v>
      </c>
      <c r="J1296" s="42">
        <v>2.0</v>
      </c>
      <c r="K1296" s="42">
        <v>2.0</v>
      </c>
      <c r="L1296" s="301">
        <v>0.0</v>
      </c>
      <c r="M1296" s="34" t="s">
        <v>4980</v>
      </c>
      <c r="N1296" s="301" t="s">
        <v>46</v>
      </c>
      <c r="O1296" s="70">
        <v>0.0</v>
      </c>
      <c r="P1296" s="70" t="s">
        <v>29</v>
      </c>
      <c r="Q1296" s="31">
        <v>0.0</v>
      </c>
      <c r="R1296" s="46"/>
    </row>
    <row r="1297" ht="14.25" customHeight="1">
      <c r="A1297" s="211">
        <v>16.0</v>
      </c>
      <c r="B1297" s="34" t="s">
        <v>5010</v>
      </c>
      <c r="C1297" s="34" t="s">
        <v>5011</v>
      </c>
      <c r="D1297" s="57" t="s">
        <v>2000</v>
      </c>
      <c r="E1297" s="57" t="s">
        <v>3607</v>
      </c>
      <c r="F1297" s="264"/>
      <c r="G1297" s="265" t="s">
        <v>4986</v>
      </c>
      <c r="H1297" s="300" t="s">
        <v>3481</v>
      </c>
      <c r="I1297" s="42">
        <v>200.0</v>
      </c>
      <c r="J1297" s="42">
        <v>1.0</v>
      </c>
      <c r="K1297" s="42">
        <v>1.0</v>
      </c>
      <c r="L1297" s="301">
        <v>0.0</v>
      </c>
      <c r="M1297" s="34" t="s">
        <v>4980</v>
      </c>
      <c r="N1297" s="301" t="s">
        <v>46</v>
      </c>
      <c r="O1297" s="70">
        <v>0.0</v>
      </c>
      <c r="P1297" s="70" t="s">
        <v>29</v>
      </c>
      <c r="Q1297" s="31">
        <v>0.0</v>
      </c>
      <c r="R1297" s="46"/>
    </row>
    <row r="1298" ht="14.25" customHeight="1">
      <c r="A1298" s="211">
        <v>17.0</v>
      </c>
      <c r="B1298" s="34" t="s">
        <v>5012</v>
      </c>
      <c r="C1298" s="34" t="s">
        <v>5013</v>
      </c>
      <c r="D1298" s="57" t="s">
        <v>2000</v>
      </c>
      <c r="E1298" s="57" t="s">
        <v>3607</v>
      </c>
      <c r="F1298" s="264"/>
      <c r="G1298" s="265" t="s">
        <v>4986</v>
      </c>
      <c r="H1298" s="300" t="s">
        <v>3481</v>
      </c>
      <c r="I1298" s="42">
        <v>100.0</v>
      </c>
      <c r="J1298" s="42">
        <v>1.0</v>
      </c>
      <c r="K1298" s="42">
        <v>1.0</v>
      </c>
      <c r="L1298" s="301">
        <v>0.0</v>
      </c>
      <c r="M1298" s="34" t="s">
        <v>4980</v>
      </c>
      <c r="N1298" s="301" t="s">
        <v>46</v>
      </c>
      <c r="O1298" s="70">
        <v>0.0</v>
      </c>
      <c r="P1298" s="70" t="s">
        <v>29</v>
      </c>
      <c r="Q1298" s="31">
        <v>0.0</v>
      </c>
      <c r="R1298" s="46"/>
    </row>
    <row r="1299" ht="14.25" customHeight="1">
      <c r="A1299" s="211">
        <v>18.0</v>
      </c>
      <c r="B1299" s="34" t="s">
        <v>5014</v>
      </c>
      <c r="C1299" s="34" t="s">
        <v>5015</v>
      </c>
      <c r="D1299" s="57" t="s">
        <v>2000</v>
      </c>
      <c r="E1299" s="57" t="s">
        <v>3607</v>
      </c>
      <c r="F1299" s="264"/>
      <c r="G1299" s="265" t="s">
        <v>4986</v>
      </c>
      <c r="H1299" s="300" t="s">
        <v>3481</v>
      </c>
      <c r="I1299" s="42">
        <v>200.0</v>
      </c>
      <c r="J1299" s="42">
        <v>1.0</v>
      </c>
      <c r="K1299" s="42">
        <v>1.0</v>
      </c>
      <c r="L1299" s="301">
        <v>0.0</v>
      </c>
      <c r="M1299" s="34" t="s">
        <v>4980</v>
      </c>
      <c r="N1299" s="301" t="s">
        <v>46</v>
      </c>
      <c r="O1299" s="70">
        <v>0.0</v>
      </c>
      <c r="P1299" s="70" t="s">
        <v>29</v>
      </c>
      <c r="Q1299" s="31">
        <v>0.0</v>
      </c>
      <c r="R1299" s="46"/>
    </row>
    <row r="1300" ht="14.25" customHeight="1">
      <c r="A1300" s="211">
        <v>19.0</v>
      </c>
      <c r="B1300" s="34" t="s">
        <v>5016</v>
      </c>
      <c r="C1300" s="34" t="s">
        <v>5017</v>
      </c>
      <c r="D1300" s="57" t="s">
        <v>2000</v>
      </c>
      <c r="E1300" s="57" t="s">
        <v>3607</v>
      </c>
      <c r="F1300" s="264"/>
      <c r="G1300" s="265" t="s">
        <v>4986</v>
      </c>
      <c r="H1300" s="300" t="s">
        <v>3481</v>
      </c>
      <c r="I1300" s="42">
        <v>200.0</v>
      </c>
      <c r="J1300" s="42">
        <v>1.0</v>
      </c>
      <c r="K1300" s="42">
        <v>1.0</v>
      </c>
      <c r="L1300" s="301">
        <v>0.0</v>
      </c>
      <c r="M1300" s="34" t="s">
        <v>4980</v>
      </c>
      <c r="N1300" s="301" t="s">
        <v>46</v>
      </c>
      <c r="O1300" s="70">
        <v>0.0</v>
      </c>
      <c r="P1300" s="70" t="s">
        <v>29</v>
      </c>
      <c r="Q1300" s="31">
        <v>0.0</v>
      </c>
      <c r="R1300" s="46"/>
    </row>
    <row r="1301" ht="14.25" customHeight="1">
      <c r="A1301" s="211">
        <v>20.0</v>
      </c>
      <c r="B1301" s="34" t="s">
        <v>5018</v>
      </c>
      <c r="C1301" s="34" t="s">
        <v>5019</v>
      </c>
      <c r="D1301" s="57" t="s">
        <v>2000</v>
      </c>
      <c r="E1301" s="57" t="s">
        <v>3607</v>
      </c>
      <c r="F1301" s="264"/>
      <c r="G1301" s="265" t="s">
        <v>4986</v>
      </c>
      <c r="H1301" s="300" t="s">
        <v>3481</v>
      </c>
      <c r="I1301" s="42">
        <v>150.0</v>
      </c>
      <c r="J1301" s="42">
        <v>1.0</v>
      </c>
      <c r="K1301" s="42">
        <v>1.0</v>
      </c>
      <c r="L1301" s="301">
        <v>0.0</v>
      </c>
      <c r="M1301" s="34" t="s">
        <v>4980</v>
      </c>
      <c r="N1301" s="301" t="s">
        <v>46</v>
      </c>
      <c r="O1301" s="70">
        <v>0.0</v>
      </c>
      <c r="P1301" s="70" t="s">
        <v>29</v>
      </c>
      <c r="Q1301" s="31">
        <v>0.0</v>
      </c>
      <c r="R1301" s="46"/>
    </row>
    <row r="1302" ht="15.75" customHeight="1">
      <c r="A1302" s="181"/>
      <c r="B1302" s="182" t="s">
        <v>5020</v>
      </c>
      <c r="C1302" s="22"/>
      <c r="D1302" s="22"/>
      <c r="E1302" s="22"/>
      <c r="F1302" s="209"/>
      <c r="G1302" s="210"/>
      <c r="H1302" s="22"/>
      <c r="I1302" s="22"/>
      <c r="J1302" s="22"/>
      <c r="K1302" s="22"/>
      <c r="L1302" s="22"/>
      <c r="M1302" s="22"/>
      <c r="N1302" s="22"/>
      <c r="O1302" s="22"/>
      <c r="P1302" s="22"/>
      <c r="Q1302" s="209"/>
      <c r="R1302" s="218"/>
    </row>
    <row r="1303" ht="14.25" customHeight="1">
      <c r="A1303" s="211">
        <v>1.0</v>
      </c>
      <c r="B1303" s="34" t="s">
        <v>5021</v>
      </c>
      <c r="C1303" s="34" t="s">
        <v>5022</v>
      </c>
      <c r="D1303" s="57" t="s">
        <v>2000</v>
      </c>
      <c r="E1303" s="57" t="s">
        <v>3607</v>
      </c>
      <c r="F1303" s="264"/>
      <c r="G1303" s="266" t="s">
        <v>4338</v>
      </c>
      <c r="H1303" s="72">
        <v>200.0</v>
      </c>
      <c r="I1303" s="31">
        <f t="shared" ref="I1303:I1345" si="1">H1303*5</f>
        <v>1000</v>
      </c>
      <c r="J1303" s="42" t="s">
        <v>5023</v>
      </c>
      <c r="K1303" s="42" t="s">
        <v>5024</v>
      </c>
      <c r="L1303" s="70">
        <v>1.0</v>
      </c>
      <c r="M1303" s="34" t="s">
        <v>27</v>
      </c>
      <c r="N1303" s="301" t="s">
        <v>46</v>
      </c>
      <c r="O1303" s="70">
        <v>20000.0</v>
      </c>
      <c r="P1303" s="70" t="s">
        <v>29</v>
      </c>
      <c r="Q1303" s="32">
        <v>0.0</v>
      </c>
      <c r="R1303" s="46"/>
    </row>
    <row r="1304" ht="18.75" customHeight="1">
      <c r="A1304" s="224">
        <v>2.0</v>
      </c>
      <c r="B1304" s="302" t="s">
        <v>5025</v>
      </c>
      <c r="C1304" s="34" t="s">
        <v>5026</v>
      </c>
      <c r="D1304" s="57" t="s">
        <v>2000</v>
      </c>
      <c r="E1304" s="57" t="s">
        <v>3607</v>
      </c>
      <c r="F1304" s="303"/>
      <c r="G1304" s="266" t="s">
        <v>4338</v>
      </c>
      <c r="H1304" s="72">
        <v>24.0</v>
      </c>
      <c r="I1304" s="31">
        <f t="shared" si="1"/>
        <v>120</v>
      </c>
      <c r="J1304" s="252" t="s">
        <v>3481</v>
      </c>
      <c r="K1304" s="252" t="s">
        <v>3481</v>
      </c>
      <c r="L1304" s="72">
        <f t="shared" ref="L1304:L1324" si="2">H1304/4</f>
        <v>6</v>
      </c>
      <c r="M1304" s="34" t="s">
        <v>5027</v>
      </c>
      <c r="N1304" s="301" t="s">
        <v>46</v>
      </c>
      <c r="O1304" s="304">
        <v>0.0</v>
      </c>
      <c r="P1304" s="70" t="s">
        <v>29</v>
      </c>
      <c r="Q1304" s="32">
        <v>0.0</v>
      </c>
      <c r="R1304" s="46"/>
    </row>
    <row r="1305" ht="14.25" customHeight="1">
      <c r="A1305" s="224">
        <v>3.0</v>
      </c>
      <c r="B1305" s="302" t="s">
        <v>5028</v>
      </c>
      <c r="C1305" s="34" t="s">
        <v>5029</v>
      </c>
      <c r="D1305" s="57" t="s">
        <v>2000</v>
      </c>
      <c r="E1305" s="57" t="s">
        <v>3607</v>
      </c>
      <c r="F1305" s="303"/>
      <c r="G1305" s="266" t="s">
        <v>4338</v>
      </c>
      <c r="H1305" s="72">
        <v>52.0</v>
      </c>
      <c r="I1305" s="31">
        <f t="shared" si="1"/>
        <v>260</v>
      </c>
      <c r="J1305" s="252" t="s">
        <v>3481</v>
      </c>
      <c r="K1305" s="252" t="s">
        <v>3481</v>
      </c>
      <c r="L1305" s="72">
        <f t="shared" si="2"/>
        <v>13</v>
      </c>
      <c r="M1305" s="34" t="s">
        <v>5027</v>
      </c>
      <c r="N1305" s="301" t="s">
        <v>46</v>
      </c>
      <c r="O1305" s="304">
        <v>0.0</v>
      </c>
      <c r="P1305" s="70" t="s">
        <v>29</v>
      </c>
      <c r="Q1305" s="32">
        <v>0.0</v>
      </c>
      <c r="R1305" s="46"/>
    </row>
    <row r="1306" ht="14.25" customHeight="1">
      <c r="A1306" s="224">
        <v>4.0</v>
      </c>
      <c r="B1306" s="302" t="s">
        <v>5030</v>
      </c>
      <c r="C1306" s="34" t="s">
        <v>5031</v>
      </c>
      <c r="D1306" s="57" t="s">
        <v>2000</v>
      </c>
      <c r="E1306" s="57" t="s">
        <v>3607</v>
      </c>
      <c r="F1306" s="303"/>
      <c r="G1306" s="266" t="s">
        <v>4338</v>
      </c>
      <c r="H1306" s="72">
        <v>108.0</v>
      </c>
      <c r="I1306" s="31">
        <f t="shared" si="1"/>
        <v>540</v>
      </c>
      <c r="J1306" s="252" t="s">
        <v>3481</v>
      </c>
      <c r="K1306" s="252" t="s">
        <v>3481</v>
      </c>
      <c r="L1306" s="72">
        <f t="shared" si="2"/>
        <v>27</v>
      </c>
      <c r="M1306" s="34" t="s">
        <v>5027</v>
      </c>
      <c r="N1306" s="301" t="s">
        <v>46</v>
      </c>
      <c r="O1306" s="304">
        <v>0.0</v>
      </c>
      <c r="P1306" s="72" t="s">
        <v>29</v>
      </c>
      <c r="Q1306" s="32">
        <v>0.0</v>
      </c>
      <c r="R1306" s="46"/>
    </row>
    <row r="1307" ht="14.25" customHeight="1">
      <c r="A1307" s="224">
        <v>5.0</v>
      </c>
      <c r="B1307" s="302" t="s">
        <v>5032</v>
      </c>
      <c r="C1307" s="34" t="s">
        <v>5031</v>
      </c>
      <c r="D1307" s="57" t="s">
        <v>2000</v>
      </c>
      <c r="E1307" s="57" t="s">
        <v>3607</v>
      </c>
      <c r="F1307" s="303"/>
      <c r="G1307" s="266" t="s">
        <v>4338</v>
      </c>
      <c r="H1307" s="72">
        <v>92.0</v>
      </c>
      <c r="I1307" s="31">
        <f t="shared" si="1"/>
        <v>460</v>
      </c>
      <c r="J1307" s="252" t="s">
        <v>3481</v>
      </c>
      <c r="K1307" s="252" t="s">
        <v>3481</v>
      </c>
      <c r="L1307" s="72">
        <f t="shared" si="2"/>
        <v>23</v>
      </c>
      <c r="M1307" s="34" t="s">
        <v>5027</v>
      </c>
      <c r="N1307" s="301" t="s">
        <v>46</v>
      </c>
      <c r="O1307" s="304">
        <v>0.0</v>
      </c>
      <c r="P1307" s="72" t="s">
        <v>29</v>
      </c>
      <c r="Q1307" s="32">
        <v>0.0</v>
      </c>
      <c r="R1307" s="46"/>
    </row>
    <row r="1308" ht="14.25" customHeight="1">
      <c r="A1308" s="224">
        <v>6.0</v>
      </c>
      <c r="B1308" s="302" t="s">
        <v>5033</v>
      </c>
      <c r="C1308" s="34" t="s">
        <v>5034</v>
      </c>
      <c r="D1308" s="57" t="s">
        <v>2000</v>
      </c>
      <c r="E1308" s="57" t="s">
        <v>3607</v>
      </c>
      <c r="F1308" s="303"/>
      <c r="G1308" s="266" t="s">
        <v>4338</v>
      </c>
      <c r="H1308" s="72">
        <v>40.0</v>
      </c>
      <c r="I1308" s="31">
        <f t="shared" si="1"/>
        <v>200</v>
      </c>
      <c r="J1308" s="252" t="s">
        <v>3481</v>
      </c>
      <c r="K1308" s="252" t="s">
        <v>3481</v>
      </c>
      <c r="L1308" s="72">
        <f t="shared" si="2"/>
        <v>10</v>
      </c>
      <c r="M1308" s="34" t="s">
        <v>5027</v>
      </c>
      <c r="N1308" s="301" t="s">
        <v>46</v>
      </c>
      <c r="O1308" s="304">
        <v>0.0</v>
      </c>
      <c r="P1308" s="72" t="s">
        <v>29</v>
      </c>
      <c r="Q1308" s="32">
        <v>0.0</v>
      </c>
      <c r="R1308" s="46"/>
    </row>
    <row r="1309" ht="14.25" customHeight="1">
      <c r="A1309" s="224">
        <v>7.0</v>
      </c>
      <c r="B1309" s="302" t="s">
        <v>5035</v>
      </c>
      <c r="C1309" s="34" t="s">
        <v>5036</v>
      </c>
      <c r="D1309" s="57" t="s">
        <v>2000</v>
      </c>
      <c r="E1309" s="57" t="s">
        <v>3607</v>
      </c>
      <c r="F1309" s="303"/>
      <c r="G1309" s="266" t="s">
        <v>4338</v>
      </c>
      <c r="H1309" s="72">
        <v>68.0</v>
      </c>
      <c r="I1309" s="31">
        <f t="shared" si="1"/>
        <v>340</v>
      </c>
      <c r="J1309" s="252" t="s">
        <v>3481</v>
      </c>
      <c r="K1309" s="252" t="s">
        <v>3481</v>
      </c>
      <c r="L1309" s="72">
        <f t="shared" si="2"/>
        <v>17</v>
      </c>
      <c r="M1309" s="34" t="s">
        <v>5027</v>
      </c>
      <c r="N1309" s="301" t="s">
        <v>46</v>
      </c>
      <c r="O1309" s="304">
        <v>0.0</v>
      </c>
      <c r="P1309" s="72" t="s">
        <v>29</v>
      </c>
      <c r="Q1309" s="32">
        <v>0.0</v>
      </c>
      <c r="R1309" s="46"/>
    </row>
    <row r="1310" ht="14.25" customHeight="1">
      <c r="A1310" s="224">
        <v>8.0</v>
      </c>
      <c r="B1310" s="302" t="s">
        <v>5037</v>
      </c>
      <c r="C1310" s="34" t="s">
        <v>5036</v>
      </c>
      <c r="D1310" s="57" t="s">
        <v>2000</v>
      </c>
      <c r="E1310" s="57" t="s">
        <v>3607</v>
      </c>
      <c r="F1310" s="303"/>
      <c r="G1310" s="266" t="s">
        <v>4338</v>
      </c>
      <c r="H1310" s="72">
        <v>96.0</v>
      </c>
      <c r="I1310" s="31">
        <f t="shared" si="1"/>
        <v>480</v>
      </c>
      <c r="J1310" s="252" t="s">
        <v>3481</v>
      </c>
      <c r="K1310" s="252" t="s">
        <v>3481</v>
      </c>
      <c r="L1310" s="72">
        <f t="shared" si="2"/>
        <v>24</v>
      </c>
      <c r="M1310" s="34" t="s">
        <v>5027</v>
      </c>
      <c r="N1310" s="301" t="s">
        <v>46</v>
      </c>
      <c r="O1310" s="304">
        <v>0.0</v>
      </c>
      <c r="P1310" s="72" t="s">
        <v>29</v>
      </c>
      <c r="Q1310" s="32">
        <v>0.0</v>
      </c>
      <c r="R1310" s="46"/>
    </row>
    <row r="1311" ht="19.5" customHeight="1">
      <c r="A1311" s="224">
        <v>9.0</v>
      </c>
      <c r="B1311" s="305" t="s">
        <v>5038</v>
      </c>
      <c r="C1311" s="34" t="s">
        <v>5039</v>
      </c>
      <c r="D1311" s="57" t="s">
        <v>2000</v>
      </c>
      <c r="E1311" s="57" t="s">
        <v>3607</v>
      </c>
      <c r="F1311" s="303"/>
      <c r="G1311" s="266" t="s">
        <v>4338</v>
      </c>
      <c r="H1311" s="72">
        <v>52.0</v>
      </c>
      <c r="I1311" s="31">
        <f t="shared" si="1"/>
        <v>260</v>
      </c>
      <c r="J1311" s="252" t="s">
        <v>3481</v>
      </c>
      <c r="K1311" s="252" t="s">
        <v>3481</v>
      </c>
      <c r="L1311" s="72">
        <f t="shared" si="2"/>
        <v>13</v>
      </c>
      <c r="M1311" s="34" t="s">
        <v>5027</v>
      </c>
      <c r="N1311" s="301" t="s">
        <v>46</v>
      </c>
      <c r="O1311" s="304">
        <v>0.0</v>
      </c>
      <c r="P1311" s="72" t="s">
        <v>29</v>
      </c>
      <c r="Q1311" s="32">
        <v>0.0</v>
      </c>
      <c r="R1311" s="46"/>
    </row>
    <row r="1312" ht="14.25" customHeight="1">
      <c r="A1312" s="224">
        <v>10.0</v>
      </c>
      <c r="B1312" s="302" t="s">
        <v>5040</v>
      </c>
      <c r="C1312" s="34" t="s">
        <v>5041</v>
      </c>
      <c r="D1312" s="57" t="s">
        <v>2000</v>
      </c>
      <c r="E1312" s="57" t="s">
        <v>3607</v>
      </c>
      <c r="F1312" s="303"/>
      <c r="G1312" s="266" t="s">
        <v>4338</v>
      </c>
      <c r="H1312" s="72">
        <v>32.0</v>
      </c>
      <c r="I1312" s="31">
        <f t="shared" si="1"/>
        <v>160</v>
      </c>
      <c r="J1312" s="252" t="s">
        <v>3481</v>
      </c>
      <c r="K1312" s="252" t="s">
        <v>3481</v>
      </c>
      <c r="L1312" s="72">
        <f t="shared" si="2"/>
        <v>8</v>
      </c>
      <c r="M1312" s="34" t="s">
        <v>5027</v>
      </c>
      <c r="N1312" s="301" t="s">
        <v>46</v>
      </c>
      <c r="O1312" s="304">
        <v>0.0</v>
      </c>
      <c r="P1312" s="72" t="s">
        <v>29</v>
      </c>
      <c r="Q1312" s="32">
        <v>0.0</v>
      </c>
      <c r="R1312" s="46"/>
    </row>
    <row r="1313" ht="14.25" customHeight="1">
      <c r="A1313" s="224">
        <v>11.0</v>
      </c>
      <c r="B1313" s="302" t="s">
        <v>5042</v>
      </c>
      <c r="C1313" s="34" t="s">
        <v>5043</v>
      </c>
      <c r="D1313" s="57" t="s">
        <v>2000</v>
      </c>
      <c r="E1313" s="57" t="s">
        <v>3607</v>
      </c>
      <c r="F1313" s="303"/>
      <c r="G1313" s="266" t="s">
        <v>4338</v>
      </c>
      <c r="H1313" s="72">
        <v>32.0</v>
      </c>
      <c r="I1313" s="31">
        <f t="shared" si="1"/>
        <v>160</v>
      </c>
      <c r="J1313" s="252" t="s">
        <v>3481</v>
      </c>
      <c r="K1313" s="252" t="s">
        <v>3481</v>
      </c>
      <c r="L1313" s="72">
        <f t="shared" si="2"/>
        <v>8</v>
      </c>
      <c r="M1313" s="34" t="s">
        <v>5027</v>
      </c>
      <c r="N1313" s="301" t="s">
        <v>46</v>
      </c>
      <c r="O1313" s="304">
        <v>0.0</v>
      </c>
      <c r="P1313" s="72" t="s">
        <v>29</v>
      </c>
      <c r="Q1313" s="32">
        <v>0.0</v>
      </c>
      <c r="R1313" s="46"/>
    </row>
    <row r="1314" ht="14.25" customHeight="1">
      <c r="A1314" s="224">
        <v>12.0</v>
      </c>
      <c r="B1314" s="302" t="s">
        <v>5044</v>
      </c>
      <c r="C1314" s="34" t="s">
        <v>5045</v>
      </c>
      <c r="D1314" s="57" t="s">
        <v>2000</v>
      </c>
      <c r="E1314" s="57" t="s">
        <v>3607</v>
      </c>
      <c r="F1314" s="303"/>
      <c r="G1314" s="266" t="s">
        <v>4338</v>
      </c>
      <c r="H1314" s="72">
        <v>584.0</v>
      </c>
      <c r="I1314" s="31">
        <f t="shared" si="1"/>
        <v>2920</v>
      </c>
      <c r="J1314" s="252" t="s">
        <v>3481</v>
      </c>
      <c r="K1314" s="252" t="s">
        <v>3481</v>
      </c>
      <c r="L1314" s="72">
        <f t="shared" si="2"/>
        <v>146</v>
      </c>
      <c r="M1314" s="34" t="s">
        <v>5027</v>
      </c>
      <c r="N1314" s="301" t="s">
        <v>46</v>
      </c>
      <c r="O1314" s="304">
        <v>0.0</v>
      </c>
      <c r="P1314" s="72" t="s">
        <v>29</v>
      </c>
      <c r="Q1314" s="32">
        <v>0.0</v>
      </c>
      <c r="R1314" s="46"/>
    </row>
    <row r="1315" ht="14.25" customHeight="1">
      <c r="A1315" s="224">
        <v>13.0</v>
      </c>
      <c r="B1315" s="302" t="s">
        <v>5046</v>
      </c>
      <c r="C1315" s="34" t="s">
        <v>5047</v>
      </c>
      <c r="D1315" s="57" t="s">
        <v>2000</v>
      </c>
      <c r="E1315" s="57" t="s">
        <v>3607</v>
      </c>
      <c r="F1315" s="303"/>
      <c r="G1315" s="266" t="s">
        <v>4338</v>
      </c>
      <c r="H1315" s="72">
        <v>28.0</v>
      </c>
      <c r="I1315" s="31">
        <f t="shared" si="1"/>
        <v>140</v>
      </c>
      <c r="J1315" s="252" t="s">
        <v>3481</v>
      </c>
      <c r="K1315" s="252" t="s">
        <v>3481</v>
      </c>
      <c r="L1315" s="72">
        <f t="shared" si="2"/>
        <v>7</v>
      </c>
      <c r="M1315" s="34" t="s">
        <v>5027</v>
      </c>
      <c r="N1315" s="301" t="s">
        <v>46</v>
      </c>
      <c r="O1315" s="304">
        <v>0.0</v>
      </c>
      <c r="P1315" s="72" t="s">
        <v>29</v>
      </c>
      <c r="Q1315" s="32">
        <v>0.0</v>
      </c>
      <c r="R1315" s="46"/>
    </row>
    <row r="1316" ht="14.25" customHeight="1">
      <c r="A1316" s="224">
        <v>14.0</v>
      </c>
      <c r="B1316" s="302" t="s">
        <v>5048</v>
      </c>
      <c r="C1316" s="34" t="s">
        <v>5049</v>
      </c>
      <c r="D1316" s="57" t="s">
        <v>2000</v>
      </c>
      <c r="E1316" s="57" t="s">
        <v>3607</v>
      </c>
      <c r="F1316" s="303"/>
      <c r="G1316" s="266" t="s">
        <v>4338</v>
      </c>
      <c r="H1316" s="72">
        <v>32.0</v>
      </c>
      <c r="I1316" s="31">
        <f t="shared" si="1"/>
        <v>160</v>
      </c>
      <c r="J1316" s="252" t="s">
        <v>3481</v>
      </c>
      <c r="K1316" s="252" t="s">
        <v>3481</v>
      </c>
      <c r="L1316" s="72">
        <f t="shared" si="2"/>
        <v>8</v>
      </c>
      <c r="M1316" s="34" t="s">
        <v>5027</v>
      </c>
      <c r="N1316" s="301" t="s">
        <v>46</v>
      </c>
      <c r="O1316" s="304">
        <v>0.0</v>
      </c>
      <c r="P1316" s="72" t="s">
        <v>29</v>
      </c>
      <c r="Q1316" s="32">
        <v>0.0</v>
      </c>
      <c r="R1316" s="46"/>
    </row>
    <row r="1317" ht="14.25" customHeight="1">
      <c r="A1317" s="224">
        <v>15.0</v>
      </c>
      <c r="B1317" s="302" t="s">
        <v>5050</v>
      </c>
      <c r="C1317" s="34" t="s">
        <v>5051</v>
      </c>
      <c r="D1317" s="57" t="s">
        <v>2000</v>
      </c>
      <c r="E1317" s="57" t="s">
        <v>3607</v>
      </c>
      <c r="F1317" s="303"/>
      <c r="G1317" s="266" t="s">
        <v>4338</v>
      </c>
      <c r="H1317" s="72">
        <v>64.0</v>
      </c>
      <c r="I1317" s="31">
        <f t="shared" si="1"/>
        <v>320</v>
      </c>
      <c r="J1317" s="252" t="s">
        <v>3481</v>
      </c>
      <c r="K1317" s="252" t="s">
        <v>3481</v>
      </c>
      <c r="L1317" s="72">
        <f t="shared" si="2"/>
        <v>16</v>
      </c>
      <c r="M1317" s="34" t="s">
        <v>5027</v>
      </c>
      <c r="N1317" s="301" t="s">
        <v>46</v>
      </c>
      <c r="O1317" s="304">
        <v>0.0</v>
      </c>
      <c r="P1317" s="72" t="s">
        <v>29</v>
      </c>
      <c r="Q1317" s="32">
        <v>0.0</v>
      </c>
      <c r="R1317" s="46"/>
    </row>
    <row r="1318" ht="14.25" customHeight="1">
      <c r="A1318" s="224">
        <v>16.0</v>
      </c>
      <c r="B1318" s="302" t="s">
        <v>5052</v>
      </c>
      <c r="C1318" s="34" t="s">
        <v>5053</v>
      </c>
      <c r="D1318" s="57" t="s">
        <v>2000</v>
      </c>
      <c r="E1318" s="57" t="s">
        <v>3607</v>
      </c>
      <c r="F1318" s="303"/>
      <c r="G1318" s="266" t="s">
        <v>4338</v>
      </c>
      <c r="H1318" s="72">
        <v>52.0</v>
      </c>
      <c r="I1318" s="31">
        <f t="shared" si="1"/>
        <v>260</v>
      </c>
      <c r="J1318" s="252" t="s">
        <v>3481</v>
      </c>
      <c r="K1318" s="252" t="s">
        <v>3481</v>
      </c>
      <c r="L1318" s="72">
        <f t="shared" si="2"/>
        <v>13</v>
      </c>
      <c r="M1318" s="34" t="s">
        <v>5027</v>
      </c>
      <c r="N1318" s="301" t="s">
        <v>46</v>
      </c>
      <c r="O1318" s="304">
        <v>0.0</v>
      </c>
      <c r="P1318" s="72" t="s">
        <v>29</v>
      </c>
      <c r="Q1318" s="32">
        <v>0.0</v>
      </c>
      <c r="R1318" s="46"/>
    </row>
    <row r="1319" ht="14.25" customHeight="1">
      <c r="A1319" s="224">
        <v>17.0</v>
      </c>
      <c r="B1319" s="302" t="s">
        <v>5054</v>
      </c>
      <c r="C1319" s="34" t="s">
        <v>5055</v>
      </c>
      <c r="D1319" s="57" t="s">
        <v>2000</v>
      </c>
      <c r="E1319" s="57" t="s">
        <v>3607</v>
      </c>
      <c r="F1319" s="303"/>
      <c r="G1319" s="266" t="s">
        <v>4338</v>
      </c>
      <c r="H1319" s="72">
        <v>52.0</v>
      </c>
      <c r="I1319" s="31">
        <f t="shared" si="1"/>
        <v>260</v>
      </c>
      <c r="J1319" s="252" t="s">
        <v>3481</v>
      </c>
      <c r="K1319" s="252" t="s">
        <v>3481</v>
      </c>
      <c r="L1319" s="72">
        <f t="shared" si="2"/>
        <v>13</v>
      </c>
      <c r="M1319" s="34" t="s">
        <v>5027</v>
      </c>
      <c r="N1319" s="301" t="s">
        <v>46</v>
      </c>
      <c r="O1319" s="304">
        <v>0.0</v>
      </c>
      <c r="P1319" s="72" t="s">
        <v>29</v>
      </c>
      <c r="Q1319" s="32">
        <v>0.0</v>
      </c>
      <c r="R1319" s="46"/>
    </row>
    <row r="1320" ht="14.25" customHeight="1">
      <c r="A1320" s="224">
        <v>18.0</v>
      </c>
      <c r="B1320" s="302" t="s">
        <v>5056</v>
      </c>
      <c r="C1320" s="34" t="s">
        <v>5057</v>
      </c>
      <c r="D1320" s="57" t="s">
        <v>2000</v>
      </c>
      <c r="E1320" s="57" t="s">
        <v>3607</v>
      </c>
      <c r="F1320" s="303"/>
      <c r="G1320" s="266" t="s">
        <v>4338</v>
      </c>
      <c r="H1320" s="72">
        <v>60.0</v>
      </c>
      <c r="I1320" s="31">
        <f t="shared" si="1"/>
        <v>300</v>
      </c>
      <c r="J1320" s="252" t="s">
        <v>3481</v>
      </c>
      <c r="K1320" s="252" t="s">
        <v>3481</v>
      </c>
      <c r="L1320" s="72">
        <f t="shared" si="2"/>
        <v>15</v>
      </c>
      <c r="M1320" s="34" t="s">
        <v>5027</v>
      </c>
      <c r="N1320" s="301" t="s">
        <v>46</v>
      </c>
      <c r="O1320" s="304">
        <v>0.0</v>
      </c>
      <c r="P1320" s="72" t="s">
        <v>29</v>
      </c>
      <c r="Q1320" s="32">
        <v>0.0</v>
      </c>
      <c r="R1320" s="46"/>
    </row>
    <row r="1321" ht="14.25" customHeight="1">
      <c r="A1321" s="224">
        <v>19.0</v>
      </c>
      <c r="B1321" s="302" t="s">
        <v>5058</v>
      </c>
      <c r="C1321" s="34" t="s">
        <v>5059</v>
      </c>
      <c r="D1321" s="57" t="s">
        <v>2000</v>
      </c>
      <c r="E1321" s="57" t="s">
        <v>3607</v>
      </c>
      <c r="F1321" s="303"/>
      <c r="G1321" s="266" t="s">
        <v>4338</v>
      </c>
      <c r="H1321" s="72">
        <v>64.0</v>
      </c>
      <c r="I1321" s="31">
        <f t="shared" si="1"/>
        <v>320</v>
      </c>
      <c r="J1321" s="252" t="s">
        <v>3481</v>
      </c>
      <c r="K1321" s="252" t="s">
        <v>3481</v>
      </c>
      <c r="L1321" s="72">
        <f t="shared" si="2"/>
        <v>16</v>
      </c>
      <c r="M1321" s="34" t="s">
        <v>5027</v>
      </c>
      <c r="N1321" s="301" t="s">
        <v>46</v>
      </c>
      <c r="O1321" s="304">
        <v>0.0</v>
      </c>
      <c r="P1321" s="72" t="s">
        <v>29</v>
      </c>
      <c r="Q1321" s="32">
        <v>0.0</v>
      </c>
      <c r="R1321" s="46"/>
    </row>
    <row r="1322" ht="14.25" customHeight="1">
      <c r="A1322" s="224">
        <v>20.0</v>
      </c>
      <c r="B1322" s="302" t="s">
        <v>5060</v>
      </c>
      <c r="C1322" s="34" t="s">
        <v>5059</v>
      </c>
      <c r="D1322" s="57" t="s">
        <v>2000</v>
      </c>
      <c r="E1322" s="57" t="s">
        <v>3607</v>
      </c>
      <c r="F1322" s="303"/>
      <c r="G1322" s="266" t="s">
        <v>4338</v>
      </c>
      <c r="H1322" s="72">
        <v>64.0</v>
      </c>
      <c r="I1322" s="31">
        <f t="shared" si="1"/>
        <v>320</v>
      </c>
      <c r="J1322" s="252" t="s">
        <v>3481</v>
      </c>
      <c r="K1322" s="252" t="s">
        <v>3481</v>
      </c>
      <c r="L1322" s="72">
        <f t="shared" si="2"/>
        <v>16</v>
      </c>
      <c r="M1322" s="34" t="s">
        <v>5027</v>
      </c>
      <c r="N1322" s="301" t="s">
        <v>46</v>
      </c>
      <c r="O1322" s="304">
        <v>0.0</v>
      </c>
      <c r="P1322" s="72" t="s">
        <v>29</v>
      </c>
      <c r="Q1322" s="32">
        <v>0.0</v>
      </c>
      <c r="R1322" s="46"/>
    </row>
    <row r="1323" ht="14.25" customHeight="1">
      <c r="A1323" s="224">
        <v>21.0</v>
      </c>
      <c r="B1323" s="302" t="s">
        <v>5061</v>
      </c>
      <c r="C1323" s="34" t="s">
        <v>5059</v>
      </c>
      <c r="D1323" s="57" t="s">
        <v>2000</v>
      </c>
      <c r="E1323" s="57" t="s">
        <v>3607</v>
      </c>
      <c r="F1323" s="303"/>
      <c r="G1323" s="266" t="s">
        <v>4338</v>
      </c>
      <c r="H1323" s="72">
        <v>80.0</v>
      </c>
      <c r="I1323" s="31">
        <f t="shared" si="1"/>
        <v>400</v>
      </c>
      <c r="J1323" s="252" t="s">
        <v>3481</v>
      </c>
      <c r="K1323" s="252" t="s">
        <v>3481</v>
      </c>
      <c r="L1323" s="72">
        <f t="shared" si="2"/>
        <v>20</v>
      </c>
      <c r="M1323" s="34" t="s">
        <v>5027</v>
      </c>
      <c r="N1323" s="301" t="s">
        <v>46</v>
      </c>
      <c r="O1323" s="304">
        <v>0.0</v>
      </c>
      <c r="P1323" s="72" t="s">
        <v>29</v>
      </c>
      <c r="Q1323" s="32">
        <v>0.0</v>
      </c>
      <c r="R1323" s="46"/>
    </row>
    <row r="1324" ht="14.25" customHeight="1">
      <c r="A1324" s="224">
        <v>22.0</v>
      </c>
      <c r="B1324" s="302" t="s">
        <v>5062</v>
      </c>
      <c r="C1324" s="34" t="s">
        <v>5063</v>
      </c>
      <c r="D1324" s="57" t="s">
        <v>2000</v>
      </c>
      <c r="E1324" s="57" t="s">
        <v>3607</v>
      </c>
      <c r="F1324" s="303"/>
      <c r="G1324" s="266" t="s">
        <v>4338</v>
      </c>
      <c r="H1324" s="72">
        <v>4.0</v>
      </c>
      <c r="I1324" s="31">
        <f t="shared" si="1"/>
        <v>20</v>
      </c>
      <c r="J1324" s="252" t="s">
        <v>3481</v>
      </c>
      <c r="K1324" s="252" t="s">
        <v>3481</v>
      </c>
      <c r="L1324" s="72">
        <f t="shared" si="2"/>
        <v>1</v>
      </c>
      <c r="M1324" s="34" t="s">
        <v>5027</v>
      </c>
      <c r="N1324" s="301" t="s">
        <v>46</v>
      </c>
      <c r="O1324" s="304">
        <v>0.0</v>
      </c>
      <c r="P1324" s="72" t="s">
        <v>29</v>
      </c>
      <c r="Q1324" s="32">
        <v>0.0</v>
      </c>
      <c r="R1324" s="46"/>
    </row>
    <row r="1325" ht="14.25" customHeight="1">
      <c r="A1325" s="224">
        <v>23.0</v>
      </c>
      <c r="B1325" s="302" t="s">
        <v>5064</v>
      </c>
      <c r="C1325" s="34" t="s">
        <v>5065</v>
      </c>
      <c r="D1325" s="57" t="s">
        <v>2000</v>
      </c>
      <c r="E1325" s="57" t="s">
        <v>3607</v>
      </c>
      <c r="F1325" s="303"/>
      <c r="G1325" s="266" t="s">
        <v>4338</v>
      </c>
      <c r="H1325" s="72">
        <v>2.0</v>
      </c>
      <c r="I1325" s="31">
        <f t="shared" si="1"/>
        <v>10</v>
      </c>
      <c r="J1325" s="252" t="s">
        <v>3481</v>
      </c>
      <c r="K1325" s="252" t="s">
        <v>3481</v>
      </c>
      <c r="L1325" s="72">
        <v>1.0</v>
      </c>
      <c r="M1325" s="34" t="s">
        <v>5027</v>
      </c>
      <c r="N1325" s="301" t="s">
        <v>46</v>
      </c>
      <c r="O1325" s="304">
        <v>0.0</v>
      </c>
      <c r="P1325" s="72" t="s">
        <v>29</v>
      </c>
      <c r="Q1325" s="32">
        <v>0.0</v>
      </c>
      <c r="R1325" s="46"/>
    </row>
    <row r="1326" ht="14.25" customHeight="1">
      <c r="A1326" s="224">
        <v>24.0</v>
      </c>
      <c r="B1326" s="302" t="s">
        <v>5066</v>
      </c>
      <c r="C1326" s="34" t="s">
        <v>5065</v>
      </c>
      <c r="D1326" s="57" t="s">
        <v>2000</v>
      </c>
      <c r="E1326" s="57" t="s">
        <v>3607</v>
      </c>
      <c r="F1326" s="303"/>
      <c r="G1326" s="266" t="s">
        <v>4338</v>
      </c>
      <c r="H1326" s="72">
        <v>100.0</v>
      </c>
      <c r="I1326" s="31">
        <f t="shared" si="1"/>
        <v>500</v>
      </c>
      <c r="J1326" s="252" t="s">
        <v>3481</v>
      </c>
      <c r="K1326" s="252" t="s">
        <v>3481</v>
      </c>
      <c r="L1326" s="72">
        <f t="shared" ref="L1326:L1345" si="3">H1326/4</f>
        <v>25</v>
      </c>
      <c r="M1326" s="34" t="s">
        <v>5027</v>
      </c>
      <c r="N1326" s="301" t="s">
        <v>46</v>
      </c>
      <c r="O1326" s="304">
        <v>0.0</v>
      </c>
      <c r="P1326" s="72" t="s">
        <v>29</v>
      </c>
      <c r="Q1326" s="32">
        <v>0.0</v>
      </c>
      <c r="R1326" s="46"/>
    </row>
    <row r="1327" ht="14.25" customHeight="1">
      <c r="A1327" s="224">
        <v>25.0</v>
      </c>
      <c r="B1327" s="302" t="s">
        <v>5067</v>
      </c>
      <c r="C1327" s="34" t="s">
        <v>5068</v>
      </c>
      <c r="D1327" s="57" t="s">
        <v>2000</v>
      </c>
      <c r="E1327" s="57" t="s">
        <v>3607</v>
      </c>
      <c r="F1327" s="303"/>
      <c r="G1327" s="266" t="s">
        <v>4338</v>
      </c>
      <c r="H1327" s="72">
        <v>44.0</v>
      </c>
      <c r="I1327" s="31">
        <f t="shared" si="1"/>
        <v>220</v>
      </c>
      <c r="J1327" s="252" t="s">
        <v>3481</v>
      </c>
      <c r="K1327" s="252" t="s">
        <v>3481</v>
      </c>
      <c r="L1327" s="72">
        <f t="shared" si="3"/>
        <v>11</v>
      </c>
      <c r="M1327" s="34" t="s">
        <v>5027</v>
      </c>
      <c r="N1327" s="301" t="s">
        <v>46</v>
      </c>
      <c r="O1327" s="304">
        <v>0.0</v>
      </c>
      <c r="P1327" s="72" t="s">
        <v>29</v>
      </c>
      <c r="Q1327" s="32">
        <v>0.0</v>
      </c>
      <c r="R1327" s="46"/>
    </row>
    <row r="1328" ht="14.25" customHeight="1">
      <c r="A1328" s="224">
        <v>26.0</v>
      </c>
      <c r="B1328" s="302" t="s">
        <v>5069</v>
      </c>
      <c r="C1328" s="34" t="s">
        <v>5070</v>
      </c>
      <c r="D1328" s="57" t="s">
        <v>2000</v>
      </c>
      <c r="E1328" s="57" t="s">
        <v>3607</v>
      </c>
      <c r="F1328" s="303"/>
      <c r="G1328" s="266" t="s">
        <v>4338</v>
      </c>
      <c r="H1328" s="72">
        <v>68.0</v>
      </c>
      <c r="I1328" s="31">
        <f t="shared" si="1"/>
        <v>340</v>
      </c>
      <c r="J1328" s="252" t="s">
        <v>3481</v>
      </c>
      <c r="K1328" s="252" t="s">
        <v>3481</v>
      </c>
      <c r="L1328" s="72">
        <f t="shared" si="3"/>
        <v>17</v>
      </c>
      <c r="M1328" s="34" t="s">
        <v>5027</v>
      </c>
      <c r="N1328" s="301" t="s">
        <v>46</v>
      </c>
      <c r="O1328" s="304">
        <v>0.0</v>
      </c>
      <c r="P1328" s="72" t="s">
        <v>29</v>
      </c>
      <c r="Q1328" s="32">
        <v>0.0</v>
      </c>
      <c r="R1328" s="46"/>
    </row>
    <row r="1329" ht="14.25" customHeight="1">
      <c r="A1329" s="224">
        <v>27.0</v>
      </c>
      <c r="B1329" s="302" t="s">
        <v>5071</v>
      </c>
      <c r="C1329" s="34" t="s">
        <v>5072</v>
      </c>
      <c r="D1329" s="57" t="s">
        <v>2000</v>
      </c>
      <c r="E1329" s="57" t="s">
        <v>3607</v>
      </c>
      <c r="F1329" s="303"/>
      <c r="G1329" s="266" t="s">
        <v>4338</v>
      </c>
      <c r="H1329" s="72">
        <v>80.0</v>
      </c>
      <c r="I1329" s="31">
        <f t="shared" si="1"/>
        <v>400</v>
      </c>
      <c r="J1329" s="252" t="s">
        <v>3481</v>
      </c>
      <c r="K1329" s="252" t="s">
        <v>3481</v>
      </c>
      <c r="L1329" s="72">
        <f t="shared" si="3"/>
        <v>20</v>
      </c>
      <c r="M1329" s="34" t="s">
        <v>5027</v>
      </c>
      <c r="N1329" s="301" t="s">
        <v>46</v>
      </c>
      <c r="O1329" s="304">
        <v>0.0</v>
      </c>
      <c r="P1329" s="72" t="s">
        <v>29</v>
      </c>
      <c r="Q1329" s="32">
        <v>0.0</v>
      </c>
      <c r="R1329" s="46"/>
    </row>
    <row r="1330" ht="14.25" customHeight="1">
      <c r="A1330" s="224">
        <v>28.0</v>
      </c>
      <c r="B1330" s="302" t="s">
        <v>5073</v>
      </c>
      <c r="C1330" s="34" t="s">
        <v>5072</v>
      </c>
      <c r="D1330" s="57" t="s">
        <v>2000</v>
      </c>
      <c r="E1330" s="57" t="s">
        <v>3607</v>
      </c>
      <c r="F1330" s="303"/>
      <c r="G1330" s="266" t="s">
        <v>4338</v>
      </c>
      <c r="H1330" s="72">
        <v>72.0</v>
      </c>
      <c r="I1330" s="31">
        <f t="shared" si="1"/>
        <v>360</v>
      </c>
      <c r="J1330" s="252" t="s">
        <v>3481</v>
      </c>
      <c r="K1330" s="252" t="s">
        <v>3481</v>
      </c>
      <c r="L1330" s="72">
        <f t="shared" si="3"/>
        <v>18</v>
      </c>
      <c r="M1330" s="34" t="s">
        <v>5027</v>
      </c>
      <c r="N1330" s="301" t="s">
        <v>46</v>
      </c>
      <c r="O1330" s="304">
        <v>0.0</v>
      </c>
      <c r="P1330" s="72" t="s">
        <v>29</v>
      </c>
      <c r="Q1330" s="32">
        <v>0.0</v>
      </c>
      <c r="R1330" s="46"/>
    </row>
    <row r="1331" ht="14.25" customHeight="1">
      <c r="A1331" s="224">
        <v>29.0</v>
      </c>
      <c r="B1331" s="302" t="s">
        <v>5074</v>
      </c>
      <c r="C1331" s="34" t="s">
        <v>5075</v>
      </c>
      <c r="D1331" s="57" t="s">
        <v>2000</v>
      </c>
      <c r="E1331" s="57" t="s">
        <v>3607</v>
      </c>
      <c r="F1331" s="303"/>
      <c r="G1331" s="266" t="s">
        <v>4338</v>
      </c>
      <c r="H1331" s="72">
        <v>128.0</v>
      </c>
      <c r="I1331" s="31">
        <f t="shared" si="1"/>
        <v>640</v>
      </c>
      <c r="J1331" s="252" t="s">
        <v>3481</v>
      </c>
      <c r="K1331" s="252" t="s">
        <v>3481</v>
      </c>
      <c r="L1331" s="72">
        <f t="shared" si="3"/>
        <v>32</v>
      </c>
      <c r="M1331" s="34" t="s">
        <v>5027</v>
      </c>
      <c r="N1331" s="301" t="s">
        <v>46</v>
      </c>
      <c r="O1331" s="304">
        <v>0.0</v>
      </c>
      <c r="P1331" s="72" t="s">
        <v>29</v>
      </c>
      <c r="Q1331" s="32">
        <v>0.0</v>
      </c>
      <c r="R1331" s="46"/>
    </row>
    <row r="1332" ht="14.25" customHeight="1">
      <c r="A1332" s="224">
        <v>30.0</v>
      </c>
      <c r="B1332" s="302" t="s">
        <v>5076</v>
      </c>
      <c r="C1332" s="34" t="s">
        <v>5075</v>
      </c>
      <c r="D1332" s="57" t="s">
        <v>2000</v>
      </c>
      <c r="E1332" s="57" t="s">
        <v>3607</v>
      </c>
      <c r="F1332" s="303"/>
      <c r="G1332" s="266" t="s">
        <v>4338</v>
      </c>
      <c r="H1332" s="72">
        <v>4.0</v>
      </c>
      <c r="I1332" s="31">
        <f t="shared" si="1"/>
        <v>20</v>
      </c>
      <c r="J1332" s="252" t="s">
        <v>3481</v>
      </c>
      <c r="K1332" s="252" t="s">
        <v>3481</v>
      </c>
      <c r="L1332" s="72">
        <f t="shared" si="3"/>
        <v>1</v>
      </c>
      <c r="M1332" s="34" t="s">
        <v>5027</v>
      </c>
      <c r="N1332" s="301" t="s">
        <v>46</v>
      </c>
      <c r="O1332" s="304">
        <v>0.0</v>
      </c>
      <c r="P1332" s="72" t="s">
        <v>29</v>
      </c>
      <c r="Q1332" s="32">
        <v>0.0</v>
      </c>
      <c r="R1332" s="46"/>
    </row>
    <row r="1333" ht="14.25" customHeight="1">
      <c r="A1333" s="224">
        <v>31.0</v>
      </c>
      <c r="B1333" s="302" t="s">
        <v>5077</v>
      </c>
      <c r="C1333" s="34" t="s">
        <v>5078</v>
      </c>
      <c r="D1333" s="57" t="s">
        <v>2000</v>
      </c>
      <c r="E1333" s="57" t="s">
        <v>3607</v>
      </c>
      <c r="F1333" s="303"/>
      <c r="G1333" s="266" t="s">
        <v>4338</v>
      </c>
      <c r="H1333" s="72">
        <v>56.0</v>
      </c>
      <c r="I1333" s="31">
        <f t="shared" si="1"/>
        <v>280</v>
      </c>
      <c r="J1333" s="252" t="s">
        <v>3481</v>
      </c>
      <c r="K1333" s="252" t="s">
        <v>3481</v>
      </c>
      <c r="L1333" s="72">
        <f t="shared" si="3"/>
        <v>14</v>
      </c>
      <c r="M1333" s="34" t="s">
        <v>5027</v>
      </c>
      <c r="N1333" s="301" t="s">
        <v>46</v>
      </c>
      <c r="O1333" s="304">
        <v>0.0</v>
      </c>
      <c r="P1333" s="72" t="s">
        <v>29</v>
      </c>
      <c r="Q1333" s="32">
        <v>0.0</v>
      </c>
      <c r="R1333" s="46"/>
    </row>
    <row r="1334" ht="14.25" customHeight="1">
      <c r="A1334" s="224">
        <v>32.0</v>
      </c>
      <c r="B1334" s="302" t="s">
        <v>5079</v>
      </c>
      <c r="C1334" s="34" t="s">
        <v>5078</v>
      </c>
      <c r="D1334" s="57" t="s">
        <v>2000</v>
      </c>
      <c r="E1334" s="57" t="s">
        <v>3607</v>
      </c>
      <c r="F1334" s="303"/>
      <c r="G1334" s="266" t="s">
        <v>4338</v>
      </c>
      <c r="H1334" s="72">
        <v>4.0</v>
      </c>
      <c r="I1334" s="31">
        <f t="shared" si="1"/>
        <v>20</v>
      </c>
      <c r="J1334" s="252" t="s">
        <v>3481</v>
      </c>
      <c r="K1334" s="252" t="s">
        <v>3481</v>
      </c>
      <c r="L1334" s="72">
        <f t="shared" si="3"/>
        <v>1</v>
      </c>
      <c r="M1334" s="34" t="s">
        <v>5027</v>
      </c>
      <c r="N1334" s="301" t="s">
        <v>46</v>
      </c>
      <c r="O1334" s="304">
        <v>0.0</v>
      </c>
      <c r="P1334" s="72" t="s">
        <v>29</v>
      </c>
      <c r="Q1334" s="32">
        <v>0.0</v>
      </c>
      <c r="R1334" s="46"/>
    </row>
    <row r="1335" ht="14.25" customHeight="1">
      <c r="A1335" s="224">
        <v>33.0</v>
      </c>
      <c r="B1335" s="302" t="s">
        <v>5080</v>
      </c>
      <c r="C1335" s="34" t="s">
        <v>5081</v>
      </c>
      <c r="D1335" s="57" t="s">
        <v>2000</v>
      </c>
      <c r="E1335" s="57" t="s">
        <v>3607</v>
      </c>
      <c r="F1335" s="303"/>
      <c r="G1335" s="266" t="s">
        <v>4338</v>
      </c>
      <c r="H1335" s="72">
        <v>28.0</v>
      </c>
      <c r="I1335" s="31">
        <f t="shared" si="1"/>
        <v>140</v>
      </c>
      <c r="J1335" s="252" t="s">
        <v>3481</v>
      </c>
      <c r="K1335" s="252" t="s">
        <v>3481</v>
      </c>
      <c r="L1335" s="72">
        <f t="shared" si="3"/>
        <v>7</v>
      </c>
      <c r="M1335" s="34" t="s">
        <v>5027</v>
      </c>
      <c r="N1335" s="301" t="s">
        <v>46</v>
      </c>
      <c r="O1335" s="304">
        <v>0.0</v>
      </c>
      <c r="P1335" s="72" t="s">
        <v>29</v>
      </c>
      <c r="Q1335" s="32">
        <v>0.0</v>
      </c>
      <c r="R1335" s="46"/>
    </row>
    <row r="1336" ht="14.25" customHeight="1">
      <c r="A1336" s="224">
        <v>34.0</v>
      </c>
      <c r="B1336" s="302" t="s">
        <v>5082</v>
      </c>
      <c r="C1336" s="34" t="s">
        <v>5081</v>
      </c>
      <c r="D1336" s="57" t="s">
        <v>2000</v>
      </c>
      <c r="E1336" s="57" t="s">
        <v>3607</v>
      </c>
      <c r="F1336" s="303"/>
      <c r="G1336" s="266" t="s">
        <v>4338</v>
      </c>
      <c r="H1336" s="72">
        <v>4.0</v>
      </c>
      <c r="I1336" s="31">
        <f t="shared" si="1"/>
        <v>20</v>
      </c>
      <c r="J1336" s="252" t="s">
        <v>3481</v>
      </c>
      <c r="K1336" s="252" t="s">
        <v>3481</v>
      </c>
      <c r="L1336" s="72">
        <f t="shared" si="3"/>
        <v>1</v>
      </c>
      <c r="M1336" s="34" t="s">
        <v>5027</v>
      </c>
      <c r="N1336" s="301" t="s">
        <v>46</v>
      </c>
      <c r="O1336" s="304">
        <v>0.0</v>
      </c>
      <c r="P1336" s="72" t="s">
        <v>29</v>
      </c>
      <c r="Q1336" s="32">
        <v>0.0</v>
      </c>
      <c r="R1336" s="46"/>
    </row>
    <row r="1337" ht="14.25" customHeight="1">
      <c r="A1337" s="224">
        <v>35.0</v>
      </c>
      <c r="B1337" s="302" t="s">
        <v>5083</v>
      </c>
      <c r="C1337" s="34" t="s">
        <v>5084</v>
      </c>
      <c r="D1337" s="57" t="s">
        <v>2000</v>
      </c>
      <c r="E1337" s="57" t="s">
        <v>3607</v>
      </c>
      <c r="F1337" s="303"/>
      <c r="G1337" s="266" t="s">
        <v>4338</v>
      </c>
      <c r="H1337" s="72">
        <v>4.0</v>
      </c>
      <c r="I1337" s="31">
        <f t="shared" si="1"/>
        <v>20</v>
      </c>
      <c r="J1337" s="252" t="s">
        <v>3481</v>
      </c>
      <c r="K1337" s="252" t="s">
        <v>3481</v>
      </c>
      <c r="L1337" s="72">
        <f t="shared" si="3"/>
        <v>1</v>
      </c>
      <c r="M1337" s="34" t="s">
        <v>5027</v>
      </c>
      <c r="N1337" s="301" t="s">
        <v>46</v>
      </c>
      <c r="O1337" s="304">
        <v>0.0</v>
      </c>
      <c r="P1337" s="72" t="s">
        <v>29</v>
      </c>
      <c r="Q1337" s="32">
        <v>0.0</v>
      </c>
      <c r="R1337" s="46"/>
    </row>
    <row r="1338" ht="14.25" customHeight="1">
      <c r="A1338" s="224">
        <v>36.0</v>
      </c>
      <c r="B1338" s="302" t="s">
        <v>5085</v>
      </c>
      <c r="C1338" s="34" t="s">
        <v>5086</v>
      </c>
      <c r="D1338" s="57" t="s">
        <v>2000</v>
      </c>
      <c r="E1338" s="57" t="s">
        <v>3607</v>
      </c>
      <c r="F1338" s="303"/>
      <c r="G1338" s="266" t="s">
        <v>4338</v>
      </c>
      <c r="H1338" s="72">
        <v>4.0</v>
      </c>
      <c r="I1338" s="31">
        <f t="shared" si="1"/>
        <v>20</v>
      </c>
      <c r="J1338" s="252" t="s">
        <v>3481</v>
      </c>
      <c r="K1338" s="252" t="s">
        <v>3481</v>
      </c>
      <c r="L1338" s="72">
        <f t="shared" si="3"/>
        <v>1</v>
      </c>
      <c r="M1338" s="34" t="s">
        <v>5027</v>
      </c>
      <c r="N1338" s="301" t="s">
        <v>46</v>
      </c>
      <c r="O1338" s="304">
        <v>0.0</v>
      </c>
      <c r="P1338" s="72" t="s">
        <v>29</v>
      </c>
      <c r="Q1338" s="32">
        <v>0.0</v>
      </c>
      <c r="R1338" s="46"/>
    </row>
    <row r="1339" ht="14.25" customHeight="1">
      <c r="A1339" s="224">
        <v>37.0</v>
      </c>
      <c r="B1339" s="302" t="s">
        <v>5087</v>
      </c>
      <c r="C1339" s="34" t="s">
        <v>5088</v>
      </c>
      <c r="D1339" s="57" t="s">
        <v>2000</v>
      </c>
      <c r="E1339" s="57" t="s">
        <v>3607</v>
      </c>
      <c r="F1339" s="303"/>
      <c r="G1339" s="266" t="s">
        <v>4338</v>
      </c>
      <c r="H1339" s="72">
        <v>4.0</v>
      </c>
      <c r="I1339" s="31">
        <f t="shared" si="1"/>
        <v>20</v>
      </c>
      <c r="J1339" s="252" t="s">
        <v>3481</v>
      </c>
      <c r="K1339" s="252" t="s">
        <v>3481</v>
      </c>
      <c r="L1339" s="72">
        <f t="shared" si="3"/>
        <v>1</v>
      </c>
      <c r="M1339" s="34" t="s">
        <v>5027</v>
      </c>
      <c r="N1339" s="301" t="s">
        <v>46</v>
      </c>
      <c r="O1339" s="304">
        <v>0.0</v>
      </c>
      <c r="P1339" s="72" t="s">
        <v>29</v>
      </c>
      <c r="Q1339" s="32">
        <v>0.0</v>
      </c>
      <c r="R1339" s="46"/>
    </row>
    <row r="1340" ht="14.25" customHeight="1">
      <c r="A1340" s="224">
        <v>38.0</v>
      </c>
      <c r="B1340" s="302" t="s">
        <v>5089</v>
      </c>
      <c r="C1340" s="34" t="s">
        <v>5090</v>
      </c>
      <c r="D1340" s="57" t="s">
        <v>2000</v>
      </c>
      <c r="E1340" s="57" t="s">
        <v>3607</v>
      </c>
      <c r="F1340" s="303"/>
      <c r="G1340" s="266" t="s">
        <v>4338</v>
      </c>
      <c r="H1340" s="72">
        <v>60.0</v>
      </c>
      <c r="I1340" s="31">
        <f t="shared" si="1"/>
        <v>300</v>
      </c>
      <c r="J1340" s="252" t="s">
        <v>3481</v>
      </c>
      <c r="K1340" s="252" t="s">
        <v>3481</v>
      </c>
      <c r="L1340" s="72">
        <f t="shared" si="3"/>
        <v>15</v>
      </c>
      <c r="M1340" s="34" t="s">
        <v>5027</v>
      </c>
      <c r="N1340" s="301" t="s">
        <v>46</v>
      </c>
      <c r="O1340" s="304">
        <v>0.0</v>
      </c>
      <c r="P1340" s="72" t="s">
        <v>29</v>
      </c>
      <c r="Q1340" s="32">
        <v>0.0</v>
      </c>
      <c r="R1340" s="46"/>
    </row>
    <row r="1341" ht="14.25" customHeight="1">
      <c r="A1341" s="224">
        <v>39.0</v>
      </c>
      <c r="B1341" s="302" t="s">
        <v>5091</v>
      </c>
      <c r="C1341" s="34" t="s">
        <v>5092</v>
      </c>
      <c r="D1341" s="57" t="s">
        <v>2000</v>
      </c>
      <c r="E1341" s="57" t="s">
        <v>3607</v>
      </c>
      <c r="F1341" s="303"/>
      <c r="G1341" s="266" t="s">
        <v>4338</v>
      </c>
      <c r="H1341" s="72">
        <v>88.0</v>
      </c>
      <c r="I1341" s="31">
        <f t="shared" si="1"/>
        <v>440</v>
      </c>
      <c r="J1341" s="252" t="s">
        <v>3481</v>
      </c>
      <c r="K1341" s="252" t="s">
        <v>3481</v>
      </c>
      <c r="L1341" s="72">
        <f t="shared" si="3"/>
        <v>22</v>
      </c>
      <c r="M1341" s="34" t="s">
        <v>5027</v>
      </c>
      <c r="N1341" s="301" t="s">
        <v>46</v>
      </c>
      <c r="O1341" s="304">
        <v>0.0</v>
      </c>
      <c r="P1341" s="72" t="s">
        <v>29</v>
      </c>
      <c r="Q1341" s="32">
        <v>0.0</v>
      </c>
      <c r="R1341" s="46"/>
    </row>
    <row r="1342" ht="14.25" customHeight="1">
      <c r="A1342" s="224">
        <v>40.0</v>
      </c>
      <c r="B1342" s="302" t="s">
        <v>5093</v>
      </c>
      <c r="C1342" s="34" t="s">
        <v>5092</v>
      </c>
      <c r="D1342" s="57" t="s">
        <v>2000</v>
      </c>
      <c r="E1342" s="57" t="s">
        <v>3607</v>
      </c>
      <c r="F1342" s="303"/>
      <c r="G1342" s="266" t="s">
        <v>4338</v>
      </c>
      <c r="H1342" s="72">
        <v>4.0</v>
      </c>
      <c r="I1342" s="31">
        <f t="shared" si="1"/>
        <v>20</v>
      </c>
      <c r="J1342" s="252" t="s">
        <v>3481</v>
      </c>
      <c r="K1342" s="252" t="s">
        <v>3481</v>
      </c>
      <c r="L1342" s="72">
        <f t="shared" si="3"/>
        <v>1</v>
      </c>
      <c r="M1342" s="34" t="s">
        <v>5027</v>
      </c>
      <c r="N1342" s="301" t="s">
        <v>46</v>
      </c>
      <c r="O1342" s="304">
        <v>0.0</v>
      </c>
      <c r="P1342" s="72" t="s">
        <v>29</v>
      </c>
      <c r="Q1342" s="32">
        <v>0.0</v>
      </c>
      <c r="R1342" s="46"/>
    </row>
    <row r="1343" ht="14.25" customHeight="1">
      <c r="A1343" s="224">
        <v>41.0</v>
      </c>
      <c r="B1343" s="302" t="s">
        <v>5094</v>
      </c>
      <c r="C1343" s="34" t="s">
        <v>5092</v>
      </c>
      <c r="D1343" s="57" t="s">
        <v>2000</v>
      </c>
      <c r="E1343" s="57" t="s">
        <v>3607</v>
      </c>
      <c r="F1343" s="303"/>
      <c r="G1343" s="266" t="s">
        <v>4338</v>
      </c>
      <c r="H1343" s="72">
        <v>72.0</v>
      </c>
      <c r="I1343" s="31">
        <f t="shared" si="1"/>
        <v>360</v>
      </c>
      <c r="J1343" s="252" t="s">
        <v>3481</v>
      </c>
      <c r="K1343" s="252" t="s">
        <v>3481</v>
      </c>
      <c r="L1343" s="72">
        <f t="shared" si="3"/>
        <v>18</v>
      </c>
      <c r="M1343" s="34" t="s">
        <v>5027</v>
      </c>
      <c r="N1343" s="301" t="s">
        <v>46</v>
      </c>
      <c r="O1343" s="304">
        <v>0.0</v>
      </c>
      <c r="P1343" s="72" t="s">
        <v>29</v>
      </c>
      <c r="Q1343" s="32">
        <v>0.0</v>
      </c>
      <c r="R1343" s="46"/>
    </row>
    <row r="1344" ht="14.25" customHeight="1">
      <c r="A1344" s="224">
        <v>42.0</v>
      </c>
      <c r="B1344" s="302" t="s">
        <v>5095</v>
      </c>
      <c r="C1344" s="34" t="s">
        <v>5096</v>
      </c>
      <c r="D1344" s="57" t="s">
        <v>2000</v>
      </c>
      <c r="E1344" s="57" t="s">
        <v>3607</v>
      </c>
      <c r="F1344" s="303"/>
      <c r="G1344" s="266" t="s">
        <v>4338</v>
      </c>
      <c r="H1344" s="72">
        <v>4.0</v>
      </c>
      <c r="I1344" s="31">
        <f t="shared" si="1"/>
        <v>20</v>
      </c>
      <c r="J1344" s="252" t="s">
        <v>3481</v>
      </c>
      <c r="K1344" s="252" t="s">
        <v>3481</v>
      </c>
      <c r="L1344" s="72">
        <f t="shared" si="3"/>
        <v>1</v>
      </c>
      <c r="M1344" s="34" t="s">
        <v>5027</v>
      </c>
      <c r="N1344" s="301" t="s">
        <v>46</v>
      </c>
      <c r="O1344" s="304">
        <v>0.0</v>
      </c>
      <c r="P1344" s="72" t="s">
        <v>29</v>
      </c>
      <c r="Q1344" s="32">
        <v>0.0</v>
      </c>
      <c r="R1344" s="46"/>
    </row>
    <row r="1345" ht="14.25" customHeight="1">
      <c r="A1345" s="224">
        <v>43.0</v>
      </c>
      <c r="B1345" s="302" t="s">
        <v>5097</v>
      </c>
      <c r="C1345" s="34" t="s">
        <v>5096</v>
      </c>
      <c r="D1345" s="57" t="s">
        <v>2000</v>
      </c>
      <c r="E1345" s="57" t="s">
        <v>3607</v>
      </c>
      <c r="F1345" s="303"/>
      <c r="G1345" s="266" t="s">
        <v>4338</v>
      </c>
      <c r="H1345" s="72">
        <v>56.0</v>
      </c>
      <c r="I1345" s="31">
        <f t="shared" si="1"/>
        <v>280</v>
      </c>
      <c r="J1345" s="252" t="s">
        <v>3481</v>
      </c>
      <c r="K1345" s="252" t="s">
        <v>3481</v>
      </c>
      <c r="L1345" s="72">
        <f t="shared" si="3"/>
        <v>14</v>
      </c>
      <c r="M1345" s="34" t="s">
        <v>5027</v>
      </c>
      <c r="N1345" s="301" t="s">
        <v>46</v>
      </c>
      <c r="O1345" s="304">
        <v>100.0</v>
      </c>
      <c r="P1345" s="72" t="s">
        <v>29</v>
      </c>
      <c r="Q1345" s="32">
        <v>0.0</v>
      </c>
      <c r="R1345" s="46"/>
    </row>
    <row r="1346" ht="15.75" customHeight="1">
      <c r="A1346" s="306">
        <v>1.0</v>
      </c>
      <c r="B1346" s="182" t="s">
        <v>5098</v>
      </c>
      <c r="C1346" s="209"/>
      <c r="D1346" s="209"/>
      <c r="E1346" s="209"/>
      <c r="F1346" s="209"/>
      <c r="G1346" s="209"/>
      <c r="H1346" s="209"/>
      <c r="I1346" s="209"/>
      <c r="J1346" s="209"/>
      <c r="K1346" s="209"/>
      <c r="L1346" s="209"/>
      <c r="M1346" s="209"/>
      <c r="N1346" s="209"/>
      <c r="O1346" s="209"/>
      <c r="P1346" s="209"/>
      <c r="Q1346" s="209"/>
      <c r="R1346" s="22"/>
    </row>
    <row r="1347" ht="14.25" customHeight="1">
      <c r="A1347" s="211">
        <v>1.0</v>
      </c>
      <c r="B1347" s="34" t="s">
        <v>5099</v>
      </c>
      <c r="C1347" s="34" t="s">
        <v>5100</v>
      </c>
      <c r="D1347" s="57" t="s">
        <v>2000</v>
      </c>
      <c r="E1347" s="57" t="s">
        <v>3607</v>
      </c>
      <c r="F1347" s="264"/>
      <c r="G1347" s="265">
        <v>816.75</v>
      </c>
      <c r="H1347" s="72">
        <v>25.0</v>
      </c>
      <c r="I1347" s="42">
        <v>100.0</v>
      </c>
      <c r="J1347" s="42">
        <v>2.0</v>
      </c>
      <c r="K1347" s="42">
        <v>2.0</v>
      </c>
      <c r="L1347" s="70">
        <v>2.0</v>
      </c>
      <c r="M1347" s="34" t="s">
        <v>27</v>
      </c>
      <c r="N1347" s="70" t="s">
        <v>1137</v>
      </c>
      <c r="O1347" s="70">
        <v>1000.0</v>
      </c>
      <c r="P1347" s="70" t="s">
        <v>29</v>
      </c>
      <c r="Q1347" s="31" t="s">
        <v>1137</v>
      </c>
      <c r="R1347" s="46"/>
    </row>
    <row r="1348" ht="14.25" customHeight="1">
      <c r="A1348" s="211">
        <v>2.0</v>
      </c>
      <c r="B1348" s="34" t="s">
        <v>5101</v>
      </c>
      <c r="C1348" s="34" t="s">
        <v>5100</v>
      </c>
      <c r="D1348" s="57" t="s">
        <v>2000</v>
      </c>
      <c r="E1348" s="57" t="s">
        <v>3607</v>
      </c>
      <c r="F1348" s="264"/>
      <c r="G1348" s="265">
        <v>345.0</v>
      </c>
      <c r="H1348" s="72">
        <v>11.0</v>
      </c>
      <c r="I1348" s="42">
        <v>44.0</v>
      </c>
      <c r="J1348" s="42">
        <v>1.0</v>
      </c>
      <c r="K1348" s="42">
        <v>1.0</v>
      </c>
      <c r="L1348" s="70" t="s">
        <v>1137</v>
      </c>
      <c r="M1348" s="34" t="s">
        <v>27</v>
      </c>
      <c r="N1348" s="70" t="s">
        <v>1137</v>
      </c>
      <c r="O1348" s="70">
        <v>450.0</v>
      </c>
      <c r="P1348" s="70" t="s">
        <v>29</v>
      </c>
      <c r="Q1348" s="31" t="s">
        <v>1137</v>
      </c>
      <c r="R1348" s="46"/>
    </row>
    <row r="1349" ht="14.25" customHeight="1">
      <c r="A1349" s="211">
        <v>3.0</v>
      </c>
      <c r="B1349" s="34" t="s">
        <v>5102</v>
      </c>
      <c r="C1349" s="34" t="s">
        <v>5103</v>
      </c>
      <c r="D1349" s="57" t="s">
        <v>2000</v>
      </c>
      <c r="E1349" s="57" t="s">
        <v>3607</v>
      </c>
      <c r="F1349" s="264"/>
      <c r="G1349" s="265">
        <v>134.26</v>
      </c>
      <c r="H1349" s="72">
        <v>5.0</v>
      </c>
      <c r="I1349" s="42">
        <v>20.0</v>
      </c>
      <c r="J1349" s="42" t="s">
        <v>1137</v>
      </c>
      <c r="K1349" s="42" t="s">
        <v>1137</v>
      </c>
      <c r="L1349" s="72">
        <v>1.0</v>
      </c>
      <c r="M1349" s="34" t="s">
        <v>27</v>
      </c>
      <c r="N1349" s="70" t="s">
        <v>172</v>
      </c>
      <c r="O1349" s="70">
        <v>200.0</v>
      </c>
      <c r="P1349" s="70" t="s">
        <v>29</v>
      </c>
      <c r="Q1349" s="31" t="s">
        <v>1137</v>
      </c>
      <c r="R1349" s="46"/>
    </row>
    <row r="1350" ht="14.25" customHeight="1">
      <c r="A1350" s="211">
        <v>4.0</v>
      </c>
      <c r="B1350" s="34" t="s">
        <v>5104</v>
      </c>
      <c r="C1350" s="34" t="s">
        <v>5105</v>
      </c>
      <c r="D1350" s="57" t="s">
        <v>2000</v>
      </c>
      <c r="E1350" s="57" t="s">
        <v>3607</v>
      </c>
      <c r="F1350" s="264"/>
      <c r="G1350" s="265">
        <v>110.22</v>
      </c>
      <c r="H1350" s="72">
        <v>4.0</v>
      </c>
      <c r="I1350" s="42">
        <v>16.0</v>
      </c>
      <c r="J1350" s="42" t="s">
        <v>1137</v>
      </c>
      <c r="K1350" s="42" t="s">
        <v>1137</v>
      </c>
      <c r="L1350" s="70" t="s">
        <v>1137</v>
      </c>
      <c r="M1350" s="34" t="s">
        <v>27</v>
      </c>
      <c r="N1350" s="70" t="s">
        <v>172</v>
      </c>
      <c r="O1350" s="70">
        <v>160.0</v>
      </c>
      <c r="P1350" s="70" t="s">
        <v>29</v>
      </c>
      <c r="Q1350" s="31" t="s">
        <v>1137</v>
      </c>
      <c r="R1350" s="46"/>
    </row>
    <row r="1351" ht="14.25" customHeight="1">
      <c r="A1351" s="211">
        <v>5.0</v>
      </c>
      <c r="B1351" s="34" t="s">
        <v>5106</v>
      </c>
      <c r="C1351" s="34" t="s">
        <v>5107</v>
      </c>
      <c r="D1351" s="57" t="s">
        <v>2000</v>
      </c>
      <c r="E1351" s="57" t="s">
        <v>3607</v>
      </c>
      <c r="F1351" s="264"/>
      <c r="G1351" s="265">
        <v>41.58</v>
      </c>
      <c r="H1351" s="72">
        <v>2.0</v>
      </c>
      <c r="I1351" s="42">
        <v>8.0</v>
      </c>
      <c r="J1351" s="42" t="s">
        <v>1137</v>
      </c>
      <c r="K1351" s="42" t="s">
        <v>1137</v>
      </c>
      <c r="L1351" s="70" t="s">
        <v>1137</v>
      </c>
      <c r="M1351" s="34" t="s">
        <v>5108</v>
      </c>
      <c r="N1351" s="70" t="s">
        <v>1137</v>
      </c>
      <c r="O1351" s="70">
        <v>80.0</v>
      </c>
      <c r="P1351" s="70" t="s">
        <v>29</v>
      </c>
      <c r="Q1351" s="31" t="s">
        <v>1137</v>
      </c>
      <c r="R1351" s="46"/>
    </row>
    <row r="1352" ht="14.25" customHeight="1">
      <c r="A1352" s="211">
        <v>6.0</v>
      </c>
      <c r="B1352" s="34" t="s">
        <v>5109</v>
      </c>
      <c r="C1352" s="34" t="s">
        <v>5110</v>
      </c>
      <c r="D1352" s="57" t="s">
        <v>2000</v>
      </c>
      <c r="E1352" s="57" t="s">
        <v>3607</v>
      </c>
      <c r="F1352" s="264"/>
      <c r="G1352" s="265">
        <v>78.4</v>
      </c>
      <c r="H1352" s="72">
        <v>3.0</v>
      </c>
      <c r="I1352" s="42">
        <v>12.0</v>
      </c>
      <c r="J1352" s="42" t="s">
        <v>1137</v>
      </c>
      <c r="K1352" s="42" t="s">
        <v>1137</v>
      </c>
      <c r="L1352" s="70" t="s">
        <v>1137</v>
      </c>
      <c r="M1352" s="34" t="s">
        <v>5108</v>
      </c>
      <c r="N1352" s="70" t="s">
        <v>1137</v>
      </c>
      <c r="O1352" s="70">
        <v>120.0</v>
      </c>
      <c r="P1352" s="70" t="s">
        <v>29</v>
      </c>
      <c r="Q1352" s="31" t="s">
        <v>1137</v>
      </c>
      <c r="R1352" s="46"/>
    </row>
    <row r="1353" ht="14.25" customHeight="1">
      <c r="A1353" s="211">
        <v>7.0</v>
      </c>
      <c r="B1353" s="34" t="s">
        <v>5111</v>
      </c>
      <c r="C1353" s="34" t="s">
        <v>5112</v>
      </c>
      <c r="D1353" s="57" t="s">
        <v>2000</v>
      </c>
      <c r="E1353" s="57" t="s">
        <v>3607</v>
      </c>
      <c r="F1353" s="264"/>
      <c r="G1353" s="265">
        <v>420.0</v>
      </c>
      <c r="H1353" s="72">
        <v>13.0</v>
      </c>
      <c r="I1353" s="42">
        <v>52.0</v>
      </c>
      <c r="J1353" s="42" t="s">
        <v>1137</v>
      </c>
      <c r="K1353" s="42" t="s">
        <v>1137</v>
      </c>
      <c r="L1353" s="70" t="s">
        <v>1137</v>
      </c>
      <c r="M1353" s="34" t="s">
        <v>5108</v>
      </c>
      <c r="N1353" s="70" t="s">
        <v>1137</v>
      </c>
      <c r="O1353" s="70">
        <v>520.0</v>
      </c>
      <c r="P1353" s="70" t="s">
        <v>29</v>
      </c>
      <c r="Q1353" s="31" t="s">
        <v>1137</v>
      </c>
      <c r="R1353" s="46"/>
    </row>
    <row r="1354" ht="14.25" customHeight="1">
      <c r="A1354" s="211">
        <v>8.0</v>
      </c>
      <c r="B1354" s="34" t="s">
        <v>5113</v>
      </c>
      <c r="C1354" s="34" t="s">
        <v>5114</v>
      </c>
      <c r="D1354" s="57" t="s">
        <v>2000</v>
      </c>
      <c r="E1354" s="57" t="s">
        <v>3607</v>
      </c>
      <c r="F1354" s="264"/>
      <c r="G1354" s="265">
        <v>73.6</v>
      </c>
      <c r="H1354" s="72">
        <v>3.0</v>
      </c>
      <c r="I1354" s="42">
        <v>12.0</v>
      </c>
      <c r="J1354" s="42" t="s">
        <v>1137</v>
      </c>
      <c r="K1354" s="42" t="s">
        <v>1137</v>
      </c>
      <c r="L1354" s="70" t="s">
        <v>1137</v>
      </c>
      <c r="M1354" s="34" t="s">
        <v>5108</v>
      </c>
      <c r="N1354" s="70" t="s">
        <v>1137</v>
      </c>
      <c r="O1354" s="70">
        <v>120.0</v>
      </c>
      <c r="P1354" s="70" t="s">
        <v>29</v>
      </c>
      <c r="Q1354" s="31" t="s">
        <v>1137</v>
      </c>
      <c r="R1354" s="46"/>
    </row>
    <row r="1355" ht="14.25" customHeight="1">
      <c r="A1355" s="211">
        <v>9.0</v>
      </c>
      <c r="B1355" s="34" t="s">
        <v>5115</v>
      </c>
      <c r="C1355" s="34" t="s">
        <v>5116</v>
      </c>
      <c r="D1355" s="57" t="s">
        <v>2000</v>
      </c>
      <c r="E1355" s="57" t="s">
        <v>3607</v>
      </c>
      <c r="F1355" s="264"/>
      <c r="G1355" s="265">
        <v>40.0</v>
      </c>
      <c r="H1355" s="72">
        <v>2.0</v>
      </c>
      <c r="I1355" s="42">
        <v>8.0</v>
      </c>
      <c r="J1355" s="42" t="s">
        <v>1137</v>
      </c>
      <c r="K1355" s="42" t="s">
        <v>1137</v>
      </c>
      <c r="L1355" s="70" t="s">
        <v>1137</v>
      </c>
      <c r="M1355" s="34" t="s">
        <v>5108</v>
      </c>
      <c r="N1355" s="70" t="s">
        <v>1137</v>
      </c>
      <c r="O1355" s="70">
        <v>80.0</v>
      </c>
      <c r="P1355" s="70" t="s">
        <v>29</v>
      </c>
      <c r="Q1355" s="31" t="s">
        <v>1137</v>
      </c>
      <c r="R1355" s="46"/>
    </row>
    <row r="1356" ht="14.25" customHeight="1">
      <c r="A1356" s="211">
        <v>10.0</v>
      </c>
      <c r="B1356" s="34" t="s">
        <v>5117</v>
      </c>
      <c r="C1356" s="34" t="s">
        <v>5118</v>
      </c>
      <c r="D1356" s="57" t="s">
        <v>2000</v>
      </c>
      <c r="E1356" s="57" t="s">
        <v>3607</v>
      </c>
      <c r="F1356" s="264"/>
      <c r="G1356" s="265">
        <v>191.52</v>
      </c>
      <c r="H1356" s="72">
        <v>6.0</v>
      </c>
      <c r="I1356" s="42">
        <v>24.0</v>
      </c>
      <c r="J1356" s="42" t="s">
        <v>1137</v>
      </c>
      <c r="K1356" s="42" t="s">
        <v>1137</v>
      </c>
      <c r="L1356" s="70" t="s">
        <v>1137</v>
      </c>
      <c r="M1356" s="34" t="s">
        <v>5108</v>
      </c>
      <c r="N1356" s="70" t="s">
        <v>1137</v>
      </c>
      <c r="O1356" s="70">
        <v>240.0</v>
      </c>
      <c r="P1356" s="70" t="s">
        <v>29</v>
      </c>
      <c r="Q1356" s="31" t="s">
        <v>1137</v>
      </c>
      <c r="R1356" s="46"/>
    </row>
    <row r="1357" ht="14.25" customHeight="1">
      <c r="A1357" s="211">
        <v>11.0</v>
      </c>
      <c r="B1357" s="34" t="s">
        <v>5119</v>
      </c>
      <c r="C1357" s="34" t="s">
        <v>5120</v>
      </c>
      <c r="D1357" s="57" t="s">
        <v>2000</v>
      </c>
      <c r="E1357" s="57" t="s">
        <v>3607</v>
      </c>
      <c r="F1357" s="264"/>
      <c r="G1357" s="265">
        <v>172.76</v>
      </c>
      <c r="H1357" s="72">
        <v>6.0</v>
      </c>
      <c r="I1357" s="42">
        <v>24.0</v>
      </c>
      <c r="J1357" s="42" t="s">
        <v>1137</v>
      </c>
      <c r="K1357" s="42" t="s">
        <v>1137</v>
      </c>
      <c r="L1357" s="70" t="s">
        <v>1137</v>
      </c>
      <c r="M1357" s="34" t="s">
        <v>5108</v>
      </c>
      <c r="N1357" s="70" t="s">
        <v>1137</v>
      </c>
      <c r="O1357" s="70">
        <v>240.0</v>
      </c>
      <c r="P1357" s="70" t="s">
        <v>29</v>
      </c>
      <c r="Q1357" s="31" t="s">
        <v>1137</v>
      </c>
      <c r="R1357" s="46"/>
    </row>
    <row r="1358" ht="14.25" customHeight="1">
      <c r="A1358" s="211">
        <v>12.0</v>
      </c>
      <c r="B1358" s="34" t="s">
        <v>5121</v>
      </c>
      <c r="C1358" s="34" t="s">
        <v>5122</v>
      </c>
      <c r="D1358" s="57" t="s">
        <v>2000</v>
      </c>
      <c r="E1358" s="57" t="s">
        <v>3607</v>
      </c>
      <c r="F1358" s="264"/>
      <c r="G1358" s="265">
        <v>61.43</v>
      </c>
      <c r="H1358" s="72">
        <v>2.0</v>
      </c>
      <c r="I1358" s="42">
        <v>8.0</v>
      </c>
      <c r="J1358" s="42" t="s">
        <v>1137</v>
      </c>
      <c r="K1358" s="42" t="s">
        <v>1137</v>
      </c>
      <c r="L1358" s="70" t="s">
        <v>1137</v>
      </c>
      <c r="M1358" s="34" t="s">
        <v>5108</v>
      </c>
      <c r="N1358" s="70" t="s">
        <v>1137</v>
      </c>
      <c r="O1358" s="70">
        <v>80.0</v>
      </c>
      <c r="P1358" s="70" t="s">
        <v>29</v>
      </c>
      <c r="Q1358" s="31" t="s">
        <v>1137</v>
      </c>
      <c r="R1358" s="46"/>
    </row>
    <row r="1359" ht="14.25" customHeight="1">
      <c r="A1359" s="211">
        <v>13.0</v>
      </c>
      <c r="B1359" s="34" t="s">
        <v>5123</v>
      </c>
      <c r="C1359" s="34" t="s">
        <v>5124</v>
      </c>
      <c r="D1359" s="57" t="s">
        <v>2000</v>
      </c>
      <c r="E1359" s="57" t="s">
        <v>3607</v>
      </c>
      <c r="F1359" s="264"/>
      <c r="G1359" s="265">
        <v>71.4</v>
      </c>
      <c r="H1359" s="72">
        <v>3.0</v>
      </c>
      <c r="I1359" s="42">
        <v>12.0</v>
      </c>
      <c r="J1359" s="42" t="s">
        <v>1137</v>
      </c>
      <c r="K1359" s="42" t="s">
        <v>1137</v>
      </c>
      <c r="L1359" s="70" t="s">
        <v>1137</v>
      </c>
      <c r="M1359" s="34" t="s">
        <v>5108</v>
      </c>
      <c r="N1359" s="70" t="s">
        <v>1137</v>
      </c>
      <c r="O1359" s="70">
        <v>120.0</v>
      </c>
      <c r="P1359" s="70" t="s">
        <v>29</v>
      </c>
      <c r="Q1359" s="31" t="s">
        <v>1137</v>
      </c>
      <c r="R1359" s="46"/>
    </row>
    <row r="1360" ht="14.25" customHeight="1">
      <c r="A1360" s="211">
        <v>14.0</v>
      </c>
      <c r="B1360" s="34" t="s">
        <v>5125</v>
      </c>
      <c r="C1360" s="34" t="s">
        <v>5126</v>
      </c>
      <c r="D1360" s="57" t="s">
        <v>2000</v>
      </c>
      <c r="E1360" s="57" t="s">
        <v>3607</v>
      </c>
      <c r="F1360" s="264"/>
      <c r="G1360" s="265">
        <v>70.0</v>
      </c>
      <c r="H1360" s="72">
        <v>3.0</v>
      </c>
      <c r="I1360" s="42">
        <v>12.0</v>
      </c>
      <c r="J1360" s="42" t="s">
        <v>1137</v>
      </c>
      <c r="K1360" s="42" t="s">
        <v>1137</v>
      </c>
      <c r="L1360" s="70" t="s">
        <v>1137</v>
      </c>
      <c r="M1360" s="34" t="s">
        <v>5108</v>
      </c>
      <c r="N1360" s="70" t="s">
        <v>1137</v>
      </c>
      <c r="O1360" s="70">
        <v>120.0</v>
      </c>
      <c r="P1360" s="70" t="s">
        <v>29</v>
      </c>
      <c r="Q1360" s="31" t="s">
        <v>1137</v>
      </c>
      <c r="R1360" s="46"/>
    </row>
    <row r="1361" ht="14.25" customHeight="1">
      <c r="A1361" s="211">
        <v>15.0</v>
      </c>
      <c r="B1361" s="34" t="s">
        <v>5127</v>
      </c>
      <c r="C1361" s="34" t="s">
        <v>5128</v>
      </c>
      <c r="D1361" s="57" t="s">
        <v>2000</v>
      </c>
      <c r="E1361" s="57" t="s">
        <v>3607</v>
      </c>
      <c r="F1361" s="264"/>
      <c r="G1361" s="265">
        <v>106.92</v>
      </c>
      <c r="H1361" s="72">
        <v>4.0</v>
      </c>
      <c r="I1361" s="42">
        <v>16.0</v>
      </c>
      <c r="J1361" s="42" t="s">
        <v>1137</v>
      </c>
      <c r="K1361" s="42" t="s">
        <v>1137</v>
      </c>
      <c r="L1361" s="70" t="s">
        <v>1137</v>
      </c>
      <c r="M1361" s="34" t="s">
        <v>5108</v>
      </c>
      <c r="N1361" s="70" t="s">
        <v>1137</v>
      </c>
      <c r="O1361" s="70">
        <v>160.0</v>
      </c>
      <c r="P1361" s="70" t="s">
        <v>29</v>
      </c>
      <c r="Q1361" s="31" t="s">
        <v>1137</v>
      </c>
      <c r="R1361" s="46"/>
    </row>
    <row r="1362" ht="14.25" customHeight="1">
      <c r="A1362" s="211">
        <v>16.0</v>
      </c>
      <c r="B1362" s="34" t="s">
        <v>5129</v>
      </c>
      <c r="C1362" s="34" t="s">
        <v>5130</v>
      </c>
      <c r="D1362" s="57" t="s">
        <v>2000</v>
      </c>
      <c r="E1362" s="57" t="s">
        <v>3607</v>
      </c>
      <c r="F1362" s="264"/>
      <c r="G1362" s="265">
        <v>90.0</v>
      </c>
      <c r="H1362" s="72">
        <v>3.0</v>
      </c>
      <c r="I1362" s="42">
        <v>12.0</v>
      </c>
      <c r="J1362" s="42" t="s">
        <v>1137</v>
      </c>
      <c r="K1362" s="42" t="s">
        <v>1137</v>
      </c>
      <c r="L1362" s="70" t="s">
        <v>1137</v>
      </c>
      <c r="M1362" s="34" t="s">
        <v>5108</v>
      </c>
      <c r="N1362" s="70" t="s">
        <v>1137</v>
      </c>
      <c r="O1362" s="70">
        <v>120.0</v>
      </c>
      <c r="P1362" s="70" t="s">
        <v>29</v>
      </c>
      <c r="Q1362" s="31" t="s">
        <v>1137</v>
      </c>
      <c r="R1362" s="46"/>
    </row>
    <row r="1363" ht="14.25" customHeight="1">
      <c r="A1363" s="211">
        <v>17.0</v>
      </c>
      <c r="B1363" s="34" t="s">
        <v>5131</v>
      </c>
      <c r="C1363" s="34" t="s">
        <v>5132</v>
      </c>
      <c r="D1363" s="57" t="s">
        <v>2000</v>
      </c>
      <c r="E1363" s="57" t="s">
        <v>3607</v>
      </c>
      <c r="F1363" s="264"/>
      <c r="G1363" s="265">
        <v>154.0</v>
      </c>
      <c r="H1363" s="72">
        <v>5.0</v>
      </c>
      <c r="I1363" s="42">
        <v>20.0</v>
      </c>
      <c r="J1363" s="42" t="s">
        <v>1137</v>
      </c>
      <c r="K1363" s="42" t="s">
        <v>1137</v>
      </c>
      <c r="L1363" s="70" t="s">
        <v>1137</v>
      </c>
      <c r="M1363" s="34" t="s">
        <v>5108</v>
      </c>
      <c r="N1363" s="70" t="s">
        <v>1137</v>
      </c>
      <c r="O1363" s="70">
        <v>200.0</v>
      </c>
      <c r="P1363" s="70" t="s">
        <v>29</v>
      </c>
      <c r="Q1363" s="31" t="s">
        <v>1137</v>
      </c>
      <c r="R1363" s="46"/>
    </row>
    <row r="1364" ht="14.25" customHeight="1">
      <c r="A1364" s="211">
        <v>18.0</v>
      </c>
      <c r="B1364" s="34" t="s">
        <v>5133</v>
      </c>
      <c r="C1364" s="34" t="s">
        <v>5134</v>
      </c>
      <c r="D1364" s="57" t="s">
        <v>2000</v>
      </c>
      <c r="E1364" s="57" t="s">
        <v>3607</v>
      </c>
      <c r="F1364" s="264"/>
      <c r="G1364" s="265">
        <v>116.56</v>
      </c>
      <c r="H1364" s="72">
        <v>4.0</v>
      </c>
      <c r="I1364" s="42">
        <v>16.0</v>
      </c>
      <c r="J1364" s="42" t="s">
        <v>1137</v>
      </c>
      <c r="K1364" s="42" t="s">
        <v>1137</v>
      </c>
      <c r="L1364" s="70" t="s">
        <v>1137</v>
      </c>
      <c r="M1364" s="34" t="s">
        <v>5108</v>
      </c>
      <c r="N1364" s="70" t="s">
        <v>1137</v>
      </c>
      <c r="O1364" s="70">
        <v>160.0</v>
      </c>
      <c r="P1364" s="70" t="s">
        <v>29</v>
      </c>
      <c r="Q1364" s="31" t="s">
        <v>1137</v>
      </c>
      <c r="R1364" s="46"/>
    </row>
    <row r="1365" ht="14.25" customHeight="1">
      <c r="A1365" s="211">
        <v>19.0</v>
      </c>
      <c r="B1365" s="34" t="s">
        <v>5135</v>
      </c>
      <c r="C1365" s="34" t="s">
        <v>5136</v>
      </c>
      <c r="D1365" s="57" t="s">
        <v>2000</v>
      </c>
      <c r="E1365" s="57" t="s">
        <v>3607</v>
      </c>
      <c r="F1365" s="264"/>
      <c r="G1365" s="265">
        <v>135.12</v>
      </c>
      <c r="H1365" s="72">
        <v>4.0</v>
      </c>
      <c r="I1365" s="42">
        <v>16.0</v>
      </c>
      <c r="J1365" s="42" t="s">
        <v>1137</v>
      </c>
      <c r="K1365" s="42" t="s">
        <v>1137</v>
      </c>
      <c r="L1365" s="70" t="s">
        <v>1137</v>
      </c>
      <c r="M1365" s="34" t="s">
        <v>27</v>
      </c>
      <c r="N1365" s="70" t="s">
        <v>172</v>
      </c>
      <c r="O1365" s="70">
        <v>160.0</v>
      </c>
      <c r="P1365" s="70" t="s">
        <v>29</v>
      </c>
      <c r="Q1365" s="31" t="s">
        <v>1137</v>
      </c>
      <c r="R1365" s="46"/>
    </row>
    <row r="1366" ht="14.25" customHeight="1">
      <c r="A1366" s="211">
        <v>20.0</v>
      </c>
      <c r="B1366" s="34" t="s">
        <v>5137</v>
      </c>
      <c r="C1366" s="34" t="s">
        <v>5138</v>
      </c>
      <c r="D1366" s="57" t="s">
        <v>2000</v>
      </c>
      <c r="E1366" s="57" t="s">
        <v>3607</v>
      </c>
      <c r="F1366" s="264"/>
      <c r="G1366" s="265">
        <v>89.78</v>
      </c>
      <c r="H1366" s="72">
        <v>3.0</v>
      </c>
      <c r="I1366" s="42">
        <v>12.0</v>
      </c>
      <c r="J1366" s="42" t="s">
        <v>1137</v>
      </c>
      <c r="K1366" s="42" t="s">
        <v>1137</v>
      </c>
      <c r="L1366" s="70" t="s">
        <v>1137</v>
      </c>
      <c r="M1366" s="34" t="s">
        <v>27</v>
      </c>
      <c r="N1366" s="70" t="s">
        <v>1137</v>
      </c>
      <c r="O1366" s="70">
        <v>120.0</v>
      </c>
      <c r="P1366" s="70" t="s">
        <v>29</v>
      </c>
      <c r="Q1366" s="31" t="s">
        <v>1137</v>
      </c>
      <c r="R1366" s="46"/>
    </row>
    <row r="1367" ht="14.25" customHeight="1">
      <c r="A1367" s="211">
        <v>21.0</v>
      </c>
      <c r="B1367" s="34" t="s">
        <v>5139</v>
      </c>
      <c r="C1367" s="34" t="s">
        <v>5140</v>
      </c>
      <c r="D1367" s="57" t="s">
        <v>2000</v>
      </c>
      <c r="E1367" s="57" t="s">
        <v>3607</v>
      </c>
      <c r="F1367" s="264"/>
      <c r="G1367" s="265">
        <v>75.64</v>
      </c>
      <c r="H1367" s="72">
        <v>3.0</v>
      </c>
      <c r="I1367" s="42">
        <v>12.0</v>
      </c>
      <c r="J1367" s="42" t="s">
        <v>1137</v>
      </c>
      <c r="K1367" s="42" t="s">
        <v>1137</v>
      </c>
      <c r="L1367" s="70" t="s">
        <v>1137</v>
      </c>
      <c r="M1367" s="34" t="s">
        <v>27</v>
      </c>
      <c r="N1367" s="70" t="s">
        <v>172</v>
      </c>
      <c r="O1367" s="70">
        <v>120.0</v>
      </c>
      <c r="P1367" s="70" t="s">
        <v>29</v>
      </c>
      <c r="Q1367" s="31" t="s">
        <v>1137</v>
      </c>
      <c r="R1367" s="46"/>
    </row>
    <row r="1368" ht="14.25" customHeight="1">
      <c r="A1368" s="211">
        <v>22.0</v>
      </c>
      <c r="B1368" s="34" t="s">
        <v>5141</v>
      </c>
      <c r="C1368" s="34" t="s">
        <v>5142</v>
      </c>
      <c r="D1368" s="57" t="s">
        <v>2000</v>
      </c>
      <c r="E1368" s="57" t="s">
        <v>3607</v>
      </c>
      <c r="F1368" s="264"/>
      <c r="G1368" s="265">
        <v>241.08</v>
      </c>
      <c r="H1368" s="72">
        <v>8.0</v>
      </c>
      <c r="I1368" s="42">
        <v>32.0</v>
      </c>
      <c r="J1368" s="42" t="s">
        <v>1137</v>
      </c>
      <c r="K1368" s="42" t="s">
        <v>1137</v>
      </c>
      <c r="L1368" s="70" t="s">
        <v>1137</v>
      </c>
      <c r="M1368" s="34" t="s">
        <v>5108</v>
      </c>
      <c r="N1368" s="70" t="s">
        <v>1137</v>
      </c>
      <c r="O1368" s="70">
        <v>320.0</v>
      </c>
      <c r="P1368" s="70" t="s">
        <v>29</v>
      </c>
      <c r="Q1368" s="31" t="s">
        <v>1137</v>
      </c>
      <c r="R1368" s="46"/>
    </row>
    <row r="1369" ht="14.25" customHeight="1">
      <c r="A1369" s="211">
        <v>23.0</v>
      </c>
      <c r="B1369" s="34" t="s">
        <v>5143</v>
      </c>
      <c r="C1369" s="34" t="s">
        <v>5144</v>
      </c>
      <c r="D1369" s="57" t="s">
        <v>2000</v>
      </c>
      <c r="E1369" s="57" t="s">
        <v>3607</v>
      </c>
      <c r="F1369" s="264"/>
      <c r="G1369" s="265">
        <v>225.0</v>
      </c>
      <c r="H1369" s="72">
        <v>7.0</v>
      </c>
      <c r="I1369" s="42">
        <v>23.0</v>
      </c>
      <c r="J1369" s="42" t="s">
        <v>1137</v>
      </c>
      <c r="K1369" s="42" t="s">
        <v>1137</v>
      </c>
      <c r="L1369" s="70" t="s">
        <v>1137</v>
      </c>
      <c r="M1369" s="34" t="s">
        <v>5108</v>
      </c>
      <c r="N1369" s="70" t="s">
        <v>1137</v>
      </c>
      <c r="O1369" s="70">
        <v>280.0</v>
      </c>
      <c r="P1369" s="70" t="s">
        <v>29</v>
      </c>
      <c r="Q1369" s="31" t="s">
        <v>1137</v>
      </c>
      <c r="R1369" s="46"/>
    </row>
    <row r="1370" ht="14.25" customHeight="1">
      <c r="A1370" s="211">
        <v>24.0</v>
      </c>
      <c r="B1370" s="34" t="s">
        <v>5145</v>
      </c>
      <c r="C1370" s="34" t="s">
        <v>5146</v>
      </c>
      <c r="D1370" s="57" t="s">
        <v>2000</v>
      </c>
      <c r="E1370" s="57" t="s">
        <v>3607</v>
      </c>
      <c r="F1370" s="264"/>
      <c r="G1370" s="265">
        <v>40.0</v>
      </c>
      <c r="H1370" s="72">
        <v>2.0</v>
      </c>
      <c r="I1370" s="42">
        <v>8.0</v>
      </c>
      <c r="J1370" s="42" t="s">
        <v>1137</v>
      </c>
      <c r="K1370" s="42" t="s">
        <v>1137</v>
      </c>
      <c r="L1370" s="70" t="s">
        <v>1137</v>
      </c>
      <c r="M1370" s="34" t="s">
        <v>5108</v>
      </c>
      <c r="N1370" s="70" t="s">
        <v>1137</v>
      </c>
      <c r="O1370" s="70">
        <v>80.0</v>
      </c>
      <c r="P1370" s="70" t="s">
        <v>29</v>
      </c>
      <c r="Q1370" s="31" t="s">
        <v>1137</v>
      </c>
      <c r="R1370" s="46"/>
    </row>
    <row r="1371" ht="14.25" customHeight="1">
      <c r="A1371" s="211">
        <v>25.0</v>
      </c>
      <c r="B1371" s="34" t="s">
        <v>5147</v>
      </c>
      <c r="C1371" s="34" t="s">
        <v>5148</v>
      </c>
      <c r="D1371" s="57" t="s">
        <v>2000</v>
      </c>
      <c r="E1371" s="57" t="s">
        <v>3607</v>
      </c>
      <c r="F1371" s="264"/>
      <c r="G1371" s="265">
        <v>153.6</v>
      </c>
      <c r="H1371" s="72">
        <v>5.0</v>
      </c>
      <c r="I1371" s="42">
        <v>20.0</v>
      </c>
      <c r="J1371" s="42" t="s">
        <v>1137</v>
      </c>
      <c r="K1371" s="42" t="s">
        <v>1137</v>
      </c>
      <c r="L1371" s="70" t="s">
        <v>1137</v>
      </c>
      <c r="M1371" s="34" t="s">
        <v>5108</v>
      </c>
      <c r="N1371" s="70" t="s">
        <v>1137</v>
      </c>
      <c r="O1371" s="70">
        <v>200.0</v>
      </c>
      <c r="P1371" s="70" t="s">
        <v>29</v>
      </c>
      <c r="Q1371" s="31" t="s">
        <v>1137</v>
      </c>
      <c r="R1371" s="46"/>
    </row>
    <row r="1372" ht="14.25" customHeight="1">
      <c r="A1372" s="211">
        <v>26.0</v>
      </c>
      <c r="B1372" s="34" t="s">
        <v>5149</v>
      </c>
      <c r="C1372" s="34" t="s">
        <v>5150</v>
      </c>
      <c r="D1372" s="57" t="s">
        <v>2000</v>
      </c>
      <c r="E1372" s="57" t="s">
        <v>3607</v>
      </c>
      <c r="F1372" s="264"/>
      <c r="G1372" s="265">
        <v>208.0</v>
      </c>
      <c r="H1372" s="72">
        <v>7.0</v>
      </c>
      <c r="I1372" s="42">
        <v>23.0</v>
      </c>
      <c r="J1372" s="42" t="s">
        <v>1137</v>
      </c>
      <c r="K1372" s="42" t="s">
        <v>1137</v>
      </c>
      <c r="L1372" s="70" t="s">
        <v>1137</v>
      </c>
      <c r="M1372" s="34" t="s">
        <v>5108</v>
      </c>
      <c r="N1372" s="70" t="s">
        <v>1137</v>
      </c>
      <c r="O1372" s="70">
        <v>280.0</v>
      </c>
      <c r="P1372" s="70" t="s">
        <v>29</v>
      </c>
      <c r="Q1372" s="31" t="s">
        <v>1137</v>
      </c>
      <c r="R1372" s="46"/>
    </row>
    <row r="1373" ht="14.25" customHeight="1">
      <c r="A1373" s="211">
        <v>27.0</v>
      </c>
      <c r="B1373" s="34" t="s">
        <v>5151</v>
      </c>
      <c r="C1373" s="34" t="s">
        <v>5152</v>
      </c>
      <c r="D1373" s="57" t="s">
        <v>2000</v>
      </c>
      <c r="E1373" s="57" t="s">
        <v>3607</v>
      </c>
      <c r="F1373" s="264"/>
      <c r="G1373" s="265">
        <v>175.51</v>
      </c>
      <c r="H1373" s="72">
        <v>6.0</v>
      </c>
      <c r="I1373" s="42">
        <v>24.0</v>
      </c>
      <c r="J1373" s="42" t="s">
        <v>1137</v>
      </c>
      <c r="K1373" s="42" t="s">
        <v>1137</v>
      </c>
      <c r="L1373" s="70" t="s">
        <v>1137</v>
      </c>
      <c r="M1373" s="34" t="s">
        <v>5108</v>
      </c>
      <c r="N1373" s="70" t="s">
        <v>1137</v>
      </c>
      <c r="O1373" s="70">
        <v>240.0</v>
      </c>
      <c r="P1373" s="70" t="s">
        <v>29</v>
      </c>
      <c r="Q1373" s="31" t="s">
        <v>1137</v>
      </c>
      <c r="R1373" s="46"/>
    </row>
    <row r="1374" ht="14.25" customHeight="1">
      <c r="A1374" s="211">
        <v>28.0</v>
      </c>
      <c r="B1374" s="34" t="s">
        <v>5153</v>
      </c>
      <c r="C1374" s="34" t="s">
        <v>5154</v>
      </c>
      <c r="D1374" s="57" t="s">
        <v>2000</v>
      </c>
      <c r="E1374" s="57" t="s">
        <v>3607</v>
      </c>
      <c r="F1374" s="264"/>
      <c r="G1374" s="265">
        <v>360.0</v>
      </c>
      <c r="H1374" s="72">
        <v>12.0</v>
      </c>
      <c r="I1374" s="42">
        <v>48.0</v>
      </c>
      <c r="J1374" s="42" t="s">
        <v>1137</v>
      </c>
      <c r="K1374" s="42" t="s">
        <v>1137</v>
      </c>
      <c r="L1374" s="70" t="s">
        <v>1137</v>
      </c>
      <c r="M1374" s="34" t="s">
        <v>5108</v>
      </c>
      <c r="N1374" s="70" t="s">
        <v>1137</v>
      </c>
      <c r="O1374" s="70">
        <v>480.0</v>
      </c>
      <c r="P1374" s="70" t="s">
        <v>29</v>
      </c>
      <c r="Q1374" s="31" t="s">
        <v>1137</v>
      </c>
      <c r="R1374" s="46"/>
    </row>
    <row r="1375" ht="14.25" customHeight="1">
      <c r="A1375" s="211">
        <v>29.0</v>
      </c>
      <c r="B1375" s="34" t="s">
        <v>5155</v>
      </c>
      <c r="C1375" s="34" t="s">
        <v>5156</v>
      </c>
      <c r="D1375" s="57" t="s">
        <v>2000</v>
      </c>
      <c r="E1375" s="57" t="s">
        <v>3607</v>
      </c>
      <c r="F1375" s="264"/>
      <c r="G1375" s="265">
        <v>269.88</v>
      </c>
      <c r="H1375" s="72">
        <v>9.0</v>
      </c>
      <c r="I1375" s="42">
        <v>36.0</v>
      </c>
      <c r="J1375" s="42" t="s">
        <v>1137</v>
      </c>
      <c r="K1375" s="42" t="s">
        <v>1137</v>
      </c>
      <c r="L1375" s="70" t="s">
        <v>1137</v>
      </c>
      <c r="M1375" s="34" t="s">
        <v>5108</v>
      </c>
      <c r="N1375" s="70" t="s">
        <v>1137</v>
      </c>
      <c r="O1375" s="70">
        <v>360.0</v>
      </c>
      <c r="P1375" s="70" t="s">
        <v>29</v>
      </c>
      <c r="Q1375" s="31" t="s">
        <v>1137</v>
      </c>
      <c r="R1375" s="46"/>
    </row>
    <row r="1376" ht="13.5" customHeight="1">
      <c r="A1376" s="211">
        <v>30.0</v>
      </c>
      <c r="B1376" s="34" t="s">
        <v>5157</v>
      </c>
      <c r="C1376" s="34" t="s">
        <v>5158</v>
      </c>
      <c r="D1376" s="57" t="s">
        <v>2000</v>
      </c>
      <c r="E1376" s="57" t="s">
        <v>3607</v>
      </c>
      <c r="F1376" s="264"/>
      <c r="G1376" s="265">
        <v>166.0</v>
      </c>
      <c r="H1376" s="72">
        <v>5.0</v>
      </c>
      <c r="I1376" s="42">
        <v>20.0</v>
      </c>
      <c r="J1376" s="42" t="s">
        <v>1137</v>
      </c>
      <c r="K1376" s="42" t="s">
        <v>1137</v>
      </c>
      <c r="L1376" s="70" t="s">
        <v>1137</v>
      </c>
      <c r="M1376" s="34" t="s">
        <v>5108</v>
      </c>
      <c r="N1376" s="70" t="s">
        <v>1137</v>
      </c>
      <c r="O1376" s="70">
        <v>200.0</v>
      </c>
      <c r="P1376" s="70" t="s">
        <v>29</v>
      </c>
      <c r="Q1376" s="31" t="s">
        <v>1137</v>
      </c>
      <c r="R1376" s="46"/>
    </row>
    <row r="1377" ht="15.75" customHeight="1">
      <c r="A1377" s="181"/>
      <c r="B1377" s="182" t="s">
        <v>2191</v>
      </c>
      <c r="C1377" s="22"/>
      <c r="D1377" s="22"/>
      <c r="E1377" s="22"/>
      <c r="F1377" s="209"/>
      <c r="G1377" s="210"/>
      <c r="H1377" s="22"/>
      <c r="I1377" s="22"/>
      <c r="J1377" s="22"/>
      <c r="K1377" s="22"/>
      <c r="L1377" s="22"/>
      <c r="M1377" s="22"/>
      <c r="N1377" s="22"/>
      <c r="O1377" s="22"/>
      <c r="P1377" s="22"/>
      <c r="Q1377" s="209"/>
      <c r="R1377" s="218"/>
    </row>
    <row r="1378" ht="14.25" customHeight="1">
      <c r="A1378" s="211">
        <v>1.0</v>
      </c>
      <c r="B1378" s="34" t="s">
        <v>5159</v>
      </c>
      <c r="C1378" s="34" t="s">
        <v>5160</v>
      </c>
      <c r="D1378" s="57" t="s">
        <v>2000</v>
      </c>
      <c r="E1378" s="57" t="s">
        <v>3607</v>
      </c>
      <c r="F1378" s="264"/>
      <c r="G1378" s="265">
        <v>144.0</v>
      </c>
      <c r="H1378" s="72">
        <v>10.0</v>
      </c>
      <c r="I1378" s="42">
        <v>28.0</v>
      </c>
      <c r="J1378" s="42">
        <v>1.0</v>
      </c>
      <c r="K1378" s="42">
        <v>1.0</v>
      </c>
      <c r="L1378" s="70" t="s">
        <v>1137</v>
      </c>
      <c r="M1378" s="34" t="s">
        <v>4870</v>
      </c>
      <c r="N1378" s="70" t="s">
        <v>1137</v>
      </c>
      <c r="O1378" s="70">
        <v>50.0</v>
      </c>
      <c r="P1378" s="70" t="s">
        <v>29</v>
      </c>
      <c r="Q1378" s="31" t="s">
        <v>1137</v>
      </c>
      <c r="R1378" s="46"/>
    </row>
    <row r="1379" ht="14.25" customHeight="1">
      <c r="A1379" s="211">
        <v>2.0</v>
      </c>
      <c r="B1379" s="34" t="s">
        <v>5161</v>
      </c>
      <c r="C1379" s="34" t="s">
        <v>5162</v>
      </c>
      <c r="D1379" s="57" t="s">
        <v>2000</v>
      </c>
      <c r="E1379" s="57" t="s">
        <v>3607</v>
      </c>
      <c r="F1379" s="264"/>
      <c r="G1379" s="265">
        <v>528.0</v>
      </c>
      <c r="H1379" s="72">
        <v>25.0</v>
      </c>
      <c r="I1379" s="42">
        <v>105.0</v>
      </c>
      <c r="J1379" s="42">
        <v>2.0</v>
      </c>
      <c r="K1379" s="42">
        <v>2.0</v>
      </c>
      <c r="L1379" s="70" t="s">
        <v>1137</v>
      </c>
      <c r="M1379" s="34" t="s">
        <v>4870</v>
      </c>
      <c r="N1379" s="70" t="s">
        <v>1137</v>
      </c>
      <c r="O1379" s="70">
        <v>150.0</v>
      </c>
      <c r="P1379" s="70" t="s">
        <v>29</v>
      </c>
      <c r="Q1379" s="31" t="s">
        <v>1137</v>
      </c>
      <c r="R1379" s="46"/>
    </row>
    <row r="1380" ht="14.25" customHeight="1">
      <c r="A1380" s="211">
        <v>3.0</v>
      </c>
      <c r="B1380" s="34" t="s">
        <v>5163</v>
      </c>
      <c r="C1380" s="34" t="s">
        <v>5164</v>
      </c>
      <c r="D1380" s="57" t="s">
        <v>2000</v>
      </c>
      <c r="E1380" s="57" t="s">
        <v>3607</v>
      </c>
      <c r="F1380" s="264"/>
      <c r="G1380" s="265">
        <v>240.0</v>
      </c>
      <c r="H1380" s="72">
        <v>15.0</v>
      </c>
      <c r="I1380" s="42">
        <v>50.0</v>
      </c>
      <c r="J1380" s="42">
        <v>1.0</v>
      </c>
      <c r="K1380" s="42">
        <v>1.0</v>
      </c>
      <c r="L1380" s="70" t="s">
        <v>1137</v>
      </c>
      <c r="M1380" s="34" t="s">
        <v>4870</v>
      </c>
      <c r="N1380" s="70" t="s">
        <v>1137</v>
      </c>
      <c r="O1380" s="70">
        <v>75.0</v>
      </c>
      <c r="P1380" s="70" t="s">
        <v>29</v>
      </c>
      <c r="Q1380" s="31" t="s">
        <v>1137</v>
      </c>
      <c r="R1380" s="46"/>
    </row>
    <row r="1381" ht="14.25" customHeight="1">
      <c r="A1381" s="211">
        <v>4.0</v>
      </c>
      <c r="B1381" s="34" t="s">
        <v>5165</v>
      </c>
      <c r="C1381" s="34" t="s">
        <v>5166</v>
      </c>
      <c r="D1381" s="57" t="s">
        <v>2000</v>
      </c>
      <c r="E1381" s="57" t="s">
        <v>3607</v>
      </c>
      <c r="F1381" s="264"/>
      <c r="G1381" s="265">
        <v>384.0</v>
      </c>
      <c r="H1381" s="72">
        <v>20.0</v>
      </c>
      <c r="I1381" s="42">
        <v>79.0</v>
      </c>
      <c r="J1381" s="42">
        <v>2.0</v>
      </c>
      <c r="K1381" s="42">
        <v>2.0</v>
      </c>
      <c r="L1381" s="70" t="s">
        <v>1137</v>
      </c>
      <c r="M1381" s="34" t="s">
        <v>4870</v>
      </c>
      <c r="N1381" s="70" t="s">
        <v>1137</v>
      </c>
      <c r="O1381" s="70">
        <v>100.0</v>
      </c>
      <c r="P1381" s="70" t="s">
        <v>29</v>
      </c>
      <c r="Q1381" s="31" t="s">
        <v>1137</v>
      </c>
      <c r="R1381" s="46"/>
    </row>
    <row r="1382" ht="14.25" customHeight="1">
      <c r="A1382" s="211">
        <v>5.0</v>
      </c>
      <c r="B1382" s="34" t="s">
        <v>5167</v>
      </c>
      <c r="C1382" s="34" t="s">
        <v>5168</v>
      </c>
      <c r="D1382" s="57" t="s">
        <v>2000</v>
      </c>
      <c r="E1382" s="57" t="s">
        <v>3607</v>
      </c>
      <c r="F1382" s="264"/>
      <c r="G1382" s="265">
        <v>144.0</v>
      </c>
      <c r="H1382" s="72">
        <v>10.0</v>
      </c>
      <c r="I1382" s="42">
        <v>28.0</v>
      </c>
      <c r="J1382" s="42">
        <v>1.0</v>
      </c>
      <c r="K1382" s="42">
        <v>1.0</v>
      </c>
      <c r="L1382" s="70" t="s">
        <v>1137</v>
      </c>
      <c r="M1382" s="34" t="s">
        <v>4870</v>
      </c>
      <c r="N1382" s="70" t="s">
        <v>1137</v>
      </c>
      <c r="O1382" s="70">
        <v>50.0</v>
      </c>
      <c r="P1382" s="70" t="s">
        <v>29</v>
      </c>
      <c r="Q1382" s="31" t="s">
        <v>1137</v>
      </c>
      <c r="R1382" s="46"/>
    </row>
    <row r="1383" ht="14.25" customHeight="1">
      <c r="A1383" s="211">
        <v>6.0</v>
      </c>
      <c r="B1383" s="34" t="s">
        <v>5169</v>
      </c>
      <c r="C1383" s="34" t="s">
        <v>5170</v>
      </c>
      <c r="D1383" s="57" t="s">
        <v>2000</v>
      </c>
      <c r="E1383" s="57" t="s">
        <v>3607</v>
      </c>
      <c r="F1383" s="264"/>
      <c r="G1383" s="265">
        <v>240.0</v>
      </c>
      <c r="H1383" s="72">
        <v>15.0</v>
      </c>
      <c r="I1383" s="42">
        <v>48.0</v>
      </c>
      <c r="J1383" s="42">
        <v>1.0</v>
      </c>
      <c r="K1383" s="42">
        <v>1.0</v>
      </c>
      <c r="L1383" s="70" t="s">
        <v>1137</v>
      </c>
      <c r="M1383" s="34" t="s">
        <v>4870</v>
      </c>
      <c r="N1383" s="70" t="s">
        <v>1137</v>
      </c>
      <c r="O1383" s="70">
        <v>60.0</v>
      </c>
      <c r="P1383" s="70" t="s">
        <v>29</v>
      </c>
      <c r="Q1383" s="31" t="s">
        <v>1137</v>
      </c>
      <c r="R1383" s="46"/>
    </row>
    <row r="1384" ht="14.25" customHeight="1">
      <c r="A1384" s="211">
        <v>7.0</v>
      </c>
      <c r="B1384" s="34" t="s">
        <v>5171</v>
      </c>
      <c r="C1384" s="34" t="s">
        <v>5172</v>
      </c>
      <c r="D1384" s="57" t="s">
        <v>2000</v>
      </c>
      <c r="E1384" s="57" t="s">
        <v>3607</v>
      </c>
      <c r="F1384" s="264"/>
      <c r="G1384" s="265">
        <v>528.0</v>
      </c>
      <c r="H1384" s="72">
        <v>25.0</v>
      </c>
      <c r="I1384" s="42">
        <v>105.0</v>
      </c>
      <c r="J1384" s="42">
        <v>2.0</v>
      </c>
      <c r="K1384" s="42">
        <v>2.0</v>
      </c>
      <c r="L1384" s="70" t="s">
        <v>1137</v>
      </c>
      <c r="M1384" s="34" t="s">
        <v>4870</v>
      </c>
      <c r="N1384" s="70" t="s">
        <v>1137</v>
      </c>
      <c r="O1384" s="70">
        <v>125.0</v>
      </c>
      <c r="P1384" s="70" t="s">
        <v>29</v>
      </c>
      <c r="Q1384" s="31" t="s">
        <v>1137</v>
      </c>
      <c r="R1384" s="46"/>
    </row>
    <row r="1385" ht="14.25" customHeight="1">
      <c r="A1385" s="211">
        <v>8.0</v>
      </c>
      <c r="B1385" s="34" t="s">
        <v>5173</v>
      </c>
      <c r="C1385" s="34" t="s">
        <v>5164</v>
      </c>
      <c r="D1385" s="57" t="s">
        <v>2000</v>
      </c>
      <c r="E1385" s="57" t="s">
        <v>3607</v>
      </c>
      <c r="F1385" s="264"/>
      <c r="G1385" s="265">
        <v>1600.0</v>
      </c>
      <c r="H1385" s="72">
        <v>70.0</v>
      </c>
      <c r="I1385" s="42">
        <v>320.0</v>
      </c>
      <c r="J1385" s="42">
        <v>3.0</v>
      </c>
      <c r="K1385" s="42">
        <v>3.0</v>
      </c>
      <c r="L1385" s="70" t="s">
        <v>1137</v>
      </c>
      <c r="M1385" s="34" t="s">
        <v>4870</v>
      </c>
      <c r="N1385" s="70" t="s">
        <v>1137</v>
      </c>
      <c r="O1385" s="70">
        <v>340.0</v>
      </c>
      <c r="P1385" s="70" t="s">
        <v>29</v>
      </c>
      <c r="Q1385" s="31" t="s">
        <v>1137</v>
      </c>
      <c r="R1385" s="46"/>
    </row>
    <row r="1386" ht="14.25" customHeight="1">
      <c r="A1386" s="211">
        <v>9.0</v>
      </c>
      <c r="B1386" s="34" t="s">
        <v>5174</v>
      </c>
      <c r="C1386" s="34" t="s">
        <v>5175</v>
      </c>
      <c r="D1386" s="57" t="s">
        <v>2000</v>
      </c>
      <c r="E1386" s="57" t="s">
        <v>3607</v>
      </c>
      <c r="F1386" s="264"/>
      <c r="G1386" s="265">
        <v>1064.0</v>
      </c>
      <c r="H1386" s="72">
        <v>65.0</v>
      </c>
      <c r="I1386" s="42">
        <v>213.0</v>
      </c>
      <c r="J1386" s="42">
        <v>2.0</v>
      </c>
      <c r="K1386" s="42">
        <v>2.0</v>
      </c>
      <c r="L1386" s="70" t="s">
        <v>1137</v>
      </c>
      <c r="M1386" s="34" t="s">
        <v>4870</v>
      </c>
      <c r="N1386" s="70" t="s">
        <v>1137</v>
      </c>
      <c r="O1386" s="70">
        <v>235.0</v>
      </c>
      <c r="P1386" s="70" t="s">
        <v>29</v>
      </c>
      <c r="Q1386" s="31" t="s">
        <v>1137</v>
      </c>
      <c r="R1386" s="46"/>
    </row>
    <row r="1387" ht="14.25" customHeight="1">
      <c r="A1387" s="211">
        <v>10.0</v>
      </c>
      <c r="B1387" s="34" t="s">
        <v>5176</v>
      </c>
      <c r="C1387" s="34" t="s">
        <v>5177</v>
      </c>
      <c r="D1387" s="57" t="s">
        <v>2000</v>
      </c>
      <c r="E1387" s="57" t="s">
        <v>3607</v>
      </c>
      <c r="F1387" s="264"/>
      <c r="G1387" s="265">
        <v>240.0</v>
      </c>
      <c r="H1387" s="72">
        <v>15.0</v>
      </c>
      <c r="I1387" s="42">
        <v>48.0</v>
      </c>
      <c r="J1387" s="42">
        <v>1.0</v>
      </c>
      <c r="K1387" s="42">
        <v>1.0</v>
      </c>
      <c r="L1387" s="70" t="s">
        <v>1137</v>
      </c>
      <c r="M1387" s="34" t="s">
        <v>4870</v>
      </c>
      <c r="N1387" s="70" t="s">
        <v>1137</v>
      </c>
      <c r="O1387" s="70">
        <v>60.0</v>
      </c>
      <c r="P1387" s="70" t="s">
        <v>29</v>
      </c>
      <c r="Q1387" s="31" t="s">
        <v>1137</v>
      </c>
      <c r="R1387" s="46"/>
    </row>
    <row r="1388" ht="14.25" customHeight="1">
      <c r="A1388" s="211">
        <v>11.0</v>
      </c>
      <c r="B1388" s="34" t="s">
        <v>5178</v>
      </c>
      <c r="C1388" s="34" t="s">
        <v>5175</v>
      </c>
      <c r="D1388" s="57" t="s">
        <v>2000</v>
      </c>
      <c r="E1388" s="57" t="s">
        <v>3607</v>
      </c>
      <c r="F1388" s="264"/>
      <c r="G1388" s="265">
        <v>480.0</v>
      </c>
      <c r="H1388" s="72">
        <v>25.0</v>
      </c>
      <c r="I1388" s="42">
        <v>58.0</v>
      </c>
      <c r="J1388" s="42">
        <v>1.0</v>
      </c>
      <c r="K1388" s="42">
        <v>1.0</v>
      </c>
      <c r="L1388" s="70" t="s">
        <v>1137</v>
      </c>
      <c r="M1388" s="34" t="s">
        <v>4870</v>
      </c>
      <c r="N1388" s="70" t="s">
        <v>1137</v>
      </c>
      <c r="O1388" s="70">
        <v>70.0</v>
      </c>
      <c r="P1388" s="70" t="s">
        <v>29</v>
      </c>
      <c r="Q1388" s="31" t="s">
        <v>1137</v>
      </c>
      <c r="R1388" s="46"/>
    </row>
    <row r="1389" ht="14.25" customHeight="1">
      <c r="A1389" s="211">
        <v>12.0</v>
      </c>
      <c r="B1389" s="34" t="s">
        <v>5179</v>
      </c>
      <c r="C1389" s="34" t="s">
        <v>5180</v>
      </c>
      <c r="D1389" s="57" t="s">
        <v>2000</v>
      </c>
      <c r="E1389" s="57" t="s">
        <v>3607</v>
      </c>
      <c r="F1389" s="264"/>
      <c r="G1389" s="265">
        <v>172.0</v>
      </c>
      <c r="H1389" s="72">
        <v>10.0</v>
      </c>
      <c r="I1389" s="42">
        <v>34.0</v>
      </c>
      <c r="J1389" s="42">
        <v>1.0</v>
      </c>
      <c r="K1389" s="42">
        <v>1.0</v>
      </c>
      <c r="L1389" s="70" t="s">
        <v>1137</v>
      </c>
      <c r="M1389" s="34" t="s">
        <v>4870</v>
      </c>
      <c r="N1389" s="70" t="s">
        <v>1137</v>
      </c>
      <c r="O1389" s="70">
        <v>50.0</v>
      </c>
      <c r="P1389" s="70" t="s">
        <v>29</v>
      </c>
      <c r="Q1389" s="31" t="s">
        <v>1137</v>
      </c>
      <c r="R1389" s="46"/>
    </row>
    <row r="1390" ht="14.25" customHeight="1">
      <c r="A1390" s="211">
        <v>13.0</v>
      </c>
      <c r="B1390" s="34" t="s">
        <v>5181</v>
      </c>
      <c r="C1390" s="34" t="s">
        <v>2099</v>
      </c>
      <c r="D1390" s="57" t="s">
        <v>2000</v>
      </c>
      <c r="E1390" s="57" t="s">
        <v>3607</v>
      </c>
      <c r="F1390" s="264"/>
      <c r="G1390" s="265">
        <v>334.0</v>
      </c>
      <c r="H1390" s="72">
        <v>20.0</v>
      </c>
      <c r="I1390" s="42">
        <v>67.0</v>
      </c>
      <c r="J1390" s="42">
        <v>2.0</v>
      </c>
      <c r="K1390" s="42">
        <v>2.0</v>
      </c>
      <c r="L1390" s="70" t="s">
        <v>1137</v>
      </c>
      <c r="M1390" s="34" t="s">
        <v>4870</v>
      </c>
      <c r="N1390" s="70" t="s">
        <v>1137</v>
      </c>
      <c r="O1390" s="70">
        <v>80.0</v>
      </c>
      <c r="P1390" s="70" t="s">
        <v>29</v>
      </c>
      <c r="Q1390" s="31" t="s">
        <v>1137</v>
      </c>
      <c r="R1390" s="46"/>
    </row>
    <row r="1391" ht="14.25" customHeight="1">
      <c r="A1391" s="211">
        <v>14.0</v>
      </c>
      <c r="B1391" s="34" t="s">
        <v>5182</v>
      </c>
      <c r="C1391" s="34" t="s">
        <v>5183</v>
      </c>
      <c r="D1391" s="57" t="s">
        <v>2000</v>
      </c>
      <c r="E1391" s="57" t="s">
        <v>3607</v>
      </c>
      <c r="F1391" s="264"/>
      <c r="G1391" s="265">
        <v>240.0</v>
      </c>
      <c r="H1391" s="72">
        <v>15.0</v>
      </c>
      <c r="I1391" s="42">
        <v>47.0</v>
      </c>
      <c r="J1391" s="42">
        <v>1.0</v>
      </c>
      <c r="K1391" s="42">
        <v>1.0</v>
      </c>
      <c r="L1391" s="70" t="s">
        <v>1137</v>
      </c>
      <c r="M1391" s="34" t="s">
        <v>4870</v>
      </c>
      <c r="N1391" s="70" t="s">
        <v>1137</v>
      </c>
      <c r="O1391" s="70">
        <v>80.0</v>
      </c>
      <c r="P1391" s="70" t="s">
        <v>29</v>
      </c>
      <c r="Q1391" s="31" t="s">
        <v>1137</v>
      </c>
      <c r="R1391" s="46"/>
    </row>
    <row r="1392" ht="14.25" customHeight="1">
      <c r="A1392" s="211">
        <v>15.0</v>
      </c>
      <c r="B1392" s="34" t="s">
        <v>5184</v>
      </c>
      <c r="C1392" s="34" t="s">
        <v>5185</v>
      </c>
      <c r="D1392" s="57" t="s">
        <v>2000</v>
      </c>
      <c r="E1392" s="57" t="s">
        <v>3607</v>
      </c>
      <c r="F1392" s="264"/>
      <c r="G1392" s="265">
        <v>240.0</v>
      </c>
      <c r="H1392" s="72">
        <v>15.0</v>
      </c>
      <c r="I1392" s="42">
        <v>47.0</v>
      </c>
      <c r="J1392" s="42">
        <v>1.0</v>
      </c>
      <c r="K1392" s="42">
        <v>1.0</v>
      </c>
      <c r="L1392" s="70" t="s">
        <v>1137</v>
      </c>
      <c r="M1392" s="34" t="s">
        <v>4870</v>
      </c>
      <c r="N1392" s="70" t="s">
        <v>1137</v>
      </c>
      <c r="O1392" s="70">
        <v>60.0</v>
      </c>
      <c r="P1392" s="70" t="s">
        <v>29</v>
      </c>
      <c r="Q1392" s="31" t="s">
        <v>1137</v>
      </c>
      <c r="R1392" s="46"/>
    </row>
    <row r="1393" ht="14.25" customHeight="1">
      <c r="A1393" s="211">
        <v>16.0</v>
      </c>
      <c r="B1393" s="34" t="s">
        <v>5186</v>
      </c>
      <c r="C1393" s="34" t="s">
        <v>5187</v>
      </c>
      <c r="D1393" s="57" t="s">
        <v>2000</v>
      </c>
      <c r="E1393" s="57" t="s">
        <v>3607</v>
      </c>
      <c r="F1393" s="264"/>
      <c r="G1393" s="265">
        <v>192.0</v>
      </c>
      <c r="H1393" s="72">
        <v>10.0</v>
      </c>
      <c r="I1393" s="42">
        <v>38.0</v>
      </c>
      <c r="J1393" s="42">
        <v>1.0</v>
      </c>
      <c r="K1393" s="42">
        <v>1.0</v>
      </c>
      <c r="L1393" s="70" t="s">
        <v>1137</v>
      </c>
      <c r="M1393" s="34" t="s">
        <v>4870</v>
      </c>
      <c r="N1393" s="70" t="s">
        <v>1137</v>
      </c>
      <c r="O1393" s="70">
        <v>50.0</v>
      </c>
      <c r="P1393" s="70" t="s">
        <v>29</v>
      </c>
      <c r="Q1393" s="31" t="s">
        <v>1137</v>
      </c>
      <c r="R1393" s="46"/>
    </row>
    <row r="1394" ht="14.25" customHeight="1">
      <c r="A1394" s="211">
        <v>17.0</v>
      </c>
      <c r="B1394" s="34" t="s">
        <v>5188</v>
      </c>
      <c r="C1394" s="34" t="s">
        <v>5189</v>
      </c>
      <c r="D1394" s="57" t="s">
        <v>2000</v>
      </c>
      <c r="E1394" s="57" t="s">
        <v>3607</v>
      </c>
      <c r="F1394" s="264"/>
      <c r="G1394" s="265">
        <v>906.0</v>
      </c>
      <c r="H1394" s="72">
        <v>65.0</v>
      </c>
      <c r="I1394" s="42">
        <v>180.0</v>
      </c>
      <c r="J1394" s="42">
        <v>3.0</v>
      </c>
      <c r="K1394" s="42">
        <v>3.0</v>
      </c>
      <c r="L1394" s="70" t="s">
        <v>1137</v>
      </c>
      <c r="M1394" s="34" t="s">
        <v>4870</v>
      </c>
      <c r="N1394" s="70" t="s">
        <v>1137</v>
      </c>
      <c r="O1394" s="70">
        <v>200.0</v>
      </c>
      <c r="P1394" s="70" t="s">
        <v>29</v>
      </c>
      <c r="Q1394" s="31" t="s">
        <v>1137</v>
      </c>
      <c r="R1394" s="46"/>
    </row>
    <row r="1395" ht="14.25" customHeight="1">
      <c r="A1395" s="211">
        <v>18.0</v>
      </c>
      <c r="B1395" s="34" t="s">
        <v>5190</v>
      </c>
      <c r="C1395" s="34" t="s">
        <v>5175</v>
      </c>
      <c r="D1395" s="57" t="s">
        <v>2000</v>
      </c>
      <c r="E1395" s="57" t="s">
        <v>3607</v>
      </c>
      <c r="F1395" s="264"/>
      <c r="G1395" s="265">
        <v>100.0</v>
      </c>
      <c r="H1395" s="72">
        <v>10.0</v>
      </c>
      <c r="I1395" s="42">
        <v>20.0</v>
      </c>
      <c r="J1395" s="42">
        <v>1.0</v>
      </c>
      <c r="K1395" s="42">
        <v>1.0</v>
      </c>
      <c r="L1395" s="70" t="s">
        <v>1137</v>
      </c>
      <c r="M1395" s="34" t="s">
        <v>4870</v>
      </c>
      <c r="N1395" s="70" t="s">
        <v>1137</v>
      </c>
      <c r="O1395" s="70">
        <v>40.0</v>
      </c>
      <c r="P1395" s="70" t="s">
        <v>29</v>
      </c>
      <c r="Q1395" s="31" t="s">
        <v>1137</v>
      </c>
      <c r="R1395" s="46"/>
    </row>
    <row r="1396" ht="14.25" customHeight="1">
      <c r="A1396" s="211">
        <v>19.0</v>
      </c>
      <c r="B1396" s="34" t="s">
        <v>5182</v>
      </c>
      <c r="C1396" s="34" t="s">
        <v>5183</v>
      </c>
      <c r="D1396" s="57" t="s">
        <v>2000</v>
      </c>
      <c r="E1396" s="57" t="s">
        <v>3607</v>
      </c>
      <c r="F1396" s="264"/>
      <c r="G1396" s="265">
        <v>334.0</v>
      </c>
      <c r="H1396" s="72">
        <v>20.0</v>
      </c>
      <c r="I1396" s="42">
        <v>67.0</v>
      </c>
      <c r="J1396" s="42">
        <v>2.0</v>
      </c>
      <c r="K1396" s="42">
        <v>2.0</v>
      </c>
      <c r="L1396" s="70" t="s">
        <v>1137</v>
      </c>
      <c r="M1396" s="34" t="s">
        <v>4870</v>
      </c>
      <c r="N1396" s="70" t="s">
        <v>1137</v>
      </c>
      <c r="O1396" s="70">
        <v>80.0</v>
      </c>
      <c r="P1396" s="70" t="s">
        <v>29</v>
      </c>
      <c r="Q1396" s="31" t="s">
        <v>1137</v>
      </c>
      <c r="R1396" s="46"/>
    </row>
    <row r="1397" ht="14.25" customHeight="1">
      <c r="A1397" s="211">
        <v>20.0</v>
      </c>
      <c r="B1397" s="34" t="s">
        <v>5191</v>
      </c>
      <c r="C1397" s="34" t="s">
        <v>5192</v>
      </c>
      <c r="D1397" s="57" t="s">
        <v>2000</v>
      </c>
      <c r="E1397" s="57" t="s">
        <v>3607</v>
      </c>
      <c r="F1397" s="264"/>
      <c r="G1397" s="265">
        <v>144.0</v>
      </c>
      <c r="H1397" s="72">
        <v>10.0</v>
      </c>
      <c r="I1397" s="42">
        <v>28.0</v>
      </c>
      <c r="J1397" s="42">
        <v>1.0</v>
      </c>
      <c r="K1397" s="42">
        <v>1.0</v>
      </c>
      <c r="L1397" s="70" t="s">
        <v>1137</v>
      </c>
      <c r="M1397" s="34" t="s">
        <v>4870</v>
      </c>
      <c r="N1397" s="70" t="s">
        <v>1137</v>
      </c>
      <c r="O1397" s="70">
        <v>40.0</v>
      </c>
      <c r="P1397" s="70" t="s">
        <v>29</v>
      </c>
      <c r="Q1397" s="31" t="s">
        <v>1137</v>
      </c>
      <c r="R1397" s="46"/>
    </row>
    <row r="1398" ht="14.25" customHeight="1">
      <c r="A1398" s="211">
        <v>21.0</v>
      </c>
      <c r="B1398" s="34" t="s">
        <v>5193</v>
      </c>
      <c r="C1398" s="34" t="s">
        <v>5160</v>
      </c>
      <c r="D1398" s="57" t="s">
        <v>2000</v>
      </c>
      <c r="E1398" s="57" t="s">
        <v>3607</v>
      </c>
      <c r="F1398" s="264"/>
      <c r="G1398" s="265">
        <v>120.0</v>
      </c>
      <c r="H1398" s="72">
        <v>10.0</v>
      </c>
      <c r="I1398" s="42">
        <v>25.0</v>
      </c>
      <c r="J1398" s="42">
        <v>1.0</v>
      </c>
      <c r="K1398" s="42">
        <v>1.0</v>
      </c>
      <c r="L1398" s="70" t="s">
        <v>1137</v>
      </c>
      <c r="M1398" s="34" t="s">
        <v>4870</v>
      </c>
      <c r="N1398" s="70" t="s">
        <v>1137</v>
      </c>
      <c r="O1398" s="70">
        <v>35.0</v>
      </c>
      <c r="P1398" s="70" t="s">
        <v>29</v>
      </c>
      <c r="Q1398" s="31" t="s">
        <v>1137</v>
      </c>
      <c r="R1398" s="46"/>
    </row>
    <row r="1399" ht="14.25" customHeight="1">
      <c r="A1399" s="211">
        <v>22.0</v>
      </c>
      <c r="B1399" s="34" t="s">
        <v>878</v>
      </c>
      <c r="C1399" s="34" t="s">
        <v>5175</v>
      </c>
      <c r="D1399" s="57" t="s">
        <v>2000</v>
      </c>
      <c r="E1399" s="57" t="s">
        <v>3607</v>
      </c>
      <c r="F1399" s="264"/>
      <c r="G1399" s="265">
        <v>144.0</v>
      </c>
      <c r="H1399" s="72">
        <v>10.0</v>
      </c>
      <c r="I1399" s="42">
        <v>50.0</v>
      </c>
      <c r="J1399" s="42">
        <v>1.0</v>
      </c>
      <c r="K1399" s="42">
        <v>1.0</v>
      </c>
      <c r="L1399" s="70" t="s">
        <v>1137</v>
      </c>
      <c r="M1399" s="34" t="s">
        <v>4870</v>
      </c>
      <c r="N1399" s="70" t="s">
        <v>1137</v>
      </c>
      <c r="O1399" s="70">
        <v>50.0</v>
      </c>
      <c r="P1399" s="70" t="s">
        <v>29</v>
      </c>
      <c r="Q1399" s="31" t="s">
        <v>1137</v>
      </c>
      <c r="R1399" s="46"/>
    </row>
    <row r="1400" ht="15.75" customHeight="1">
      <c r="A1400" s="181"/>
      <c r="B1400" s="182" t="s">
        <v>5194</v>
      </c>
      <c r="C1400" s="22"/>
      <c r="D1400" s="22"/>
      <c r="E1400" s="22"/>
      <c r="F1400" s="209"/>
      <c r="G1400" s="210"/>
      <c r="H1400" s="22"/>
      <c r="I1400" s="22"/>
      <c r="J1400" s="22"/>
      <c r="K1400" s="22"/>
      <c r="L1400" s="22"/>
      <c r="M1400" s="22"/>
      <c r="N1400" s="22"/>
      <c r="O1400" s="22"/>
      <c r="P1400" s="22"/>
      <c r="Q1400" s="209"/>
      <c r="R1400" s="218"/>
    </row>
    <row r="1401" ht="14.25" customHeight="1">
      <c r="A1401" s="211">
        <v>1.0</v>
      </c>
      <c r="B1401" s="34" t="s">
        <v>5195</v>
      </c>
      <c r="C1401" s="34" t="s">
        <v>5196</v>
      </c>
      <c r="D1401" s="57" t="s">
        <v>5197</v>
      </c>
      <c r="E1401" s="57" t="s">
        <v>5198</v>
      </c>
      <c r="F1401" s="264"/>
      <c r="G1401" s="265" t="s">
        <v>5199</v>
      </c>
      <c r="H1401" s="72">
        <v>50.0</v>
      </c>
      <c r="I1401" s="42">
        <v>300.0</v>
      </c>
      <c r="J1401" s="42">
        <v>5.0</v>
      </c>
      <c r="K1401" s="42">
        <v>5.0</v>
      </c>
      <c r="L1401" s="70">
        <v>0.0</v>
      </c>
      <c r="M1401" s="34" t="s">
        <v>5200</v>
      </c>
      <c r="N1401" s="70" t="s">
        <v>5200</v>
      </c>
      <c r="O1401" s="70">
        <v>400.0</v>
      </c>
      <c r="P1401" s="70" t="s">
        <v>66</v>
      </c>
      <c r="Q1401" s="31">
        <v>100.0</v>
      </c>
      <c r="R1401" s="46"/>
    </row>
    <row r="1402" ht="14.25" customHeight="1">
      <c r="A1402" s="211">
        <v>2.0</v>
      </c>
      <c r="B1402" s="34" t="s">
        <v>5201</v>
      </c>
      <c r="C1402" s="34" t="s">
        <v>5202</v>
      </c>
      <c r="D1402" s="57" t="s">
        <v>5197</v>
      </c>
      <c r="E1402" s="57" t="s">
        <v>5198</v>
      </c>
      <c r="F1402" s="264"/>
      <c r="G1402" s="265" t="s">
        <v>5203</v>
      </c>
      <c r="H1402" s="72">
        <v>10.0</v>
      </c>
      <c r="I1402" s="42">
        <v>50.0</v>
      </c>
      <c r="J1402" s="42">
        <v>3.0</v>
      </c>
      <c r="K1402" s="42">
        <v>3.0</v>
      </c>
      <c r="L1402" s="70">
        <v>0.0</v>
      </c>
      <c r="M1402" s="34" t="s">
        <v>5200</v>
      </c>
      <c r="N1402" s="70" t="s">
        <v>5200</v>
      </c>
      <c r="O1402" s="70">
        <v>50.0</v>
      </c>
      <c r="P1402" s="70" t="s">
        <v>29</v>
      </c>
      <c r="Q1402" s="31" t="s">
        <v>401</v>
      </c>
      <c r="R1402" s="46"/>
    </row>
    <row r="1403" ht="14.25" customHeight="1">
      <c r="A1403" s="211">
        <v>3.0</v>
      </c>
      <c r="B1403" s="34" t="s">
        <v>5204</v>
      </c>
      <c r="C1403" s="34" t="s">
        <v>5205</v>
      </c>
      <c r="D1403" s="57" t="s">
        <v>5197</v>
      </c>
      <c r="E1403" s="57" t="s">
        <v>5198</v>
      </c>
      <c r="F1403" s="264"/>
      <c r="G1403" s="265">
        <v>200.0</v>
      </c>
      <c r="H1403" s="72">
        <v>20.0</v>
      </c>
      <c r="I1403" s="42">
        <v>100.0</v>
      </c>
      <c r="J1403" s="42">
        <v>1.0</v>
      </c>
      <c r="K1403" s="42">
        <v>1.0</v>
      </c>
      <c r="L1403" s="70">
        <v>1.0</v>
      </c>
      <c r="M1403" s="34" t="s">
        <v>5206</v>
      </c>
      <c r="N1403" s="70" t="s">
        <v>401</v>
      </c>
      <c r="O1403" s="252">
        <v>0.0</v>
      </c>
      <c r="P1403" s="70" t="s">
        <v>29</v>
      </c>
      <c r="Q1403" s="31" t="s">
        <v>401</v>
      </c>
      <c r="R1403" s="46"/>
    </row>
    <row r="1404" ht="14.25" customHeight="1">
      <c r="A1404" s="211">
        <v>4.0</v>
      </c>
      <c r="B1404" s="34" t="s">
        <v>5207</v>
      </c>
      <c r="C1404" s="34" t="s">
        <v>5208</v>
      </c>
      <c r="D1404" s="57" t="s">
        <v>5197</v>
      </c>
      <c r="E1404" s="57" t="s">
        <v>5198</v>
      </c>
      <c r="F1404" s="264"/>
      <c r="G1404" s="265">
        <v>200.0</v>
      </c>
      <c r="H1404" s="72">
        <v>20.0</v>
      </c>
      <c r="I1404" s="42">
        <v>100.0</v>
      </c>
      <c r="J1404" s="42">
        <v>1.0</v>
      </c>
      <c r="K1404" s="42">
        <v>1.0</v>
      </c>
      <c r="L1404" s="70">
        <v>1.0</v>
      </c>
      <c r="M1404" s="34" t="s">
        <v>5206</v>
      </c>
      <c r="N1404" s="70" t="s">
        <v>401</v>
      </c>
      <c r="O1404" s="252">
        <v>0.0</v>
      </c>
      <c r="P1404" s="70" t="s">
        <v>29</v>
      </c>
      <c r="Q1404" s="31" t="s">
        <v>401</v>
      </c>
      <c r="R1404" s="46"/>
    </row>
    <row r="1405" ht="14.25" customHeight="1">
      <c r="A1405" s="211">
        <v>5.0</v>
      </c>
      <c r="B1405" s="34" t="s">
        <v>5209</v>
      </c>
      <c r="C1405" s="34" t="s">
        <v>5210</v>
      </c>
      <c r="D1405" s="57" t="s">
        <v>5197</v>
      </c>
      <c r="E1405" s="57" t="s">
        <v>5198</v>
      </c>
      <c r="F1405" s="264"/>
      <c r="G1405" s="265">
        <v>1722.0</v>
      </c>
      <c r="H1405" s="72">
        <v>120.0</v>
      </c>
      <c r="I1405" s="42">
        <v>600.0</v>
      </c>
      <c r="J1405" s="42">
        <v>13.0</v>
      </c>
      <c r="K1405" s="42">
        <v>13.0</v>
      </c>
      <c r="L1405" s="70">
        <v>1.0</v>
      </c>
      <c r="M1405" s="34" t="s">
        <v>5206</v>
      </c>
      <c r="N1405" s="70" t="s">
        <v>401</v>
      </c>
      <c r="O1405" s="252">
        <v>0.0</v>
      </c>
      <c r="P1405" s="70" t="s">
        <v>29</v>
      </c>
      <c r="Q1405" s="31" t="s">
        <v>401</v>
      </c>
      <c r="R1405" s="46"/>
    </row>
    <row r="1406" ht="14.25" customHeight="1">
      <c r="A1406" s="211">
        <v>6.0</v>
      </c>
      <c r="B1406" s="34" t="s">
        <v>2130</v>
      </c>
      <c r="C1406" s="34" t="s">
        <v>5211</v>
      </c>
      <c r="D1406" s="57" t="s">
        <v>5197</v>
      </c>
      <c r="E1406" s="57" t="s">
        <v>5198</v>
      </c>
      <c r="F1406" s="264"/>
      <c r="G1406" s="252">
        <v>200.0</v>
      </c>
      <c r="H1406" s="72">
        <v>52.0</v>
      </c>
      <c r="I1406" s="42">
        <v>208.0</v>
      </c>
      <c r="J1406" s="42">
        <v>1.0</v>
      </c>
      <c r="K1406" s="42">
        <v>1.0</v>
      </c>
      <c r="L1406" s="70">
        <v>5.0</v>
      </c>
      <c r="M1406" s="34" t="s">
        <v>27</v>
      </c>
      <c r="N1406" s="70" t="s">
        <v>401</v>
      </c>
      <c r="O1406" s="252">
        <v>0.0</v>
      </c>
      <c r="P1406" s="70" t="s">
        <v>29</v>
      </c>
      <c r="Q1406" s="31" t="s">
        <v>401</v>
      </c>
      <c r="R1406" s="46"/>
    </row>
    <row r="1407" ht="14.25" customHeight="1">
      <c r="A1407" s="211">
        <v>7.0</v>
      </c>
      <c r="B1407" s="34" t="s">
        <v>5212</v>
      </c>
      <c r="C1407" s="34" t="s">
        <v>5213</v>
      </c>
      <c r="D1407" s="57" t="s">
        <v>5197</v>
      </c>
      <c r="E1407" s="57" t="s">
        <v>5198</v>
      </c>
      <c r="F1407" s="264"/>
      <c r="G1407" s="265">
        <v>200.0</v>
      </c>
      <c r="H1407" s="72">
        <v>20.0</v>
      </c>
      <c r="I1407" s="42">
        <v>100.0</v>
      </c>
      <c r="J1407" s="42">
        <v>1.0</v>
      </c>
      <c r="K1407" s="42">
        <v>1.0</v>
      </c>
      <c r="L1407" s="70">
        <v>1.0</v>
      </c>
      <c r="M1407" s="34" t="s">
        <v>5214</v>
      </c>
      <c r="N1407" s="70" t="s">
        <v>401</v>
      </c>
      <c r="O1407" s="252">
        <v>0.0</v>
      </c>
      <c r="P1407" s="70" t="s">
        <v>29</v>
      </c>
      <c r="Q1407" s="31" t="s">
        <v>401</v>
      </c>
      <c r="R1407" s="46"/>
    </row>
    <row r="1408" ht="14.25" customHeight="1">
      <c r="A1408" s="211">
        <v>8.0</v>
      </c>
      <c r="B1408" s="34" t="s">
        <v>5215</v>
      </c>
      <c r="C1408" s="34" t="s">
        <v>5213</v>
      </c>
      <c r="D1408" s="57" t="s">
        <v>5197</v>
      </c>
      <c r="E1408" s="57" t="s">
        <v>5198</v>
      </c>
      <c r="F1408" s="264"/>
      <c r="G1408" s="265">
        <v>2709.0</v>
      </c>
      <c r="H1408" s="72">
        <v>43.0</v>
      </c>
      <c r="I1408" s="42">
        <v>215.0</v>
      </c>
      <c r="J1408" s="42">
        <v>6.0</v>
      </c>
      <c r="K1408" s="42">
        <v>6.0</v>
      </c>
      <c r="L1408" s="70">
        <v>20.0</v>
      </c>
      <c r="M1408" s="34" t="s">
        <v>5206</v>
      </c>
      <c r="N1408" s="70" t="s">
        <v>401</v>
      </c>
      <c r="O1408" s="252">
        <v>0.0</v>
      </c>
      <c r="P1408" s="70" t="s">
        <v>29</v>
      </c>
      <c r="Q1408" s="31" t="s">
        <v>401</v>
      </c>
      <c r="R1408" s="46"/>
    </row>
    <row r="1409" ht="14.25" customHeight="1">
      <c r="A1409" s="211">
        <v>9.0</v>
      </c>
      <c r="B1409" s="34" t="s">
        <v>5216</v>
      </c>
      <c r="C1409" s="34" t="s">
        <v>5208</v>
      </c>
      <c r="D1409" s="57" t="s">
        <v>5197</v>
      </c>
      <c r="E1409" s="57" t="s">
        <v>5198</v>
      </c>
      <c r="F1409" s="264"/>
      <c r="G1409" s="265">
        <v>900.0</v>
      </c>
      <c r="H1409" s="72">
        <v>50.0</v>
      </c>
      <c r="I1409" s="42">
        <v>200.0</v>
      </c>
      <c r="J1409" s="42">
        <v>1.0</v>
      </c>
      <c r="K1409" s="42">
        <v>1.0</v>
      </c>
      <c r="L1409" s="70">
        <v>0.0</v>
      </c>
      <c r="M1409" s="34" t="s">
        <v>5206</v>
      </c>
      <c r="N1409" s="70" t="s">
        <v>401</v>
      </c>
      <c r="O1409" s="252">
        <v>0.0</v>
      </c>
      <c r="P1409" s="70" t="s">
        <v>29</v>
      </c>
      <c r="Q1409" s="31" t="s">
        <v>401</v>
      </c>
      <c r="R1409" s="46"/>
    </row>
    <row r="1410" ht="15.75" customHeight="1">
      <c r="A1410" s="181"/>
      <c r="B1410" s="182" t="s">
        <v>5217</v>
      </c>
      <c r="C1410" s="22"/>
      <c r="D1410" s="22"/>
      <c r="E1410" s="22"/>
      <c r="F1410" s="209"/>
      <c r="G1410" s="210"/>
      <c r="H1410" s="22"/>
      <c r="I1410" s="22"/>
      <c r="J1410" s="22"/>
      <c r="K1410" s="22"/>
      <c r="L1410" s="22"/>
      <c r="M1410" s="22"/>
      <c r="N1410" s="22"/>
      <c r="O1410" s="22"/>
      <c r="P1410" s="22"/>
      <c r="Q1410" s="209"/>
      <c r="R1410" s="218"/>
    </row>
    <row r="1411" ht="14.25" customHeight="1">
      <c r="A1411" s="211">
        <v>1.0</v>
      </c>
      <c r="B1411" s="34" t="s">
        <v>5218</v>
      </c>
      <c r="C1411" s="34" t="s">
        <v>5219</v>
      </c>
      <c r="D1411" s="59" t="s">
        <v>2000</v>
      </c>
      <c r="E1411" s="59" t="s">
        <v>3743</v>
      </c>
      <c r="F1411" s="264"/>
      <c r="G1411" s="307">
        <v>480.0</v>
      </c>
      <c r="H1411" s="72">
        <v>438.0</v>
      </c>
      <c r="I1411" s="42">
        <v>1911.0</v>
      </c>
      <c r="J1411" s="42">
        <v>956.0</v>
      </c>
      <c r="K1411" s="42">
        <v>955.0</v>
      </c>
      <c r="L1411" s="70">
        <v>3.0</v>
      </c>
      <c r="M1411" s="69" t="s">
        <v>82</v>
      </c>
      <c r="N1411" s="70" t="s">
        <v>401</v>
      </c>
      <c r="O1411" s="301">
        <v>0.0</v>
      </c>
      <c r="P1411" s="70" t="s">
        <v>29</v>
      </c>
      <c r="Q1411" s="301">
        <v>0.0</v>
      </c>
      <c r="R1411" s="88" t="s">
        <v>401</v>
      </c>
    </row>
    <row r="1412" ht="14.25" customHeight="1">
      <c r="A1412" s="211">
        <v>2.0</v>
      </c>
      <c r="B1412" s="34" t="s">
        <v>5218</v>
      </c>
      <c r="C1412" s="34" t="s">
        <v>5220</v>
      </c>
      <c r="D1412" s="59" t="s">
        <v>2000</v>
      </c>
      <c r="E1412" s="59" t="s">
        <v>3743</v>
      </c>
      <c r="F1412" s="264"/>
      <c r="G1412" s="307">
        <v>480.0</v>
      </c>
      <c r="H1412" s="72">
        <v>577.0</v>
      </c>
      <c r="I1412" s="42">
        <v>2093.0</v>
      </c>
      <c r="J1412" s="42">
        <v>1031.0</v>
      </c>
      <c r="K1412" s="42">
        <v>1067.0</v>
      </c>
      <c r="L1412" s="70">
        <v>12.0</v>
      </c>
      <c r="M1412" s="69" t="s">
        <v>82</v>
      </c>
      <c r="N1412" s="70" t="s">
        <v>401</v>
      </c>
      <c r="O1412" s="301">
        <v>0.0</v>
      </c>
      <c r="P1412" s="70" t="s">
        <v>29</v>
      </c>
      <c r="Q1412" s="301">
        <v>0.0</v>
      </c>
      <c r="R1412" s="88" t="s">
        <v>401</v>
      </c>
    </row>
    <row r="1413" ht="14.25" customHeight="1">
      <c r="A1413" s="211">
        <v>3.0</v>
      </c>
      <c r="B1413" s="34" t="s">
        <v>5221</v>
      </c>
      <c r="C1413" s="34" t="s">
        <v>5222</v>
      </c>
      <c r="D1413" s="59" t="s">
        <v>2000</v>
      </c>
      <c r="E1413" s="59" t="s">
        <v>3743</v>
      </c>
      <c r="F1413" s="264"/>
      <c r="G1413" s="307">
        <v>112.0</v>
      </c>
      <c r="H1413" s="72">
        <v>577.0</v>
      </c>
      <c r="I1413" s="42">
        <v>2093.0</v>
      </c>
      <c r="J1413" s="42">
        <v>1031.0</v>
      </c>
      <c r="K1413" s="42">
        <v>1067.0</v>
      </c>
      <c r="L1413" s="70">
        <v>12.0</v>
      </c>
      <c r="M1413" s="69" t="s">
        <v>82</v>
      </c>
      <c r="N1413" s="70" t="s">
        <v>401</v>
      </c>
      <c r="O1413" s="301">
        <v>0.0</v>
      </c>
      <c r="P1413" s="70" t="s">
        <v>29</v>
      </c>
      <c r="Q1413" s="301">
        <v>0.0</v>
      </c>
      <c r="R1413" s="88" t="s">
        <v>401</v>
      </c>
    </row>
    <row r="1414" ht="14.25" customHeight="1">
      <c r="A1414" s="211">
        <v>4.0</v>
      </c>
      <c r="B1414" s="34" t="s">
        <v>5218</v>
      </c>
      <c r="C1414" s="34" t="s">
        <v>5223</v>
      </c>
      <c r="D1414" s="59" t="s">
        <v>2000</v>
      </c>
      <c r="E1414" s="59" t="s">
        <v>3743</v>
      </c>
      <c r="F1414" s="264"/>
      <c r="G1414" s="307">
        <v>480.0</v>
      </c>
      <c r="H1414" s="72">
        <v>20.0</v>
      </c>
      <c r="I1414" s="42">
        <f t="shared" ref="I1414:I1434" si="4">H1414*4.5</f>
        <v>90</v>
      </c>
      <c r="J1414" s="42">
        <f t="shared" ref="J1414:J1434" si="5">I1414/2</f>
        <v>45</v>
      </c>
      <c r="K1414" s="42">
        <f t="shared" ref="K1414:K1434" si="6">I1414/2</f>
        <v>45</v>
      </c>
      <c r="L1414" s="301">
        <v>6.0</v>
      </c>
      <c r="M1414" s="69" t="s">
        <v>82</v>
      </c>
      <c r="N1414" s="70" t="s">
        <v>401</v>
      </c>
      <c r="O1414" s="301">
        <v>0.0</v>
      </c>
      <c r="P1414" s="70" t="s">
        <v>29</v>
      </c>
      <c r="Q1414" s="301">
        <v>0.0</v>
      </c>
      <c r="R1414" s="88" t="s">
        <v>401</v>
      </c>
    </row>
    <row r="1415" ht="14.25" customHeight="1">
      <c r="A1415" s="211">
        <v>5.0</v>
      </c>
      <c r="B1415" s="34" t="s">
        <v>5218</v>
      </c>
      <c r="C1415" s="34" t="s">
        <v>5224</v>
      </c>
      <c r="D1415" s="59" t="s">
        <v>2000</v>
      </c>
      <c r="E1415" s="59" t="s">
        <v>3743</v>
      </c>
      <c r="F1415" s="264"/>
      <c r="G1415" s="307">
        <v>480.0</v>
      </c>
      <c r="H1415" s="72">
        <v>20.0</v>
      </c>
      <c r="I1415" s="42">
        <f t="shared" si="4"/>
        <v>90</v>
      </c>
      <c r="J1415" s="42">
        <f t="shared" si="5"/>
        <v>45</v>
      </c>
      <c r="K1415" s="42">
        <f t="shared" si="6"/>
        <v>45</v>
      </c>
      <c r="L1415" s="301">
        <v>7.0</v>
      </c>
      <c r="M1415" s="69" t="s">
        <v>82</v>
      </c>
      <c r="N1415" s="70" t="s">
        <v>401</v>
      </c>
      <c r="O1415" s="301">
        <v>0.0</v>
      </c>
      <c r="P1415" s="70" t="s">
        <v>29</v>
      </c>
      <c r="Q1415" s="301">
        <v>0.0</v>
      </c>
      <c r="R1415" s="88" t="s">
        <v>401</v>
      </c>
    </row>
    <row r="1416" ht="14.25" customHeight="1">
      <c r="A1416" s="211">
        <v>6.0</v>
      </c>
      <c r="B1416" s="34" t="s">
        <v>5225</v>
      </c>
      <c r="C1416" s="34" t="s">
        <v>5224</v>
      </c>
      <c r="D1416" s="59" t="s">
        <v>2000</v>
      </c>
      <c r="E1416" s="59" t="s">
        <v>3743</v>
      </c>
      <c r="F1416" s="264"/>
      <c r="G1416" s="307">
        <v>224.0</v>
      </c>
      <c r="H1416" s="72">
        <v>120.0</v>
      </c>
      <c r="I1416" s="42">
        <f t="shared" si="4"/>
        <v>540</v>
      </c>
      <c r="J1416" s="42">
        <f t="shared" si="5"/>
        <v>270</v>
      </c>
      <c r="K1416" s="42">
        <f t="shared" si="6"/>
        <v>270</v>
      </c>
      <c r="L1416" s="301">
        <v>6.0</v>
      </c>
      <c r="M1416" s="69" t="s">
        <v>82</v>
      </c>
      <c r="N1416" s="70" t="s">
        <v>401</v>
      </c>
      <c r="O1416" s="301">
        <v>0.0</v>
      </c>
      <c r="P1416" s="70" t="s">
        <v>29</v>
      </c>
      <c r="Q1416" s="301">
        <v>0.0</v>
      </c>
      <c r="R1416" s="88" t="s">
        <v>401</v>
      </c>
    </row>
    <row r="1417" ht="14.25" customHeight="1">
      <c r="A1417" s="211">
        <v>7.0</v>
      </c>
      <c r="B1417" s="34" t="s">
        <v>5218</v>
      </c>
      <c r="C1417" s="34" t="s">
        <v>5226</v>
      </c>
      <c r="D1417" s="59" t="s">
        <v>2000</v>
      </c>
      <c r="E1417" s="59" t="s">
        <v>3743</v>
      </c>
      <c r="F1417" s="264"/>
      <c r="G1417" s="307">
        <v>480.0</v>
      </c>
      <c r="H1417" s="72">
        <v>52.0</v>
      </c>
      <c r="I1417" s="42">
        <f t="shared" si="4"/>
        <v>234</v>
      </c>
      <c r="J1417" s="42">
        <f t="shared" si="5"/>
        <v>117</v>
      </c>
      <c r="K1417" s="42">
        <f t="shared" si="6"/>
        <v>117</v>
      </c>
      <c r="L1417" s="301">
        <v>6.0</v>
      </c>
      <c r="M1417" s="69" t="s">
        <v>82</v>
      </c>
      <c r="N1417" s="70" t="s">
        <v>401</v>
      </c>
      <c r="O1417" s="301">
        <v>0.0</v>
      </c>
      <c r="P1417" s="70" t="s">
        <v>29</v>
      </c>
      <c r="Q1417" s="301">
        <v>0.0</v>
      </c>
      <c r="R1417" s="88" t="s">
        <v>401</v>
      </c>
    </row>
    <row r="1418" ht="14.25" customHeight="1">
      <c r="A1418" s="211">
        <v>8.0</v>
      </c>
      <c r="B1418" s="34" t="s">
        <v>5227</v>
      </c>
      <c r="C1418" s="34" t="s">
        <v>5228</v>
      </c>
      <c r="D1418" s="59" t="s">
        <v>2000</v>
      </c>
      <c r="E1418" s="59" t="s">
        <v>3743</v>
      </c>
      <c r="F1418" s="264"/>
      <c r="G1418" s="307" t="s">
        <v>401</v>
      </c>
      <c r="H1418" s="72">
        <v>20.0</v>
      </c>
      <c r="I1418" s="42">
        <f t="shared" si="4"/>
        <v>90</v>
      </c>
      <c r="J1418" s="42">
        <f t="shared" si="5"/>
        <v>45</v>
      </c>
      <c r="K1418" s="42">
        <f t="shared" si="6"/>
        <v>45</v>
      </c>
      <c r="L1418" s="301" t="s">
        <v>401</v>
      </c>
      <c r="M1418" s="301" t="s">
        <v>401</v>
      </c>
      <c r="N1418" s="70" t="s">
        <v>401</v>
      </c>
      <c r="O1418" s="301">
        <v>0.0</v>
      </c>
      <c r="P1418" s="70" t="s">
        <v>29</v>
      </c>
      <c r="Q1418" s="301">
        <v>0.0</v>
      </c>
      <c r="R1418" s="88" t="s">
        <v>401</v>
      </c>
    </row>
    <row r="1419" ht="14.25" customHeight="1">
      <c r="A1419" s="211">
        <v>9.0</v>
      </c>
      <c r="B1419" s="34" t="s">
        <v>5229</v>
      </c>
      <c r="C1419" s="34" t="s">
        <v>5230</v>
      </c>
      <c r="D1419" s="59" t="s">
        <v>2000</v>
      </c>
      <c r="E1419" s="59" t="s">
        <v>3743</v>
      </c>
      <c r="F1419" s="264"/>
      <c r="G1419" s="307" t="s">
        <v>401</v>
      </c>
      <c r="H1419" s="72">
        <v>43.0</v>
      </c>
      <c r="I1419" s="42">
        <f t="shared" si="4"/>
        <v>193.5</v>
      </c>
      <c r="J1419" s="42">
        <f t="shared" si="5"/>
        <v>96.75</v>
      </c>
      <c r="K1419" s="42">
        <f t="shared" si="6"/>
        <v>96.75</v>
      </c>
      <c r="L1419" s="301" t="s">
        <v>401</v>
      </c>
      <c r="M1419" s="301" t="s">
        <v>401</v>
      </c>
      <c r="N1419" s="70" t="s">
        <v>401</v>
      </c>
      <c r="O1419" s="301">
        <v>0.0</v>
      </c>
      <c r="P1419" s="70" t="s">
        <v>29</v>
      </c>
      <c r="Q1419" s="301">
        <v>0.0</v>
      </c>
      <c r="R1419" s="88" t="s">
        <v>401</v>
      </c>
    </row>
    <row r="1420" ht="14.25" customHeight="1">
      <c r="A1420" s="211">
        <v>10.0</v>
      </c>
      <c r="B1420" s="34" t="s">
        <v>5231</v>
      </c>
      <c r="C1420" s="34" t="s">
        <v>5230</v>
      </c>
      <c r="D1420" s="59" t="s">
        <v>2000</v>
      </c>
      <c r="E1420" s="59" t="s">
        <v>3743</v>
      </c>
      <c r="F1420" s="264"/>
      <c r="G1420" s="307">
        <v>112.0</v>
      </c>
      <c r="H1420" s="72">
        <v>50.0</v>
      </c>
      <c r="I1420" s="42">
        <f t="shared" si="4"/>
        <v>225</v>
      </c>
      <c r="J1420" s="42">
        <f t="shared" si="5"/>
        <v>112.5</v>
      </c>
      <c r="K1420" s="42">
        <f t="shared" si="6"/>
        <v>112.5</v>
      </c>
      <c r="L1420" s="301">
        <v>6.0</v>
      </c>
      <c r="M1420" s="69" t="s">
        <v>401</v>
      </c>
      <c r="N1420" s="70" t="s">
        <v>401</v>
      </c>
      <c r="O1420" s="301">
        <v>0.0</v>
      </c>
      <c r="P1420" s="70" t="s">
        <v>29</v>
      </c>
      <c r="Q1420" s="301">
        <v>0.0</v>
      </c>
      <c r="R1420" s="88" t="s">
        <v>401</v>
      </c>
    </row>
    <row r="1421" ht="14.25" customHeight="1">
      <c r="A1421" s="211">
        <v>11.0</v>
      </c>
      <c r="B1421" s="34" t="s">
        <v>1171</v>
      </c>
      <c r="C1421" s="34" t="s">
        <v>5232</v>
      </c>
      <c r="D1421" s="59" t="s">
        <v>2000</v>
      </c>
      <c r="E1421" s="59" t="s">
        <v>3743</v>
      </c>
      <c r="F1421" s="264"/>
      <c r="G1421" s="307">
        <v>200.0</v>
      </c>
      <c r="H1421" s="72">
        <v>20.0</v>
      </c>
      <c r="I1421" s="42">
        <f t="shared" si="4"/>
        <v>90</v>
      </c>
      <c r="J1421" s="42">
        <f t="shared" si="5"/>
        <v>45</v>
      </c>
      <c r="K1421" s="42">
        <f t="shared" si="6"/>
        <v>45</v>
      </c>
      <c r="L1421" s="301">
        <v>1.0</v>
      </c>
      <c r="M1421" s="69" t="s">
        <v>5233</v>
      </c>
      <c r="N1421" s="70" t="s">
        <v>401</v>
      </c>
      <c r="O1421" s="301">
        <v>0.0</v>
      </c>
      <c r="P1421" s="70" t="s">
        <v>29</v>
      </c>
      <c r="Q1421" s="301">
        <v>0.0</v>
      </c>
      <c r="R1421" s="88" t="s">
        <v>401</v>
      </c>
    </row>
    <row r="1422" ht="14.25" customHeight="1">
      <c r="A1422" s="211">
        <v>12.0</v>
      </c>
      <c r="B1422" s="34" t="s">
        <v>5234</v>
      </c>
      <c r="C1422" s="34" t="s">
        <v>5232</v>
      </c>
      <c r="D1422" s="59" t="s">
        <v>2000</v>
      </c>
      <c r="E1422" s="59" t="s">
        <v>3743</v>
      </c>
      <c r="F1422" s="264"/>
      <c r="G1422" s="307">
        <v>48.0</v>
      </c>
      <c r="H1422" s="72">
        <v>20.0</v>
      </c>
      <c r="I1422" s="42">
        <f t="shared" si="4"/>
        <v>90</v>
      </c>
      <c r="J1422" s="42">
        <f t="shared" si="5"/>
        <v>45</v>
      </c>
      <c r="K1422" s="42">
        <f t="shared" si="6"/>
        <v>45</v>
      </c>
      <c r="L1422" s="301">
        <v>1.0</v>
      </c>
      <c r="M1422" s="69" t="s">
        <v>5233</v>
      </c>
      <c r="N1422" s="70" t="s">
        <v>401</v>
      </c>
      <c r="O1422" s="301">
        <v>0.0</v>
      </c>
      <c r="P1422" s="70" t="s">
        <v>29</v>
      </c>
      <c r="Q1422" s="301">
        <v>0.0</v>
      </c>
      <c r="R1422" s="88" t="s">
        <v>401</v>
      </c>
    </row>
    <row r="1423" ht="14.25" customHeight="1">
      <c r="A1423" s="211">
        <v>13.0</v>
      </c>
      <c r="B1423" s="34" t="s">
        <v>5218</v>
      </c>
      <c r="C1423" s="34" t="s">
        <v>5235</v>
      </c>
      <c r="D1423" s="59" t="s">
        <v>2000</v>
      </c>
      <c r="E1423" s="59" t="s">
        <v>3743</v>
      </c>
      <c r="F1423" s="264"/>
      <c r="G1423" s="307">
        <v>480.0</v>
      </c>
      <c r="H1423" s="72">
        <v>120.0</v>
      </c>
      <c r="I1423" s="42">
        <f t="shared" si="4"/>
        <v>540</v>
      </c>
      <c r="J1423" s="42">
        <f t="shared" si="5"/>
        <v>270</v>
      </c>
      <c r="K1423" s="42">
        <f t="shared" si="6"/>
        <v>270</v>
      </c>
      <c r="L1423" s="301" t="s">
        <v>401</v>
      </c>
      <c r="M1423" s="69" t="s">
        <v>5233</v>
      </c>
      <c r="N1423" s="70" t="s">
        <v>401</v>
      </c>
      <c r="O1423" s="301">
        <v>0.0</v>
      </c>
      <c r="P1423" s="70" t="s">
        <v>29</v>
      </c>
      <c r="Q1423" s="301">
        <v>0.0</v>
      </c>
      <c r="R1423" s="88" t="s">
        <v>401</v>
      </c>
    </row>
    <row r="1424" ht="14.25" customHeight="1">
      <c r="A1424" s="211">
        <v>14.0</v>
      </c>
      <c r="B1424" s="34" t="s">
        <v>5236</v>
      </c>
      <c r="C1424" s="34" t="s">
        <v>5237</v>
      </c>
      <c r="D1424" s="59" t="s">
        <v>2000</v>
      </c>
      <c r="E1424" s="59" t="s">
        <v>3743</v>
      </c>
      <c r="F1424" s="264"/>
      <c r="G1424" s="307">
        <v>48.0</v>
      </c>
      <c r="H1424" s="72">
        <v>52.0</v>
      </c>
      <c r="I1424" s="42">
        <f t="shared" si="4"/>
        <v>234</v>
      </c>
      <c r="J1424" s="42">
        <f t="shared" si="5"/>
        <v>117</v>
      </c>
      <c r="K1424" s="42">
        <f t="shared" si="6"/>
        <v>117</v>
      </c>
      <c r="L1424" s="301">
        <v>1.0</v>
      </c>
      <c r="M1424" s="69" t="s">
        <v>5233</v>
      </c>
      <c r="N1424" s="70" t="s">
        <v>401</v>
      </c>
      <c r="O1424" s="301">
        <v>0.0</v>
      </c>
      <c r="P1424" s="70" t="s">
        <v>29</v>
      </c>
      <c r="Q1424" s="301">
        <v>0.0</v>
      </c>
      <c r="R1424" s="88" t="s">
        <v>401</v>
      </c>
    </row>
    <row r="1425" ht="14.25" customHeight="1">
      <c r="A1425" s="211">
        <v>15.0</v>
      </c>
      <c r="B1425" s="34" t="s">
        <v>5238</v>
      </c>
      <c r="C1425" s="34" t="s">
        <v>5239</v>
      </c>
      <c r="D1425" s="59" t="s">
        <v>2000</v>
      </c>
      <c r="E1425" s="59" t="s">
        <v>3743</v>
      </c>
      <c r="F1425" s="264"/>
      <c r="G1425" s="307">
        <v>168.0</v>
      </c>
      <c r="H1425" s="72">
        <v>20.0</v>
      </c>
      <c r="I1425" s="42">
        <f t="shared" si="4"/>
        <v>90</v>
      </c>
      <c r="J1425" s="42">
        <f t="shared" si="5"/>
        <v>45</v>
      </c>
      <c r="K1425" s="42">
        <f t="shared" si="6"/>
        <v>45</v>
      </c>
      <c r="L1425" s="301" t="s">
        <v>401</v>
      </c>
      <c r="M1425" s="69" t="s">
        <v>5233</v>
      </c>
      <c r="N1425" s="70" t="s">
        <v>401</v>
      </c>
      <c r="O1425" s="301">
        <v>0.0</v>
      </c>
      <c r="P1425" s="70" t="s">
        <v>29</v>
      </c>
      <c r="Q1425" s="301">
        <v>0.0</v>
      </c>
      <c r="R1425" s="88" t="s">
        <v>401</v>
      </c>
    </row>
    <row r="1426" ht="14.25" customHeight="1">
      <c r="A1426" s="211">
        <v>16.0</v>
      </c>
      <c r="B1426" s="34" t="s">
        <v>5218</v>
      </c>
      <c r="C1426" s="34" t="s">
        <v>5240</v>
      </c>
      <c r="D1426" s="59" t="s">
        <v>2000</v>
      </c>
      <c r="E1426" s="59" t="s">
        <v>3743</v>
      </c>
      <c r="F1426" s="264"/>
      <c r="G1426" s="307">
        <v>480.0</v>
      </c>
      <c r="H1426" s="72">
        <v>43.0</v>
      </c>
      <c r="I1426" s="42">
        <f t="shared" si="4"/>
        <v>193.5</v>
      </c>
      <c r="J1426" s="42">
        <f t="shared" si="5"/>
        <v>96.75</v>
      </c>
      <c r="K1426" s="42">
        <f t="shared" si="6"/>
        <v>96.75</v>
      </c>
      <c r="L1426" s="301" t="s">
        <v>401</v>
      </c>
      <c r="M1426" s="69" t="s">
        <v>82</v>
      </c>
      <c r="N1426" s="70" t="s">
        <v>401</v>
      </c>
      <c r="O1426" s="301">
        <v>0.0</v>
      </c>
      <c r="P1426" s="70" t="s">
        <v>29</v>
      </c>
      <c r="Q1426" s="301">
        <v>0.0</v>
      </c>
      <c r="R1426" s="88" t="s">
        <v>401</v>
      </c>
    </row>
    <row r="1427" ht="14.25" customHeight="1">
      <c r="A1427" s="211">
        <v>17.0</v>
      </c>
      <c r="B1427" s="34" t="s">
        <v>1142</v>
      </c>
      <c r="C1427" s="34" t="s">
        <v>5240</v>
      </c>
      <c r="D1427" s="59" t="s">
        <v>2000</v>
      </c>
      <c r="E1427" s="59" t="s">
        <v>3743</v>
      </c>
      <c r="F1427" s="264"/>
      <c r="G1427" s="307">
        <v>48.0</v>
      </c>
      <c r="H1427" s="72">
        <v>50.0</v>
      </c>
      <c r="I1427" s="42">
        <f t="shared" si="4"/>
        <v>225</v>
      </c>
      <c r="J1427" s="42">
        <f t="shared" si="5"/>
        <v>112.5</v>
      </c>
      <c r="K1427" s="42">
        <f t="shared" si="6"/>
        <v>112.5</v>
      </c>
      <c r="L1427" s="70">
        <v>1.0</v>
      </c>
      <c r="M1427" s="69" t="s">
        <v>82</v>
      </c>
      <c r="N1427" s="70" t="s">
        <v>401</v>
      </c>
      <c r="O1427" s="301">
        <v>0.0</v>
      </c>
      <c r="P1427" s="70" t="s">
        <v>29</v>
      </c>
      <c r="Q1427" s="301">
        <v>0.0</v>
      </c>
      <c r="R1427" s="88" t="s">
        <v>401</v>
      </c>
    </row>
    <row r="1428" ht="14.25" customHeight="1">
      <c r="A1428" s="211">
        <v>18.0</v>
      </c>
      <c r="B1428" s="34" t="s">
        <v>5241</v>
      </c>
      <c r="C1428" s="34" t="s">
        <v>5242</v>
      </c>
      <c r="D1428" s="59" t="s">
        <v>2000</v>
      </c>
      <c r="E1428" s="59" t="s">
        <v>3743</v>
      </c>
      <c r="F1428" s="264"/>
      <c r="G1428" s="307" t="s">
        <v>401</v>
      </c>
      <c r="H1428" s="72">
        <v>20.0</v>
      </c>
      <c r="I1428" s="42">
        <f t="shared" si="4"/>
        <v>90</v>
      </c>
      <c r="J1428" s="42">
        <f t="shared" si="5"/>
        <v>45</v>
      </c>
      <c r="K1428" s="42">
        <f t="shared" si="6"/>
        <v>45</v>
      </c>
      <c r="L1428" s="301">
        <v>7.0</v>
      </c>
      <c r="M1428" s="69" t="s">
        <v>82</v>
      </c>
      <c r="N1428" s="70" t="s">
        <v>401</v>
      </c>
      <c r="O1428" s="301">
        <v>0.0</v>
      </c>
      <c r="P1428" s="70" t="s">
        <v>29</v>
      </c>
      <c r="Q1428" s="301">
        <v>0.0</v>
      </c>
      <c r="R1428" s="88" t="s">
        <v>401</v>
      </c>
    </row>
    <row r="1429" ht="14.25" customHeight="1">
      <c r="A1429" s="211">
        <v>19.0</v>
      </c>
      <c r="B1429" s="34" t="s">
        <v>5218</v>
      </c>
      <c r="C1429" s="34" t="s">
        <v>5243</v>
      </c>
      <c r="D1429" s="59" t="s">
        <v>2000</v>
      </c>
      <c r="E1429" s="59" t="s">
        <v>3743</v>
      </c>
      <c r="F1429" s="264"/>
      <c r="G1429" s="307">
        <v>480.0</v>
      </c>
      <c r="H1429" s="72">
        <v>20.0</v>
      </c>
      <c r="I1429" s="42">
        <f t="shared" si="4"/>
        <v>90</v>
      </c>
      <c r="J1429" s="42">
        <f t="shared" si="5"/>
        <v>45</v>
      </c>
      <c r="K1429" s="42">
        <f t="shared" si="6"/>
        <v>45</v>
      </c>
      <c r="L1429" s="301" t="s">
        <v>401</v>
      </c>
      <c r="M1429" s="69" t="s">
        <v>82</v>
      </c>
      <c r="N1429" s="70" t="s">
        <v>401</v>
      </c>
      <c r="O1429" s="301">
        <v>0.0</v>
      </c>
      <c r="P1429" s="70" t="s">
        <v>29</v>
      </c>
      <c r="Q1429" s="301">
        <v>0.0</v>
      </c>
      <c r="R1429" s="88" t="s">
        <v>401</v>
      </c>
    </row>
    <row r="1430" ht="14.25" customHeight="1">
      <c r="A1430" s="211">
        <v>20.0</v>
      </c>
      <c r="B1430" s="34" t="s">
        <v>1142</v>
      </c>
      <c r="C1430" s="34" t="s">
        <v>5243</v>
      </c>
      <c r="D1430" s="59" t="s">
        <v>2000</v>
      </c>
      <c r="E1430" s="59" t="s">
        <v>3743</v>
      </c>
      <c r="F1430" s="264"/>
      <c r="G1430" s="307">
        <v>48.0</v>
      </c>
      <c r="H1430" s="72">
        <v>120.0</v>
      </c>
      <c r="I1430" s="42">
        <f t="shared" si="4"/>
        <v>540</v>
      </c>
      <c r="J1430" s="42">
        <f t="shared" si="5"/>
        <v>270</v>
      </c>
      <c r="K1430" s="42">
        <f t="shared" si="6"/>
        <v>270</v>
      </c>
      <c r="L1430" s="301">
        <v>1.0</v>
      </c>
      <c r="M1430" s="69" t="s">
        <v>82</v>
      </c>
      <c r="N1430" s="70" t="s">
        <v>401</v>
      </c>
      <c r="O1430" s="301">
        <v>0.0</v>
      </c>
      <c r="P1430" s="70" t="s">
        <v>29</v>
      </c>
      <c r="Q1430" s="301">
        <v>0.0</v>
      </c>
      <c r="R1430" s="88" t="s">
        <v>401</v>
      </c>
    </row>
    <row r="1431" ht="14.25" customHeight="1">
      <c r="A1431" s="211">
        <v>21.0</v>
      </c>
      <c r="B1431" s="34" t="s">
        <v>1171</v>
      </c>
      <c r="C1431" s="34" t="s">
        <v>5243</v>
      </c>
      <c r="D1431" s="59" t="s">
        <v>2000</v>
      </c>
      <c r="E1431" s="59" t="s">
        <v>3743</v>
      </c>
      <c r="F1431" s="264"/>
      <c r="G1431" s="307">
        <v>96.0</v>
      </c>
      <c r="H1431" s="72">
        <v>52.0</v>
      </c>
      <c r="I1431" s="42">
        <f t="shared" si="4"/>
        <v>234</v>
      </c>
      <c r="J1431" s="42">
        <f t="shared" si="5"/>
        <v>117</v>
      </c>
      <c r="K1431" s="42">
        <f t="shared" si="6"/>
        <v>117</v>
      </c>
      <c r="L1431" s="301">
        <v>1.0</v>
      </c>
      <c r="M1431" s="69" t="s">
        <v>82</v>
      </c>
      <c r="N1431" s="70" t="s">
        <v>401</v>
      </c>
      <c r="O1431" s="301">
        <v>0.0</v>
      </c>
      <c r="P1431" s="70" t="s">
        <v>29</v>
      </c>
      <c r="Q1431" s="301">
        <v>0.0</v>
      </c>
      <c r="R1431" s="88" t="s">
        <v>401</v>
      </c>
    </row>
    <row r="1432" ht="14.25" customHeight="1">
      <c r="A1432" s="211">
        <v>22.0</v>
      </c>
      <c r="B1432" s="34" t="s">
        <v>5218</v>
      </c>
      <c r="C1432" s="34" t="s">
        <v>5244</v>
      </c>
      <c r="D1432" s="59" t="s">
        <v>2000</v>
      </c>
      <c r="E1432" s="59" t="s">
        <v>3743</v>
      </c>
      <c r="F1432" s="264"/>
      <c r="G1432" s="307">
        <v>480.0</v>
      </c>
      <c r="H1432" s="72">
        <v>20.0</v>
      </c>
      <c r="I1432" s="42">
        <f t="shared" si="4"/>
        <v>90</v>
      </c>
      <c r="J1432" s="42">
        <f t="shared" si="5"/>
        <v>45</v>
      </c>
      <c r="K1432" s="42">
        <f t="shared" si="6"/>
        <v>45</v>
      </c>
      <c r="L1432" s="301" t="s">
        <v>401</v>
      </c>
      <c r="M1432" s="69" t="s">
        <v>82</v>
      </c>
      <c r="N1432" s="70" t="s">
        <v>401</v>
      </c>
      <c r="O1432" s="301">
        <v>0.0</v>
      </c>
      <c r="P1432" s="70" t="s">
        <v>29</v>
      </c>
      <c r="Q1432" s="301">
        <v>0.0</v>
      </c>
      <c r="R1432" s="88" t="s">
        <v>401</v>
      </c>
    </row>
    <row r="1433" ht="14.25" customHeight="1">
      <c r="A1433" s="211">
        <v>23.0</v>
      </c>
      <c r="B1433" s="34" t="s">
        <v>1142</v>
      </c>
      <c r="C1433" s="34" t="s">
        <v>5245</v>
      </c>
      <c r="D1433" s="59" t="s">
        <v>2000</v>
      </c>
      <c r="E1433" s="59" t="s">
        <v>3743</v>
      </c>
      <c r="F1433" s="264"/>
      <c r="G1433" s="307">
        <v>48.0</v>
      </c>
      <c r="H1433" s="72">
        <v>43.0</v>
      </c>
      <c r="I1433" s="42">
        <f t="shared" si="4"/>
        <v>193.5</v>
      </c>
      <c r="J1433" s="42">
        <f t="shared" si="5"/>
        <v>96.75</v>
      </c>
      <c r="K1433" s="42">
        <f t="shared" si="6"/>
        <v>96.75</v>
      </c>
      <c r="L1433" s="301">
        <v>1.0</v>
      </c>
      <c r="M1433" s="69" t="s">
        <v>82</v>
      </c>
      <c r="N1433" s="70" t="s">
        <v>401</v>
      </c>
      <c r="O1433" s="301">
        <v>0.0</v>
      </c>
      <c r="P1433" s="70" t="s">
        <v>29</v>
      </c>
      <c r="Q1433" s="301">
        <v>0.0</v>
      </c>
      <c r="R1433" s="88" t="s">
        <v>401</v>
      </c>
    </row>
    <row r="1434" ht="14.25" customHeight="1">
      <c r="A1434" s="211">
        <v>24.0</v>
      </c>
      <c r="B1434" s="34" t="s">
        <v>5246</v>
      </c>
      <c r="C1434" s="34" t="s">
        <v>5245</v>
      </c>
      <c r="D1434" s="59" t="s">
        <v>2000</v>
      </c>
      <c r="E1434" s="59" t="s">
        <v>3743</v>
      </c>
      <c r="F1434" s="264"/>
      <c r="G1434" s="307">
        <v>112.0</v>
      </c>
      <c r="H1434" s="72">
        <v>50.0</v>
      </c>
      <c r="I1434" s="42">
        <f t="shared" si="4"/>
        <v>225</v>
      </c>
      <c r="J1434" s="42">
        <f t="shared" si="5"/>
        <v>112.5</v>
      </c>
      <c r="K1434" s="42">
        <f t="shared" si="6"/>
        <v>112.5</v>
      </c>
      <c r="L1434" s="301">
        <v>7.0</v>
      </c>
      <c r="M1434" s="69" t="s">
        <v>82</v>
      </c>
      <c r="N1434" s="70" t="s">
        <v>401</v>
      </c>
      <c r="O1434" s="301">
        <v>0.0</v>
      </c>
      <c r="P1434" s="70" t="s">
        <v>29</v>
      </c>
      <c r="Q1434" s="301">
        <v>0.0</v>
      </c>
      <c r="R1434" s="88" t="s">
        <v>401</v>
      </c>
    </row>
    <row r="1435" ht="14.25" customHeight="1">
      <c r="A1435" s="211">
        <v>25.0</v>
      </c>
      <c r="B1435" s="34" t="s">
        <v>5218</v>
      </c>
      <c r="C1435" s="34" t="s">
        <v>5247</v>
      </c>
      <c r="D1435" s="59" t="s">
        <v>2000</v>
      </c>
      <c r="E1435" s="59" t="s">
        <v>3743</v>
      </c>
      <c r="F1435" s="264"/>
      <c r="G1435" s="307">
        <v>480.0</v>
      </c>
      <c r="H1435" s="72">
        <v>323.0</v>
      </c>
      <c r="I1435" s="42">
        <v>1218.0</v>
      </c>
      <c r="J1435" s="42">
        <v>590.0</v>
      </c>
      <c r="K1435" s="42">
        <v>628.0</v>
      </c>
      <c r="L1435" s="70">
        <v>1.0</v>
      </c>
      <c r="M1435" s="69" t="s">
        <v>5233</v>
      </c>
      <c r="N1435" s="70" t="s">
        <v>401</v>
      </c>
      <c r="O1435" s="301">
        <v>0.0</v>
      </c>
      <c r="P1435" s="70" t="s">
        <v>29</v>
      </c>
      <c r="Q1435" s="301">
        <v>0.0</v>
      </c>
      <c r="R1435" s="88" t="s">
        <v>401</v>
      </c>
    </row>
    <row r="1436" ht="14.25" customHeight="1">
      <c r="A1436" s="211">
        <v>26.0</v>
      </c>
      <c r="B1436" s="34" t="s">
        <v>2302</v>
      </c>
      <c r="C1436" s="34" t="s">
        <v>5247</v>
      </c>
      <c r="D1436" s="59" t="s">
        <v>2000</v>
      </c>
      <c r="E1436" s="59" t="s">
        <v>3743</v>
      </c>
      <c r="F1436" s="264"/>
      <c r="G1436" s="307">
        <v>48.0</v>
      </c>
      <c r="H1436" s="72">
        <v>323.0</v>
      </c>
      <c r="I1436" s="42">
        <v>1218.0</v>
      </c>
      <c r="J1436" s="42">
        <v>590.0</v>
      </c>
      <c r="K1436" s="42">
        <v>628.0</v>
      </c>
      <c r="L1436" s="70">
        <v>1.0</v>
      </c>
      <c r="M1436" s="69" t="s">
        <v>5233</v>
      </c>
      <c r="N1436" s="70" t="s">
        <v>401</v>
      </c>
      <c r="O1436" s="301">
        <v>0.0</v>
      </c>
      <c r="P1436" s="70" t="s">
        <v>29</v>
      </c>
      <c r="Q1436" s="301">
        <v>0.0</v>
      </c>
      <c r="R1436" s="88" t="s">
        <v>401</v>
      </c>
    </row>
    <row r="1437" ht="14.25" customHeight="1">
      <c r="A1437" s="211">
        <v>27.0</v>
      </c>
      <c r="B1437" s="34" t="s">
        <v>1142</v>
      </c>
      <c r="C1437" s="34" t="s">
        <v>5247</v>
      </c>
      <c r="D1437" s="59" t="s">
        <v>2000</v>
      </c>
      <c r="E1437" s="59" t="s">
        <v>3743</v>
      </c>
      <c r="F1437" s="264"/>
      <c r="G1437" s="307">
        <v>48.0</v>
      </c>
      <c r="H1437" s="72">
        <v>323.0</v>
      </c>
      <c r="I1437" s="42">
        <v>1218.0</v>
      </c>
      <c r="J1437" s="42">
        <v>590.0</v>
      </c>
      <c r="K1437" s="42">
        <v>628.0</v>
      </c>
      <c r="L1437" s="70">
        <v>1.0</v>
      </c>
      <c r="M1437" s="69" t="s">
        <v>5233</v>
      </c>
      <c r="N1437" s="70" t="s">
        <v>401</v>
      </c>
      <c r="O1437" s="301">
        <v>0.0</v>
      </c>
      <c r="P1437" s="70" t="s">
        <v>29</v>
      </c>
      <c r="Q1437" s="301">
        <v>0.0</v>
      </c>
      <c r="R1437" s="88" t="s">
        <v>401</v>
      </c>
    </row>
    <row r="1438" ht="14.25" customHeight="1">
      <c r="A1438" s="211">
        <v>28.0</v>
      </c>
      <c r="B1438" s="34" t="s">
        <v>5248</v>
      </c>
      <c r="C1438" s="34" t="s">
        <v>5249</v>
      </c>
      <c r="D1438" s="59" t="s">
        <v>2000</v>
      </c>
      <c r="E1438" s="59" t="s">
        <v>3743</v>
      </c>
      <c r="F1438" s="264"/>
      <c r="G1438" s="307">
        <v>168.0</v>
      </c>
      <c r="H1438" s="72">
        <v>323.0</v>
      </c>
      <c r="I1438" s="42">
        <v>1218.0</v>
      </c>
      <c r="J1438" s="42">
        <v>590.0</v>
      </c>
      <c r="K1438" s="42">
        <v>628.0</v>
      </c>
      <c r="L1438" s="70">
        <v>1.0</v>
      </c>
      <c r="M1438" s="69" t="s">
        <v>5233</v>
      </c>
      <c r="N1438" s="70" t="s">
        <v>401</v>
      </c>
      <c r="O1438" s="301">
        <v>0.0</v>
      </c>
      <c r="P1438" s="70" t="s">
        <v>29</v>
      </c>
      <c r="Q1438" s="301">
        <v>0.0</v>
      </c>
      <c r="R1438" s="88" t="s">
        <v>401</v>
      </c>
    </row>
    <row r="1439" ht="14.25" customHeight="1">
      <c r="A1439" s="211">
        <v>29.0</v>
      </c>
      <c r="B1439" s="34" t="s">
        <v>1171</v>
      </c>
      <c r="C1439" s="34" t="s">
        <v>5250</v>
      </c>
      <c r="D1439" s="59" t="s">
        <v>2000</v>
      </c>
      <c r="E1439" s="59" t="s">
        <v>3743</v>
      </c>
      <c r="F1439" s="264"/>
      <c r="G1439" s="307">
        <v>96.0</v>
      </c>
      <c r="H1439" s="72">
        <v>20.0</v>
      </c>
      <c r="I1439" s="42">
        <f t="shared" ref="I1439:I1467" si="7">H1439*4.5</f>
        <v>90</v>
      </c>
      <c r="J1439" s="42">
        <f t="shared" ref="J1439:J1467" si="8">I1439/2</f>
        <v>45</v>
      </c>
      <c r="K1439" s="42">
        <f t="shared" ref="K1439:K1467" si="9">I1439/2</f>
        <v>45</v>
      </c>
      <c r="L1439" s="301">
        <v>1.0</v>
      </c>
      <c r="M1439" s="69" t="s">
        <v>5233</v>
      </c>
      <c r="N1439" s="70" t="s">
        <v>401</v>
      </c>
      <c r="O1439" s="301">
        <v>0.0</v>
      </c>
      <c r="P1439" s="70" t="s">
        <v>29</v>
      </c>
      <c r="Q1439" s="301">
        <v>0.0</v>
      </c>
      <c r="R1439" s="88" t="s">
        <v>401</v>
      </c>
    </row>
    <row r="1440" ht="14.25" customHeight="1">
      <c r="A1440" s="211">
        <v>30.0</v>
      </c>
      <c r="B1440" s="34" t="s">
        <v>5218</v>
      </c>
      <c r="C1440" s="34" t="s">
        <v>5250</v>
      </c>
      <c r="D1440" s="59" t="s">
        <v>2000</v>
      </c>
      <c r="E1440" s="59" t="s">
        <v>3743</v>
      </c>
      <c r="F1440" s="264"/>
      <c r="G1440" s="307">
        <v>480.0</v>
      </c>
      <c r="H1440" s="72">
        <v>20.0</v>
      </c>
      <c r="I1440" s="42">
        <f t="shared" si="7"/>
        <v>90</v>
      </c>
      <c r="J1440" s="42">
        <f t="shared" si="8"/>
        <v>45</v>
      </c>
      <c r="K1440" s="42">
        <f t="shared" si="9"/>
        <v>45</v>
      </c>
      <c r="L1440" s="301" t="s">
        <v>401</v>
      </c>
      <c r="M1440" s="69" t="s">
        <v>5233</v>
      </c>
      <c r="N1440" s="70" t="s">
        <v>401</v>
      </c>
      <c r="O1440" s="301">
        <v>0.0</v>
      </c>
      <c r="P1440" s="70" t="s">
        <v>29</v>
      </c>
      <c r="Q1440" s="301">
        <v>0.0</v>
      </c>
      <c r="R1440" s="88" t="s">
        <v>401</v>
      </c>
    </row>
    <row r="1441" ht="14.25" customHeight="1">
      <c r="A1441" s="211">
        <v>31.0</v>
      </c>
      <c r="B1441" s="34" t="s">
        <v>1142</v>
      </c>
      <c r="C1441" s="34" t="s">
        <v>5250</v>
      </c>
      <c r="D1441" s="59" t="s">
        <v>2000</v>
      </c>
      <c r="E1441" s="59" t="s">
        <v>3743</v>
      </c>
      <c r="F1441" s="264"/>
      <c r="G1441" s="307">
        <v>48.0</v>
      </c>
      <c r="H1441" s="72">
        <v>120.0</v>
      </c>
      <c r="I1441" s="42">
        <f t="shared" si="7"/>
        <v>540</v>
      </c>
      <c r="J1441" s="42">
        <f t="shared" si="8"/>
        <v>270</v>
      </c>
      <c r="K1441" s="42">
        <f t="shared" si="9"/>
        <v>270</v>
      </c>
      <c r="L1441" s="301">
        <v>1.0</v>
      </c>
      <c r="M1441" s="69" t="s">
        <v>5233</v>
      </c>
      <c r="N1441" s="70" t="s">
        <v>401</v>
      </c>
      <c r="O1441" s="301">
        <v>0.0</v>
      </c>
      <c r="P1441" s="70" t="s">
        <v>29</v>
      </c>
      <c r="Q1441" s="301">
        <v>0.0</v>
      </c>
      <c r="R1441" s="88" t="s">
        <v>401</v>
      </c>
    </row>
    <row r="1442" ht="14.25" customHeight="1">
      <c r="A1442" s="211">
        <v>32.0</v>
      </c>
      <c r="B1442" s="34" t="s">
        <v>5251</v>
      </c>
      <c r="C1442" s="34" t="s">
        <v>5250</v>
      </c>
      <c r="D1442" s="59" t="s">
        <v>2000</v>
      </c>
      <c r="E1442" s="59" t="s">
        <v>3743</v>
      </c>
      <c r="F1442" s="264"/>
      <c r="G1442" s="307">
        <v>48.0</v>
      </c>
      <c r="H1442" s="72">
        <v>52.0</v>
      </c>
      <c r="I1442" s="42">
        <f t="shared" si="7"/>
        <v>234</v>
      </c>
      <c r="J1442" s="42">
        <f t="shared" si="8"/>
        <v>117</v>
      </c>
      <c r="K1442" s="42">
        <f t="shared" si="9"/>
        <v>117</v>
      </c>
      <c r="L1442" s="301">
        <v>1.0</v>
      </c>
      <c r="M1442" s="69" t="s">
        <v>5233</v>
      </c>
      <c r="N1442" s="70" t="s">
        <v>401</v>
      </c>
      <c r="O1442" s="301">
        <v>0.0</v>
      </c>
      <c r="P1442" s="70" t="s">
        <v>29</v>
      </c>
      <c r="Q1442" s="301">
        <v>0.0</v>
      </c>
      <c r="R1442" s="88" t="s">
        <v>401</v>
      </c>
    </row>
    <row r="1443" ht="14.25" customHeight="1">
      <c r="A1443" s="211">
        <v>33.0</v>
      </c>
      <c r="B1443" s="34" t="s">
        <v>5252</v>
      </c>
      <c r="C1443" s="34" t="s">
        <v>5253</v>
      </c>
      <c r="D1443" s="59" t="s">
        <v>2000</v>
      </c>
      <c r="E1443" s="59" t="s">
        <v>3743</v>
      </c>
      <c r="F1443" s="264"/>
      <c r="G1443" s="307" t="s">
        <v>401</v>
      </c>
      <c r="H1443" s="72">
        <v>20.0</v>
      </c>
      <c r="I1443" s="42">
        <f t="shared" si="7"/>
        <v>90</v>
      </c>
      <c r="J1443" s="42">
        <f t="shared" si="8"/>
        <v>45</v>
      </c>
      <c r="K1443" s="42">
        <f t="shared" si="9"/>
        <v>45</v>
      </c>
      <c r="L1443" s="301">
        <v>7.0</v>
      </c>
      <c r="M1443" s="69" t="s">
        <v>82</v>
      </c>
      <c r="N1443" s="70" t="s">
        <v>401</v>
      </c>
      <c r="O1443" s="301">
        <v>0.0</v>
      </c>
      <c r="P1443" s="70" t="s">
        <v>29</v>
      </c>
      <c r="Q1443" s="301">
        <v>0.0</v>
      </c>
      <c r="R1443" s="88" t="s">
        <v>401</v>
      </c>
    </row>
    <row r="1444" ht="14.25" customHeight="1">
      <c r="A1444" s="211">
        <v>34.0</v>
      </c>
      <c r="B1444" s="34" t="s">
        <v>1171</v>
      </c>
      <c r="C1444" s="34" t="s">
        <v>5254</v>
      </c>
      <c r="D1444" s="59" t="s">
        <v>2000</v>
      </c>
      <c r="E1444" s="59" t="s">
        <v>3743</v>
      </c>
      <c r="F1444" s="264"/>
      <c r="G1444" s="307">
        <v>50.0</v>
      </c>
      <c r="H1444" s="72">
        <v>43.0</v>
      </c>
      <c r="I1444" s="42">
        <f t="shared" si="7"/>
        <v>193.5</v>
      </c>
      <c r="J1444" s="42">
        <f t="shared" si="8"/>
        <v>96.75</v>
      </c>
      <c r="K1444" s="42">
        <f t="shared" si="9"/>
        <v>96.75</v>
      </c>
      <c r="L1444" s="301">
        <v>1.0</v>
      </c>
      <c r="M1444" s="69" t="s">
        <v>82</v>
      </c>
      <c r="N1444" s="70" t="s">
        <v>401</v>
      </c>
      <c r="O1444" s="301">
        <v>0.0</v>
      </c>
      <c r="P1444" s="70" t="s">
        <v>29</v>
      </c>
      <c r="Q1444" s="301">
        <v>0.0</v>
      </c>
      <c r="R1444" s="88" t="s">
        <v>401</v>
      </c>
    </row>
    <row r="1445" ht="14.25" customHeight="1">
      <c r="A1445" s="211">
        <v>35.0</v>
      </c>
      <c r="B1445" s="34" t="s">
        <v>1142</v>
      </c>
      <c r="C1445" s="34" t="s">
        <v>5254</v>
      </c>
      <c r="D1445" s="59" t="s">
        <v>2000</v>
      </c>
      <c r="E1445" s="59" t="s">
        <v>3743</v>
      </c>
      <c r="F1445" s="264"/>
      <c r="G1445" s="307">
        <v>48.0</v>
      </c>
      <c r="H1445" s="72">
        <v>50.0</v>
      </c>
      <c r="I1445" s="42">
        <f t="shared" si="7"/>
        <v>225</v>
      </c>
      <c r="J1445" s="42">
        <f t="shared" si="8"/>
        <v>112.5</v>
      </c>
      <c r="K1445" s="42">
        <f t="shared" si="9"/>
        <v>112.5</v>
      </c>
      <c r="L1445" s="301">
        <v>1.0</v>
      </c>
      <c r="M1445" s="69" t="s">
        <v>82</v>
      </c>
      <c r="N1445" s="70" t="s">
        <v>401</v>
      </c>
      <c r="O1445" s="301">
        <v>0.0</v>
      </c>
      <c r="P1445" s="70" t="s">
        <v>29</v>
      </c>
      <c r="Q1445" s="301">
        <v>0.0</v>
      </c>
      <c r="R1445" s="88" t="s">
        <v>401</v>
      </c>
    </row>
    <row r="1446" ht="14.25" customHeight="1">
      <c r="A1446" s="211">
        <v>36.0</v>
      </c>
      <c r="B1446" s="34" t="s">
        <v>5218</v>
      </c>
      <c r="C1446" s="34" t="s">
        <v>5254</v>
      </c>
      <c r="D1446" s="59" t="s">
        <v>2000</v>
      </c>
      <c r="E1446" s="59" t="s">
        <v>3743</v>
      </c>
      <c r="F1446" s="264"/>
      <c r="G1446" s="307">
        <v>480.0</v>
      </c>
      <c r="H1446" s="72">
        <v>20.0</v>
      </c>
      <c r="I1446" s="42">
        <f t="shared" si="7"/>
        <v>90</v>
      </c>
      <c r="J1446" s="42">
        <f t="shared" si="8"/>
        <v>45</v>
      </c>
      <c r="K1446" s="42">
        <f t="shared" si="9"/>
        <v>45</v>
      </c>
      <c r="L1446" s="301">
        <v>4.0</v>
      </c>
      <c r="M1446" s="69" t="s">
        <v>82</v>
      </c>
      <c r="N1446" s="70" t="s">
        <v>401</v>
      </c>
      <c r="O1446" s="301">
        <v>0.0</v>
      </c>
      <c r="P1446" s="70" t="s">
        <v>29</v>
      </c>
      <c r="Q1446" s="301">
        <v>0.0</v>
      </c>
      <c r="R1446" s="88" t="s">
        <v>401</v>
      </c>
    </row>
    <row r="1447" ht="14.25" customHeight="1">
      <c r="A1447" s="211">
        <v>37.0</v>
      </c>
      <c r="B1447" s="34" t="s">
        <v>1171</v>
      </c>
      <c r="C1447" s="34" t="s">
        <v>2920</v>
      </c>
      <c r="D1447" s="59" t="s">
        <v>2000</v>
      </c>
      <c r="E1447" s="59" t="s">
        <v>3743</v>
      </c>
      <c r="F1447" s="264"/>
      <c r="G1447" s="307">
        <v>96.0</v>
      </c>
      <c r="H1447" s="72">
        <v>20.0</v>
      </c>
      <c r="I1447" s="42">
        <f t="shared" si="7"/>
        <v>90</v>
      </c>
      <c r="J1447" s="42">
        <f t="shared" si="8"/>
        <v>45</v>
      </c>
      <c r="K1447" s="42">
        <f t="shared" si="9"/>
        <v>45</v>
      </c>
      <c r="L1447" s="301">
        <v>1.0</v>
      </c>
      <c r="M1447" s="69" t="s">
        <v>82</v>
      </c>
      <c r="N1447" s="70" t="s">
        <v>401</v>
      </c>
      <c r="O1447" s="301">
        <v>0.0</v>
      </c>
      <c r="P1447" s="70" t="s">
        <v>29</v>
      </c>
      <c r="Q1447" s="301">
        <v>0.0</v>
      </c>
      <c r="R1447" s="88" t="s">
        <v>401</v>
      </c>
    </row>
    <row r="1448" ht="14.25" customHeight="1">
      <c r="A1448" s="211">
        <v>38.0</v>
      </c>
      <c r="B1448" s="34" t="s">
        <v>1142</v>
      </c>
      <c r="C1448" s="34" t="s">
        <v>2920</v>
      </c>
      <c r="D1448" s="59" t="s">
        <v>2000</v>
      </c>
      <c r="E1448" s="59" t="s">
        <v>3743</v>
      </c>
      <c r="F1448" s="264"/>
      <c r="G1448" s="307">
        <v>48.0</v>
      </c>
      <c r="H1448" s="72">
        <v>120.0</v>
      </c>
      <c r="I1448" s="42">
        <f t="shared" si="7"/>
        <v>540</v>
      </c>
      <c r="J1448" s="42">
        <f t="shared" si="8"/>
        <v>270</v>
      </c>
      <c r="K1448" s="42">
        <f t="shared" si="9"/>
        <v>270</v>
      </c>
      <c r="L1448" s="301">
        <v>1.0</v>
      </c>
      <c r="M1448" s="69" t="s">
        <v>82</v>
      </c>
      <c r="N1448" s="70" t="s">
        <v>401</v>
      </c>
      <c r="O1448" s="301">
        <v>0.0</v>
      </c>
      <c r="P1448" s="70" t="s">
        <v>29</v>
      </c>
      <c r="Q1448" s="301">
        <v>0.0</v>
      </c>
      <c r="R1448" s="88" t="s">
        <v>401</v>
      </c>
    </row>
    <row r="1449" ht="14.25" customHeight="1">
      <c r="A1449" s="211">
        <v>39.0</v>
      </c>
      <c r="B1449" s="34" t="s">
        <v>5218</v>
      </c>
      <c r="C1449" s="34" t="s">
        <v>2920</v>
      </c>
      <c r="D1449" s="59" t="s">
        <v>2000</v>
      </c>
      <c r="E1449" s="59" t="s">
        <v>3743</v>
      </c>
      <c r="F1449" s="264"/>
      <c r="G1449" s="307">
        <v>480.0</v>
      </c>
      <c r="H1449" s="72">
        <v>52.0</v>
      </c>
      <c r="I1449" s="42">
        <f t="shared" si="7"/>
        <v>234</v>
      </c>
      <c r="J1449" s="42">
        <f t="shared" si="8"/>
        <v>117</v>
      </c>
      <c r="K1449" s="42">
        <f t="shared" si="9"/>
        <v>117</v>
      </c>
      <c r="L1449" s="301" t="s">
        <v>401</v>
      </c>
      <c r="M1449" s="69" t="s">
        <v>82</v>
      </c>
      <c r="N1449" s="70" t="s">
        <v>401</v>
      </c>
      <c r="O1449" s="301">
        <v>0.0</v>
      </c>
      <c r="P1449" s="70" t="s">
        <v>29</v>
      </c>
      <c r="Q1449" s="301">
        <v>0.0</v>
      </c>
      <c r="R1449" s="88" t="s">
        <v>401</v>
      </c>
    </row>
    <row r="1450" ht="14.25" customHeight="1">
      <c r="A1450" s="211">
        <v>40.0</v>
      </c>
      <c r="B1450" s="34" t="s">
        <v>5255</v>
      </c>
      <c r="C1450" s="34" t="s">
        <v>5256</v>
      </c>
      <c r="D1450" s="59" t="s">
        <v>2000</v>
      </c>
      <c r="E1450" s="59" t="s">
        <v>3743</v>
      </c>
      <c r="F1450" s="264"/>
      <c r="G1450" s="307" t="s">
        <v>401</v>
      </c>
      <c r="H1450" s="72">
        <v>20.0</v>
      </c>
      <c r="I1450" s="42">
        <f t="shared" si="7"/>
        <v>90</v>
      </c>
      <c r="J1450" s="42">
        <f t="shared" si="8"/>
        <v>45</v>
      </c>
      <c r="K1450" s="42">
        <f t="shared" si="9"/>
        <v>45</v>
      </c>
      <c r="L1450" s="301">
        <v>7.0</v>
      </c>
      <c r="M1450" s="69" t="s">
        <v>82</v>
      </c>
      <c r="N1450" s="70" t="s">
        <v>401</v>
      </c>
      <c r="O1450" s="301">
        <v>0.0</v>
      </c>
      <c r="P1450" s="70" t="s">
        <v>29</v>
      </c>
      <c r="Q1450" s="301">
        <v>0.0</v>
      </c>
      <c r="R1450" s="88" t="s">
        <v>401</v>
      </c>
    </row>
    <row r="1451" ht="14.25" customHeight="1">
      <c r="A1451" s="211">
        <v>41.0</v>
      </c>
      <c r="B1451" s="34" t="s">
        <v>5218</v>
      </c>
      <c r="C1451" s="34" t="s">
        <v>5257</v>
      </c>
      <c r="D1451" s="59" t="s">
        <v>2000</v>
      </c>
      <c r="E1451" s="59" t="s">
        <v>3743</v>
      </c>
      <c r="F1451" s="264"/>
      <c r="G1451" s="307">
        <v>480.0</v>
      </c>
      <c r="H1451" s="72">
        <v>43.0</v>
      </c>
      <c r="I1451" s="42">
        <f t="shared" si="7"/>
        <v>193.5</v>
      </c>
      <c r="J1451" s="42">
        <f t="shared" si="8"/>
        <v>96.75</v>
      </c>
      <c r="K1451" s="42">
        <f t="shared" si="9"/>
        <v>96.75</v>
      </c>
      <c r="L1451" s="301" t="s">
        <v>401</v>
      </c>
      <c r="M1451" s="69" t="s">
        <v>5233</v>
      </c>
      <c r="N1451" s="70" t="s">
        <v>401</v>
      </c>
      <c r="O1451" s="301">
        <v>0.0</v>
      </c>
      <c r="P1451" s="70" t="s">
        <v>29</v>
      </c>
      <c r="Q1451" s="301">
        <v>0.0</v>
      </c>
      <c r="R1451" s="88" t="s">
        <v>401</v>
      </c>
    </row>
    <row r="1452" ht="14.25" customHeight="1">
      <c r="A1452" s="211">
        <v>42.0</v>
      </c>
      <c r="B1452" s="34" t="s">
        <v>5258</v>
      </c>
      <c r="C1452" s="34" t="s">
        <v>5259</v>
      </c>
      <c r="D1452" s="59" t="s">
        <v>2000</v>
      </c>
      <c r="E1452" s="59" t="s">
        <v>3743</v>
      </c>
      <c r="F1452" s="264"/>
      <c r="G1452" s="307">
        <v>168.0</v>
      </c>
      <c r="H1452" s="72">
        <v>50.0</v>
      </c>
      <c r="I1452" s="42">
        <f t="shared" si="7"/>
        <v>225</v>
      </c>
      <c r="J1452" s="42">
        <f t="shared" si="8"/>
        <v>112.5</v>
      </c>
      <c r="K1452" s="42">
        <f t="shared" si="9"/>
        <v>112.5</v>
      </c>
      <c r="L1452" s="301">
        <v>7.0</v>
      </c>
      <c r="M1452" s="69" t="s">
        <v>82</v>
      </c>
      <c r="N1452" s="70" t="s">
        <v>401</v>
      </c>
      <c r="O1452" s="301">
        <v>0.0</v>
      </c>
      <c r="P1452" s="70" t="s">
        <v>29</v>
      </c>
      <c r="Q1452" s="301">
        <v>0.0</v>
      </c>
      <c r="R1452" s="88" t="s">
        <v>401</v>
      </c>
    </row>
    <row r="1453" ht="14.25" customHeight="1">
      <c r="A1453" s="211">
        <v>43.0</v>
      </c>
      <c r="B1453" s="34" t="s">
        <v>1142</v>
      </c>
      <c r="C1453" s="34" t="s">
        <v>5260</v>
      </c>
      <c r="D1453" s="59" t="s">
        <v>2000</v>
      </c>
      <c r="E1453" s="59" t="s">
        <v>3743</v>
      </c>
      <c r="F1453" s="264"/>
      <c r="G1453" s="307">
        <v>48.0</v>
      </c>
      <c r="H1453" s="72">
        <v>20.0</v>
      </c>
      <c r="I1453" s="42">
        <f t="shared" si="7"/>
        <v>90</v>
      </c>
      <c r="J1453" s="42">
        <f t="shared" si="8"/>
        <v>45</v>
      </c>
      <c r="K1453" s="42">
        <f t="shared" si="9"/>
        <v>45</v>
      </c>
      <c r="L1453" s="301">
        <v>1.0</v>
      </c>
      <c r="M1453" s="69" t="s">
        <v>82</v>
      </c>
      <c r="N1453" s="70" t="s">
        <v>401</v>
      </c>
      <c r="O1453" s="301">
        <v>0.0</v>
      </c>
      <c r="P1453" s="70" t="s">
        <v>29</v>
      </c>
      <c r="Q1453" s="301">
        <v>0.0</v>
      </c>
      <c r="R1453" s="88" t="s">
        <v>401</v>
      </c>
    </row>
    <row r="1454" ht="14.25" customHeight="1">
      <c r="A1454" s="211">
        <v>44.0</v>
      </c>
      <c r="B1454" s="34" t="s">
        <v>1171</v>
      </c>
      <c r="C1454" s="34" t="s">
        <v>5260</v>
      </c>
      <c r="D1454" s="59" t="s">
        <v>2000</v>
      </c>
      <c r="E1454" s="59" t="s">
        <v>3743</v>
      </c>
      <c r="F1454" s="264"/>
      <c r="G1454" s="307">
        <v>96.0</v>
      </c>
      <c r="H1454" s="72">
        <v>20.0</v>
      </c>
      <c r="I1454" s="42">
        <f t="shared" si="7"/>
        <v>90</v>
      </c>
      <c r="J1454" s="42">
        <f t="shared" si="8"/>
        <v>45</v>
      </c>
      <c r="K1454" s="42">
        <f t="shared" si="9"/>
        <v>45</v>
      </c>
      <c r="L1454" s="301">
        <v>1.0</v>
      </c>
      <c r="M1454" s="69" t="s">
        <v>82</v>
      </c>
      <c r="N1454" s="70" t="s">
        <v>401</v>
      </c>
      <c r="O1454" s="301">
        <v>0.0</v>
      </c>
      <c r="P1454" s="70" t="s">
        <v>29</v>
      </c>
      <c r="Q1454" s="301">
        <v>0.0</v>
      </c>
      <c r="R1454" s="88" t="s">
        <v>401</v>
      </c>
    </row>
    <row r="1455" ht="14.25" customHeight="1">
      <c r="A1455" s="211">
        <v>45.0</v>
      </c>
      <c r="B1455" s="34" t="s">
        <v>5227</v>
      </c>
      <c r="C1455" s="34" t="s">
        <v>5260</v>
      </c>
      <c r="D1455" s="59" t="s">
        <v>2000</v>
      </c>
      <c r="E1455" s="59" t="s">
        <v>3743</v>
      </c>
      <c r="F1455" s="264"/>
      <c r="G1455" s="307" t="s">
        <v>401</v>
      </c>
      <c r="H1455" s="72">
        <v>120.0</v>
      </c>
      <c r="I1455" s="42">
        <f t="shared" si="7"/>
        <v>540</v>
      </c>
      <c r="J1455" s="42">
        <f t="shared" si="8"/>
        <v>270</v>
      </c>
      <c r="K1455" s="42">
        <f t="shared" si="9"/>
        <v>270</v>
      </c>
      <c r="L1455" s="301" t="s">
        <v>401</v>
      </c>
      <c r="M1455" s="69" t="s">
        <v>82</v>
      </c>
      <c r="N1455" s="70" t="s">
        <v>401</v>
      </c>
      <c r="O1455" s="301">
        <v>0.0</v>
      </c>
      <c r="P1455" s="70" t="s">
        <v>29</v>
      </c>
      <c r="Q1455" s="301">
        <v>0.0</v>
      </c>
      <c r="R1455" s="88" t="s">
        <v>401</v>
      </c>
    </row>
    <row r="1456" ht="14.25" customHeight="1">
      <c r="A1456" s="211">
        <v>46.0</v>
      </c>
      <c r="B1456" s="34" t="s">
        <v>1171</v>
      </c>
      <c r="C1456" s="34" t="s">
        <v>5261</v>
      </c>
      <c r="D1456" s="59" t="s">
        <v>2000</v>
      </c>
      <c r="E1456" s="59" t="s">
        <v>3743</v>
      </c>
      <c r="F1456" s="264"/>
      <c r="G1456" s="307">
        <v>96.0</v>
      </c>
      <c r="H1456" s="72">
        <v>52.0</v>
      </c>
      <c r="I1456" s="42">
        <f t="shared" si="7"/>
        <v>234</v>
      </c>
      <c r="J1456" s="42">
        <f t="shared" si="8"/>
        <v>117</v>
      </c>
      <c r="K1456" s="42">
        <f t="shared" si="9"/>
        <v>117</v>
      </c>
      <c r="L1456" s="301">
        <v>1.0</v>
      </c>
      <c r="M1456" s="69" t="s">
        <v>82</v>
      </c>
      <c r="N1456" s="70" t="s">
        <v>401</v>
      </c>
      <c r="O1456" s="301">
        <v>0.0</v>
      </c>
      <c r="P1456" s="70" t="s">
        <v>29</v>
      </c>
      <c r="Q1456" s="301">
        <v>0.0</v>
      </c>
      <c r="R1456" s="88" t="s">
        <v>401</v>
      </c>
    </row>
    <row r="1457" ht="14.25" customHeight="1">
      <c r="A1457" s="211">
        <v>47.0</v>
      </c>
      <c r="B1457" s="34" t="s">
        <v>5262</v>
      </c>
      <c r="C1457" s="34" t="s">
        <v>5263</v>
      </c>
      <c r="D1457" s="59" t="s">
        <v>2000</v>
      </c>
      <c r="E1457" s="59" t="s">
        <v>3743</v>
      </c>
      <c r="F1457" s="264"/>
      <c r="G1457" s="307" t="s">
        <v>401</v>
      </c>
      <c r="H1457" s="72">
        <v>20.0</v>
      </c>
      <c r="I1457" s="42">
        <f t="shared" si="7"/>
        <v>90</v>
      </c>
      <c r="J1457" s="42">
        <f t="shared" si="8"/>
        <v>45</v>
      </c>
      <c r="K1457" s="42">
        <f t="shared" si="9"/>
        <v>45</v>
      </c>
      <c r="L1457" s="301">
        <v>7.0</v>
      </c>
      <c r="M1457" s="69" t="s">
        <v>82</v>
      </c>
      <c r="N1457" s="70" t="s">
        <v>401</v>
      </c>
      <c r="O1457" s="301">
        <v>0.0</v>
      </c>
      <c r="P1457" s="70" t="s">
        <v>29</v>
      </c>
      <c r="Q1457" s="301">
        <v>0.0</v>
      </c>
      <c r="R1457" s="88" t="s">
        <v>401</v>
      </c>
    </row>
    <row r="1458" ht="14.25" customHeight="1">
      <c r="A1458" s="211">
        <v>48.0</v>
      </c>
      <c r="B1458" s="34" t="s">
        <v>5218</v>
      </c>
      <c r="C1458" s="34" t="s">
        <v>5264</v>
      </c>
      <c r="D1458" s="59" t="s">
        <v>2000</v>
      </c>
      <c r="E1458" s="59" t="s">
        <v>3743</v>
      </c>
      <c r="F1458" s="264"/>
      <c r="G1458" s="307">
        <v>480.0</v>
      </c>
      <c r="H1458" s="72">
        <v>43.0</v>
      </c>
      <c r="I1458" s="42">
        <f t="shared" si="7"/>
        <v>193.5</v>
      </c>
      <c r="J1458" s="42">
        <f t="shared" si="8"/>
        <v>96.75</v>
      </c>
      <c r="K1458" s="42">
        <f t="shared" si="9"/>
        <v>96.75</v>
      </c>
      <c r="L1458" s="301" t="s">
        <v>401</v>
      </c>
      <c r="M1458" s="69" t="s">
        <v>5233</v>
      </c>
      <c r="N1458" s="70" t="s">
        <v>401</v>
      </c>
      <c r="O1458" s="301">
        <v>0.0</v>
      </c>
      <c r="P1458" s="70" t="s">
        <v>29</v>
      </c>
      <c r="Q1458" s="301">
        <v>0.0</v>
      </c>
      <c r="R1458" s="88" t="s">
        <v>401</v>
      </c>
    </row>
    <row r="1459" ht="14.25" customHeight="1">
      <c r="A1459" s="211">
        <v>49.0</v>
      </c>
      <c r="B1459" s="34" t="s">
        <v>1171</v>
      </c>
      <c r="C1459" s="34" t="s">
        <v>5264</v>
      </c>
      <c r="D1459" s="59" t="s">
        <v>2000</v>
      </c>
      <c r="E1459" s="59" t="s">
        <v>3743</v>
      </c>
      <c r="F1459" s="264"/>
      <c r="G1459" s="307">
        <v>96.0</v>
      </c>
      <c r="H1459" s="72">
        <v>50.0</v>
      </c>
      <c r="I1459" s="42">
        <f t="shared" si="7"/>
        <v>225</v>
      </c>
      <c r="J1459" s="42">
        <f t="shared" si="8"/>
        <v>112.5</v>
      </c>
      <c r="K1459" s="42">
        <f t="shared" si="9"/>
        <v>112.5</v>
      </c>
      <c r="L1459" s="301">
        <v>1.0</v>
      </c>
      <c r="M1459" s="69" t="s">
        <v>5233</v>
      </c>
      <c r="N1459" s="70" t="s">
        <v>401</v>
      </c>
      <c r="O1459" s="301">
        <v>0.0</v>
      </c>
      <c r="P1459" s="70" t="s">
        <v>29</v>
      </c>
      <c r="Q1459" s="301">
        <v>0.0</v>
      </c>
      <c r="R1459" s="88" t="s">
        <v>401</v>
      </c>
    </row>
    <row r="1460" ht="14.25" customHeight="1">
      <c r="A1460" s="211">
        <v>50.0</v>
      </c>
      <c r="B1460" s="34" t="s">
        <v>1134</v>
      </c>
      <c r="C1460" s="34" t="s">
        <v>5265</v>
      </c>
      <c r="D1460" s="59" t="s">
        <v>2000</v>
      </c>
      <c r="E1460" s="59" t="s">
        <v>3743</v>
      </c>
      <c r="F1460" s="264"/>
      <c r="G1460" s="307" t="s">
        <v>2645</v>
      </c>
      <c r="H1460" s="72">
        <v>20.0</v>
      </c>
      <c r="I1460" s="42">
        <f t="shared" si="7"/>
        <v>90</v>
      </c>
      <c r="J1460" s="42">
        <f t="shared" si="8"/>
        <v>45</v>
      </c>
      <c r="K1460" s="42">
        <f t="shared" si="9"/>
        <v>45</v>
      </c>
      <c r="L1460" s="301">
        <v>1.0</v>
      </c>
      <c r="M1460" s="69" t="s">
        <v>5233</v>
      </c>
      <c r="N1460" s="70" t="s">
        <v>401</v>
      </c>
      <c r="O1460" s="301">
        <v>0.0</v>
      </c>
      <c r="P1460" s="70" t="s">
        <v>29</v>
      </c>
      <c r="Q1460" s="301">
        <v>0.0</v>
      </c>
      <c r="R1460" s="88" t="s">
        <v>401</v>
      </c>
    </row>
    <row r="1461" ht="14.25" customHeight="1">
      <c r="A1461" s="211">
        <v>51.0</v>
      </c>
      <c r="B1461" s="34" t="s">
        <v>5266</v>
      </c>
      <c r="C1461" s="34" t="s">
        <v>5265</v>
      </c>
      <c r="D1461" s="59" t="s">
        <v>2000</v>
      </c>
      <c r="E1461" s="59" t="s">
        <v>3743</v>
      </c>
      <c r="F1461" s="264"/>
      <c r="G1461" s="307" t="s">
        <v>2645</v>
      </c>
      <c r="H1461" s="72">
        <v>20.0</v>
      </c>
      <c r="I1461" s="42">
        <f t="shared" si="7"/>
        <v>90</v>
      </c>
      <c r="J1461" s="42">
        <f t="shared" si="8"/>
        <v>45</v>
      </c>
      <c r="K1461" s="42">
        <f t="shared" si="9"/>
        <v>45</v>
      </c>
      <c r="L1461" s="301" t="s">
        <v>401</v>
      </c>
      <c r="M1461" s="69" t="s">
        <v>5233</v>
      </c>
      <c r="N1461" s="70" t="s">
        <v>401</v>
      </c>
      <c r="O1461" s="301">
        <v>0.0</v>
      </c>
      <c r="P1461" s="70" t="s">
        <v>29</v>
      </c>
      <c r="Q1461" s="301">
        <v>0.0</v>
      </c>
      <c r="R1461" s="88" t="s">
        <v>401</v>
      </c>
    </row>
    <row r="1462" ht="14.25" customHeight="1">
      <c r="A1462" s="211">
        <v>52.0</v>
      </c>
      <c r="B1462" s="34" t="s">
        <v>5267</v>
      </c>
      <c r="C1462" s="34" t="s">
        <v>1552</v>
      </c>
      <c r="D1462" s="59" t="s">
        <v>2000</v>
      </c>
      <c r="E1462" s="59" t="s">
        <v>3743</v>
      </c>
      <c r="F1462" s="264"/>
      <c r="G1462" s="307" t="s">
        <v>401</v>
      </c>
      <c r="H1462" s="72">
        <v>120.0</v>
      </c>
      <c r="I1462" s="42">
        <f t="shared" si="7"/>
        <v>540</v>
      </c>
      <c r="J1462" s="42">
        <f t="shared" si="8"/>
        <v>270</v>
      </c>
      <c r="K1462" s="42">
        <f t="shared" si="9"/>
        <v>270</v>
      </c>
      <c r="L1462" s="301">
        <v>3.0</v>
      </c>
      <c r="M1462" s="69" t="s">
        <v>5233</v>
      </c>
      <c r="N1462" s="70" t="s">
        <v>401</v>
      </c>
      <c r="O1462" s="301">
        <v>0.0</v>
      </c>
      <c r="P1462" s="70" t="s">
        <v>29</v>
      </c>
      <c r="Q1462" s="301">
        <v>0.0</v>
      </c>
      <c r="R1462" s="88" t="s">
        <v>401</v>
      </c>
    </row>
    <row r="1463" ht="14.25" customHeight="1">
      <c r="A1463" s="211">
        <v>53.0</v>
      </c>
      <c r="B1463" s="34" t="s">
        <v>5268</v>
      </c>
      <c r="C1463" s="34" t="s">
        <v>1552</v>
      </c>
      <c r="D1463" s="59" t="s">
        <v>2000</v>
      </c>
      <c r="E1463" s="59" t="s">
        <v>3743</v>
      </c>
      <c r="F1463" s="264"/>
      <c r="G1463" s="307">
        <v>1200.0</v>
      </c>
      <c r="H1463" s="72">
        <v>52.0</v>
      </c>
      <c r="I1463" s="42">
        <f t="shared" si="7"/>
        <v>234</v>
      </c>
      <c r="J1463" s="42">
        <f t="shared" si="8"/>
        <v>117</v>
      </c>
      <c r="K1463" s="42">
        <f t="shared" si="9"/>
        <v>117</v>
      </c>
      <c r="L1463" s="301" t="s">
        <v>401</v>
      </c>
      <c r="M1463" s="69" t="s">
        <v>5233</v>
      </c>
      <c r="N1463" s="70" t="s">
        <v>401</v>
      </c>
      <c r="O1463" s="301">
        <v>0.0</v>
      </c>
      <c r="P1463" s="70" t="s">
        <v>29</v>
      </c>
      <c r="Q1463" s="301">
        <v>0.0</v>
      </c>
      <c r="R1463" s="88" t="s">
        <v>401</v>
      </c>
    </row>
    <row r="1464" ht="14.25" customHeight="1">
      <c r="A1464" s="211">
        <v>54.0</v>
      </c>
      <c r="B1464" s="34" t="s">
        <v>5269</v>
      </c>
      <c r="C1464" s="34" t="s">
        <v>1552</v>
      </c>
      <c r="D1464" s="59" t="s">
        <v>2000</v>
      </c>
      <c r="E1464" s="59" t="s">
        <v>3743</v>
      </c>
      <c r="F1464" s="264"/>
      <c r="G1464" s="307" t="s">
        <v>401</v>
      </c>
      <c r="H1464" s="72">
        <v>20.0</v>
      </c>
      <c r="I1464" s="42">
        <f t="shared" si="7"/>
        <v>90</v>
      </c>
      <c r="J1464" s="42">
        <f t="shared" si="8"/>
        <v>45</v>
      </c>
      <c r="K1464" s="42">
        <f t="shared" si="9"/>
        <v>45</v>
      </c>
      <c r="L1464" s="301" t="s">
        <v>401</v>
      </c>
      <c r="M1464" s="69" t="s">
        <v>5233</v>
      </c>
      <c r="N1464" s="70" t="s">
        <v>401</v>
      </c>
      <c r="O1464" s="301">
        <v>0.0</v>
      </c>
      <c r="P1464" s="70" t="s">
        <v>29</v>
      </c>
      <c r="Q1464" s="301">
        <v>0.0</v>
      </c>
      <c r="R1464" s="88" t="s">
        <v>401</v>
      </c>
    </row>
    <row r="1465" ht="14.25" customHeight="1">
      <c r="A1465" s="211">
        <v>55.0</v>
      </c>
      <c r="B1465" s="34" t="s">
        <v>5270</v>
      </c>
      <c r="C1465" s="34" t="s">
        <v>1552</v>
      </c>
      <c r="D1465" s="59" t="s">
        <v>2000</v>
      </c>
      <c r="E1465" s="59" t="s">
        <v>3743</v>
      </c>
      <c r="F1465" s="264"/>
      <c r="G1465" s="307" t="s">
        <v>401</v>
      </c>
      <c r="H1465" s="72">
        <v>43.0</v>
      </c>
      <c r="I1465" s="42">
        <f t="shared" si="7"/>
        <v>193.5</v>
      </c>
      <c r="J1465" s="42">
        <f t="shared" si="8"/>
        <v>96.75</v>
      </c>
      <c r="K1465" s="42">
        <f t="shared" si="9"/>
        <v>96.75</v>
      </c>
      <c r="L1465" s="301" t="s">
        <v>401</v>
      </c>
      <c r="M1465" s="69" t="s">
        <v>5233</v>
      </c>
      <c r="N1465" s="70" t="s">
        <v>401</v>
      </c>
      <c r="O1465" s="301">
        <v>0.0</v>
      </c>
      <c r="P1465" s="70" t="s">
        <v>29</v>
      </c>
      <c r="Q1465" s="301">
        <v>0.0</v>
      </c>
      <c r="R1465" s="88" t="s">
        <v>401</v>
      </c>
    </row>
    <row r="1466" ht="14.25" customHeight="1">
      <c r="A1466" s="211">
        <v>56.0</v>
      </c>
      <c r="B1466" s="34" t="s">
        <v>1171</v>
      </c>
      <c r="C1466" s="34" t="s">
        <v>1552</v>
      </c>
      <c r="D1466" s="59" t="s">
        <v>2000</v>
      </c>
      <c r="E1466" s="59" t="s">
        <v>3743</v>
      </c>
      <c r="F1466" s="264"/>
      <c r="G1466" s="307" t="s">
        <v>401</v>
      </c>
      <c r="H1466" s="72">
        <v>50.0</v>
      </c>
      <c r="I1466" s="42">
        <f t="shared" si="7"/>
        <v>225</v>
      </c>
      <c r="J1466" s="42">
        <f t="shared" si="8"/>
        <v>112.5</v>
      </c>
      <c r="K1466" s="42">
        <f t="shared" si="9"/>
        <v>112.5</v>
      </c>
      <c r="L1466" s="301">
        <v>1.0</v>
      </c>
      <c r="M1466" s="69" t="s">
        <v>5233</v>
      </c>
      <c r="N1466" s="70" t="s">
        <v>401</v>
      </c>
      <c r="O1466" s="301">
        <v>0.0</v>
      </c>
      <c r="P1466" s="70" t="s">
        <v>29</v>
      </c>
      <c r="Q1466" s="301">
        <v>0.0</v>
      </c>
      <c r="R1466" s="88" t="s">
        <v>401</v>
      </c>
    </row>
    <row r="1467" ht="14.25" customHeight="1">
      <c r="A1467" s="211">
        <v>57.0</v>
      </c>
      <c r="B1467" s="34" t="s">
        <v>5271</v>
      </c>
      <c r="C1467" s="34" t="s">
        <v>1552</v>
      </c>
      <c r="D1467" s="59" t="s">
        <v>2000</v>
      </c>
      <c r="E1467" s="59" t="s">
        <v>3743</v>
      </c>
      <c r="F1467" s="264"/>
      <c r="G1467" s="307" t="s">
        <v>401</v>
      </c>
      <c r="H1467" s="300">
        <v>35.0</v>
      </c>
      <c r="I1467" s="42">
        <f t="shared" si="7"/>
        <v>157.5</v>
      </c>
      <c r="J1467" s="42">
        <f t="shared" si="8"/>
        <v>78.75</v>
      </c>
      <c r="K1467" s="42">
        <f t="shared" si="9"/>
        <v>78.75</v>
      </c>
      <c r="L1467" s="301" t="s">
        <v>401</v>
      </c>
      <c r="M1467" s="69" t="s">
        <v>5233</v>
      </c>
      <c r="N1467" s="70" t="s">
        <v>401</v>
      </c>
      <c r="O1467" s="301">
        <v>0.0</v>
      </c>
      <c r="P1467" s="70" t="s">
        <v>29</v>
      </c>
      <c r="Q1467" s="301">
        <v>0.0</v>
      </c>
      <c r="R1467" s="88" t="s">
        <v>401</v>
      </c>
    </row>
    <row r="1468" ht="15.75" customHeight="1">
      <c r="A1468" s="181"/>
      <c r="B1468" s="182" t="s">
        <v>5272</v>
      </c>
      <c r="C1468" s="22"/>
      <c r="D1468" s="22"/>
      <c r="E1468" s="22"/>
      <c r="F1468" s="209"/>
      <c r="G1468" s="210"/>
      <c r="H1468" s="22"/>
      <c r="I1468" s="22"/>
      <c r="J1468" s="22"/>
      <c r="K1468" s="22"/>
      <c r="L1468" s="22"/>
      <c r="M1468" s="22"/>
      <c r="N1468" s="22"/>
      <c r="O1468" s="22"/>
      <c r="P1468" s="22"/>
      <c r="Q1468" s="209"/>
      <c r="R1468" s="218"/>
    </row>
    <row r="1469" ht="14.25" customHeight="1">
      <c r="A1469" s="211">
        <v>1.0</v>
      </c>
      <c r="B1469" s="34" t="s">
        <v>5273</v>
      </c>
      <c r="C1469" s="34" t="s">
        <v>5274</v>
      </c>
      <c r="D1469" s="57" t="s">
        <v>2000</v>
      </c>
      <c r="E1469" s="57" t="s">
        <v>3607</v>
      </c>
      <c r="F1469" s="264"/>
      <c r="G1469" s="265">
        <v>300.0</v>
      </c>
      <c r="H1469" s="72">
        <v>15.0</v>
      </c>
      <c r="I1469" s="42">
        <v>30.0</v>
      </c>
      <c r="J1469" s="42">
        <v>1.0</v>
      </c>
      <c r="K1469" s="42">
        <v>1.0</v>
      </c>
      <c r="L1469" s="70">
        <v>5.0</v>
      </c>
      <c r="M1469" s="34" t="s">
        <v>5275</v>
      </c>
      <c r="N1469" s="70" t="s">
        <v>5276</v>
      </c>
      <c r="O1469" s="70">
        <v>1000.0</v>
      </c>
      <c r="P1469" s="70" t="s">
        <v>29</v>
      </c>
      <c r="Q1469" s="32" t="s">
        <v>401</v>
      </c>
      <c r="R1469" s="88" t="s">
        <v>5277</v>
      </c>
    </row>
    <row r="1470" ht="14.25" customHeight="1">
      <c r="A1470" s="211">
        <v>2.0</v>
      </c>
      <c r="B1470" s="34" t="s">
        <v>5278</v>
      </c>
      <c r="C1470" s="34" t="s">
        <v>5279</v>
      </c>
      <c r="D1470" s="57" t="s">
        <v>2000</v>
      </c>
      <c r="E1470" s="57" t="s">
        <v>3607</v>
      </c>
      <c r="F1470" s="264"/>
      <c r="G1470" s="265" t="s">
        <v>5280</v>
      </c>
      <c r="H1470" s="72">
        <v>15.0</v>
      </c>
      <c r="I1470" s="42">
        <v>30.0</v>
      </c>
      <c r="J1470" s="42">
        <v>2.0</v>
      </c>
      <c r="K1470" s="42">
        <v>2.0</v>
      </c>
      <c r="L1470" s="70">
        <v>3.0</v>
      </c>
      <c r="M1470" s="34" t="s">
        <v>5275</v>
      </c>
      <c r="N1470" s="70" t="s">
        <v>5276</v>
      </c>
      <c r="O1470" s="70">
        <v>300.0</v>
      </c>
      <c r="P1470" s="70" t="s">
        <v>29</v>
      </c>
      <c r="Q1470" s="32" t="s">
        <v>401</v>
      </c>
      <c r="R1470" s="88" t="s">
        <v>5277</v>
      </c>
    </row>
    <row r="1471" ht="14.25" customHeight="1">
      <c r="A1471" s="211">
        <v>3.0</v>
      </c>
      <c r="B1471" s="34" t="s">
        <v>5281</v>
      </c>
      <c r="C1471" s="34" t="s">
        <v>5274</v>
      </c>
      <c r="D1471" s="57" t="s">
        <v>2000</v>
      </c>
      <c r="E1471" s="57" t="s">
        <v>3607</v>
      </c>
      <c r="F1471" s="264"/>
      <c r="G1471" s="265">
        <v>960.0</v>
      </c>
      <c r="H1471" s="72">
        <v>40.0</v>
      </c>
      <c r="I1471" s="42">
        <v>160.0</v>
      </c>
      <c r="J1471" s="42">
        <v>4.0</v>
      </c>
      <c r="K1471" s="42">
        <v>4.0</v>
      </c>
      <c r="L1471" s="70">
        <v>3.0</v>
      </c>
      <c r="M1471" s="34" t="s">
        <v>5275</v>
      </c>
      <c r="N1471" s="70" t="s">
        <v>5276</v>
      </c>
      <c r="O1471" s="70">
        <v>2000.0</v>
      </c>
      <c r="P1471" s="70" t="s">
        <v>66</v>
      </c>
      <c r="Q1471" s="32" t="s">
        <v>401</v>
      </c>
      <c r="R1471" s="88" t="s">
        <v>5277</v>
      </c>
    </row>
    <row r="1472" ht="14.25" customHeight="1">
      <c r="A1472" s="211">
        <v>4.0</v>
      </c>
      <c r="B1472" s="34" t="s">
        <v>5282</v>
      </c>
      <c r="C1472" s="34" t="s">
        <v>5274</v>
      </c>
      <c r="D1472" s="57" t="s">
        <v>2000</v>
      </c>
      <c r="E1472" s="57" t="s">
        <v>3607</v>
      </c>
      <c r="F1472" s="264"/>
      <c r="G1472" s="265" t="s">
        <v>5283</v>
      </c>
      <c r="H1472" s="72">
        <v>5.0</v>
      </c>
      <c r="I1472" s="42">
        <v>20.0</v>
      </c>
      <c r="J1472" s="42">
        <v>2.0</v>
      </c>
      <c r="K1472" s="42">
        <v>2.0</v>
      </c>
      <c r="L1472" s="70">
        <v>1.0</v>
      </c>
      <c r="M1472" s="34" t="s">
        <v>5275</v>
      </c>
      <c r="N1472" s="70" t="s">
        <v>5276</v>
      </c>
      <c r="O1472" s="70">
        <v>300.0</v>
      </c>
      <c r="P1472" s="70" t="s">
        <v>29</v>
      </c>
      <c r="Q1472" s="32" t="s">
        <v>401</v>
      </c>
      <c r="R1472" s="88" t="s">
        <v>5277</v>
      </c>
    </row>
    <row r="1473" ht="14.25" customHeight="1">
      <c r="A1473" s="211">
        <v>5.0</v>
      </c>
      <c r="B1473" s="34" t="s">
        <v>5284</v>
      </c>
      <c r="C1473" s="34" t="s">
        <v>5285</v>
      </c>
      <c r="D1473" s="57" t="s">
        <v>2000</v>
      </c>
      <c r="E1473" s="57" t="s">
        <v>3607</v>
      </c>
      <c r="F1473" s="264"/>
      <c r="G1473" s="265" t="s">
        <v>5286</v>
      </c>
      <c r="H1473" s="72">
        <v>15.0</v>
      </c>
      <c r="I1473" s="42">
        <v>60.0</v>
      </c>
      <c r="J1473" s="42">
        <v>2.0</v>
      </c>
      <c r="K1473" s="42">
        <v>2.0</v>
      </c>
      <c r="L1473" s="70">
        <v>3.0</v>
      </c>
      <c r="M1473" s="34" t="s">
        <v>449</v>
      </c>
      <c r="N1473" s="70" t="s">
        <v>5276</v>
      </c>
      <c r="O1473" s="70">
        <v>2000.0</v>
      </c>
      <c r="P1473" s="70" t="s">
        <v>29</v>
      </c>
      <c r="Q1473" s="32" t="s">
        <v>401</v>
      </c>
      <c r="R1473" s="88" t="s">
        <v>5277</v>
      </c>
    </row>
    <row r="1474" ht="14.25" customHeight="1">
      <c r="A1474" s="211">
        <v>6.0</v>
      </c>
      <c r="B1474" s="34" t="s">
        <v>5287</v>
      </c>
      <c r="C1474" s="34" t="s">
        <v>5288</v>
      </c>
      <c r="D1474" s="57" t="s">
        <v>2000</v>
      </c>
      <c r="E1474" s="57" t="s">
        <v>3607</v>
      </c>
      <c r="F1474" s="264"/>
      <c r="G1474" s="265" t="s">
        <v>5289</v>
      </c>
      <c r="H1474" s="72">
        <v>5.0</v>
      </c>
      <c r="I1474" s="42">
        <v>20.0</v>
      </c>
      <c r="J1474" s="42">
        <v>2.0</v>
      </c>
      <c r="K1474" s="42">
        <v>2.0</v>
      </c>
      <c r="L1474" s="70">
        <v>3.0</v>
      </c>
      <c r="M1474" s="34" t="s">
        <v>449</v>
      </c>
      <c r="N1474" s="70" t="s">
        <v>5276</v>
      </c>
      <c r="O1474" s="70">
        <v>300.0</v>
      </c>
      <c r="P1474" s="70" t="s">
        <v>29</v>
      </c>
      <c r="Q1474" s="32" t="s">
        <v>401</v>
      </c>
      <c r="R1474" s="88" t="s">
        <v>5277</v>
      </c>
    </row>
    <row r="1475" ht="14.25" customHeight="1">
      <c r="A1475" s="211">
        <v>7.0</v>
      </c>
      <c r="B1475" s="34" t="s">
        <v>5290</v>
      </c>
      <c r="C1475" s="34" t="s">
        <v>5291</v>
      </c>
      <c r="D1475" s="57" t="s">
        <v>2000</v>
      </c>
      <c r="E1475" s="57" t="s">
        <v>3607</v>
      </c>
      <c r="F1475" s="264"/>
      <c r="G1475" s="265" t="s">
        <v>5292</v>
      </c>
      <c r="H1475" s="72">
        <v>5.0</v>
      </c>
      <c r="I1475" s="42">
        <v>20.0</v>
      </c>
      <c r="J1475" s="42">
        <v>2.0</v>
      </c>
      <c r="K1475" s="42">
        <v>2.0</v>
      </c>
      <c r="L1475" s="70">
        <v>3.0</v>
      </c>
      <c r="M1475" s="34" t="s">
        <v>5275</v>
      </c>
      <c r="N1475" s="70" t="s">
        <v>5276</v>
      </c>
      <c r="O1475" s="70">
        <v>300.0</v>
      </c>
      <c r="P1475" s="70" t="s">
        <v>29</v>
      </c>
      <c r="Q1475" s="32" t="s">
        <v>401</v>
      </c>
      <c r="R1475" s="88" t="s">
        <v>5277</v>
      </c>
    </row>
    <row r="1476" ht="14.25" customHeight="1">
      <c r="A1476" s="211">
        <v>8.0</v>
      </c>
      <c r="B1476" s="34" t="s">
        <v>5293</v>
      </c>
      <c r="C1476" s="34" t="s">
        <v>5294</v>
      </c>
      <c r="D1476" s="57" t="s">
        <v>2000</v>
      </c>
      <c r="E1476" s="57" t="s">
        <v>3607</v>
      </c>
      <c r="F1476" s="264"/>
      <c r="G1476" s="265" t="s">
        <v>5295</v>
      </c>
      <c r="H1476" s="72">
        <v>5.0</v>
      </c>
      <c r="I1476" s="42">
        <v>20.0</v>
      </c>
      <c r="J1476" s="42">
        <v>2.0</v>
      </c>
      <c r="K1476" s="42">
        <v>2.0</v>
      </c>
      <c r="L1476" s="70">
        <v>3.0</v>
      </c>
      <c r="M1476" s="34" t="s">
        <v>449</v>
      </c>
      <c r="N1476" s="70" t="s">
        <v>5276</v>
      </c>
      <c r="O1476" s="70">
        <v>300.0</v>
      </c>
      <c r="P1476" s="70" t="s">
        <v>29</v>
      </c>
      <c r="Q1476" s="32" t="s">
        <v>401</v>
      </c>
      <c r="R1476" s="88" t="s">
        <v>5277</v>
      </c>
    </row>
    <row r="1477" ht="14.25" customHeight="1">
      <c r="A1477" s="211">
        <v>9.0</v>
      </c>
      <c r="B1477" s="34" t="s">
        <v>5296</v>
      </c>
      <c r="C1477" s="34" t="s">
        <v>5297</v>
      </c>
      <c r="D1477" s="57" t="s">
        <v>2000</v>
      </c>
      <c r="E1477" s="57" t="s">
        <v>3607</v>
      </c>
      <c r="F1477" s="264"/>
      <c r="G1477" s="265">
        <v>85.0</v>
      </c>
      <c r="H1477" s="72">
        <v>10.0</v>
      </c>
      <c r="I1477" s="42">
        <v>40.0</v>
      </c>
      <c r="J1477" s="42">
        <v>2.0</v>
      </c>
      <c r="K1477" s="42">
        <v>2.0</v>
      </c>
      <c r="L1477" s="70">
        <v>3.0</v>
      </c>
      <c r="M1477" s="34" t="s">
        <v>449</v>
      </c>
      <c r="N1477" s="70" t="s">
        <v>5276</v>
      </c>
      <c r="O1477" s="70">
        <v>300.0</v>
      </c>
      <c r="P1477" s="70" t="s">
        <v>29</v>
      </c>
      <c r="Q1477" s="32" t="s">
        <v>401</v>
      </c>
      <c r="R1477" s="88" t="s">
        <v>5277</v>
      </c>
    </row>
    <row r="1478" ht="14.25" customHeight="1">
      <c r="A1478" s="211">
        <v>10.0</v>
      </c>
      <c r="B1478" s="34" t="s">
        <v>5298</v>
      </c>
      <c r="C1478" s="34" t="s">
        <v>5299</v>
      </c>
      <c r="D1478" s="57" t="s">
        <v>2000</v>
      </c>
      <c r="E1478" s="57" t="s">
        <v>3607</v>
      </c>
      <c r="F1478" s="264"/>
      <c r="G1478" s="265" t="s">
        <v>5300</v>
      </c>
      <c r="H1478" s="72">
        <v>5.0</v>
      </c>
      <c r="I1478" s="42">
        <v>20.0</v>
      </c>
      <c r="J1478" s="42">
        <v>2.0</v>
      </c>
      <c r="K1478" s="42">
        <v>2.0</v>
      </c>
      <c r="L1478" s="70">
        <v>3.0</v>
      </c>
      <c r="M1478" s="34" t="s">
        <v>5275</v>
      </c>
      <c r="N1478" s="70" t="s">
        <v>5276</v>
      </c>
      <c r="O1478" s="70">
        <v>200.0</v>
      </c>
      <c r="P1478" s="70" t="s">
        <v>29</v>
      </c>
      <c r="Q1478" s="32" t="s">
        <v>401</v>
      </c>
      <c r="R1478" s="88" t="s">
        <v>5277</v>
      </c>
    </row>
    <row r="1479" ht="14.25" customHeight="1">
      <c r="A1479" s="211">
        <v>11.0</v>
      </c>
      <c r="B1479" s="34" t="s">
        <v>5301</v>
      </c>
      <c r="C1479" s="34" t="s">
        <v>5302</v>
      </c>
      <c r="D1479" s="57" t="s">
        <v>2000</v>
      </c>
      <c r="E1479" s="57" t="s">
        <v>3607</v>
      </c>
      <c r="F1479" s="264"/>
      <c r="G1479" s="265" t="s">
        <v>5303</v>
      </c>
      <c r="H1479" s="72">
        <v>20.0</v>
      </c>
      <c r="I1479" s="42">
        <v>40.0</v>
      </c>
      <c r="J1479" s="42">
        <v>2.0</v>
      </c>
      <c r="K1479" s="42">
        <v>2.0</v>
      </c>
      <c r="L1479" s="70">
        <v>3.0</v>
      </c>
      <c r="M1479" s="34" t="s">
        <v>5275</v>
      </c>
      <c r="N1479" s="70" t="s">
        <v>5276</v>
      </c>
      <c r="O1479" s="70">
        <v>2000.0</v>
      </c>
      <c r="P1479" s="70" t="s">
        <v>29</v>
      </c>
      <c r="Q1479" s="32" t="s">
        <v>401</v>
      </c>
      <c r="R1479" s="88" t="s">
        <v>5277</v>
      </c>
    </row>
    <row r="1480" ht="14.25" customHeight="1">
      <c r="A1480" s="211">
        <v>12.0</v>
      </c>
      <c r="B1480" s="34" t="s">
        <v>5304</v>
      </c>
      <c r="C1480" s="34" t="s">
        <v>5305</v>
      </c>
      <c r="D1480" s="57" t="s">
        <v>2000</v>
      </c>
      <c r="E1480" s="57" t="s">
        <v>3607</v>
      </c>
      <c r="F1480" s="264"/>
      <c r="G1480" s="265" t="s">
        <v>5306</v>
      </c>
      <c r="H1480" s="72">
        <v>5.0</v>
      </c>
      <c r="I1480" s="42">
        <v>20.0</v>
      </c>
      <c r="J1480" s="42">
        <v>2.0</v>
      </c>
      <c r="K1480" s="42">
        <v>2.0</v>
      </c>
      <c r="L1480" s="70">
        <v>3.0</v>
      </c>
      <c r="M1480" s="34" t="s">
        <v>449</v>
      </c>
      <c r="N1480" s="70" t="s">
        <v>5276</v>
      </c>
      <c r="O1480" s="70">
        <v>200.0</v>
      </c>
      <c r="P1480" s="70" t="s">
        <v>29</v>
      </c>
      <c r="Q1480" s="32" t="s">
        <v>401</v>
      </c>
      <c r="R1480" s="88" t="s">
        <v>5277</v>
      </c>
    </row>
    <row r="1481" ht="14.25" customHeight="1">
      <c r="A1481" s="211">
        <v>13.0</v>
      </c>
      <c r="B1481" s="34" t="s">
        <v>5307</v>
      </c>
      <c r="C1481" s="34" t="s">
        <v>5308</v>
      </c>
      <c r="D1481" s="57" t="s">
        <v>2000</v>
      </c>
      <c r="E1481" s="57" t="s">
        <v>3607</v>
      </c>
      <c r="F1481" s="264"/>
      <c r="G1481" s="265" t="s">
        <v>5309</v>
      </c>
      <c r="H1481" s="72">
        <v>10.0</v>
      </c>
      <c r="I1481" s="42">
        <v>40.0</v>
      </c>
      <c r="J1481" s="42">
        <v>2.0</v>
      </c>
      <c r="K1481" s="42">
        <v>2.0</v>
      </c>
      <c r="L1481" s="70">
        <v>3.0</v>
      </c>
      <c r="M1481" s="34" t="s">
        <v>449</v>
      </c>
      <c r="N1481" s="70" t="s">
        <v>5276</v>
      </c>
      <c r="O1481" s="70">
        <v>200.0</v>
      </c>
      <c r="P1481" s="70" t="s">
        <v>29</v>
      </c>
      <c r="Q1481" s="32" t="s">
        <v>401</v>
      </c>
      <c r="R1481" s="88" t="s">
        <v>5277</v>
      </c>
    </row>
    <row r="1482" ht="14.25" customHeight="1">
      <c r="A1482" s="211">
        <v>14.0</v>
      </c>
      <c r="B1482" s="34" t="s">
        <v>5310</v>
      </c>
      <c r="C1482" s="34" t="s">
        <v>5311</v>
      </c>
      <c r="D1482" s="57" t="s">
        <v>2000</v>
      </c>
      <c r="E1482" s="57" t="s">
        <v>3607</v>
      </c>
      <c r="F1482" s="264"/>
      <c r="G1482" s="265" t="s">
        <v>5312</v>
      </c>
      <c r="H1482" s="72">
        <v>10.0</v>
      </c>
      <c r="I1482" s="42">
        <v>40.0</v>
      </c>
      <c r="J1482" s="42">
        <v>2.0</v>
      </c>
      <c r="K1482" s="42">
        <v>2.0</v>
      </c>
      <c r="L1482" s="70">
        <v>3.0</v>
      </c>
      <c r="M1482" s="34" t="s">
        <v>5275</v>
      </c>
      <c r="N1482" s="70" t="s">
        <v>5276</v>
      </c>
      <c r="O1482" s="70">
        <v>2000.0</v>
      </c>
      <c r="P1482" s="70" t="s">
        <v>29</v>
      </c>
      <c r="Q1482" s="32" t="s">
        <v>401</v>
      </c>
      <c r="R1482" s="88" t="s">
        <v>5277</v>
      </c>
    </row>
    <row r="1483" ht="14.25" customHeight="1">
      <c r="A1483" s="211">
        <v>15.0</v>
      </c>
      <c r="B1483" s="34" t="s">
        <v>5313</v>
      </c>
      <c r="C1483" s="34" t="s">
        <v>5314</v>
      </c>
      <c r="D1483" s="57" t="s">
        <v>2000</v>
      </c>
      <c r="E1483" s="57" t="s">
        <v>3607</v>
      </c>
      <c r="F1483" s="264"/>
      <c r="G1483" s="265" t="s">
        <v>5315</v>
      </c>
      <c r="H1483" s="72">
        <v>10.0</v>
      </c>
      <c r="I1483" s="42">
        <v>40.0</v>
      </c>
      <c r="J1483" s="42">
        <v>2.0</v>
      </c>
      <c r="K1483" s="42">
        <v>2.0</v>
      </c>
      <c r="L1483" s="70">
        <v>3.0</v>
      </c>
      <c r="M1483" s="34" t="s">
        <v>449</v>
      </c>
      <c r="N1483" s="70" t="s">
        <v>5276</v>
      </c>
      <c r="O1483" s="70">
        <v>1000.0</v>
      </c>
      <c r="P1483" s="70" t="s">
        <v>29</v>
      </c>
      <c r="Q1483" s="32" t="s">
        <v>401</v>
      </c>
      <c r="R1483" s="88" t="s">
        <v>5277</v>
      </c>
    </row>
    <row r="1484" ht="14.25" customHeight="1">
      <c r="A1484" s="211">
        <v>16.0</v>
      </c>
      <c r="B1484" s="34" t="s">
        <v>5316</v>
      </c>
      <c r="C1484" s="34" t="s">
        <v>5317</v>
      </c>
      <c r="D1484" s="57" t="s">
        <v>2000</v>
      </c>
      <c r="E1484" s="57" t="s">
        <v>3607</v>
      </c>
      <c r="F1484" s="264"/>
      <c r="G1484" s="265" t="s">
        <v>5318</v>
      </c>
      <c r="H1484" s="72">
        <v>5.0</v>
      </c>
      <c r="I1484" s="42">
        <v>20.0</v>
      </c>
      <c r="J1484" s="42">
        <v>2.0</v>
      </c>
      <c r="K1484" s="42">
        <v>2.0</v>
      </c>
      <c r="L1484" s="70">
        <v>3.0</v>
      </c>
      <c r="M1484" s="34" t="s">
        <v>449</v>
      </c>
      <c r="N1484" s="70" t="s">
        <v>5276</v>
      </c>
      <c r="O1484" s="70">
        <v>150.0</v>
      </c>
      <c r="P1484" s="70" t="s">
        <v>29</v>
      </c>
      <c r="Q1484" s="32" t="s">
        <v>401</v>
      </c>
      <c r="R1484" s="88" t="s">
        <v>5277</v>
      </c>
    </row>
    <row r="1485" ht="14.25" customHeight="1">
      <c r="A1485" s="211">
        <v>17.0</v>
      </c>
      <c r="B1485" s="34" t="s">
        <v>5319</v>
      </c>
      <c r="C1485" s="34" t="s">
        <v>5320</v>
      </c>
      <c r="D1485" s="57" t="s">
        <v>2000</v>
      </c>
      <c r="E1485" s="57" t="s">
        <v>3607</v>
      </c>
      <c r="F1485" s="264"/>
      <c r="G1485" s="265" t="s">
        <v>5321</v>
      </c>
      <c r="H1485" s="72">
        <v>3.0</v>
      </c>
      <c r="I1485" s="42">
        <v>12.0</v>
      </c>
      <c r="J1485" s="42">
        <v>2.0</v>
      </c>
      <c r="K1485" s="42">
        <v>2.0</v>
      </c>
      <c r="L1485" s="70">
        <v>3.0</v>
      </c>
      <c r="M1485" s="34" t="s">
        <v>449</v>
      </c>
      <c r="N1485" s="70" t="s">
        <v>5276</v>
      </c>
      <c r="O1485" s="70">
        <v>200.0</v>
      </c>
      <c r="P1485" s="70" t="s">
        <v>29</v>
      </c>
      <c r="Q1485" s="32" t="s">
        <v>401</v>
      </c>
      <c r="R1485" s="88" t="s">
        <v>5277</v>
      </c>
    </row>
    <row r="1486" ht="14.25" customHeight="1">
      <c r="A1486" s="211">
        <v>18.0</v>
      </c>
      <c r="B1486" s="34" t="s">
        <v>5322</v>
      </c>
      <c r="C1486" s="34" t="s">
        <v>5323</v>
      </c>
      <c r="D1486" s="57" t="s">
        <v>2000</v>
      </c>
      <c r="E1486" s="57" t="s">
        <v>3607</v>
      </c>
      <c r="F1486" s="264"/>
      <c r="G1486" s="265" t="s">
        <v>5324</v>
      </c>
      <c r="H1486" s="72">
        <v>15.0</v>
      </c>
      <c r="I1486" s="42">
        <v>60.0</v>
      </c>
      <c r="J1486" s="42">
        <v>2.0</v>
      </c>
      <c r="K1486" s="42">
        <v>2.0</v>
      </c>
      <c r="L1486" s="70">
        <v>3.0</v>
      </c>
      <c r="M1486" s="34" t="s">
        <v>449</v>
      </c>
      <c r="N1486" s="70" t="s">
        <v>5276</v>
      </c>
      <c r="O1486" s="70">
        <v>2000.0</v>
      </c>
      <c r="P1486" s="70" t="s">
        <v>29</v>
      </c>
      <c r="Q1486" s="32" t="s">
        <v>401</v>
      </c>
      <c r="R1486" s="88" t="s">
        <v>5277</v>
      </c>
    </row>
    <row r="1487" ht="14.25" customHeight="1">
      <c r="A1487" s="211">
        <v>19.0</v>
      </c>
      <c r="B1487" s="34" t="s">
        <v>5325</v>
      </c>
      <c r="C1487" s="34" t="s">
        <v>5326</v>
      </c>
      <c r="D1487" s="57" t="s">
        <v>2000</v>
      </c>
      <c r="E1487" s="57" t="s">
        <v>3607</v>
      </c>
      <c r="F1487" s="264"/>
      <c r="G1487" s="265" t="s">
        <v>5327</v>
      </c>
      <c r="H1487" s="72">
        <v>15.0</v>
      </c>
      <c r="I1487" s="42">
        <v>60.0</v>
      </c>
      <c r="J1487" s="42">
        <v>2.0</v>
      </c>
      <c r="K1487" s="42">
        <v>2.0</v>
      </c>
      <c r="L1487" s="70">
        <v>3.0</v>
      </c>
      <c r="M1487" s="34" t="s">
        <v>449</v>
      </c>
      <c r="N1487" s="70" t="s">
        <v>5276</v>
      </c>
      <c r="O1487" s="70">
        <v>2000.0</v>
      </c>
      <c r="P1487" s="70" t="s">
        <v>29</v>
      </c>
      <c r="Q1487" s="32" t="s">
        <v>401</v>
      </c>
      <c r="R1487" s="88" t="s">
        <v>5277</v>
      </c>
    </row>
    <row r="1488" ht="14.25" customHeight="1">
      <c r="A1488" s="211">
        <v>20.0</v>
      </c>
      <c r="B1488" s="34" t="s">
        <v>5328</v>
      </c>
      <c r="C1488" s="34" t="s">
        <v>5329</v>
      </c>
      <c r="D1488" s="57" t="s">
        <v>2000</v>
      </c>
      <c r="E1488" s="57" t="s">
        <v>3607</v>
      </c>
      <c r="F1488" s="264"/>
      <c r="G1488" s="265">
        <v>400.0</v>
      </c>
      <c r="H1488" s="72">
        <v>20.0</v>
      </c>
      <c r="I1488" s="42">
        <v>60.0</v>
      </c>
      <c r="J1488" s="42">
        <v>0.0</v>
      </c>
      <c r="K1488" s="42">
        <v>0.0</v>
      </c>
      <c r="L1488" s="70">
        <v>0.0</v>
      </c>
      <c r="M1488" s="34" t="s">
        <v>5275</v>
      </c>
      <c r="N1488" s="70" t="s">
        <v>5276</v>
      </c>
      <c r="O1488" s="70">
        <v>200.0</v>
      </c>
      <c r="P1488" s="70" t="s">
        <v>29</v>
      </c>
      <c r="Q1488" s="31" t="s">
        <v>5330</v>
      </c>
      <c r="R1488" s="88" t="s">
        <v>5277</v>
      </c>
    </row>
    <row r="1489" ht="15.75" customHeight="1">
      <c r="A1489" s="181"/>
      <c r="B1489" s="182" t="s">
        <v>5331</v>
      </c>
      <c r="C1489" s="22"/>
      <c r="D1489" s="22"/>
      <c r="E1489" s="22"/>
      <c r="F1489" s="209"/>
      <c r="G1489" s="210"/>
      <c r="H1489" s="22"/>
      <c r="I1489" s="22"/>
      <c r="J1489" s="22"/>
      <c r="K1489" s="22"/>
      <c r="L1489" s="22"/>
      <c r="M1489" s="22"/>
      <c r="N1489" s="22"/>
      <c r="O1489" s="22"/>
      <c r="P1489" s="22"/>
      <c r="Q1489" s="209"/>
      <c r="R1489" s="218"/>
    </row>
    <row r="1490" ht="14.25" customHeight="1">
      <c r="A1490" s="211">
        <v>1.0</v>
      </c>
      <c r="B1490" s="34" t="s">
        <v>5332</v>
      </c>
      <c r="C1490" s="34" t="s">
        <v>5333</v>
      </c>
      <c r="D1490" s="57" t="s">
        <v>25</v>
      </c>
      <c r="E1490" s="57" t="s">
        <v>57</v>
      </c>
      <c r="F1490" s="264"/>
      <c r="G1490" s="265">
        <v>112.0</v>
      </c>
      <c r="H1490" s="72">
        <v>10.0</v>
      </c>
      <c r="I1490" s="42">
        <v>50.0</v>
      </c>
      <c r="J1490" s="42">
        <v>0.0</v>
      </c>
      <c r="K1490" s="42">
        <v>0.0</v>
      </c>
      <c r="L1490" s="70">
        <v>1.0</v>
      </c>
      <c r="M1490" s="308" t="s">
        <v>5334</v>
      </c>
      <c r="N1490" s="70" t="s">
        <v>5276</v>
      </c>
      <c r="O1490" s="70">
        <v>100.0</v>
      </c>
      <c r="P1490" s="70" t="s">
        <v>29</v>
      </c>
      <c r="Q1490" s="32" t="s">
        <v>1137</v>
      </c>
      <c r="R1490" s="88" t="s">
        <v>1137</v>
      </c>
    </row>
    <row r="1491" ht="14.25" customHeight="1">
      <c r="A1491" s="211">
        <v>2.0</v>
      </c>
      <c r="B1491" s="34" t="s">
        <v>5335</v>
      </c>
      <c r="C1491" s="34" t="s">
        <v>5336</v>
      </c>
      <c r="D1491" s="57" t="s">
        <v>25</v>
      </c>
      <c r="E1491" s="57" t="s">
        <v>189</v>
      </c>
      <c r="F1491" s="264"/>
      <c r="G1491" s="265">
        <v>60.0</v>
      </c>
      <c r="H1491" s="72">
        <v>10.0</v>
      </c>
      <c r="I1491" s="42">
        <v>50.0</v>
      </c>
      <c r="J1491" s="42">
        <v>0.0</v>
      </c>
      <c r="K1491" s="42">
        <v>0.0</v>
      </c>
      <c r="L1491" s="70">
        <v>1.0</v>
      </c>
      <c r="M1491" s="308" t="s">
        <v>5334</v>
      </c>
      <c r="N1491" s="70" t="s">
        <v>5276</v>
      </c>
      <c r="O1491" s="70">
        <v>100.0</v>
      </c>
      <c r="P1491" s="70" t="s">
        <v>29</v>
      </c>
      <c r="Q1491" s="32" t="s">
        <v>1137</v>
      </c>
      <c r="R1491" s="88" t="s">
        <v>1137</v>
      </c>
    </row>
    <row r="1492" ht="14.25" customHeight="1">
      <c r="A1492" s="211">
        <v>3.0</v>
      </c>
      <c r="B1492" s="34" t="s">
        <v>5337</v>
      </c>
      <c r="C1492" s="34" t="s">
        <v>5336</v>
      </c>
      <c r="D1492" s="57" t="s">
        <v>25</v>
      </c>
      <c r="E1492" s="57" t="s">
        <v>189</v>
      </c>
      <c r="F1492" s="264"/>
      <c r="G1492" s="265">
        <v>60.0</v>
      </c>
      <c r="H1492" s="72">
        <v>10.0</v>
      </c>
      <c r="I1492" s="42">
        <v>50.0</v>
      </c>
      <c r="J1492" s="42">
        <v>1.0</v>
      </c>
      <c r="K1492" s="42">
        <v>1.0</v>
      </c>
      <c r="L1492" s="70">
        <v>0.0</v>
      </c>
      <c r="M1492" s="308" t="s">
        <v>5334</v>
      </c>
      <c r="N1492" s="70" t="s">
        <v>5276</v>
      </c>
      <c r="O1492" s="70">
        <v>100.0</v>
      </c>
      <c r="P1492" s="70" t="s">
        <v>29</v>
      </c>
      <c r="Q1492" s="32" t="s">
        <v>1137</v>
      </c>
      <c r="R1492" s="88" t="s">
        <v>1137</v>
      </c>
    </row>
    <row r="1493" ht="14.25" customHeight="1">
      <c r="A1493" s="211">
        <v>4.0</v>
      </c>
      <c r="B1493" s="34" t="s">
        <v>5338</v>
      </c>
      <c r="C1493" s="34" t="s">
        <v>5339</v>
      </c>
      <c r="D1493" s="57" t="s">
        <v>25</v>
      </c>
      <c r="E1493" s="57" t="s">
        <v>189</v>
      </c>
      <c r="F1493" s="264"/>
      <c r="G1493" s="265">
        <v>256.0</v>
      </c>
      <c r="H1493" s="72">
        <v>20.0</v>
      </c>
      <c r="I1493" s="42">
        <v>100.0</v>
      </c>
      <c r="J1493" s="42">
        <v>2.0</v>
      </c>
      <c r="K1493" s="42">
        <v>2.0</v>
      </c>
      <c r="L1493" s="70">
        <v>0.0</v>
      </c>
      <c r="M1493" s="308" t="s">
        <v>449</v>
      </c>
      <c r="N1493" s="70" t="s">
        <v>5276</v>
      </c>
      <c r="O1493" s="70">
        <v>100.0</v>
      </c>
      <c r="P1493" s="70" t="s">
        <v>29</v>
      </c>
      <c r="Q1493" s="32" t="s">
        <v>1137</v>
      </c>
      <c r="R1493" s="88" t="s">
        <v>1137</v>
      </c>
    </row>
    <row r="1494" ht="14.25" customHeight="1">
      <c r="A1494" s="211">
        <v>5.0</v>
      </c>
      <c r="B1494" s="34" t="s">
        <v>5340</v>
      </c>
      <c r="C1494" s="34" t="s">
        <v>5339</v>
      </c>
      <c r="D1494" s="57" t="s">
        <v>25</v>
      </c>
      <c r="E1494" s="57" t="s">
        <v>189</v>
      </c>
      <c r="F1494" s="264"/>
      <c r="G1494" s="265">
        <v>70.0</v>
      </c>
      <c r="H1494" s="72">
        <v>10.0</v>
      </c>
      <c r="I1494" s="42">
        <v>50.0</v>
      </c>
      <c r="J1494" s="42">
        <v>0.0</v>
      </c>
      <c r="K1494" s="42">
        <v>0.0</v>
      </c>
      <c r="L1494" s="70">
        <v>1.0</v>
      </c>
      <c r="M1494" s="308" t="s">
        <v>449</v>
      </c>
      <c r="N1494" s="70" t="s">
        <v>5276</v>
      </c>
      <c r="O1494" s="70">
        <v>100.0</v>
      </c>
      <c r="P1494" s="70" t="s">
        <v>29</v>
      </c>
      <c r="Q1494" s="32" t="s">
        <v>1137</v>
      </c>
      <c r="R1494" s="88" t="s">
        <v>1137</v>
      </c>
    </row>
    <row r="1495" ht="14.25" customHeight="1">
      <c r="A1495" s="211">
        <v>6.0</v>
      </c>
      <c r="B1495" s="34" t="s">
        <v>5341</v>
      </c>
      <c r="C1495" s="34" t="s">
        <v>5342</v>
      </c>
      <c r="D1495" s="57" t="s">
        <v>25</v>
      </c>
      <c r="E1495" s="57" t="s">
        <v>351</v>
      </c>
      <c r="F1495" s="264"/>
      <c r="G1495" s="265">
        <v>195.0</v>
      </c>
      <c r="H1495" s="72">
        <v>20.0</v>
      </c>
      <c r="I1495" s="42">
        <v>100.0</v>
      </c>
      <c r="J1495" s="42">
        <v>2.0</v>
      </c>
      <c r="K1495" s="42">
        <v>2.0</v>
      </c>
      <c r="L1495" s="70">
        <v>0.0</v>
      </c>
      <c r="M1495" s="308" t="s">
        <v>449</v>
      </c>
      <c r="N1495" s="70" t="s">
        <v>5276</v>
      </c>
      <c r="O1495" s="70">
        <v>100.0</v>
      </c>
      <c r="P1495" s="70" t="s">
        <v>29</v>
      </c>
      <c r="Q1495" s="32" t="s">
        <v>1137</v>
      </c>
      <c r="R1495" s="88" t="s">
        <v>1137</v>
      </c>
    </row>
    <row r="1496" ht="14.25" customHeight="1">
      <c r="A1496" s="211">
        <v>7.0</v>
      </c>
      <c r="B1496" s="34" t="s">
        <v>5343</v>
      </c>
      <c r="C1496" s="34" t="s">
        <v>5342</v>
      </c>
      <c r="D1496" s="57" t="s">
        <v>25</v>
      </c>
      <c r="E1496" s="57" t="s">
        <v>351</v>
      </c>
      <c r="F1496" s="264"/>
      <c r="G1496" s="265">
        <v>80.0</v>
      </c>
      <c r="H1496" s="72">
        <v>10.0</v>
      </c>
      <c r="I1496" s="42">
        <v>50.0</v>
      </c>
      <c r="J1496" s="42">
        <v>0.0</v>
      </c>
      <c r="K1496" s="42">
        <v>0.0</v>
      </c>
      <c r="L1496" s="70">
        <v>1.0</v>
      </c>
      <c r="M1496" s="308" t="s">
        <v>449</v>
      </c>
      <c r="N1496" s="70" t="s">
        <v>5276</v>
      </c>
      <c r="O1496" s="70">
        <v>100.0</v>
      </c>
      <c r="P1496" s="70" t="s">
        <v>29</v>
      </c>
      <c r="Q1496" s="32" t="s">
        <v>1137</v>
      </c>
      <c r="R1496" s="88" t="s">
        <v>1137</v>
      </c>
    </row>
    <row r="1497" ht="14.25" customHeight="1">
      <c r="A1497" s="211">
        <v>8.0</v>
      </c>
      <c r="B1497" s="34" t="s">
        <v>5344</v>
      </c>
      <c r="C1497" s="34" t="s">
        <v>5345</v>
      </c>
      <c r="D1497" s="57" t="s">
        <v>25</v>
      </c>
      <c r="E1497" s="57" t="s">
        <v>57</v>
      </c>
      <c r="F1497" s="264"/>
      <c r="G1497" s="265">
        <v>192.0</v>
      </c>
      <c r="H1497" s="72">
        <v>20.0</v>
      </c>
      <c r="I1497" s="42">
        <v>100.0</v>
      </c>
      <c r="J1497" s="42">
        <v>2.0</v>
      </c>
      <c r="K1497" s="42">
        <v>2.0</v>
      </c>
      <c r="L1497" s="70">
        <v>0.0</v>
      </c>
      <c r="M1497" s="308" t="s">
        <v>5334</v>
      </c>
      <c r="N1497" s="70" t="s">
        <v>5276</v>
      </c>
      <c r="O1497" s="70">
        <v>100.0</v>
      </c>
      <c r="P1497" s="70" t="s">
        <v>29</v>
      </c>
      <c r="Q1497" s="32" t="s">
        <v>1137</v>
      </c>
      <c r="R1497" s="88" t="s">
        <v>1137</v>
      </c>
    </row>
    <row r="1498" ht="14.25" customHeight="1">
      <c r="A1498" s="211">
        <v>9.0</v>
      </c>
      <c r="B1498" s="34" t="s">
        <v>5346</v>
      </c>
      <c r="C1498" s="34" t="s">
        <v>5345</v>
      </c>
      <c r="D1498" s="57" t="s">
        <v>25</v>
      </c>
      <c r="E1498" s="57" t="s">
        <v>57</v>
      </c>
      <c r="F1498" s="264"/>
      <c r="G1498" s="265">
        <v>18.0</v>
      </c>
      <c r="H1498" s="72">
        <v>10.0</v>
      </c>
      <c r="I1498" s="42">
        <v>50.0</v>
      </c>
      <c r="J1498" s="42">
        <v>0.0</v>
      </c>
      <c r="K1498" s="42">
        <v>0.0</v>
      </c>
      <c r="L1498" s="70">
        <v>1.0</v>
      </c>
      <c r="M1498" s="308" t="s">
        <v>5334</v>
      </c>
      <c r="N1498" s="70" t="s">
        <v>5276</v>
      </c>
      <c r="O1498" s="70">
        <v>100.0</v>
      </c>
      <c r="P1498" s="70" t="s">
        <v>29</v>
      </c>
      <c r="Q1498" s="32" t="s">
        <v>1137</v>
      </c>
      <c r="R1498" s="88" t="s">
        <v>1137</v>
      </c>
    </row>
    <row r="1499" ht="14.25" customHeight="1">
      <c r="A1499" s="211">
        <v>10.0</v>
      </c>
      <c r="B1499" s="34" t="s">
        <v>5347</v>
      </c>
      <c r="C1499" s="34" t="s">
        <v>5348</v>
      </c>
      <c r="D1499" s="57" t="s">
        <v>25</v>
      </c>
      <c r="E1499" s="57" t="s">
        <v>57</v>
      </c>
      <c r="F1499" s="264"/>
      <c r="G1499" s="265">
        <v>256.0</v>
      </c>
      <c r="H1499" s="72">
        <v>20.0</v>
      </c>
      <c r="I1499" s="42">
        <v>100.0</v>
      </c>
      <c r="J1499" s="42">
        <v>2.0</v>
      </c>
      <c r="K1499" s="42">
        <v>2.0</v>
      </c>
      <c r="L1499" s="70">
        <v>0.0</v>
      </c>
      <c r="M1499" s="308" t="s">
        <v>449</v>
      </c>
      <c r="N1499" s="70" t="s">
        <v>5276</v>
      </c>
      <c r="O1499" s="70">
        <v>100.0</v>
      </c>
      <c r="P1499" s="70" t="s">
        <v>29</v>
      </c>
      <c r="Q1499" s="32" t="s">
        <v>1137</v>
      </c>
      <c r="R1499" s="88" t="s">
        <v>1137</v>
      </c>
    </row>
    <row r="1500" ht="14.25" customHeight="1">
      <c r="A1500" s="211">
        <v>11.0</v>
      </c>
      <c r="B1500" s="34" t="s">
        <v>5349</v>
      </c>
      <c r="C1500" s="34" t="s">
        <v>5348</v>
      </c>
      <c r="D1500" s="57" t="s">
        <v>25</v>
      </c>
      <c r="E1500" s="57" t="s">
        <v>57</v>
      </c>
      <c r="F1500" s="264"/>
      <c r="G1500" s="265">
        <v>256.0</v>
      </c>
      <c r="H1500" s="72">
        <v>20.0</v>
      </c>
      <c r="I1500" s="42">
        <v>100.0</v>
      </c>
      <c r="J1500" s="42">
        <v>2.0</v>
      </c>
      <c r="K1500" s="42">
        <v>2.0</v>
      </c>
      <c r="L1500" s="70">
        <v>0.0</v>
      </c>
      <c r="M1500" s="308" t="s">
        <v>449</v>
      </c>
      <c r="N1500" s="70" t="s">
        <v>5276</v>
      </c>
      <c r="O1500" s="70">
        <v>100.0</v>
      </c>
      <c r="P1500" s="70" t="s">
        <v>29</v>
      </c>
      <c r="Q1500" s="32" t="s">
        <v>1137</v>
      </c>
      <c r="R1500" s="88" t="s">
        <v>1137</v>
      </c>
    </row>
    <row r="1501" ht="14.25" customHeight="1">
      <c r="A1501" s="211">
        <v>12.0</v>
      </c>
      <c r="B1501" s="34" t="s">
        <v>5350</v>
      </c>
      <c r="C1501" s="34" t="s">
        <v>5348</v>
      </c>
      <c r="D1501" s="57" t="s">
        <v>25</v>
      </c>
      <c r="E1501" s="57" t="s">
        <v>57</v>
      </c>
      <c r="F1501" s="264"/>
      <c r="G1501" s="265">
        <v>64.0</v>
      </c>
      <c r="H1501" s="72">
        <v>10.0</v>
      </c>
      <c r="I1501" s="42">
        <v>50.0</v>
      </c>
      <c r="J1501" s="42">
        <v>0.0</v>
      </c>
      <c r="K1501" s="42">
        <v>0.0</v>
      </c>
      <c r="L1501" s="70">
        <v>1.0</v>
      </c>
      <c r="M1501" s="308" t="s">
        <v>449</v>
      </c>
      <c r="N1501" s="70" t="s">
        <v>5276</v>
      </c>
      <c r="O1501" s="70">
        <v>100.0</v>
      </c>
      <c r="P1501" s="70" t="s">
        <v>29</v>
      </c>
      <c r="Q1501" s="32" t="s">
        <v>1137</v>
      </c>
      <c r="R1501" s="88" t="s">
        <v>1137</v>
      </c>
    </row>
    <row r="1502" ht="14.25" customHeight="1">
      <c r="A1502" s="211">
        <v>13.0</v>
      </c>
      <c r="B1502" s="34" t="s">
        <v>5351</v>
      </c>
      <c r="C1502" s="34" t="s">
        <v>5352</v>
      </c>
      <c r="D1502" s="57" t="s">
        <v>25</v>
      </c>
      <c r="E1502" s="57" t="s">
        <v>189</v>
      </c>
      <c r="F1502" s="264"/>
      <c r="G1502" s="265">
        <v>256.0</v>
      </c>
      <c r="H1502" s="72">
        <v>20.0</v>
      </c>
      <c r="I1502" s="42">
        <v>100.0</v>
      </c>
      <c r="J1502" s="42">
        <v>2.0</v>
      </c>
      <c r="K1502" s="42">
        <v>2.0</v>
      </c>
      <c r="L1502" s="70">
        <v>0.0</v>
      </c>
      <c r="M1502" s="308" t="s">
        <v>5334</v>
      </c>
      <c r="N1502" s="70" t="s">
        <v>5276</v>
      </c>
      <c r="O1502" s="70">
        <v>100.0</v>
      </c>
      <c r="P1502" s="70" t="s">
        <v>29</v>
      </c>
      <c r="Q1502" s="32" t="s">
        <v>1137</v>
      </c>
      <c r="R1502" s="88" t="s">
        <v>1137</v>
      </c>
    </row>
    <row r="1503" ht="14.25" customHeight="1">
      <c r="A1503" s="211">
        <v>14.0</v>
      </c>
      <c r="B1503" s="34" t="s">
        <v>5353</v>
      </c>
      <c r="C1503" s="34" t="s">
        <v>5352</v>
      </c>
      <c r="D1503" s="57" t="s">
        <v>25</v>
      </c>
      <c r="E1503" s="57" t="s">
        <v>189</v>
      </c>
      <c r="F1503" s="264"/>
      <c r="G1503" s="265">
        <v>130.0</v>
      </c>
      <c r="H1503" s="72">
        <v>10.0</v>
      </c>
      <c r="I1503" s="42">
        <v>50.0</v>
      </c>
      <c r="J1503" s="42">
        <v>0.0</v>
      </c>
      <c r="K1503" s="42">
        <v>0.0</v>
      </c>
      <c r="L1503" s="70">
        <v>1.0</v>
      </c>
      <c r="M1503" s="308" t="s">
        <v>5334</v>
      </c>
      <c r="N1503" s="70" t="s">
        <v>5276</v>
      </c>
      <c r="O1503" s="70">
        <v>100.0</v>
      </c>
      <c r="P1503" s="70" t="s">
        <v>29</v>
      </c>
      <c r="Q1503" s="32" t="s">
        <v>1137</v>
      </c>
      <c r="R1503" s="88" t="s">
        <v>1137</v>
      </c>
    </row>
    <row r="1504" ht="14.25" customHeight="1">
      <c r="A1504" s="211">
        <v>15.0</v>
      </c>
      <c r="B1504" s="34" t="s">
        <v>5354</v>
      </c>
      <c r="C1504" s="34" t="s">
        <v>5355</v>
      </c>
      <c r="D1504" s="57" t="s">
        <v>25</v>
      </c>
      <c r="E1504" s="57" t="s">
        <v>189</v>
      </c>
      <c r="F1504" s="264"/>
      <c r="G1504" s="265">
        <v>70.0</v>
      </c>
      <c r="H1504" s="72">
        <v>10.0</v>
      </c>
      <c r="I1504" s="42">
        <v>50.0</v>
      </c>
      <c r="J1504" s="42">
        <v>0.0</v>
      </c>
      <c r="K1504" s="42">
        <v>0.0</v>
      </c>
      <c r="L1504" s="70">
        <v>1.0</v>
      </c>
      <c r="M1504" s="308" t="s">
        <v>449</v>
      </c>
      <c r="N1504" s="70" t="s">
        <v>5276</v>
      </c>
      <c r="O1504" s="70">
        <v>100.0</v>
      </c>
      <c r="P1504" s="70" t="s">
        <v>29</v>
      </c>
      <c r="Q1504" s="32" t="s">
        <v>1137</v>
      </c>
      <c r="R1504" s="88" t="s">
        <v>1137</v>
      </c>
    </row>
    <row r="1505" ht="14.25" customHeight="1">
      <c r="A1505" s="211">
        <v>16.0</v>
      </c>
      <c r="B1505" s="34" t="s">
        <v>5356</v>
      </c>
      <c r="C1505" s="34" t="s">
        <v>5357</v>
      </c>
      <c r="D1505" s="57" t="s">
        <v>25</v>
      </c>
      <c r="E1505" s="57" t="s">
        <v>189</v>
      </c>
      <c r="F1505" s="264"/>
      <c r="G1505" s="265">
        <v>63.0</v>
      </c>
      <c r="H1505" s="72">
        <v>20.0</v>
      </c>
      <c r="I1505" s="42">
        <v>100.0</v>
      </c>
      <c r="J1505" s="42">
        <v>2.0</v>
      </c>
      <c r="K1505" s="42">
        <v>2.0</v>
      </c>
      <c r="L1505" s="70">
        <v>0.0</v>
      </c>
      <c r="M1505" s="308" t="s">
        <v>449</v>
      </c>
      <c r="N1505" s="70" t="s">
        <v>5276</v>
      </c>
      <c r="O1505" s="70">
        <v>100.0</v>
      </c>
      <c r="P1505" s="70" t="s">
        <v>29</v>
      </c>
      <c r="Q1505" s="32" t="s">
        <v>1137</v>
      </c>
      <c r="R1505" s="88" t="s">
        <v>1137</v>
      </c>
    </row>
    <row r="1506" ht="14.25" customHeight="1">
      <c r="A1506" s="211">
        <v>17.0</v>
      </c>
      <c r="B1506" s="34" t="s">
        <v>5358</v>
      </c>
      <c r="C1506" s="34" t="s">
        <v>5357</v>
      </c>
      <c r="D1506" s="57" t="s">
        <v>25</v>
      </c>
      <c r="E1506" s="57" t="s">
        <v>189</v>
      </c>
      <c r="F1506" s="264"/>
      <c r="G1506" s="265">
        <v>63.0</v>
      </c>
      <c r="H1506" s="72">
        <v>20.0</v>
      </c>
      <c r="I1506" s="42">
        <v>100.0</v>
      </c>
      <c r="J1506" s="42">
        <v>2.0</v>
      </c>
      <c r="K1506" s="42">
        <v>2.0</v>
      </c>
      <c r="L1506" s="70">
        <v>0.0</v>
      </c>
      <c r="M1506" s="308" t="s">
        <v>449</v>
      </c>
      <c r="N1506" s="70" t="s">
        <v>5276</v>
      </c>
      <c r="O1506" s="70">
        <v>100.0</v>
      </c>
      <c r="P1506" s="70" t="s">
        <v>29</v>
      </c>
      <c r="Q1506" s="32" t="s">
        <v>1137</v>
      </c>
      <c r="R1506" s="88" t="s">
        <v>1137</v>
      </c>
    </row>
    <row r="1507" ht="14.25" customHeight="1">
      <c r="A1507" s="211">
        <v>18.0</v>
      </c>
      <c r="B1507" s="34" t="s">
        <v>5359</v>
      </c>
      <c r="C1507" s="34" t="s">
        <v>5357</v>
      </c>
      <c r="D1507" s="57" t="s">
        <v>25</v>
      </c>
      <c r="E1507" s="57" t="s">
        <v>189</v>
      </c>
      <c r="F1507" s="264"/>
      <c r="G1507" s="265">
        <v>24.0</v>
      </c>
      <c r="H1507" s="72">
        <v>10.0</v>
      </c>
      <c r="I1507" s="42">
        <v>50.0</v>
      </c>
      <c r="J1507" s="42">
        <v>0.0</v>
      </c>
      <c r="K1507" s="42">
        <v>0.0</v>
      </c>
      <c r="L1507" s="70">
        <v>1.0</v>
      </c>
      <c r="M1507" s="308" t="s">
        <v>449</v>
      </c>
      <c r="N1507" s="70" t="s">
        <v>5276</v>
      </c>
      <c r="O1507" s="70">
        <v>100.0</v>
      </c>
      <c r="P1507" s="70" t="s">
        <v>29</v>
      </c>
      <c r="Q1507" s="32" t="s">
        <v>1137</v>
      </c>
      <c r="R1507" s="88" t="s">
        <v>1137</v>
      </c>
    </row>
    <row r="1508" ht="14.25" customHeight="1">
      <c r="A1508" s="211">
        <v>19.0</v>
      </c>
      <c r="B1508" s="34" t="s">
        <v>5360</v>
      </c>
      <c r="C1508" s="34" t="s">
        <v>5361</v>
      </c>
      <c r="D1508" s="57" t="s">
        <v>25</v>
      </c>
      <c r="E1508" s="57" t="s">
        <v>57</v>
      </c>
      <c r="F1508" s="264"/>
      <c r="G1508" s="265">
        <v>256.0</v>
      </c>
      <c r="H1508" s="72">
        <v>20.0</v>
      </c>
      <c r="I1508" s="42">
        <v>100.0</v>
      </c>
      <c r="J1508" s="42">
        <v>2.0</v>
      </c>
      <c r="K1508" s="42">
        <v>2.0</v>
      </c>
      <c r="L1508" s="70">
        <v>0.0</v>
      </c>
      <c r="M1508" s="308" t="s">
        <v>449</v>
      </c>
      <c r="N1508" s="70" t="s">
        <v>5276</v>
      </c>
      <c r="O1508" s="70">
        <v>100.0</v>
      </c>
      <c r="P1508" s="70" t="s">
        <v>29</v>
      </c>
      <c r="Q1508" s="32" t="s">
        <v>1137</v>
      </c>
      <c r="R1508" s="88" t="s">
        <v>1137</v>
      </c>
    </row>
    <row r="1509" ht="14.25" customHeight="1">
      <c r="A1509" s="211">
        <v>20.0</v>
      </c>
      <c r="B1509" s="34" t="s">
        <v>5362</v>
      </c>
      <c r="C1509" s="34" t="s">
        <v>5361</v>
      </c>
      <c r="D1509" s="57" t="s">
        <v>25</v>
      </c>
      <c r="E1509" s="57" t="s">
        <v>57</v>
      </c>
      <c r="F1509" s="264"/>
      <c r="G1509" s="265">
        <v>192.0</v>
      </c>
      <c r="H1509" s="72">
        <v>10.0</v>
      </c>
      <c r="I1509" s="42">
        <v>50.0</v>
      </c>
      <c r="J1509" s="42">
        <v>0.0</v>
      </c>
      <c r="K1509" s="42">
        <v>0.0</v>
      </c>
      <c r="L1509" s="70">
        <v>1.0</v>
      </c>
      <c r="M1509" s="308" t="s">
        <v>449</v>
      </c>
      <c r="N1509" s="70" t="s">
        <v>5276</v>
      </c>
      <c r="O1509" s="70">
        <v>100.0</v>
      </c>
      <c r="P1509" s="70" t="s">
        <v>29</v>
      </c>
      <c r="Q1509" s="32" t="s">
        <v>1137</v>
      </c>
      <c r="R1509" s="88" t="s">
        <v>1137</v>
      </c>
    </row>
    <row r="1510" ht="14.25" customHeight="1">
      <c r="A1510" s="211">
        <v>21.0</v>
      </c>
      <c r="B1510" s="34" t="s">
        <v>5363</v>
      </c>
      <c r="C1510" s="34" t="s">
        <v>4770</v>
      </c>
      <c r="D1510" s="57" t="s">
        <v>25</v>
      </c>
      <c r="E1510" s="57" t="s">
        <v>57</v>
      </c>
      <c r="F1510" s="264"/>
      <c r="G1510" s="265">
        <v>64.0</v>
      </c>
      <c r="H1510" s="72">
        <v>10.0</v>
      </c>
      <c r="I1510" s="42">
        <v>50.0</v>
      </c>
      <c r="J1510" s="42">
        <v>0.0</v>
      </c>
      <c r="K1510" s="42">
        <v>0.0</v>
      </c>
      <c r="L1510" s="70">
        <v>1.0</v>
      </c>
      <c r="M1510" s="308" t="s">
        <v>5334</v>
      </c>
      <c r="N1510" s="70" t="s">
        <v>5276</v>
      </c>
      <c r="O1510" s="70">
        <v>100.0</v>
      </c>
      <c r="P1510" s="70" t="s">
        <v>29</v>
      </c>
      <c r="Q1510" s="32" t="s">
        <v>1137</v>
      </c>
      <c r="R1510" s="88" t="s">
        <v>1137</v>
      </c>
    </row>
    <row r="1511" ht="14.25" customHeight="1">
      <c r="A1511" s="211">
        <v>22.0</v>
      </c>
      <c r="B1511" s="34" t="s">
        <v>5364</v>
      </c>
      <c r="C1511" s="34" t="s">
        <v>5365</v>
      </c>
      <c r="D1511" s="57" t="s">
        <v>25</v>
      </c>
      <c r="E1511" s="57" t="s">
        <v>57</v>
      </c>
      <c r="F1511" s="264"/>
      <c r="G1511" s="265">
        <v>192.0</v>
      </c>
      <c r="H1511" s="72">
        <v>20.0</v>
      </c>
      <c r="I1511" s="42">
        <v>100.0</v>
      </c>
      <c r="J1511" s="42">
        <v>2.0</v>
      </c>
      <c r="K1511" s="42">
        <v>2.0</v>
      </c>
      <c r="L1511" s="70">
        <v>0.0</v>
      </c>
      <c r="M1511" s="308" t="s">
        <v>449</v>
      </c>
      <c r="N1511" s="70" t="s">
        <v>5276</v>
      </c>
      <c r="O1511" s="70">
        <v>100.0</v>
      </c>
      <c r="P1511" s="70" t="s">
        <v>29</v>
      </c>
      <c r="Q1511" s="32" t="s">
        <v>1137</v>
      </c>
      <c r="R1511" s="88" t="s">
        <v>1137</v>
      </c>
    </row>
    <row r="1512" ht="14.25" customHeight="1">
      <c r="A1512" s="211">
        <v>23.0</v>
      </c>
      <c r="B1512" s="34" t="s">
        <v>5366</v>
      </c>
      <c r="C1512" s="34" t="s">
        <v>5365</v>
      </c>
      <c r="D1512" s="57" t="s">
        <v>25</v>
      </c>
      <c r="E1512" s="57" t="s">
        <v>57</v>
      </c>
      <c r="F1512" s="264"/>
      <c r="G1512" s="265">
        <v>64.0</v>
      </c>
      <c r="H1512" s="72">
        <v>10.0</v>
      </c>
      <c r="I1512" s="42">
        <v>50.0</v>
      </c>
      <c r="J1512" s="42">
        <v>0.0</v>
      </c>
      <c r="K1512" s="42">
        <v>0.0</v>
      </c>
      <c r="L1512" s="70">
        <v>1.0</v>
      </c>
      <c r="M1512" s="308" t="s">
        <v>449</v>
      </c>
      <c r="N1512" s="70" t="s">
        <v>5276</v>
      </c>
      <c r="O1512" s="70">
        <v>100.0</v>
      </c>
      <c r="P1512" s="70" t="s">
        <v>29</v>
      </c>
      <c r="Q1512" s="32" t="s">
        <v>1137</v>
      </c>
      <c r="R1512" s="88" t="s">
        <v>1137</v>
      </c>
    </row>
    <row r="1513" ht="14.25" customHeight="1">
      <c r="A1513" s="211">
        <v>24.0</v>
      </c>
      <c r="B1513" s="34" t="s">
        <v>5367</v>
      </c>
      <c r="C1513" s="34" t="s">
        <v>5368</v>
      </c>
      <c r="D1513" s="57" t="s">
        <v>25</v>
      </c>
      <c r="E1513" s="57" t="s">
        <v>57</v>
      </c>
      <c r="F1513" s="264"/>
      <c r="G1513" s="265">
        <v>256.0</v>
      </c>
      <c r="H1513" s="72">
        <v>20.0</v>
      </c>
      <c r="I1513" s="42">
        <v>100.0</v>
      </c>
      <c r="J1513" s="42">
        <v>2.0</v>
      </c>
      <c r="K1513" s="42">
        <v>2.0</v>
      </c>
      <c r="L1513" s="70">
        <v>0.0</v>
      </c>
      <c r="M1513" s="308" t="s">
        <v>449</v>
      </c>
      <c r="N1513" s="70" t="s">
        <v>5276</v>
      </c>
      <c r="O1513" s="70">
        <v>100.0</v>
      </c>
      <c r="P1513" s="70" t="s">
        <v>29</v>
      </c>
      <c r="Q1513" s="32" t="s">
        <v>1137</v>
      </c>
      <c r="R1513" s="88" t="s">
        <v>1137</v>
      </c>
    </row>
    <row r="1514" ht="14.25" customHeight="1">
      <c r="A1514" s="211">
        <v>25.0</v>
      </c>
      <c r="B1514" s="34" t="s">
        <v>5369</v>
      </c>
      <c r="C1514" s="34" t="s">
        <v>5368</v>
      </c>
      <c r="D1514" s="57" t="s">
        <v>25</v>
      </c>
      <c r="E1514" s="57" t="s">
        <v>57</v>
      </c>
      <c r="F1514" s="264"/>
      <c r="G1514" s="265">
        <v>35.0</v>
      </c>
      <c r="H1514" s="72">
        <v>10.0</v>
      </c>
      <c r="I1514" s="42">
        <v>50.0</v>
      </c>
      <c r="J1514" s="42">
        <v>0.0</v>
      </c>
      <c r="K1514" s="42">
        <v>0.0</v>
      </c>
      <c r="L1514" s="70">
        <v>1.0</v>
      </c>
      <c r="M1514" s="308" t="s">
        <v>449</v>
      </c>
      <c r="N1514" s="70" t="s">
        <v>5276</v>
      </c>
      <c r="O1514" s="70">
        <v>100.0</v>
      </c>
      <c r="P1514" s="70" t="s">
        <v>29</v>
      </c>
      <c r="Q1514" s="32" t="s">
        <v>1137</v>
      </c>
      <c r="R1514" s="88" t="s">
        <v>1137</v>
      </c>
    </row>
    <row r="1515" ht="14.25" customHeight="1">
      <c r="A1515" s="211">
        <v>26.0</v>
      </c>
      <c r="B1515" s="34" t="s">
        <v>5370</v>
      </c>
      <c r="C1515" s="34" t="s">
        <v>5371</v>
      </c>
      <c r="D1515" s="57" t="s">
        <v>25</v>
      </c>
      <c r="E1515" s="57" t="s">
        <v>351</v>
      </c>
      <c r="F1515" s="264"/>
      <c r="G1515" s="265">
        <v>256.0</v>
      </c>
      <c r="H1515" s="72">
        <v>20.0</v>
      </c>
      <c r="I1515" s="42">
        <v>100.0</v>
      </c>
      <c r="J1515" s="42">
        <v>2.0</v>
      </c>
      <c r="K1515" s="42">
        <v>2.0</v>
      </c>
      <c r="L1515" s="70">
        <v>0.0</v>
      </c>
      <c r="M1515" s="308" t="s">
        <v>449</v>
      </c>
      <c r="N1515" s="70" t="s">
        <v>5276</v>
      </c>
      <c r="O1515" s="70">
        <v>100.0</v>
      </c>
      <c r="P1515" s="70" t="s">
        <v>29</v>
      </c>
      <c r="Q1515" s="32" t="s">
        <v>1137</v>
      </c>
      <c r="R1515" s="88" t="s">
        <v>1137</v>
      </c>
    </row>
    <row r="1516" ht="14.25" customHeight="1">
      <c r="A1516" s="211">
        <v>27.0</v>
      </c>
      <c r="B1516" s="34" t="s">
        <v>5372</v>
      </c>
      <c r="C1516" s="34" t="s">
        <v>5371</v>
      </c>
      <c r="D1516" s="57" t="s">
        <v>25</v>
      </c>
      <c r="E1516" s="57" t="s">
        <v>351</v>
      </c>
      <c r="F1516" s="264"/>
      <c r="G1516" s="265">
        <v>128.0</v>
      </c>
      <c r="H1516" s="72">
        <v>10.0</v>
      </c>
      <c r="I1516" s="42">
        <v>50.0</v>
      </c>
      <c r="J1516" s="42">
        <v>0.0</v>
      </c>
      <c r="K1516" s="42">
        <v>0.0</v>
      </c>
      <c r="L1516" s="70">
        <v>1.0</v>
      </c>
      <c r="M1516" s="308" t="s">
        <v>449</v>
      </c>
      <c r="N1516" s="70" t="s">
        <v>5276</v>
      </c>
      <c r="O1516" s="70">
        <v>100.0</v>
      </c>
      <c r="P1516" s="70" t="s">
        <v>29</v>
      </c>
      <c r="Q1516" s="32" t="s">
        <v>1137</v>
      </c>
      <c r="R1516" s="88" t="s">
        <v>1137</v>
      </c>
    </row>
    <row r="1517" ht="14.25" customHeight="1">
      <c r="A1517" s="211">
        <v>28.0</v>
      </c>
      <c r="B1517" s="34" t="s">
        <v>5373</v>
      </c>
      <c r="C1517" s="34" t="s">
        <v>5374</v>
      </c>
      <c r="D1517" s="57" t="s">
        <v>25</v>
      </c>
      <c r="E1517" s="57" t="s">
        <v>57</v>
      </c>
      <c r="F1517" s="264"/>
      <c r="G1517" s="265">
        <v>64.0</v>
      </c>
      <c r="H1517" s="72">
        <v>10.0</v>
      </c>
      <c r="I1517" s="42">
        <v>50.0</v>
      </c>
      <c r="J1517" s="42">
        <v>0.0</v>
      </c>
      <c r="K1517" s="42">
        <v>0.0</v>
      </c>
      <c r="L1517" s="70">
        <v>1.0</v>
      </c>
      <c r="M1517" s="308" t="s">
        <v>449</v>
      </c>
      <c r="N1517" s="70" t="s">
        <v>5276</v>
      </c>
      <c r="O1517" s="70">
        <v>100.0</v>
      </c>
      <c r="P1517" s="70" t="s">
        <v>29</v>
      </c>
      <c r="Q1517" s="32" t="s">
        <v>1137</v>
      </c>
      <c r="R1517" s="88" t="s">
        <v>1137</v>
      </c>
    </row>
    <row r="1518" ht="14.25" customHeight="1">
      <c r="A1518" s="211">
        <v>29.0</v>
      </c>
      <c r="B1518" s="34" t="s">
        <v>5375</v>
      </c>
      <c r="C1518" s="34" t="s">
        <v>5376</v>
      </c>
      <c r="D1518" s="57" t="s">
        <v>25</v>
      </c>
      <c r="E1518" s="57" t="s">
        <v>57</v>
      </c>
      <c r="F1518" s="264"/>
      <c r="G1518" s="265">
        <v>64.0</v>
      </c>
      <c r="H1518" s="72">
        <v>10.0</v>
      </c>
      <c r="I1518" s="42">
        <v>50.0</v>
      </c>
      <c r="J1518" s="42">
        <v>0.0</v>
      </c>
      <c r="K1518" s="42">
        <v>0.0</v>
      </c>
      <c r="L1518" s="70">
        <v>1.0</v>
      </c>
      <c r="M1518" s="308" t="s">
        <v>449</v>
      </c>
      <c r="N1518" s="70" t="s">
        <v>5276</v>
      </c>
      <c r="O1518" s="70">
        <v>100.0</v>
      </c>
      <c r="P1518" s="70" t="s">
        <v>29</v>
      </c>
      <c r="Q1518" s="32" t="s">
        <v>1137</v>
      </c>
      <c r="R1518" s="88" t="s">
        <v>1137</v>
      </c>
    </row>
    <row r="1519" ht="14.25" customHeight="1">
      <c r="A1519" s="211">
        <v>30.0</v>
      </c>
      <c r="B1519" s="34" t="s">
        <v>5377</v>
      </c>
      <c r="C1519" s="34" t="s">
        <v>5378</v>
      </c>
      <c r="D1519" s="57" t="s">
        <v>25</v>
      </c>
      <c r="E1519" s="57" t="s">
        <v>189</v>
      </c>
      <c r="F1519" s="264"/>
      <c r="G1519" s="265">
        <v>192.0</v>
      </c>
      <c r="H1519" s="72">
        <v>20.0</v>
      </c>
      <c r="I1519" s="42">
        <v>100.0</v>
      </c>
      <c r="J1519" s="42">
        <v>2.0</v>
      </c>
      <c r="K1519" s="42">
        <v>2.0</v>
      </c>
      <c r="L1519" s="70">
        <v>0.0</v>
      </c>
      <c r="M1519" s="308" t="s">
        <v>449</v>
      </c>
      <c r="N1519" s="70" t="s">
        <v>5276</v>
      </c>
      <c r="O1519" s="70">
        <v>100.0</v>
      </c>
      <c r="P1519" s="70" t="s">
        <v>29</v>
      </c>
      <c r="Q1519" s="32" t="s">
        <v>1137</v>
      </c>
      <c r="R1519" s="88" t="s">
        <v>1137</v>
      </c>
    </row>
    <row r="1520" ht="14.25" customHeight="1">
      <c r="A1520" s="211">
        <v>31.0</v>
      </c>
      <c r="B1520" s="34" t="s">
        <v>5379</v>
      </c>
      <c r="C1520" s="34" t="s">
        <v>5378</v>
      </c>
      <c r="D1520" s="57" t="s">
        <v>25</v>
      </c>
      <c r="E1520" s="57" t="s">
        <v>189</v>
      </c>
      <c r="F1520" s="264"/>
      <c r="G1520" s="265">
        <v>64.0</v>
      </c>
      <c r="H1520" s="72">
        <v>10.0</v>
      </c>
      <c r="I1520" s="42">
        <v>50.0</v>
      </c>
      <c r="J1520" s="42">
        <v>0.0</v>
      </c>
      <c r="K1520" s="42">
        <v>0.0</v>
      </c>
      <c r="L1520" s="70">
        <v>1.0</v>
      </c>
      <c r="M1520" s="308" t="s">
        <v>449</v>
      </c>
      <c r="N1520" s="70" t="s">
        <v>5276</v>
      </c>
      <c r="O1520" s="70">
        <v>100.0</v>
      </c>
      <c r="P1520" s="70" t="s">
        <v>29</v>
      </c>
      <c r="Q1520" s="32" t="s">
        <v>1137</v>
      </c>
      <c r="R1520" s="88" t="s">
        <v>1137</v>
      </c>
    </row>
    <row r="1521" ht="14.25" customHeight="1">
      <c r="A1521" s="211">
        <v>32.0</v>
      </c>
      <c r="B1521" s="34" t="s">
        <v>5380</v>
      </c>
      <c r="C1521" s="34" t="s">
        <v>5381</v>
      </c>
      <c r="D1521" s="57" t="s">
        <v>25</v>
      </c>
      <c r="E1521" s="57" t="s">
        <v>57</v>
      </c>
      <c r="F1521" s="264"/>
      <c r="G1521" s="265">
        <v>128.0</v>
      </c>
      <c r="H1521" s="72">
        <v>20.0</v>
      </c>
      <c r="I1521" s="42">
        <v>100.0</v>
      </c>
      <c r="J1521" s="42">
        <v>2.0</v>
      </c>
      <c r="K1521" s="42">
        <v>2.0</v>
      </c>
      <c r="L1521" s="70">
        <v>0.0</v>
      </c>
      <c r="M1521" s="308" t="s">
        <v>449</v>
      </c>
      <c r="N1521" s="70" t="s">
        <v>5276</v>
      </c>
      <c r="O1521" s="70">
        <v>100.0</v>
      </c>
      <c r="P1521" s="70" t="s">
        <v>29</v>
      </c>
      <c r="Q1521" s="32" t="s">
        <v>1137</v>
      </c>
      <c r="R1521" s="88" t="s">
        <v>1137</v>
      </c>
    </row>
    <row r="1522" ht="14.25" customHeight="1">
      <c r="A1522" s="211">
        <v>33.0</v>
      </c>
      <c r="B1522" s="34" t="s">
        <v>5382</v>
      </c>
      <c r="C1522" s="34" t="s">
        <v>5381</v>
      </c>
      <c r="D1522" s="57" t="s">
        <v>25</v>
      </c>
      <c r="E1522" s="57" t="s">
        <v>57</v>
      </c>
      <c r="F1522" s="264"/>
      <c r="G1522" s="265">
        <v>64.0</v>
      </c>
      <c r="H1522" s="72">
        <v>10.0</v>
      </c>
      <c r="I1522" s="42">
        <v>50.0</v>
      </c>
      <c r="J1522" s="42">
        <v>0.0</v>
      </c>
      <c r="K1522" s="42">
        <v>0.0</v>
      </c>
      <c r="L1522" s="70">
        <v>1.0</v>
      </c>
      <c r="M1522" s="308" t="s">
        <v>449</v>
      </c>
      <c r="N1522" s="70" t="s">
        <v>5276</v>
      </c>
      <c r="O1522" s="70">
        <v>100.0</v>
      </c>
      <c r="P1522" s="70" t="s">
        <v>29</v>
      </c>
      <c r="Q1522" s="32" t="s">
        <v>1137</v>
      </c>
      <c r="R1522" s="88" t="s">
        <v>1137</v>
      </c>
    </row>
    <row r="1523" ht="14.25" customHeight="1">
      <c r="A1523" s="211">
        <v>34.0</v>
      </c>
      <c r="B1523" s="34" t="s">
        <v>5383</v>
      </c>
      <c r="C1523" s="34" t="s">
        <v>5384</v>
      </c>
      <c r="D1523" s="57" t="s">
        <v>25</v>
      </c>
      <c r="E1523" s="57" t="s">
        <v>189</v>
      </c>
      <c r="F1523" s="264"/>
      <c r="G1523" s="265">
        <v>90.86</v>
      </c>
      <c r="H1523" s="72">
        <v>10.0</v>
      </c>
      <c r="I1523" s="42">
        <v>50.0</v>
      </c>
      <c r="J1523" s="42">
        <v>0.0</v>
      </c>
      <c r="K1523" s="42">
        <v>0.0</v>
      </c>
      <c r="L1523" s="70">
        <v>1.0</v>
      </c>
      <c r="M1523" s="308" t="s">
        <v>5334</v>
      </c>
      <c r="N1523" s="70" t="s">
        <v>5276</v>
      </c>
      <c r="O1523" s="70">
        <v>100.0</v>
      </c>
      <c r="P1523" s="70" t="s">
        <v>29</v>
      </c>
      <c r="Q1523" s="32" t="s">
        <v>1137</v>
      </c>
      <c r="R1523" s="88" t="s">
        <v>1137</v>
      </c>
    </row>
    <row r="1524" ht="14.25" customHeight="1">
      <c r="A1524" s="211">
        <v>35.0</v>
      </c>
      <c r="B1524" s="34" t="s">
        <v>5385</v>
      </c>
      <c r="C1524" s="34" t="s">
        <v>5386</v>
      </c>
      <c r="D1524" s="57" t="s">
        <v>25</v>
      </c>
      <c r="E1524" s="57" t="s">
        <v>189</v>
      </c>
      <c r="F1524" s="264"/>
      <c r="G1524" s="265">
        <v>192.0</v>
      </c>
      <c r="H1524" s="72">
        <v>20.0</v>
      </c>
      <c r="I1524" s="42">
        <v>100.0</v>
      </c>
      <c r="J1524" s="42">
        <v>2.0</v>
      </c>
      <c r="K1524" s="42">
        <v>2.0</v>
      </c>
      <c r="L1524" s="70">
        <v>0.0</v>
      </c>
      <c r="M1524" s="308" t="s">
        <v>449</v>
      </c>
      <c r="N1524" s="70" t="s">
        <v>5276</v>
      </c>
      <c r="O1524" s="70">
        <v>100.0</v>
      </c>
      <c r="P1524" s="70" t="s">
        <v>29</v>
      </c>
      <c r="Q1524" s="32" t="s">
        <v>1137</v>
      </c>
      <c r="R1524" s="88" t="s">
        <v>1137</v>
      </c>
    </row>
    <row r="1525" ht="14.25" customHeight="1">
      <c r="A1525" s="211">
        <v>36.0</v>
      </c>
      <c r="B1525" s="34" t="s">
        <v>5387</v>
      </c>
      <c r="C1525" s="34" t="s">
        <v>5386</v>
      </c>
      <c r="D1525" s="57" t="s">
        <v>25</v>
      </c>
      <c r="E1525" s="57" t="s">
        <v>189</v>
      </c>
      <c r="F1525" s="264"/>
      <c r="G1525" s="265">
        <v>128.0</v>
      </c>
      <c r="H1525" s="72">
        <v>10.0</v>
      </c>
      <c r="I1525" s="42">
        <v>50.0</v>
      </c>
      <c r="J1525" s="42">
        <v>0.0</v>
      </c>
      <c r="K1525" s="42">
        <v>0.0</v>
      </c>
      <c r="L1525" s="70">
        <v>1.0</v>
      </c>
      <c r="M1525" s="308" t="s">
        <v>449</v>
      </c>
      <c r="N1525" s="70" t="s">
        <v>5276</v>
      </c>
      <c r="O1525" s="70">
        <v>100.0</v>
      </c>
      <c r="P1525" s="70" t="s">
        <v>29</v>
      </c>
      <c r="Q1525" s="32" t="s">
        <v>1137</v>
      </c>
      <c r="R1525" s="88" t="s">
        <v>1137</v>
      </c>
    </row>
    <row r="1526" ht="14.25" customHeight="1">
      <c r="A1526" s="211">
        <v>37.0</v>
      </c>
      <c r="B1526" s="34" t="s">
        <v>5388</v>
      </c>
      <c r="C1526" s="34" t="s">
        <v>5389</v>
      </c>
      <c r="D1526" s="57" t="s">
        <v>25</v>
      </c>
      <c r="E1526" s="57" t="s">
        <v>57</v>
      </c>
      <c r="F1526" s="264"/>
      <c r="G1526" s="265">
        <v>64.0</v>
      </c>
      <c r="H1526" s="72">
        <v>10.0</v>
      </c>
      <c r="I1526" s="42">
        <v>50.0</v>
      </c>
      <c r="J1526" s="42">
        <v>0.0</v>
      </c>
      <c r="K1526" s="42">
        <v>0.0</v>
      </c>
      <c r="L1526" s="70">
        <v>1.0</v>
      </c>
      <c r="M1526" s="308" t="s">
        <v>449</v>
      </c>
      <c r="N1526" s="70" t="s">
        <v>5276</v>
      </c>
      <c r="O1526" s="70">
        <v>100.0</v>
      </c>
      <c r="P1526" s="70" t="s">
        <v>29</v>
      </c>
      <c r="Q1526" s="32" t="s">
        <v>1137</v>
      </c>
      <c r="R1526" s="88" t="s">
        <v>1137</v>
      </c>
    </row>
    <row r="1527" ht="14.25" customHeight="1">
      <c r="A1527" s="211">
        <v>38.0</v>
      </c>
      <c r="B1527" s="34" t="s">
        <v>5390</v>
      </c>
      <c r="C1527" s="34" t="s">
        <v>5391</v>
      </c>
      <c r="D1527" s="57" t="s">
        <v>25</v>
      </c>
      <c r="E1527" s="57" t="s">
        <v>189</v>
      </c>
      <c r="F1527" s="264"/>
      <c r="G1527" s="265">
        <v>384.0</v>
      </c>
      <c r="H1527" s="72">
        <v>20.0</v>
      </c>
      <c r="I1527" s="42">
        <v>100.0</v>
      </c>
      <c r="J1527" s="42">
        <v>2.0</v>
      </c>
      <c r="K1527" s="42">
        <v>2.0</v>
      </c>
      <c r="L1527" s="70">
        <v>0.0</v>
      </c>
      <c r="M1527" s="308" t="s">
        <v>449</v>
      </c>
      <c r="N1527" s="70" t="s">
        <v>5276</v>
      </c>
      <c r="O1527" s="70">
        <v>100.0</v>
      </c>
      <c r="P1527" s="70" t="s">
        <v>29</v>
      </c>
      <c r="Q1527" s="32" t="s">
        <v>1137</v>
      </c>
      <c r="R1527" s="88" t="s">
        <v>1137</v>
      </c>
    </row>
    <row r="1528" ht="14.25" customHeight="1">
      <c r="A1528" s="211">
        <v>39.0</v>
      </c>
      <c r="B1528" s="34" t="s">
        <v>5392</v>
      </c>
      <c r="C1528" s="34" t="s">
        <v>5391</v>
      </c>
      <c r="D1528" s="57" t="s">
        <v>25</v>
      </c>
      <c r="E1528" s="57" t="s">
        <v>189</v>
      </c>
      <c r="F1528" s="264"/>
      <c r="G1528" s="265">
        <v>64.0</v>
      </c>
      <c r="H1528" s="72">
        <v>10.0</v>
      </c>
      <c r="I1528" s="42">
        <v>50.0</v>
      </c>
      <c r="J1528" s="42">
        <v>0.0</v>
      </c>
      <c r="K1528" s="42">
        <v>0.0</v>
      </c>
      <c r="L1528" s="70">
        <v>1.0</v>
      </c>
      <c r="M1528" s="308" t="s">
        <v>449</v>
      </c>
      <c r="N1528" s="70" t="s">
        <v>5276</v>
      </c>
      <c r="O1528" s="70">
        <v>100.0</v>
      </c>
      <c r="P1528" s="70" t="s">
        <v>29</v>
      </c>
      <c r="Q1528" s="32" t="s">
        <v>1137</v>
      </c>
      <c r="R1528" s="88" t="s">
        <v>1137</v>
      </c>
    </row>
    <row r="1529" ht="14.25" customHeight="1">
      <c r="A1529" s="211">
        <v>40.0</v>
      </c>
      <c r="B1529" s="34" t="s">
        <v>5393</v>
      </c>
      <c r="C1529" s="34" t="s">
        <v>5394</v>
      </c>
      <c r="D1529" s="57" t="s">
        <v>25</v>
      </c>
      <c r="E1529" s="57" t="s">
        <v>57</v>
      </c>
      <c r="F1529" s="264"/>
      <c r="G1529" s="265">
        <v>256.0</v>
      </c>
      <c r="H1529" s="72">
        <v>20.0</v>
      </c>
      <c r="I1529" s="42">
        <v>100.0</v>
      </c>
      <c r="J1529" s="42">
        <v>2.0</v>
      </c>
      <c r="K1529" s="42">
        <v>2.0</v>
      </c>
      <c r="L1529" s="70">
        <v>0.0</v>
      </c>
      <c r="M1529" s="308" t="s">
        <v>449</v>
      </c>
      <c r="N1529" s="70" t="s">
        <v>5276</v>
      </c>
      <c r="O1529" s="70">
        <v>100.0</v>
      </c>
      <c r="P1529" s="70" t="s">
        <v>29</v>
      </c>
      <c r="Q1529" s="32" t="s">
        <v>1137</v>
      </c>
      <c r="R1529" s="88" t="s">
        <v>1137</v>
      </c>
    </row>
    <row r="1530" ht="14.25" customHeight="1">
      <c r="A1530" s="211">
        <v>41.0</v>
      </c>
      <c r="B1530" s="34" t="s">
        <v>5395</v>
      </c>
      <c r="C1530" s="34" t="s">
        <v>5394</v>
      </c>
      <c r="D1530" s="57" t="s">
        <v>25</v>
      </c>
      <c r="E1530" s="57" t="s">
        <v>57</v>
      </c>
      <c r="F1530" s="264"/>
      <c r="G1530" s="265">
        <v>64.0</v>
      </c>
      <c r="H1530" s="72">
        <v>10.0</v>
      </c>
      <c r="I1530" s="42">
        <v>50.0</v>
      </c>
      <c r="J1530" s="42">
        <v>0.0</v>
      </c>
      <c r="K1530" s="42">
        <v>0.0</v>
      </c>
      <c r="L1530" s="70">
        <v>1.0</v>
      </c>
      <c r="M1530" s="308" t="s">
        <v>449</v>
      </c>
      <c r="N1530" s="70" t="s">
        <v>5276</v>
      </c>
      <c r="O1530" s="70">
        <v>100.0</v>
      </c>
      <c r="P1530" s="70" t="s">
        <v>29</v>
      </c>
      <c r="Q1530" s="32" t="s">
        <v>1137</v>
      </c>
      <c r="R1530" s="88" t="s">
        <v>1137</v>
      </c>
    </row>
    <row r="1531" ht="14.25" customHeight="1">
      <c r="A1531" s="211">
        <v>42.0</v>
      </c>
      <c r="B1531" s="34" t="s">
        <v>5396</v>
      </c>
      <c r="C1531" s="34" t="s">
        <v>5397</v>
      </c>
      <c r="D1531" s="57" t="s">
        <v>25</v>
      </c>
      <c r="E1531" s="57" t="s">
        <v>351</v>
      </c>
      <c r="F1531" s="264"/>
      <c r="G1531" s="265">
        <v>256.0</v>
      </c>
      <c r="H1531" s="72">
        <v>20.0</v>
      </c>
      <c r="I1531" s="42">
        <v>100.0</v>
      </c>
      <c r="J1531" s="42">
        <v>2.0</v>
      </c>
      <c r="K1531" s="42">
        <v>2.0</v>
      </c>
      <c r="L1531" s="70">
        <v>0.0</v>
      </c>
      <c r="M1531" s="308" t="s">
        <v>449</v>
      </c>
      <c r="N1531" s="70" t="s">
        <v>5276</v>
      </c>
      <c r="O1531" s="70">
        <v>100.0</v>
      </c>
      <c r="P1531" s="70" t="s">
        <v>29</v>
      </c>
      <c r="Q1531" s="32" t="s">
        <v>1137</v>
      </c>
      <c r="R1531" s="88" t="s">
        <v>1137</v>
      </c>
    </row>
    <row r="1532" ht="14.25" customHeight="1">
      <c r="A1532" s="211">
        <v>43.0</v>
      </c>
      <c r="B1532" s="34" t="s">
        <v>5398</v>
      </c>
      <c r="C1532" s="34" t="s">
        <v>5397</v>
      </c>
      <c r="D1532" s="57" t="s">
        <v>25</v>
      </c>
      <c r="E1532" s="57" t="s">
        <v>351</v>
      </c>
      <c r="F1532" s="264"/>
      <c r="G1532" s="265">
        <v>64.0</v>
      </c>
      <c r="H1532" s="72">
        <v>10.0</v>
      </c>
      <c r="I1532" s="42">
        <v>50.0</v>
      </c>
      <c r="J1532" s="42">
        <v>0.0</v>
      </c>
      <c r="K1532" s="42">
        <v>0.0</v>
      </c>
      <c r="L1532" s="70">
        <v>1.0</v>
      </c>
      <c r="M1532" s="308" t="s">
        <v>449</v>
      </c>
      <c r="N1532" s="70" t="s">
        <v>5276</v>
      </c>
      <c r="O1532" s="70">
        <v>100.0</v>
      </c>
      <c r="P1532" s="70" t="s">
        <v>29</v>
      </c>
      <c r="Q1532" s="32" t="s">
        <v>1137</v>
      </c>
      <c r="R1532" s="88" t="s">
        <v>1137</v>
      </c>
    </row>
    <row r="1533" ht="14.25" customHeight="1">
      <c r="A1533" s="211">
        <v>44.0</v>
      </c>
      <c r="B1533" s="34" t="s">
        <v>5399</v>
      </c>
      <c r="C1533" s="34" t="s">
        <v>5400</v>
      </c>
      <c r="D1533" s="57" t="s">
        <v>25</v>
      </c>
      <c r="E1533" s="57" t="s">
        <v>189</v>
      </c>
      <c r="F1533" s="264"/>
      <c r="G1533" s="265">
        <v>128.0</v>
      </c>
      <c r="H1533" s="72">
        <v>10.0</v>
      </c>
      <c r="I1533" s="42">
        <v>50.0</v>
      </c>
      <c r="J1533" s="42">
        <v>0.0</v>
      </c>
      <c r="K1533" s="42">
        <v>0.0</v>
      </c>
      <c r="L1533" s="70">
        <v>1.0</v>
      </c>
      <c r="M1533" s="308" t="s">
        <v>449</v>
      </c>
      <c r="N1533" s="70" t="s">
        <v>5276</v>
      </c>
      <c r="O1533" s="70">
        <v>100.0</v>
      </c>
      <c r="P1533" s="70" t="s">
        <v>29</v>
      </c>
      <c r="Q1533" s="32" t="s">
        <v>1137</v>
      </c>
      <c r="R1533" s="88" t="s">
        <v>1137</v>
      </c>
    </row>
    <row r="1534" ht="14.25" customHeight="1">
      <c r="A1534" s="211">
        <v>45.0</v>
      </c>
      <c r="B1534" s="34" t="s">
        <v>5401</v>
      </c>
      <c r="C1534" s="34" t="s">
        <v>5402</v>
      </c>
      <c r="D1534" s="57" t="s">
        <v>25</v>
      </c>
      <c r="E1534" s="57" t="s">
        <v>189</v>
      </c>
      <c r="F1534" s="264"/>
      <c r="G1534" s="265">
        <v>256.0</v>
      </c>
      <c r="H1534" s="72">
        <v>20.0</v>
      </c>
      <c r="I1534" s="42">
        <v>100.0</v>
      </c>
      <c r="J1534" s="42">
        <v>2.0</v>
      </c>
      <c r="K1534" s="42">
        <v>2.0</v>
      </c>
      <c r="L1534" s="70">
        <v>0.0</v>
      </c>
      <c r="M1534" s="308" t="s">
        <v>5334</v>
      </c>
      <c r="N1534" s="70" t="s">
        <v>5276</v>
      </c>
      <c r="O1534" s="70">
        <v>100.0</v>
      </c>
      <c r="P1534" s="70" t="s">
        <v>29</v>
      </c>
      <c r="Q1534" s="32" t="s">
        <v>1137</v>
      </c>
      <c r="R1534" s="88" t="s">
        <v>1137</v>
      </c>
    </row>
    <row r="1535" ht="14.25" customHeight="1">
      <c r="A1535" s="211">
        <v>46.0</v>
      </c>
      <c r="B1535" s="34" t="s">
        <v>5403</v>
      </c>
      <c r="C1535" s="34" t="s">
        <v>5402</v>
      </c>
      <c r="D1535" s="57" t="s">
        <v>25</v>
      </c>
      <c r="E1535" s="57" t="s">
        <v>189</v>
      </c>
      <c r="F1535" s="264"/>
      <c r="G1535" s="265">
        <v>110.2</v>
      </c>
      <c r="H1535" s="72">
        <v>10.0</v>
      </c>
      <c r="I1535" s="42">
        <v>50.0</v>
      </c>
      <c r="J1535" s="42">
        <v>0.0</v>
      </c>
      <c r="K1535" s="42">
        <v>0.0</v>
      </c>
      <c r="L1535" s="70">
        <v>1.0</v>
      </c>
      <c r="M1535" s="308" t="s">
        <v>5334</v>
      </c>
      <c r="N1535" s="70" t="s">
        <v>5276</v>
      </c>
      <c r="O1535" s="70">
        <v>100.0</v>
      </c>
      <c r="P1535" s="70" t="s">
        <v>29</v>
      </c>
      <c r="Q1535" s="32" t="s">
        <v>1137</v>
      </c>
      <c r="R1535" s="88" t="s">
        <v>1137</v>
      </c>
    </row>
    <row r="1536" ht="14.25" customHeight="1">
      <c r="A1536" s="211">
        <v>47.0</v>
      </c>
      <c r="B1536" s="34" t="s">
        <v>5404</v>
      </c>
      <c r="C1536" s="34" t="s">
        <v>5405</v>
      </c>
      <c r="D1536" s="57" t="s">
        <v>25</v>
      </c>
      <c r="E1536" s="57" t="s">
        <v>189</v>
      </c>
      <c r="F1536" s="264"/>
      <c r="G1536" s="265">
        <v>192.0</v>
      </c>
      <c r="H1536" s="72">
        <v>20.0</v>
      </c>
      <c r="I1536" s="42">
        <v>100.0</v>
      </c>
      <c r="J1536" s="42">
        <v>2.0</v>
      </c>
      <c r="K1536" s="42">
        <v>2.0</v>
      </c>
      <c r="L1536" s="70">
        <v>0.0</v>
      </c>
      <c r="M1536" s="308" t="s">
        <v>5334</v>
      </c>
      <c r="N1536" s="70" t="s">
        <v>5276</v>
      </c>
      <c r="O1536" s="70">
        <v>100.0</v>
      </c>
      <c r="P1536" s="70" t="s">
        <v>29</v>
      </c>
      <c r="Q1536" s="32" t="s">
        <v>1137</v>
      </c>
      <c r="R1536" s="88" t="s">
        <v>1137</v>
      </c>
    </row>
    <row r="1537" ht="14.25" customHeight="1">
      <c r="A1537" s="211">
        <v>48.0</v>
      </c>
      <c r="B1537" s="34" t="s">
        <v>5406</v>
      </c>
      <c r="C1537" s="34" t="s">
        <v>5405</v>
      </c>
      <c r="D1537" s="57" t="s">
        <v>25</v>
      </c>
      <c r="E1537" s="57" t="s">
        <v>189</v>
      </c>
      <c r="F1537" s="264"/>
      <c r="G1537" s="265">
        <v>64.0</v>
      </c>
      <c r="H1537" s="72">
        <v>10.0</v>
      </c>
      <c r="I1537" s="42">
        <v>50.0</v>
      </c>
      <c r="J1537" s="42">
        <v>0.0</v>
      </c>
      <c r="K1537" s="42">
        <v>0.0</v>
      </c>
      <c r="L1537" s="70">
        <v>1.0</v>
      </c>
      <c r="M1537" s="308" t="s">
        <v>5334</v>
      </c>
      <c r="N1537" s="70" t="s">
        <v>5276</v>
      </c>
      <c r="O1537" s="70">
        <v>100.0</v>
      </c>
      <c r="P1537" s="70" t="s">
        <v>29</v>
      </c>
      <c r="Q1537" s="32" t="s">
        <v>1137</v>
      </c>
      <c r="R1537" s="88" t="s">
        <v>1137</v>
      </c>
    </row>
    <row r="1538" ht="14.25" customHeight="1">
      <c r="A1538" s="211">
        <v>49.0</v>
      </c>
      <c r="B1538" s="34" t="s">
        <v>5407</v>
      </c>
      <c r="C1538" s="34" t="s">
        <v>5408</v>
      </c>
      <c r="D1538" s="57" t="s">
        <v>25</v>
      </c>
      <c r="E1538" s="57" t="s">
        <v>189</v>
      </c>
      <c r="F1538" s="264"/>
      <c r="G1538" s="265">
        <v>192.0</v>
      </c>
      <c r="H1538" s="72">
        <v>20.0</v>
      </c>
      <c r="I1538" s="42">
        <v>100.0</v>
      </c>
      <c r="J1538" s="42">
        <v>2.0</v>
      </c>
      <c r="K1538" s="42">
        <v>2.0</v>
      </c>
      <c r="L1538" s="70">
        <v>0.0</v>
      </c>
      <c r="M1538" s="308" t="s">
        <v>449</v>
      </c>
      <c r="N1538" s="70" t="s">
        <v>5276</v>
      </c>
      <c r="O1538" s="70">
        <v>100.0</v>
      </c>
      <c r="P1538" s="70" t="s">
        <v>29</v>
      </c>
      <c r="Q1538" s="32" t="s">
        <v>1137</v>
      </c>
      <c r="R1538" s="88" t="s">
        <v>1137</v>
      </c>
    </row>
    <row r="1539" ht="14.25" customHeight="1">
      <c r="A1539" s="211">
        <v>50.0</v>
      </c>
      <c r="B1539" s="34" t="s">
        <v>5409</v>
      </c>
      <c r="C1539" s="34" t="s">
        <v>5408</v>
      </c>
      <c r="D1539" s="57" t="s">
        <v>25</v>
      </c>
      <c r="E1539" s="57" t="s">
        <v>189</v>
      </c>
      <c r="F1539" s="264"/>
      <c r="G1539" s="265">
        <v>64.0</v>
      </c>
      <c r="H1539" s="72">
        <v>10.0</v>
      </c>
      <c r="I1539" s="42">
        <v>50.0</v>
      </c>
      <c r="J1539" s="42">
        <v>0.0</v>
      </c>
      <c r="K1539" s="42">
        <v>0.0</v>
      </c>
      <c r="L1539" s="70">
        <v>1.0</v>
      </c>
      <c r="M1539" s="308" t="s">
        <v>449</v>
      </c>
      <c r="N1539" s="70" t="s">
        <v>5276</v>
      </c>
      <c r="O1539" s="70">
        <v>100.0</v>
      </c>
      <c r="P1539" s="70" t="s">
        <v>29</v>
      </c>
      <c r="Q1539" s="32" t="s">
        <v>1137</v>
      </c>
      <c r="R1539" s="88" t="s">
        <v>1137</v>
      </c>
    </row>
    <row r="1540" ht="14.25" customHeight="1">
      <c r="A1540" s="211">
        <v>51.0</v>
      </c>
      <c r="B1540" s="34" t="s">
        <v>5410</v>
      </c>
      <c r="C1540" s="34" t="s">
        <v>5411</v>
      </c>
      <c r="D1540" s="57" t="s">
        <v>25</v>
      </c>
      <c r="E1540" s="57" t="s">
        <v>189</v>
      </c>
      <c r="F1540" s="264"/>
      <c r="G1540" s="265">
        <v>320.0</v>
      </c>
      <c r="H1540" s="72">
        <v>40.0</v>
      </c>
      <c r="I1540" s="42">
        <v>200.0</v>
      </c>
      <c r="J1540" s="42">
        <v>4.0</v>
      </c>
      <c r="K1540" s="42">
        <v>4.0</v>
      </c>
      <c r="L1540" s="70">
        <v>0.0</v>
      </c>
      <c r="M1540" s="308" t="s">
        <v>5334</v>
      </c>
      <c r="N1540" s="70" t="s">
        <v>5276</v>
      </c>
      <c r="O1540" s="70">
        <v>100.0</v>
      </c>
      <c r="P1540" s="70" t="s">
        <v>29</v>
      </c>
      <c r="Q1540" s="32" t="s">
        <v>1137</v>
      </c>
      <c r="R1540" s="88" t="s">
        <v>1137</v>
      </c>
    </row>
    <row r="1541" ht="14.25" customHeight="1">
      <c r="A1541" s="211">
        <v>52.0</v>
      </c>
      <c r="B1541" s="34" t="s">
        <v>5412</v>
      </c>
      <c r="C1541" s="34" t="s">
        <v>5411</v>
      </c>
      <c r="D1541" s="57" t="s">
        <v>25</v>
      </c>
      <c r="E1541" s="57" t="s">
        <v>189</v>
      </c>
      <c r="F1541" s="264"/>
      <c r="G1541" s="265">
        <v>128.0</v>
      </c>
      <c r="H1541" s="72">
        <v>10.0</v>
      </c>
      <c r="I1541" s="42">
        <v>50.0</v>
      </c>
      <c r="J1541" s="42">
        <v>0.0</v>
      </c>
      <c r="K1541" s="42">
        <v>0.0</v>
      </c>
      <c r="L1541" s="70">
        <v>1.0</v>
      </c>
      <c r="M1541" s="308" t="s">
        <v>5334</v>
      </c>
      <c r="N1541" s="70" t="s">
        <v>5276</v>
      </c>
      <c r="O1541" s="70">
        <v>100.0</v>
      </c>
      <c r="P1541" s="70" t="s">
        <v>29</v>
      </c>
      <c r="Q1541" s="32" t="s">
        <v>1137</v>
      </c>
      <c r="R1541" s="88" t="s">
        <v>1137</v>
      </c>
    </row>
    <row r="1542" ht="14.25" customHeight="1">
      <c r="A1542" s="211">
        <v>53.0</v>
      </c>
      <c r="B1542" s="34" t="s">
        <v>5413</v>
      </c>
      <c r="C1542" s="34" t="s">
        <v>5414</v>
      </c>
      <c r="D1542" s="57" t="s">
        <v>25</v>
      </c>
      <c r="E1542" s="57" t="s">
        <v>57</v>
      </c>
      <c r="F1542" s="264"/>
      <c r="G1542" s="265">
        <v>128.0</v>
      </c>
      <c r="H1542" s="72">
        <v>20.0</v>
      </c>
      <c r="I1542" s="42">
        <v>100.0</v>
      </c>
      <c r="J1542" s="42">
        <v>2.0</v>
      </c>
      <c r="K1542" s="42">
        <v>2.0</v>
      </c>
      <c r="L1542" s="70">
        <v>0.0</v>
      </c>
      <c r="M1542" s="308" t="s">
        <v>449</v>
      </c>
      <c r="N1542" s="70" t="s">
        <v>5276</v>
      </c>
      <c r="O1542" s="70">
        <v>100.0</v>
      </c>
      <c r="P1542" s="70" t="s">
        <v>29</v>
      </c>
      <c r="Q1542" s="32" t="s">
        <v>1137</v>
      </c>
      <c r="R1542" s="88" t="s">
        <v>1137</v>
      </c>
    </row>
    <row r="1543" ht="14.25" customHeight="1">
      <c r="A1543" s="211">
        <v>54.0</v>
      </c>
      <c r="B1543" s="34" t="s">
        <v>5415</v>
      </c>
      <c r="C1543" s="34" t="s">
        <v>5414</v>
      </c>
      <c r="D1543" s="57" t="s">
        <v>25</v>
      </c>
      <c r="E1543" s="57" t="s">
        <v>57</v>
      </c>
      <c r="F1543" s="264"/>
      <c r="G1543" s="265">
        <v>64.0</v>
      </c>
      <c r="H1543" s="72">
        <v>10.0</v>
      </c>
      <c r="I1543" s="42">
        <v>50.0</v>
      </c>
      <c r="J1543" s="42">
        <v>0.0</v>
      </c>
      <c r="K1543" s="42">
        <v>0.0</v>
      </c>
      <c r="L1543" s="70">
        <v>1.0</v>
      </c>
      <c r="M1543" s="308" t="s">
        <v>449</v>
      </c>
      <c r="N1543" s="70" t="s">
        <v>5276</v>
      </c>
      <c r="O1543" s="70">
        <v>100.0</v>
      </c>
      <c r="P1543" s="70" t="s">
        <v>29</v>
      </c>
      <c r="Q1543" s="32" t="s">
        <v>1137</v>
      </c>
      <c r="R1543" s="88" t="s">
        <v>1137</v>
      </c>
    </row>
    <row r="1544" ht="14.25" customHeight="1">
      <c r="A1544" s="211">
        <v>55.0</v>
      </c>
      <c r="B1544" s="34" t="s">
        <v>5416</v>
      </c>
      <c r="C1544" s="34" t="s">
        <v>5417</v>
      </c>
      <c r="D1544" s="57" t="s">
        <v>25</v>
      </c>
      <c r="E1544" s="57" t="s">
        <v>189</v>
      </c>
      <c r="F1544" s="264"/>
      <c r="G1544" s="265">
        <v>256.0</v>
      </c>
      <c r="H1544" s="72">
        <v>20.0</v>
      </c>
      <c r="I1544" s="42">
        <v>100.0</v>
      </c>
      <c r="J1544" s="42">
        <v>2.0</v>
      </c>
      <c r="K1544" s="42">
        <v>2.0</v>
      </c>
      <c r="L1544" s="70">
        <v>0.0</v>
      </c>
      <c r="M1544" s="308" t="s">
        <v>5334</v>
      </c>
      <c r="N1544" s="70" t="s">
        <v>5276</v>
      </c>
      <c r="O1544" s="70">
        <v>100.0</v>
      </c>
      <c r="P1544" s="70" t="s">
        <v>29</v>
      </c>
      <c r="Q1544" s="32" t="s">
        <v>1137</v>
      </c>
      <c r="R1544" s="88" t="s">
        <v>1137</v>
      </c>
    </row>
    <row r="1545" ht="14.25" customHeight="1">
      <c r="A1545" s="211">
        <v>56.0</v>
      </c>
      <c r="B1545" s="34" t="s">
        <v>5418</v>
      </c>
      <c r="C1545" s="34" t="s">
        <v>5417</v>
      </c>
      <c r="D1545" s="57" t="s">
        <v>25</v>
      </c>
      <c r="E1545" s="57" t="s">
        <v>189</v>
      </c>
      <c r="F1545" s="264"/>
      <c r="G1545" s="265">
        <v>128.0</v>
      </c>
      <c r="H1545" s="72">
        <v>10.0</v>
      </c>
      <c r="I1545" s="42">
        <v>50.0</v>
      </c>
      <c r="J1545" s="42">
        <v>0.0</v>
      </c>
      <c r="K1545" s="42">
        <v>0.0</v>
      </c>
      <c r="L1545" s="70">
        <v>1.0</v>
      </c>
      <c r="M1545" s="308" t="s">
        <v>5334</v>
      </c>
      <c r="N1545" s="70" t="s">
        <v>5276</v>
      </c>
      <c r="O1545" s="70">
        <v>100.0</v>
      </c>
      <c r="P1545" s="70" t="s">
        <v>29</v>
      </c>
      <c r="Q1545" s="32" t="s">
        <v>1137</v>
      </c>
      <c r="R1545" s="88" t="s">
        <v>1137</v>
      </c>
    </row>
    <row r="1546" ht="14.25" customHeight="1">
      <c r="A1546" s="211">
        <v>57.0</v>
      </c>
      <c r="B1546" s="34" t="s">
        <v>5419</v>
      </c>
      <c r="C1546" s="34" t="s">
        <v>5420</v>
      </c>
      <c r="D1546" s="57" t="s">
        <v>25</v>
      </c>
      <c r="E1546" s="57" t="s">
        <v>57</v>
      </c>
      <c r="F1546" s="264"/>
      <c r="G1546" s="265">
        <v>30.0</v>
      </c>
      <c r="H1546" s="72">
        <v>10.0</v>
      </c>
      <c r="I1546" s="42">
        <v>50.0</v>
      </c>
      <c r="J1546" s="42">
        <v>0.0</v>
      </c>
      <c r="K1546" s="42">
        <v>0.0</v>
      </c>
      <c r="L1546" s="70">
        <v>1.0</v>
      </c>
      <c r="M1546" s="308" t="s">
        <v>449</v>
      </c>
      <c r="N1546" s="70" t="s">
        <v>5276</v>
      </c>
      <c r="O1546" s="70">
        <v>100.0</v>
      </c>
      <c r="P1546" s="70" t="s">
        <v>29</v>
      </c>
      <c r="Q1546" s="32" t="s">
        <v>1137</v>
      </c>
      <c r="R1546" s="88" t="s">
        <v>1137</v>
      </c>
    </row>
    <row r="1547" ht="14.25" customHeight="1">
      <c r="A1547" s="211">
        <v>58.0</v>
      </c>
      <c r="B1547" s="34" t="s">
        <v>5421</v>
      </c>
      <c r="C1547" s="34" t="s">
        <v>5422</v>
      </c>
      <c r="D1547" s="57" t="s">
        <v>25</v>
      </c>
      <c r="E1547" s="57" t="s">
        <v>189</v>
      </c>
      <c r="F1547" s="264"/>
      <c r="G1547" s="265">
        <v>285.2</v>
      </c>
      <c r="H1547" s="72">
        <v>40.0</v>
      </c>
      <c r="I1547" s="42">
        <v>200.0</v>
      </c>
      <c r="J1547" s="42">
        <v>4.0</v>
      </c>
      <c r="K1547" s="42">
        <v>4.0</v>
      </c>
      <c r="L1547" s="70">
        <v>0.0</v>
      </c>
      <c r="M1547" s="308" t="s">
        <v>5334</v>
      </c>
      <c r="N1547" s="70" t="s">
        <v>5276</v>
      </c>
      <c r="O1547" s="70">
        <v>100.0</v>
      </c>
      <c r="P1547" s="70" t="s">
        <v>29</v>
      </c>
      <c r="Q1547" s="32" t="s">
        <v>1137</v>
      </c>
      <c r="R1547" s="88" t="s">
        <v>1137</v>
      </c>
    </row>
    <row r="1548" ht="14.25" customHeight="1">
      <c r="A1548" s="211">
        <v>59.0</v>
      </c>
      <c r="B1548" s="34" t="s">
        <v>5423</v>
      </c>
      <c r="C1548" s="34" t="s">
        <v>5422</v>
      </c>
      <c r="D1548" s="57" t="s">
        <v>25</v>
      </c>
      <c r="E1548" s="57" t="s">
        <v>189</v>
      </c>
      <c r="F1548" s="264"/>
      <c r="G1548" s="265">
        <v>38.5</v>
      </c>
      <c r="H1548" s="72">
        <v>10.0</v>
      </c>
      <c r="I1548" s="42">
        <v>50.0</v>
      </c>
      <c r="J1548" s="42">
        <v>0.0</v>
      </c>
      <c r="K1548" s="42">
        <v>0.0</v>
      </c>
      <c r="L1548" s="70">
        <v>1.0</v>
      </c>
      <c r="M1548" s="308" t="s">
        <v>5334</v>
      </c>
      <c r="N1548" s="70" t="s">
        <v>5276</v>
      </c>
      <c r="O1548" s="70">
        <v>100.0</v>
      </c>
      <c r="P1548" s="70" t="s">
        <v>29</v>
      </c>
      <c r="Q1548" s="32" t="s">
        <v>1137</v>
      </c>
      <c r="R1548" s="88" t="s">
        <v>1137</v>
      </c>
    </row>
    <row r="1549" ht="14.25" customHeight="1">
      <c r="A1549" s="211">
        <v>60.0</v>
      </c>
      <c r="B1549" s="34" t="s">
        <v>5424</v>
      </c>
      <c r="C1549" s="34" t="s">
        <v>5425</v>
      </c>
      <c r="D1549" s="57" t="s">
        <v>25</v>
      </c>
      <c r="E1549" s="57" t="s">
        <v>189</v>
      </c>
      <c r="F1549" s="264"/>
      <c r="G1549" s="265">
        <v>256.0</v>
      </c>
      <c r="H1549" s="72">
        <v>20.0</v>
      </c>
      <c r="I1549" s="42">
        <v>100.0</v>
      </c>
      <c r="J1549" s="42">
        <v>2.0</v>
      </c>
      <c r="K1549" s="42">
        <v>2.0</v>
      </c>
      <c r="L1549" s="70">
        <v>0.0</v>
      </c>
      <c r="M1549" s="308" t="s">
        <v>5334</v>
      </c>
      <c r="N1549" s="70" t="s">
        <v>5276</v>
      </c>
      <c r="O1549" s="70">
        <v>100.0</v>
      </c>
      <c r="P1549" s="70" t="s">
        <v>29</v>
      </c>
      <c r="Q1549" s="32" t="s">
        <v>1137</v>
      </c>
      <c r="R1549" s="88" t="s">
        <v>1137</v>
      </c>
    </row>
    <row r="1550" ht="14.25" customHeight="1">
      <c r="A1550" s="211">
        <v>61.0</v>
      </c>
      <c r="B1550" s="34" t="s">
        <v>5426</v>
      </c>
      <c r="C1550" s="34" t="s">
        <v>5425</v>
      </c>
      <c r="D1550" s="57" t="s">
        <v>25</v>
      </c>
      <c r="E1550" s="57" t="s">
        <v>189</v>
      </c>
      <c r="F1550" s="264"/>
      <c r="G1550" s="265">
        <v>192.0</v>
      </c>
      <c r="H1550" s="72">
        <v>10.0</v>
      </c>
      <c r="I1550" s="42">
        <v>50.0</v>
      </c>
      <c r="J1550" s="42">
        <v>0.0</v>
      </c>
      <c r="K1550" s="42">
        <v>0.0</v>
      </c>
      <c r="L1550" s="70">
        <v>1.0</v>
      </c>
      <c r="M1550" s="308" t="s">
        <v>5334</v>
      </c>
      <c r="N1550" s="70" t="s">
        <v>5276</v>
      </c>
      <c r="O1550" s="70">
        <v>100.0</v>
      </c>
      <c r="P1550" s="70" t="s">
        <v>29</v>
      </c>
      <c r="Q1550" s="32" t="s">
        <v>1137</v>
      </c>
      <c r="R1550" s="88" t="s">
        <v>1137</v>
      </c>
    </row>
    <row r="1551" ht="14.25" customHeight="1">
      <c r="A1551" s="211">
        <v>62.0</v>
      </c>
      <c r="B1551" s="34" t="s">
        <v>5427</v>
      </c>
      <c r="C1551" s="34" t="s">
        <v>5428</v>
      </c>
      <c r="D1551" s="57" t="s">
        <v>25</v>
      </c>
      <c r="E1551" s="57" t="s">
        <v>189</v>
      </c>
      <c r="F1551" s="264"/>
      <c r="G1551" s="265">
        <v>192.0</v>
      </c>
      <c r="H1551" s="72">
        <v>20.0</v>
      </c>
      <c r="I1551" s="42">
        <v>100.0</v>
      </c>
      <c r="J1551" s="42">
        <v>2.0</v>
      </c>
      <c r="K1551" s="42">
        <v>2.0</v>
      </c>
      <c r="L1551" s="70">
        <v>0.0</v>
      </c>
      <c r="M1551" s="308" t="s">
        <v>5334</v>
      </c>
      <c r="N1551" s="70" t="s">
        <v>5276</v>
      </c>
      <c r="O1551" s="70">
        <v>100.0</v>
      </c>
      <c r="P1551" s="70" t="s">
        <v>29</v>
      </c>
      <c r="Q1551" s="32" t="s">
        <v>1137</v>
      </c>
      <c r="R1551" s="88" t="s">
        <v>1137</v>
      </c>
    </row>
    <row r="1552" ht="14.25" customHeight="1">
      <c r="A1552" s="211">
        <v>63.0</v>
      </c>
      <c r="B1552" s="34" t="s">
        <v>5429</v>
      </c>
      <c r="C1552" s="34" t="s">
        <v>5428</v>
      </c>
      <c r="D1552" s="57" t="s">
        <v>25</v>
      </c>
      <c r="E1552" s="57" t="s">
        <v>189</v>
      </c>
      <c r="F1552" s="264"/>
      <c r="G1552" s="265">
        <v>64.0</v>
      </c>
      <c r="H1552" s="72">
        <v>10.0</v>
      </c>
      <c r="I1552" s="42">
        <v>50.0</v>
      </c>
      <c r="J1552" s="42">
        <v>0.0</v>
      </c>
      <c r="K1552" s="42">
        <v>0.0</v>
      </c>
      <c r="L1552" s="70">
        <v>1.0</v>
      </c>
      <c r="M1552" s="308" t="s">
        <v>5334</v>
      </c>
      <c r="N1552" s="70" t="s">
        <v>5276</v>
      </c>
      <c r="O1552" s="70">
        <v>100.0</v>
      </c>
      <c r="P1552" s="70" t="s">
        <v>29</v>
      </c>
      <c r="Q1552" s="32" t="s">
        <v>1137</v>
      </c>
      <c r="R1552" s="88" t="s">
        <v>1137</v>
      </c>
    </row>
    <row r="1553" ht="14.25" customHeight="1">
      <c r="A1553" s="211">
        <v>64.0</v>
      </c>
      <c r="B1553" s="34" t="s">
        <v>5430</v>
      </c>
      <c r="C1553" s="34" t="s">
        <v>5431</v>
      </c>
      <c r="D1553" s="57" t="s">
        <v>25</v>
      </c>
      <c r="E1553" s="57" t="s">
        <v>837</v>
      </c>
      <c r="F1553" s="264"/>
      <c r="G1553" s="265">
        <v>256.0</v>
      </c>
      <c r="H1553" s="72">
        <v>20.0</v>
      </c>
      <c r="I1553" s="42">
        <v>100.0</v>
      </c>
      <c r="J1553" s="42">
        <v>2.0</v>
      </c>
      <c r="K1553" s="42">
        <v>2.0</v>
      </c>
      <c r="L1553" s="70">
        <v>0.0</v>
      </c>
      <c r="M1553" s="308" t="s">
        <v>449</v>
      </c>
      <c r="N1553" s="70" t="s">
        <v>5276</v>
      </c>
      <c r="O1553" s="70">
        <v>100.0</v>
      </c>
      <c r="P1553" s="70" t="s">
        <v>29</v>
      </c>
      <c r="Q1553" s="32" t="s">
        <v>1137</v>
      </c>
      <c r="R1553" s="88" t="s">
        <v>1137</v>
      </c>
    </row>
    <row r="1554" ht="14.25" customHeight="1">
      <c r="A1554" s="211">
        <v>65.0</v>
      </c>
      <c r="B1554" s="34" t="s">
        <v>5432</v>
      </c>
      <c r="C1554" s="34" t="s">
        <v>5431</v>
      </c>
      <c r="D1554" s="57" t="s">
        <v>25</v>
      </c>
      <c r="E1554" s="57" t="s">
        <v>837</v>
      </c>
      <c r="F1554" s="264"/>
      <c r="G1554" s="265">
        <v>64.0</v>
      </c>
      <c r="H1554" s="72">
        <v>10.0</v>
      </c>
      <c r="I1554" s="42">
        <v>50.0</v>
      </c>
      <c r="J1554" s="42">
        <v>0.0</v>
      </c>
      <c r="K1554" s="42">
        <v>0.0</v>
      </c>
      <c r="L1554" s="70">
        <v>1.0</v>
      </c>
      <c r="M1554" s="308" t="s">
        <v>449</v>
      </c>
      <c r="N1554" s="70" t="s">
        <v>5276</v>
      </c>
      <c r="O1554" s="70">
        <v>100.0</v>
      </c>
      <c r="P1554" s="70" t="s">
        <v>29</v>
      </c>
      <c r="Q1554" s="32" t="s">
        <v>1137</v>
      </c>
      <c r="R1554" s="88" t="s">
        <v>1137</v>
      </c>
    </row>
    <row r="1555" ht="14.25" customHeight="1">
      <c r="A1555" s="211">
        <v>66.0</v>
      </c>
      <c r="B1555" s="34" t="s">
        <v>5433</v>
      </c>
      <c r="C1555" s="34" t="s">
        <v>5434</v>
      </c>
      <c r="D1555" s="57" t="s">
        <v>25</v>
      </c>
      <c r="E1555" s="57" t="s">
        <v>57</v>
      </c>
      <c r="F1555" s="264"/>
      <c r="G1555" s="265">
        <v>192.0</v>
      </c>
      <c r="H1555" s="72">
        <v>20.0</v>
      </c>
      <c r="I1555" s="42">
        <v>100.0</v>
      </c>
      <c r="J1555" s="42">
        <v>2.0</v>
      </c>
      <c r="K1555" s="42">
        <v>2.0</v>
      </c>
      <c r="L1555" s="70">
        <v>0.0</v>
      </c>
      <c r="M1555" s="308" t="s">
        <v>449</v>
      </c>
      <c r="N1555" s="70" t="s">
        <v>5276</v>
      </c>
      <c r="O1555" s="70">
        <v>100.0</v>
      </c>
      <c r="P1555" s="70" t="s">
        <v>29</v>
      </c>
      <c r="Q1555" s="32" t="s">
        <v>1137</v>
      </c>
      <c r="R1555" s="88" t="s">
        <v>1137</v>
      </c>
    </row>
    <row r="1556" ht="14.25" customHeight="1">
      <c r="A1556" s="211">
        <v>67.0</v>
      </c>
      <c r="B1556" s="34" t="s">
        <v>5435</v>
      </c>
      <c r="C1556" s="34" t="s">
        <v>5434</v>
      </c>
      <c r="D1556" s="57" t="s">
        <v>25</v>
      </c>
      <c r="E1556" s="57" t="s">
        <v>57</v>
      </c>
      <c r="F1556" s="264"/>
      <c r="G1556" s="265">
        <v>64.0</v>
      </c>
      <c r="H1556" s="72">
        <v>10.0</v>
      </c>
      <c r="I1556" s="42">
        <v>50.0</v>
      </c>
      <c r="J1556" s="42">
        <v>0.0</v>
      </c>
      <c r="K1556" s="42">
        <v>0.0</v>
      </c>
      <c r="L1556" s="70">
        <v>1.0</v>
      </c>
      <c r="M1556" s="308" t="s">
        <v>449</v>
      </c>
      <c r="N1556" s="70" t="s">
        <v>5276</v>
      </c>
      <c r="O1556" s="70">
        <v>100.0</v>
      </c>
      <c r="P1556" s="70" t="s">
        <v>29</v>
      </c>
      <c r="Q1556" s="32" t="s">
        <v>1137</v>
      </c>
      <c r="R1556" s="88" t="s">
        <v>1137</v>
      </c>
    </row>
    <row r="1557" ht="14.25" customHeight="1">
      <c r="A1557" s="211">
        <v>68.0</v>
      </c>
      <c r="B1557" s="34" t="s">
        <v>5436</v>
      </c>
      <c r="C1557" s="34" t="s">
        <v>5437</v>
      </c>
      <c r="D1557" s="57" t="s">
        <v>25</v>
      </c>
      <c r="E1557" s="57" t="s">
        <v>189</v>
      </c>
      <c r="F1557" s="264"/>
      <c r="G1557" s="265">
        <v>128.0</v>
      </c>
      <c r="H1557" s="72">
        <v>20.0</v>
      </c>
      <c r="I1557" s="42">
        <v>100.0</v>
      </c>
      <c r="J1557" s="42">
        <v>2.0</v>
      </c>
      <c r="K1557" s="42">
        <v>2.0</v>
      </c>
      <c r="L1557" s="70">
        <v>0.0</v>
      </c>
      <c r="M1557" s="308" t="s">
        <v>449</v>
      </c>
      <c r="N1557" s="70" t="s">
        <v>5276</v>
      </c>
      <c r="O1557" s="70">
        <v>100.0</v>
      </c>
      <c r="P1557" s="70" t="s">
        <v>29</v>
      </c>
      <c r="Q1557" s="32" t="s">
        <v>1137</v>
      </c>
      <c r="R1557" s="88" t="s">
        <v>1137</v>
      </c>
    </row>
    <row r="1558" ht="14.25" customHeight="1">
      <c r="A1558" s="211">
        <v>69.0</v>
      </c>
      <c r="B1558" s="34" t="s">
        <v>5438</v>
      </c>
      <c r="C1558" s="34" t="s">
        <v>5439</v>
      </c>
      <c r="D1558" s="57" t="s">
        <v>25</v>
      </c>
      <c r="E1558" s="57" t="s">
        <v>351</v>
      </c>
      <c r="F1558" s="264"/>
      <c r="G1558" s="265">
        <v>384.0</v>
      </c>
      <c r="H1558" s="72">
        <v>40.0</v>
      </c>
      <c r="I1558" s="42">
        <v>200.0</v>
      </c>
      <c r="J1558" s="42">
        <v>4.0</v>
      </c>
      <c r="K1558" s="42">
        <v>4.0</v>
      </c>
      <c r="L1558" s="70">
        <v>0.0</v>
      </c>
      <c r="M1558" s="308" t="s">
        <v>5334</v>
      </c>
      <c r="N1558" s="70" t="s">
        <v>5276</v>
      </c>
      <c r="O1558" s="70">
        <v>100.0</v>
      </c>
      <c r="P1558" s="70" t="s">
        <v>29</v>
      </c>
      <c r="Q1558" s="32" t="s">
        <v>1137</v>
      </c>
      <c r="R1558" s="88" t="s">
        <v>1137</v>
      </c>
    </row>
    <row r="1559" ht="14.25" customHeight="1">
      <c r="A1559" s="211">
        <v>70.0</v>
      </c>
      <c r="B1559" s="34" t="s">
        <v>5440</v>
      </c>
      <c r="C1559" s="34" t="s">
        <v>5439</v>
      </c>
      <c r="D1559" s="57" t="s">
        <v>25</v>
      </c>
      <c r="E1559" s="57" t="s">
        <v>351</v>
      </c>
      <c r="F1559" s="264"/>
      <c r="G1559" s="265">
        <v>128.0</v>
      </c>
      <c r="H1559" s="72">
        <v>10.0</v>
      </c>
      <c r="I1559" s="42">
        <v>50.0</v>
      </c>
      <c r="J1559" s="42">
        <v>0.0</v>
      </c>
      <c r="K1559" s="42">
        <v>0.0</v>
      </c>
      <c r="L1559" s="70">
        <v>1.0</v>
      </c>
      <c r="M1559" s="308" t="s">
        <v>5334</v>
      </c>
      <c r="N1559" s="70" t="s">
        <v>5276</v>
      </c>
      <c r="O1559" s="70">
        <v>100.0</v>
      </c>
      <c r="P1559" s="70" t="s">
        <v>29</v>
      </c>
      <c r="Q1559" s="32" t="s">
        <v>1137</v>
      </c>
      <c r="R1559" s="88" t="s">
        <v>1137</v>
      </c>
    </row>
    <row r="1560" ht="14.25" customHeight="1">
      <c r="A1560" s="211">
        <v>71.0</v>
      </c>
      <c r="B1560" s="34" t="s">
        <v>5441</v>
      </c>
      <c r="C1560" s="34" t="s">
        <v>5442</v>
      </c>
      <c r="D1560" s="57" t="s">
        <v>25</v>
      </c>
      <c r="E1560" s="57" t="s">
        <v>57</v>
      </c>
      <c r="F1560" s="264"/>
      <c r="G1560" s="265">
        <v>192.0</v>
      </c>
      <c r="H1560" s="72">
        <v>20.0</v>
      </c>
      <c r="I1560" s="42">
        <v>100.0</v>
      </c>
      <c r="J1560" s="42">
        <v>2.0</v>
      </c>
      <c r="K1560" s="42">
        <v>2.0</v>
      </c>
      <c r="L1560" s="70">
        <v>0.0</v>
      </c>
      <c r="M1560" s="308" t="s">
        <v>5334</v>
      </c>
      <c r="N1560" s="70" t="s">
        <v>5276</v>
      </c>
      <c r="O1560" s="70">
        <v>100.0</v>
      </c>
      <c r="P1560" s="70" t="s">
        <v>29</v>
      </c>
      <c r="Q1560" s="32" t="s">
        <v>1137</v>
      </c>
      <c r="R1560" s="88" t="s">
        <v>1137</v>
      </c>
    </row>
    <row r="1561" ht="14.25" customHeight="1">
      <c r="A1561" s="211">
        <v>72.0</v>
      </c>
      <c r="B1561" s="34" t="s">
        <v>5443</v>
      </c>
      <c r="C1561" s="34" t="s">
        <v>5442</v>
      </c>
      <c r="D1561" s="57" t="s">
        <v>25</v>
      </c>
      <c r="E1561" s="57" t="s">
        <v>57</v>
      </c>
      <c r="F1561" s="264"/>
      <c r="G1561" s="265">
        <v>64.0</v>
      </c>
      <c r="H1561" s="72">
        <v>10.0</v>
      </c>
      <c r="I1561" s="42">
        <v>50.0</v>
      </c>
      <c r="J1561" s="42">
        <v>0.0</v>
      </c>
      <c r="K1561" s="42">
        <v>0.0</v>
      </c>
      <c r="L1561" s="70">
        <v>1.0</v>
      </c>
      <c r="M1561" s="308" t="s">
        <v>5334</v>
      </c>
      <c r="N1561" s="70" t="s">
        <v>5276</v>
      </c>
      <c r="O1561" s="70">
        <v>100.0</v>
      </c>
      <c r="P1561" s="70" t="s">
        <v>29</v>
      </c>
      <c r="Q1561" s="32" t="s">
        <v>1137</v>
      </c>
      <c r="R1561" s="88" t="s">
        <v>1137</v>
      </c>
    </row>
    <row r="1562" ht="14.25" customHeight="1">
      <c r="A1562" s="211">
        <v>73.0</v>
      </c>
      <c r="B1562" s="34" t="s">
        <v>5444</v>
      </c>
      <c r="C1562" s="34" t="s">
        <v>5445</v>
      </c>
      <c r="D1562" s="57" t="s">
        <v>25</v>
      </c>
      <c r="E1562" s="57" t="s">
        <v>189</v>
      </c>
      <c r="F1562" s="264"/>
      <c r="G1562" s="265">
        <v>184.4</v>
      </c>
      <c r="H1562" s="72">
        <v>20.0</v>
      </c>
      <c r="I1562" s="42">
        <v>100.0</v>
      </c>
      <c r="J1562" s="42">
        <v>2.0</v>
      </c>
      <c r="K1562" s="42">
        <v>2.0</v>
      </c>
      <c r="L1562" s="70">
        <v>0.0</v>
      </c>
      <c r="M1562" s="308" t="s">
        <v>5334</v>
      </c>
      <c r="N1562" s="70" t="s">
        <v>5276</v>
      </c>
      <c r="O1562" s="70">
        <v>100.0</v>
      </c>
      <c r="P1562" s="70" t="s">
        <v>29</v>
      </c>
      <c r="Q1562" s="32" t="s">
        <v>1137</v>
      </c>
      <c r="R1562" s="88" t="s">
        <v>1137</v>
      </c>
    </row>
    <row r="1563" ht="14.25" customHeight="1">
      <c r="A1563" s="211">
        <v>74.0</v>
      </c>
      <c r="B1563" s="34" t="s">
        <v>5446</v>
      </c>
      <c r="C1563" s="34" t="s">
        <v>5445</v>
      </c>
      <c r="D1563" s="57" t="s">
        <v>25</v>
      </c>
      <c r="E1563" s="57" t="s">
        <v>189</v>
      </c>
      <c r="F1563" s="264"/>
      <c r="G1563" s="265">
        <v>64.0</v>
      </c>
      <c r="H1563" s="72">
        <v>10.0</v>
      </c>
      <c r="I1563" s="42">
        <v>50.0</v>
      </c>
      <c r="J1563" s="42">
        <v>0.0</v>
      </c>
      <c r="K1563" s="42">
        <v>0.0</v>
      </c>
      <c r="L1563" s="70">
        <v>1.0</v>
      </c>
      <c r="M1563" s="308" t="s">
        <v>5334</v>
      </c>
      <c r="N1563" s="70" t="s">
        <v>5276</v>
      </c>
      <c r="O1563" s="70">
        <v>100.0</v>
      </c>
      <c r="P1563" s="70" t="s">
        <v>29</v>
      </c>
      <c r="Q1563" s="32" t="s">
        <v>1137</v>
      </c>
      <c r="R1563" s="88" t="s">
        <v>1137</v>
      </c>
    </row>
    <row r="1564" ht="14.25" customHeight="1">
      <c r="A1564" s="211">
        <v>75.0</v>
      </c>
      <c r="B1564" s="34" t="s">
        <v>5447</v>
      </c>
      <c r="C1564" s="34" t="s">
        <v>5448</v>
      </c>
      <c r="D1564" s="57" t="s">
        <v>25</v>
      </c>
      <c r="E1564" s="57" t="s">
        <v>57</v>
      </c>
      <c r="F1564" s="264"/>
      <c r="G1564" s="265">
        <v>192.0</v>
      </c>
      <c r="H1564" s="72">
        <v>20.0</v>
      </c>
      <c r="I1564" s="42">
        <v>100.0</v>
      </c>
      <c r="J1564" s="42">
        <v>2.0</v>
      </c>
      <c r="K1564" s="42">
        <v>2.0</v>
      </c>
      <c r="L1564" s="70">
        <v>0.0</v>
      </c>
      <c r="M1564" s="308" t="s">
        <v>449</v>
      </c>
      <c r="N1564" s="70" t="s">
        <v>5276</v>
      </c>
      <c r="O1564" s="70">
        <v>100.0</v>
      </c>
      <c r="P1564" s="70" t="s">
        <v>29</v>
      </c>
      <c r="Q1564" s="32" t="s">
        <v>1137</v>
      </c>
      <c r="R1564" s="88" t="s">
        <v>1137</v>
      </c>
    </row>
    <row r="1565" ht="14.25" customHeight="1">
      <c r="A1565" s="211">
        <v>76.0</v>
      </c>
      <c r="B1565" s="34" t="s">
        <v>5449</v>
      </c>
      <c r="C1565" s="34" t="s">
        <v>5448</v>
      </c>
      <c r="D1565" s="57" t="s">
        <v>25</v>
      </c>
      <c r="E1565" s="57" t="s">
        <v>57</v>
      </c>
      <c r="F1565" s="264"/>
      <c r="G1565" s="265">
        <v>128.0</v>
      </c>
      <c r="H1565" s="72">
        <v>10.0</v>
      </c>
      <c r="I1565" s="42">
        <v>50.0</v>
      </c>
      <c r="J1565" s="42">
        <v>0.0</v>
      </c>
      <c r="K1565" s="42">
        <v>0.0</v>
      </c>
      <c r="L1565" s="70">
        <v>1.0</v>
      </c>
      <c r="M1565" s="308" t="s">
        <v>449</v>
      </c>
      <c r="N1565" s="70" t="s">
        <v>5276</v>
      </c>
      <c r="O1565" s="70">
        <v>100.0</v>
      </c>
      <c r="P1565" s="70" t="s">
        <v>29</v>
      </c>
      <c r="Q1565" s="32" t="s">
        <v>1137</v>
      </c>
      <c r="R1565" s="88" t="s">
        <v>1137</v>
      </c>
    </row>
    <row r="1566" ht="14.25" customHeight="1">
      <c r="A1566" s="211">
        <v>77.0</v>
      </c>
      <c r="B1566" s="34" t="s">
        <v>5450</v>
      </c>
      <c r="C1566" s="34" t="s">
        <v>5451</v>
      </c>
      <c r="D1566" s="57" t="s">
        <v>25</v>
      </c>
      <c r="E1566" s="57" t="s">
        <v>189</v>
      </c>
      <c r="F1566" s="264"/>
      <c r="G1566" s="265">
        <v>28.0</v>
      </c>
      <c r="H1566" s="72">
        <v>10.0</v>
      </c>
      <c r="I1566" s="42">
        <v>50.0</v>
      </c>
      <c r="J1566" s="42">
        <v>0.0</v>
      </c>
      <c r="K1566" s="42">
        <v>0.0</v>
      </c>
      <c r="L1566" s="70">
        <v>1.0</v>
      </c>
      <c r="M1566" s="308" t="s">
        <v>5334</v>
      </c>
      <c r="N1566" s="70" t="s">
        <v>5276</v>
      </c>
      <c r="O1566" s="70">
        <v>100.0</v>
      </c>
      <c r="P1566" s="70" t="s">
        <v>29</v>
      </c>
      <c r="Q1566" s="32" t="s">
        <v>1137</v>
      </c>
      <c r="R1566" s="88" t="s">
        <v>1137</v>
      </c>
    </row>
    <row r="1567" ht="14.25" customHeight="1">
      <c r="A1567" s="211">
        <v>78.0</v>
      </c>
      <c r="B1567" s="34" t="s">
        <v>5452</v>
      </c>
      <c r="C1567" s="34" t="s">
        <v>5453</v>
      </c>
      <c r="D1567" s="57" t="s">
        <v>25</v>
      </c>
      <c r="E1567" s="57" t="s">
        <v>189</v>
      </c>
      <c r="F1567" s="264"/>
      <c r="G1567" s="265">
        <v>256.0</v>
      </c>
      <c r="H1567" s="72">
        <v>20.0</v>
      </c>
      <c r="I1567" s="42">
        <v>100.0</v>
      </c>
      <c r="J1567" s="42">
        <v>2.0</v>
      </c>
      <c r="K1567" s="42">
        <v>2.0</v>
      </c>
      <c r="L1567" s="70">
        <v>0.0</v>
      </c>
      <c r="M1567" s="308" t="s">
        <v>5334</v>
      </c>
      <c r="N1567" s="70" t="s">
        <v>5276</v>
      </c>
      <c r="O1567" s="70">
        <v>100.0</v>
      </c>
      <c r="P1567" s="70" t="s">
        <v>29</v>
      </c>
      <c r="Q1567" s="32" t="s">
        <v>1137</v>
      </c>
      <c r="R1567" s="88" t="s">
        <v>1137</v>
      </c>
    </row>
    <row r="1568" ht="14.25" customHeight="1">
      <c r="A1568" s="211">
        <v>79.0</v>
      </c>
      <c r="B1568" s="34" t="s">
        <v>5454</v>
      </c>
      <c r="C1568" s="34" t="s">
        <v>5453</v>
      </c>
      <c r="D1568" s="57" t="s">
        <v>25</v>
      </c>
      <c r="E1568" s="57" t="s">
        <v>189</v>
      </c>
      <c r="F1568" s="264"/>
      <c r="G1568" s="265">
        <v>64.0</v>
      </c>
      <c r="H1568" s="72">
        <v>10.0</v>
      </c>
      <c r="I1568" s="42">
        <v>50.0</v>
      </c>
      <c r="J1568" s="42">
        <v>0.0</v>
      </c>
      <c r="K1568" s="42">
        <v>0.0</v>
      </c>
      <c r="L1568" s="70">
        <v>1.0</v>
      </c>
      <c r="M1568" s="308" t="s">
        <v>5334</v>
      </c>
      <c r="N1568" s="70" t="s">
        <v>5276</v>
      </c>
      <c r="O1568" s="70">
        <v>100.0</v>
      </c>
      <c r="P1568" s="70" t="s">
        <v>29</v>
      </c>
      <c r="Q1568" s="32" t="s">
        <v>1137</v>
      </c>
      <c r="R1568" s="88" t="s">
        <v>1137</v>
      </c>
    </row>
    <row r="1569" ht="14.25" customHeight="1">
      <c r="A1569" s="211">
        <v>80.0</v>
      </c>
      <c r="B1569" s="34" t="s">
        <v>5455</v>
      </c>
      <c r="C1569" s="34" t="s">
        <v>5456</v>
      </c>
      <c r="D1569" s="57" t="s">
        <v>25</v>
      </c>
      <c r="E1569" s="57" t="s">
        <v>189</v>
      </c>
      <c r="F1569" s="264"/>
      <c r="G1569" s="265">
        <v>64.0</v>
      </c>
      <c r="H1569" s="72">
        <v>10.0</v>
      </c>
      <c r="I1569" s="42">
        <v>50.0</v>
      </c>
      <c r="J1569" s="42">
        <v>0.0</v>
      </c>
      <c r="K1569" s="42">
        <v>0.0</v>
      </c>
      <c r="L1569" s="70">
        <v>1.0</v>
      </c>
      <c r="M1569" s="308" t="s">
        <v>5334</v>
      </c>
      <c r="N1569" s="70" t="s">
        <v>5276</v>
      </c>
      <c r="O1569" s="70">
        <v>100.0</v>
      </c>
      <c r="P1569" s="70" t="s">
        <v>29</v>
      </c>
      <c r="Q1569" s="32" t="s">
        <v>1137</v>
      </c>
      <c r="R1569" s="88" t="s">
        <v>1137</v>
      </c>
    </row>
    <row r="1570" ht="14.25" customHeight="1">
      <c r="A1570" s="211">
        <v>81.0</v>
      </c>
      <c r="B1570" s="34" t="s">
        <v>5457</v>
      </c>
      <c r="C1570" s="34" t="s">
        <v>5458</v>
      </c>
      <c r="D1570" s="57" t="s">
        <v>25</v>
      </c>
      <c r="E1570" s="57" t="s">
        <v>189</v>
      </c>
      <c r="F1570" s="264"/>
      <c r="G1570" s="265">
        <v>64.0</v>
      </c>
      <c r="H1570" s="72">
        <v>10.0</v>
      </c>
      <c r="I1570" s="42">
        <v>50.0</v>
      </c>
      <c r="J1570" s="42">
        <v>0.0</v>
      </c>
      <c r="K1570" s="42">
        <v>0.0</v>
      </c>
      <c r="L1570" s="70">
        <v>1.0</v>
      </c>
      <c r="M1570" s="308" t="s">
        <v>5334</v>
      </c>
      <c r="N1570" s="70" t="s">
        <v>5276</v>
      </c>
      <c r="O1570" s="70">
        <v>100.0</v>
      </c>
      <c r="P1570" s="70" t="s">
        <v>29</v>
      </c>
      <c r="Q1570" s="32" t="s">
        <v>1137</v>
      </c>
      <c r="R1570" s="88" t="s">
        <v>1137</v>
      </c>
    </row>
    <row r="1571" ht="14.25" customHeight="1">
      <c r="A1571" s="211">
        <v>82.0</v>
      </c>
      <c r="B1571" s="34" t="s">
        <v>5459</v>
      </c>
      <c r="C1571" s="34" t="s">
        <v>5460</v>
      </c>
      <c r="D1571" s="57" t="s">
        <v>25</v>
      </c>
      <c r="E1571" s="57" t="s">
        <v>57</v>
      </c>
      <c r="F1571" s="264"/>
      <c r="G1571" s="265">
        <v>256.0</v>
      </c>
      <c r="H1571" s="72">
        <v>40.0</v>
      </c>
      <c r="I1571" s="42">
        <v>200.0</v>
      </c>
      <c r="J1571" s="42">
        <v>4.0</v>
      </c>
      <c r="K1571" s="42">
        <v>4.0</v>
      </c>
      <c r="L1571" s="70">
        <v>0.0</v>
      </c>
      <c r="M1571" s="308" t="s">
        <v>449</v>
      </c>
      <c r="N1571" s="70" t="s">
        <v>5276</v>
      </c>
      <c r="O1571" s="70">
        <v>100.0</v>
      </c>
      <c r="P1571" s="70" t="s">
        <v>29</v>
      </c>
      <c r="Q1571" s="32" t="s">
        <v>1137</v>
      </c>
      <c r="R1571" s="88" t="s">
        <v>1137</v>
      </c>
    </row>
    <row r="1572" ht="14.25" customHeight="1">
      <c r="A1572" s="211">
        <v>83.0</v>
      </c>
      <c r="B1572" s="34" t="s">
        <v>5461</v>
      </c>
      <c r="C1572" s="34" t="s">
        <v>5460</v>
      </c>
      <c r="D1572" s="57" t="s">
        <v>25</v>
      </c>
      <c r="E1572" s="57" t="s">
        <v>57</v>
      </c>
      <c r="F1572" s="264"/>
      <c r="G1572" s="265">
        <v>64.0</v>
      </c>
      <c r="H1572" s="72">
        <v>10.0</v>
      </c>
      <c r="I1572" s="42">
        <v>50.0</v>
      </c>
      <c r="J1572" s="42">
        <v>0.0</v>
      </c>
      <c r="K1572" s="42">
        <v>0.0</v>
      </c>
      <c r="L1572" s="70">
        <v>1.0</v>
      </c>
      <c r="M1572" s="308" t="s">
        <v>449</v>
      </c>
      <c r="N1572" s="70" t="s">
        <v>5276</v>
      </c>
      <c r="O1572" s="70">
        <v>100.0</v>
      </c>
      <c r="P1572" s="70" t="s">
        <v>29</v>
      </c>
      <c r="Q1572" s="32" t="s">
        <v>1137</v>
      </c>
      <c r="R1572" s="88" t="s">
        <v>1137</v>
      </c>
    </row>
    <row r="1573" ht="14.25" customHeight="1">
      <c r="A1573" s="211">
        <v>84.0</v>
      </c>
      <c r="B1573" s="34" t="s">
        <v>5462</v>
      </c>
      <c r="C1573" s="34" t="s">
        <v>5463</v>
      </c>
      <c r="D1573" s="57" t="s">
        <v>25</v>
      </c>
      <c r="E1573" s="57" t="s">
        <v>57</v>
      </c>
      <c r="F1573" s="264"/>
      <c r="G1573" s="265">
        <v>192.0</v>
      </c>
      <c r="H1573" s="72">
        <v>20.0</v>
      </c>
      <c r="I1573" s="42">
        <v>100.0</v>
      </c>
      <c r="J1573" s="42">
        <v>2.0</v>
      </c>
      <c r="K1573" s="42">
        <v>2.0</v>
      </c>
      <c r="L1573" s="70">
        <v>0.0</v>
      </c>
      <c r="M1573" s="308" t="s">
        <v>449</v>
      </c>
      <c r="N1573" s="70" t="s">
        <v>5276</v>
      </c>
      <c r="O1573" s="70">
        <v>100.0</v>
      </c>
      <c r="P1573" s="70" t="s">
        <v>29</v>
      </c>
      <c r="Q1573" s="32" t="s">
        <v>1137</v>
      </c>
      <c r="R1573" s="88" t="s">
        <v>1137</v>
      </c>
    </row>
    <row r="1574" ht="14.25" customHeight="1">
      <c r="A1574" s="211">
        <v>85.0</v>
      </c>
      <c r="B1574" s="34" t="s">
        <v>5464</v>
      </c>
      <c r="C1574" s="34" t="s">
        <v>5463</v>
      </c>
      <c r="D1574" s="57" t="s">
        <v>25</v>
      </c>
      <c r="E1574" s="57" t="s">
        <v>57</v>
      </c>
      <c r="F1574" s="264"/>
      <c r="G1574" s="265">
        <v>128.0</v>
      </c>
      <c r="H1574" s="72">
        <v>10.0</v>
      </c>
      <c r="I1574" s="42">
        <v>50.0</v>
      </c>
      <c r="J1574" s="42">
        <v>0.0</v>
      </c>
      <c r="K1574" s="42">
        <v>0.0</v>
      </c>
      <c r="L1574" s="70">
        <v>1.0</v>
      </c>
      <c r="M1574" s="308" t="s">
        <v>449</v>
      </c>
      <c r="N1574" s="70" t="s">
        <v>5276</v>
      </c>
      <c r="O1574" s="70">
        <v>100.0</v>
      </c>
      <c r="P1574" s="70" t="s">
        <v>29</v>
      </c>
      <c r="Q1574" s="32" t="s">
        <v>1137</v>
      </c>
      <c r="R1574" s="88" t="s">
        <v>1137</v>
      </c>
    </row>
    <row r="1575" ht="14.25" customHeight="1">
      <c r="A1575" s="211">
        <v>86.0</v>
      </c>
      <c r="B1575" s="34" t="s">
        <v>5465</v>
      </c>
      <c r="C1575" s="34" t="s">
        <v>5466</v>
      </c>
      <c r="D1575" s="57" t="s">
        <v>25</v>
      </c>
      <c r="E1575" s="57" t="s">
        <v>57</v>
      </c>
      <c r="F1575" s="264"/>
      <c r="G1575" s="265">
        <v>256.0</v>
      </c>
      <c r="H1575" s="72">
        <v>20.0</v>
      </c>
      <c r="I1575" s="42">
        <v>100.0</v>
      </c>
      <c r="J1575" s="42">
        <v>2.0</v>
      </c>
      <c r="K1575" s="42">
        <v>2.0</v>
      </c>
      <c r="L1575" s="70">
        <v>0.0</v>
      </c>
      <c r="M1575" s="308" t="s">
        <v>449</v>
      </c>
      <c r="N1575" s="70" t="s">
        <v>5276</v>
      </c>
      <c r="O1575" s="70">
        <v>100.0</v>
      </c>
      <c r="P1575" s="70" t="s">
        <v>29</v>
      </c>
      <c r="Q1575" s="32" t="s">
        <v>1137</v>
      </c>
      <c r="R1575" s="88" t="s">
        <v>1137</v>
      </c>
    </row>
    <row r="1576" ht="14.25" customHeight="1">
      <c r="A1576" s="211">
        <v>87.0</v>
      </c>
      <c r="B1576" s="34" t="s">
        <v>5467</v>
      </c>
      <c r="C1576" s="34" t="s">
        <v>5466</v>
      </c>
      <c r="D1576" s="57" t="s">
        <v>25</v>
      </c>
      <c r="E1576" s="57" t="s">
        <v>57</v>
      </c>
      <c r="F1576" s="264"/>
      <c r="G1576" s="265">
        <v>64.0</v>
      </c>
      <c r="H1576" s="72">
        <v>10.0</v>
      </c>
      <c r="I1576" s="42">
        <v>50.0</v>
      </c>
      <c r="J1576" s="42">
        <v>0.0</v>
      </c>
      <c r="K1576" s="42">
        <v>0.0</v>
      </c>
      <c r="L1576" s="70">
        <v>1.0</v>
      </c>
      <c r="M1576" s="308" t="s">
        <v>449</v>
      </c>
      <c r="N1576" s="70" t="s">
        <v>5276</v>
      </c>
      <c r="O1576" s="70">
        <v>100.0</v>
      </c>
      <c r="P1576" s="70" t="s">
        <v>29</v>
      </c>
      <c r="Q1576" s="32" t="s">
        <v>1137</v>
      </c>
      <c r="R1576" s="88" t="s">
        <v>1137</v>
      </c>
    </row>
    <row r="1577" ht="14.25" customHeight="1">
      <c r="A1577" s="211">
        <v>88.0</v>
      </c>
      <c r="B1577" s="34" t="s">
        <v>5468</v>
      </c>
      <c r="C1577" s="34" t="s">
        <v>5469</v>
      </c>
      <c r="D1577" s="57" t="s">
        <v>25</v>
      </c>
      <c r="E1577" s="57" t="s">
        <v>57</v>
      </c>
      <c r="F1577" s="264"/>
      <c r="G1577" s="265">
        <v>128.0</v>
      </c>
      <c r="H1577" s="72">
        <v>10.0</v>
      </c>
      <c r="I1577" s="42">
        <v>50.0</v>
      </c>
      <c r="J1577" s="42">
        <v>0.0</v>
      </c>
      <c r="K1577" s="42">
        <v>0.0</v>
      </c>
      <c r="L1577" s="70">
        <v>1.0</v>
      </c>
      <c r="M1577" s="308" t="s">
        <v>449</v>
      </c>
      <c r="N1577" s="70" t="s">
        <v>5276</v>
      </c>
      <c r="O1577" s="70">
        <v>100.0</v>
      </c>
      <c r="P1577" s="70" t="s">
        <v>29</v>
      </c>
      <c r="Q1577" s="32" t="s">
        <v>1137</v>
      </c>
      <c r="R1577" s="88" t="s">
        <v>1137</v>
      </c>
    </row>
    <row r="1578" ht="14.25" customHeight="1">
      <c r="A1578" s="211">
        <v>89.0</v>
      </c>
      <c r="B1578" s="34" t="s">
        <v>5470</v>
      </c>
      <c r="C1578" s="34" t="s">
        <v>5471</v>
      </c>
      <c r="D1578" s="57" t="s">
        <v>25</v>
      </c>
      <c r="E1578" s="57" t="s">
        <v>837</v>
      </c>
      <c r="F1578" s="264"/>
      <c r="G1578" s="265">
        <v>320.0</v>
      </c>
      <c r="H1578" s="72">
        <v>20.0</v>
      </c>
      <c r="I1578" s="42">
        <v>100.0</v>
      </c>
      <c r="J1578" s="42">
        <v>3.0</v>
      </c>
      <c r="K1578" s="42">
        <v>3.0</v>
      </c>
      <c r="L1578" s="70">
        <v>0.0</v>
      </c>
      <c r="M1578" s="308" t="s">
        <v>449</v>
      </c>
      <c r="N1578" s="70" t="s">
        <v>5276</v>
      </c>
      <c r="O1578" s="70">
        <v>100.0</v>
      </c>
      <c r="P1578" s="70" t="s">
        <v>29</v>
      </c>
      <c r="Q1578" s="32" t="s">
        <v>1137</v>
      </c>
      <c r="R1578" s="88" t="s">
        <v>1137</v>
      </c>
    </row>
    <row r="1579" ht="14.25" customHeight="1">
      <c r="A1579" s="211">
        <v>90.0</v>
      </c>
      <c r="B1579" s="34" t="s">
        <v>5472</v>
      </c>
      <c r="C1579" s="34" t="s">
        <v>5471</v>
      </c>
      <c r="D1579" s="57" t="s">
        <v>25</v>
      </c>
      <c r="E1579" s="57" t="s">
        <v>837</v>
      </c>
      <c r="F1579" s="264"/>
      <c r="G1579" s="265">
        <v>64.0</v>
      </c>
      <c r="H1579" s="72">
        <v>10.0</v>
      </c>
      <c r="I1579" s="42">
        <v>50.0</v>
      </c>
      <c r="J1579" s="42">
        <v>0.0</v>
      </c>
      <c r="K1579" s="42">
        <v>0.0</v>
      </c>
      <c r="L1579" s="70">
        <v>1.0</v>
      </c>
      <c r="M1579" s="308" t="s">
        <v>449</v>
      </c>
      <c r="N1579" s="70" t="s">
        <v>5276</v>
      </c>
      <c r="O1579" s="70">
        <v>100.0</v>
      </c>
      <c r="P1579" s="70" t="s">
        <v>29</v>
      </c>
      <c r="Q1579" s="32" t="s">
        <v>1137</v>
      </c>
      <c r="R1579" s="88" t="s">
        <v>1137</v>
      </c>
    </row>
    <row r="1580" ht="14.25" customHeight="1">
      <c r="A1580" s="211">
        <v>91.0</v>
      </c>
      <c r="B1580" s="34" t="s">
        <v>5473</v>
      </c>
      <c r="C1580" s="34" t="s">
        <v>5474</v>
      </c>
      <c r="D1580" s="57" t="s">
        <v>25</v>
      </c>
      <c r="E1580" s="57" t="s">
        <v>189</v>
      </c>
      <c r="F1580" s="264"/>
      <c r="G1580" s="265">
        <v>252.0</v>
      </c>
      <c r="H1580" s="72">
        <v>20.0</v>
      </c>
      <c r="I1580" s="42">
        <v>100.0</v>
      </c>
      <c r="J1580" s="42">
        <v>3.0</v>
      </c>
      <c r="K1580" s="42">
        <v>3.0</v>
      </c>
      <c r="L1580" s="70">
        <v>0.0</v>
      </c>
      <c r="M1580" s="308" t="s">
        <v>449</v>
      </c>
      <c r="N1580" s="70" t="s">
        <v>5276</v>
      </c>
      <c r="O1580" s="70">
        <v>100.0</v>
      </c>
      <c r="P1580" s="70" t="s">
        <v>29</v>
      </c>
      <c r="Q1580" s="32" t="s">
        <v>1137</v>
      </c>
      <c r="R1580" s="88" t="s">
        <v>1137</v>
      </c>
    </row>
    <row r="1581" ht="14.25" customHeight="1">
      <c r="A1581" s="211">
        <v>92.0</v>
      </c>
      <c r="B1581" s="34" t="s">
        <v>5475</v>
      </c>
      <c r="C1581" s="34" t="s">
        <v>5474</v>
      </c>
      <c r="D1581" s="57" t="s">
        <v>25</v>
      </c>
      <c r="E1581" s="57" t="s">
        <v>189</v>
      </c>
      <c r="F1581" s="264"/>
      <c r="G1581" s="265">
        <v>67.5</v>
      </c>
      <c r="H1581" s="72">
        <v>10.0</v>
      </c>
      <c r="I1581" s="42">
        <v>50.0</v>
      </c>
      <c r="J1581" s="42">
        <v>0.0</v>
      </c>
      <c r="K1581" s="42">
        <v>0.0</v>
      </c>
      <c r="L1581" s="70">
        <v>1.0</v>
      </c>
      <c r="M1581" s="308" t="s">
        <v>449</v>
      </c>
      <c r="N1581" s="70" t="s">
        <v>5276</v>
      </c>
      <c r="O1581" s="70">
        <v>100.0</v>
      </c>
      <c r="P1581" s="70" t="s">
        <v>29</v>
      </c>
      <c r="Q1581" s="32" t="s">
        <v>1137</v>
      </c>
      <c r="R1581" s="88" t="s">
        <v>1137</v>
      </c>
    </row>
    <row r="1582" ht="14.25" customHeight="1">
      <c r="A1582" s="211">
        <v>93.0</v>
      </c>
      <c r="B1582" s="34" t="s">
        <v>5476</v>
      </c>
      <c r="C1582" s="34" t="s">
        <v>5477</v>
      </c>
      <c r="D1582" s="57" t="s">
        <v>25</v>
      </c>
      <c r="E1582" s="57" t="s">
        <v>57</v>
      </c>
      <c r="F1582" s="264"/>
      <c r="G1582" s="265">
        <v>128.0</v>
      </c>
      <c r="H1582" s="72">
        <v>20.0</v>
      </c>
      <c r="I1582" s="42">
        <v>100.0</v>
      </c>
      <c r="J1582" s="42">
        <v>2.0</v>
      </c>
      <c r="K1582" s="42">
        <v>2.0</v>
      </c>
      <c r="L1582" s="70">
        <v>0.0</v>
      </c>
      <c r="M1582" s="308" t="s">
        <v>449</v>
      </c>
      <c r="N1582" s="70" t="s">
        <v>5276</v>
      </c>
      <c r="O1582" s="70">
        <v>100.0</v>
      </c>
      <c r="P1582" s="70" t="s">
        <v>29</v>
      </c>
      <c r="Q1582" s="32" t="s">
        <v>1137</v>
      </c>
      <c r="R1582" s="88" t="s">
        <v>1137</v>
      </c>
    </row>
    <row r="1583" ht="14.25" customHeight="1">
      <c r="A1583" s="211">
        <v>94.0</v>
      </c>
      <c r="B1583" s="34" t="s">
        <v>5478</v>
      </c>
      <c r="C1583" s="34" t="s">
        <v>5477</v>
      </c>
      <c r="D1583" s="57" t="s">
        <v>25</v>
      </c>
      <c r="E1583" s="57" t="s">
        <v>57</v>
      </c>
      <c r="F1583" s="264"/>
      <c r="G1583" s="265">
        <v>64.0</v>
      </c>
      <c r="H1583" s="72">
        <v>10.0</v>
      </c>
      <c r="I1583" s="42">
        <v>50.0</v>
      </c>
      <c r="J1583" s="42">
        <v>0.0</v>
      </c>
      <c r="K1583" s="42">
        <v>0.0</v>
      </c>
      <c r="L1583" s="70">
        <v>1.0</v>
      </c>
      <c r="M1583" s="308" t="s">
        <v>449</v>
      </c>
      <c r="N1583" s="70" t="s">
        <v>5276</v>
      </c>
      <c r="O1583" s="70">
        <v>100.0</v>
      </c>
      <c r="P1583" s="70" t="s">
        <v>29</v>
      </c>
      <c r="Q1583" s="32" t="s">
        <v>1137</v>
      </c>
      <c r="R1583" s="88" t="s">
        <v>1137</v>
      </c>
    </row>
    <row r="1584" ht="14.25" customHeight="1">
      <c r="A1584" s="211">
        <v>95.0</v>
      </c>
      <c r="B1584" s="34" t="s">
        <v>5479</v>
      </c>
      <c r="C1584" s="34" t="s">
        <v>3665</v>
      </c>
      <c r="D1584" s="57" t="s">
        <v>25</v>
      </c>
      <c r="E1584" s="57" t="s">
        <v>57</v>
      </c>
      <c r="F1584" s="264"/>
      <c r="G1584" s="265">
        <v>192.0</v>
      </c>
      <c r="H1584" s="72">
        <v>20.0</v>
      </c>
      <c r="I1584" s="42">
        <v>100.0</v>
      </c>
      <c r="J1584" s="42">
        <v>2.0</v>
      </c>
      <c r="K1584" s="42">
        <v>2.0</v>
      </c>
      <c r="L1584" s="70">
        <v>0.0</v>
      </c>
      <c r="M1584" s="308" t="s">
        <v>449</v>
      </c>
      <c r="N1584" s="70" t="s">
        <v>5276</v>
      </c>
      <c r="O1584" s="70">
        <v>100.0</v>
      </c>
      <c r="P1584" s="70" t="s">
        <v>29</v>
      </c>
      <c r="Q1584" s="32" t="s">
        <v>1137</v>
      </c>
      <c r="R1584" s="88" t="s">
        <v>1137</v>
      </c>
    </row>
    <row r="1585" ht="14.25" customHeight="1">
      <c r="A1585" s="211">
        <v>96.0</v>
      </c>
      <c r="B1585" s="34" t="s">
        <v>5480</v>
      </c>
      <c r="C1585" s="34" t="s">
        <v>3665</v>
      </c>
      <c r="D1585" s="57" t="s">
        <v>25</v>
      </c>
      <c r="E1585" s="57" t="s">
        <v>57</v>
      </c>
      <c r="F1585" s="264"/>
      <c r="G1585" s="265">
        <v>64.0</v>
      </c>
      <c r="H1585" s="72">
        <v>10.0</v>
      </c>
      <c r="I1585" s="42">
        <v>50.0</v>
      </c>
      <c r="J1585" s="42">
        <v>0.0</v>
      </c>
      <c r="K1585" s="42">
        <v>0.0</v>
      </c>
      <c r="L1585" s="70">
        <v>1.0</v>
      </c>
      <c r="M1585" s="308" t="s">
        <v>449</v>
      </c>
      <c r="N1585" s="70" t="s">
        <v>5276</v>
      </c>
      <c r="O1585" s="70">
        <v>100.0</v>
      </c>
      <c r="P1585" s="70" t="s">
        <v>29</v>
      </c>
      <c r="Q1585" s="32" t="s">
        <v>1137</v>
      </c>
      <c r="R1585" s="88" t="s">
        <v>1137</v>
      </c>
    </row>
    <row r="1586" ht="14.25" customHeight="1">
      <c r="A1586" s="211">
        <v>97.0</v>
      </c>
      <c r="B1586" s="34" t="s">
        <v>5481</v>
      </c>
      <c r="C1586" s="34" t="s">
        <v>5482</v>
      </c>
      <c r="D1586" s="57" t="s">
        <v>25</v>
      </c>
      <c r="E1586" s="57" t="s">
        <v>189</v>
      </c>
      <c r="F1586" s="264"/>
      <c r="G1586" s="265">
        <v>256.0</v>
      </c>
      <c r="H1586" s="72">
        <v>20.0</v>
      </c>
      <c r="I1586" s="42">
        <v>100.0</v>
      </c>
      <c r="J1586" s="42">
        <v>2.0</v>
      </c>
      <c r="K1586" s="42">
        <v>2.0</v>
      </c>
      <c r="L1586" s="70">
        <v>0.0</v>
      </c>
      <c r="M1586" s="308" t="s">
        <v>5334</v>
      </c>
      <c r="N1586" s="70" t="s">
        <v>5276</v>
      </c>
      <c r="O1586" s="70">
        <v>100.0</v>
      </c>
      <c r="P1586" s="70" t="s">
        <v>29</v>
      </c>
      <c r="Q1586" s="32" t="s">
        <v>1137</v>
      </c>
      <c r="R1586" s="88" t="s">
        <v>1137</v>
      </c>
    </row>
    <row r="1587" ht="14.25" customHeight="1">
      <c r="A1587" s="211">
        <v>98.0</v>
      </c>
      <c r="B1587" s="34" t="s">
        <v>5483</v>
      </c>
      <c r="C1587" s="34" t="s">
        <v>5482</v>
      </c>
      <c r="D1587" s="57" t="s">
        <v>25</v>
      </c>
      <c r="E1587" s="57" t="s">
        <v>189</v>
      </c>
      <c r="F1587" s="264"/>
      <c r="G1587" s="265">
        <v>128.0</v>
      </c>
      <c r="H1587" s="72">
        <v>10.0</v>
      </c>
      <c r="I1587" s="42">
        <v>50.0</v>
      </c>
      <c r="J1587" s="42">
        <v>0.0</v>
      </c>
      <c r="K1587" s="42">
        <v>0.0</v>
      </c>
      <c r="L1587" s="70">
        <v>1.0</v>
      </c>
      <c r="M1587" s="308" t="s">
        <v>5334</v>
      </c>
      <c r="N1587" s="70" t="s">
        <v>5276</v>
      </c>
      <c r="O1587" s="70">
        <v>100.0</v>
      </c>
      <c r="P1587" s="70" t="s">
        <v>29</v>
      </c>
      <c r="Q1587" s="32" t="s">
        <v>1137</v>
      </c>
      <c r="R1587" s="88" t="s">
        <v>1137</v>
      </c>
    </row>
    <row r="1588" ht="14.25" customHeight="1">
      <c r="A1588" s="211">
        <v>99.0</v>
      </c>
      <c r="B1588" s="34" t="s">
        <v>5484</v>
      </c>
      <c r="C1588" s="34" t="s">
        <v>5485</v>
      </c>
      <c r="D1588" s="57" t="s">
        <v>25</v>
      </c>
      <c r="E1588" s="57" t="s">
        <v>57</v>
      </c>
      <c r="F1588" s="264"/>
      <c r="G1588" s="265">
        <v>192.0</v>
      </c>
      <c r="H1588" s="72">
        <v>20.0</v>
      </c>
      <c r="I1588" s="42">
        <v>100.0</v>
      </c>
      <c r="J1588" s="42">
        <v>2.0</v>
      </c>
      <c r="K1588" s="42">
        <v>2.0</v>
      </c>
      <c r="L1588" s="70">
        <v>0.0</v>
      </c>
      <c r="M1588" s="308" t="s">
        <v>449</v>
      </c>
      <c r="N1588" s="70" t="s">
        <v>5276</v>
      </c>
      <c r="O1588" s="70">
        <v>100.0</v>
      </c>
      <c r="P1588" s="70" t="s">
        <v>29</v>
      </c>
      <c r="Q1588" s="32" t="s">
        <v>1137</v>
      </c>
      <c r="R1588" s="88" t="s">
        <v>1137</v>
      </c>
    </row>
    <row r="1589" ht="14.25" customHeight="1">
      <c r="A1589" s="211">
        <v>100.0</v>
      </c>
      <c r="B1589" s="34" t="s">
        <v>5486</v>
      </c>
      <c r="C1589" s="34" t="s">
        <v>5485</v>
      </c>
      <c r="D1589" s="57" t="s">
        <v>25</v>
      </c>
      <c r="E1589" s="57" t="s">
        <v>57</v>
      </c>
      <c r="F1589" s="264"/>
      <c r="G1589" s="265">
        <v>64.0</v>
      </c>
      <c r="H1589" s="72">
        <v>10.0</v>
      </c>
      <c r="I1589" s="42">
        <v>50.0</v>
      </c>
      <c r="J1589" s="42">
        <v>0.0</v>
      </c>
      <c r="K1589" s="42">
        <v>0.0</v>
      </c>
      <c r="L1589" s="70">
        <v>1.0</v>
      </c>
      <c r="M1589" s="308" t="s">
        <v>449</v>
      </c>
      <c r="N1589" s="70" t="s">
        <v>5276</v>
      </c>
      <c r="O1589" s="70">
        <v>100.0</v>
      </c>
      <c r="P1589" s="70" t="s">
        <v>29</v>
      </c>
      <c r="Q1589" s="32" t="s">
        <v>1137</v>
      </c>
      <c r="R1589" s="88" t="s">
        <v>1137</v>
      </c>
    </row>
    <row r="1590" ht="14.25" customHeight="1">
      <c r="A1590" s="211">
        <v>101.0</v>
      </c>
      <c r="B1590" s="34" t="s">
        <v>5487</v>
      </c>
      <c r="C1590" s="34" t="s">
        <v>5488</v>
      </c>
      <c r="D1590" s="57" t="s">
        <v>25</v>
      </c>
      <c r="E1590" s="57" t="s">
        <v>189</v>
      </c>
      <c r="F1590" s="264"/>
      <c r="G1590" s="265">
        <v>192.0</v>
      </c>
      <c r="H1590" s="72">
        <v>20.0</v>
      </c>
      <c r="I1590" s="42">
        <v>100.0</v>
      </c>
      <c r="J1590" s="42">
        <v>2.0</v>
      </c>
      <c r="K1590" s="42">
        <v>2.0</v>
      </c>
      <c r="L1590" s="70">
        <v>0.0</v>
      </c>
      <c r="M1590" s="308" t="s">
        <v>449</v>
      </c>
      <c r="N1590" s="70" t="s">
        <v>5276</v>
      </c>
      <c r="O1590" s="70">
        <v>100.0</v>
      </c>
      <c r="P1590" s="70" t="s">
        <v>29</v>
      </c>
      <c r="Q1590" s="32" t="s">
        <v>1137</v>
      </c>
      <c r="R1590" s="88" t="s">
        <v>1137</v>
      </c>
    </row>
    <row r="1591" ht="14.25" customHeight="1">
      <c r="A1591" s="211">
        <v>102.0</v>
      </c>
      <c r="B1591" s="34" t="s">
        <v>5489</v>
      </c>
      <c r="C1591" s="34" t="s">
        <v>5488</v>
      </c>
      <c r="D1591" s="57" t="s">
        <v>25</v>
      </c>
      <c r="E1591" s="57" t="s">
        <v>189</v>
      </c>
      <c r="F1591" s="264"/>
      <c r="G1591" s="265">
        <v>37.8</v>
      </c>
      <c r="H1591" s="72">
        <v>10.0</v>
      </c>
      <c r="I1591" s="42">
        <v>50.0</v>
      </c>
      <c r="J1591" s="42">
        <v>0.0</v>
      </c>
      <c r="K1591" s="42">
        <v>0.0</v>
      </c>
      <c r="L1591" s="70">
        <v>1.0</v>
      </c>
      <c r="M1591" s="308" t="s">
        <v>449</v>
      </c>
      <c r="N1591" s="70" t="s">
        <v>5276</v>
      </c>
      <c r="O1591" s="70">
        <v>100.0</v>
      </c>
      <c r="P1591" s="70" t="s">
        <v>29</v>
      </c>
      <c r="Q1591" s="32" t="s">
        <v>1137</v>
      </c>
      <c r="R1591" s="88" t="s">
        <v>1137</v>
      </c>
    </row>
    <row r="1592" ht="14.25" customHeight="1">
      <c r="A1592" s="211">
        <v>103.0</v>
      </c>
      <c r="B1592" s="34" t="s">
        <v>5490</v>
      </c>
      <c r="C1592" s="34" t="s">
        <v>5491</v>
      </c>
      <c r="D1592" s="57" t="s">
        <v>25</v>
      </c>
      <c r="E1592" s="57" t="s">
        <v>189</v>
      </c>
      <c r="F1592" s="264"/>
      <c r="G1592" s="265">
        <v>24.0</v>
      </c>
      <c r="H1592" s="72">
        <v>10.0</v>
      </c>
      <c r="I1592" s="42">
        <v>50.0</v>
      </c>
      <c r="J1592" s="42">
        <v>0.0</v>
      </c>
      <c r="K1592" s="42">
        <v>0.0</v>
      </c>
      <c r="L1592" s="70">
        <v>1.0</v>
      </c>
      <c r="M1592" s="308" t="s">
        <v>449</v>
      </c>
      <c r="N1592" s="70" t="s">
        <v>5276</v>
      </c>
      <c r="O1592" s="70">
        <v>100.0</v>
      </c>
      <c r="P1592" s="70" t="s">
        <v>29</v>
      </c>
      <c r="Q1592" s="32" t="s">
        <v>1137</v>
      </c>
      <c r="R1592" s="88" t="s">
        <v>1137</v>
      </c>
    </row>
    <row r="1593" ht="14.25" customHeight="1">
      <c r="A1593" s="211">
        <v>104.0</v>
      </c>
      <c r="B1593" s="34" t="s">
        <v>5492</v>
      </c>
      <c r="C1593" s="34" t="s">
        <v>5458</v>
      </c>
      <c r="D1593" s="57" t="s">
        <v>25</v>
      </c>
      <c r="E1593" s="57" t="s">
        <v>189</v>
      </c>
      <c r="F1593" s="264"/>
      <c r="G1593" s="265">
        <v>384.0</v>
      </c>
      <c r="H1593" s="72">
        <v>40.0</v>
      </c>
      <c r="I1593" s="42">
        <v>200.0</v>
      </c>
      <c r="J1593" s="42">
        <v>4.0</v>
      </c>
      <c r="K1593" s="42">
        <v>4.0</v>
      </c>
      <c r="L1593" s="70">
        <v>0.0</v>
      </c>
      <c r="M1593" s="308" t="s">
        <v>5334</v>
      </c>
      <c r="N1593" s="70" t="s">
        <v>5276</v>
      </c>
      <c r="O1593" s="70">
        <v>200.0</v>
      </c>
      <c r="P1593" s="70" t="s">
        <v>66</v>
      </c>
      <c r="Q1593" s="32" t="s">
        <v>1137</v>
      </c>
      <c r="R1593" s="88" t="s">
        <v>1137</v>
      </c>
    </row>
    <row r="1594" ht="14.25" customHeight="1">
      <c r="A1594" s="211">
        <v>105.0</v>
      </c>
      <c r="B1594" s="34" t="s">
        <v>5493</v>
      </c>
      <c r="C1594" s="34" t="s">
        <v>5458</v>
      </c>
      <c r="D1594" s="57" t="s">
        <v>25</v>
      </c>
      <c r="E1594" s="57" t="s">
        <v>189</v>
      </c>
      <c r="F1594" s="264"/>
      <c r="G1594" s="265">
        <v>384.0</v>
      </c>
      <c r="H1594" s="72">
        <v>40.0</v>
      </c>
      <c r="I1594" s="42">
        <v>200.0</v>
      </c>
      <c r="J1594" s="42">
        <v>4.0</v>
      </c>
      <c r="K1594" s="42">
        <v>4.0</v>
      </c>
      <c r="L1594" s="70">
        <v>0.0</v>
      </c>
      <c r="M1594" s="308" t="s">
        <v>5334</v>
      </c>
      <c r="N1594" s="70" t="s">
        <v>5276</v>
      </c>
      <c r="O1594" s="70">
        <v>200.0</v>
      </c>
      <c r="P1594" s="70" t="s">
        <v>66</v>
      </c>
      <c r="Q1594" s="32" t="s">
        <v>1137</v>
      </c>
      <c r="R1594" s="88" t="s">
        <v>1137</v>
      </c>
    </row>
    <row r="1595" ht="14.25" customHeight="1">
      <c r="A1595" s="211">
        <v>106.0</v>
      </c>
      <c r="B1595" s="34" t="s">
        <v>5494</v>
      </c>
      <c r="C1595" s="34" t="s">
        <v>5458</v>
      </c>
      <c r="D1595" s="57" t="s">
        <v>25</v>
      </c>
      <c r="E1595" s="57" t="s">
        <v>189</v>
      </c>
      <c r="F1595" s="264"/>
      <c r="G1595" s="265">
        <v>630.0</v>
      </c>
      <c r="H1595" s="72">
        <v>20.0</v>
      </c>
      <c r="I1595" s="42">
        <v>100.0</v>
      </c>
      <c r="J1595" s="42">
        <v>4.0</v>
      </c>
      <c r="K1595" s="42">
        <v>4.0</v>
      </c>
      <c r="L1595" s="70">
        <v>0.0</v>
      </c>
      <c r="M1595" s="308" t="s">
        <v>5334</v>
      </c>
      <c r="N1595" s="70" t="s">
        <v>5276</v>
      </c>
      <c r="O1595" s="70">
        <v>100.0</v>
      </c>
      <c r="P1595" s="70" t="s">
        <v>29</v>
      </c>
      <c r="Q1595" s="32" t="s">
        <v>1137</v>
      </c>
      <c r="R1595" s="88" t="s">
        <v>1137</v>
      </c>
    </row>
    <row r="1596" ht="14.25" customHeight="1">
      <c r="A1596" s="211">
        <v>107.0</v>
      </c>
      <c r="B1596" s="34" t="s">
        <v>5495</v>
      </c>
      <c r="C1596" s="34" t="s">
        <v>5456</v>
      </c>
      <c r="D1596" s="57" t="s">
        <v>25</v>
      </c>
      <c r="E1596" s="57" t="s">
        <v>189</v>
      </c>
      <c r="F1596" s="264"/>
      <c r="G1596" s="265">
        <v>1278.0</v>
      </c>
      <c r="H1596" s="72">
        <v>20.0</v>
      </c>
      <c r="I1596" s="42">
        <v>100.0</v>
      </c>
      <c r="J1596" s="42">
        <v>4.0</v>
      </c>
      <c r="K1596" s="42">
        <v>4.0</v>
      </c>
      <c r="L1596" s="70">
        <v>0.0</v>
      </c>
      <c r="M1596" s="308" t="s">
        <v>5334</v>
      </c>
      <c r="N1596" s="70" t="s">
        <v>5276</v>
      </c>
      <c r="O1596" s="70">
        <v>100.0</v>
      </c>
      <c r="P1596" s="70" t="s">
        <v>29</v>
      </c>
      <c r="Q1596" s="32" t="s">
        <v>1137</v>
      </c>
      <c r="R1596" s="88" t="s">
        <v>1137</v>
      </c>
    </row>
    <row r="1597" ht="14.25" customHeight="1">
      <c r="A1597" s="211">
        <v>108.0</v>
      </c>
      <c r="B1597" s="34" t="s">
        <v>5496</v>
      </c>
      <c r="C1597" s="34" t="s">
        <v>5425</v>
      </c>
      <c r="D1597" s="57" t="s">
        <v>25</v>
      </c>
      <c r="E1597" s="57" t="s">
        <v>189</v>
      </c>
      <c r="F1597" s="264"/>
      <c r="G1597" s="265" t="s">
        <v>5497</v>
      </c>
      <c r="H1597" s="72">
        <v>40.0</v>
      </c>
      <c r="I1597" s="42">
        <v>200.0</v>
      </c>
      <c r="J1597" s="42">
        <v>5.0</v>
      </c>
      <c r="K1597" s="42">
        <v>5.0</v>
      </c>
      <c r="L1597" s="70">
        <v>0.0</v>
      </c>
      <c r="M1597" s="308" t="s">
        <v>449</v>
      </c>
      <c r="N1597" s="70" t="s">
        <v>5276</v>
      </c>
      <c r="O1597" s="70">
        <v>1000.0</v>
      </c>
      <c r="P1597" s="70" t="s">
        <v>29</v>
      </c>
      <c r="Q1597" s="32" t="s">
        <v>1137</v>
      </c>
      <c r="R1597" s="88" t="s">
        <v>1137</v>
      </c>
    </row>
    <row r="1598" ht="15.75" customHeight="1">
      <c r="A1598" s="181"/>
      <c r="B1598" s="182" t="s">
        <v>5498</v>
      </c>
      <c r="C1598" s="22"/>
      <c r="D1598" s="22"/>
      <c r="E1598" s="22"/>
      <c r="F1598" s="209"/>
      <c r="G1598" s="210"/>
      <c r="H1598" s="22"/>
      <c r="I1598" s="22"/>
      <c r="J1598" s="22"/>
      <c r="K1598" s="22"/>
      <c r="L1598" s="22"/>
      <c r="M1598" s="22"/>
      <c r="N1598" s="22"/>
      <c r="O1598" s="22"/>
      <c r="P1598" s="22"/>
      <c r="Q1598" s="209"/>
      <c r="R1598" s="218"/>
    </row>
    <row r="1599" ht="14.25" customHeight="1">
      <c r="A1599" s="211">
        <v>1.0</v>
      </c>
      <c r="B1599" s="34" t="s">
        <v>5499</v>
      </c>
      <c r="C1599" s="34" t="s">
        <v>1552</v>
      </c>
      <c r="D1599" s="57" t="s">
        <v>25</v>
      </c>
      <c r="E1599" s="57" t="s">
        <v>189</v>
      </c>
      <c r="F1599" s="264" t="s">
        <v>138</v>
      </c>
      <c r="G1599" s="265" t="s">
        <v>5500</v>
      </c>
      <c r="H1599" s="72">
        <v>86.0</v>
      </c>
      <c r="I1599" s="42">
        <v>431.0</v>
      </c>
      <c r="J1599" s="42">
        <v>1.0</v>
      </c>
      <c r="K1599" s="42">
        <v>1.0</v>
      </c>
      <c r="L1599" s="70">
        <v>1.0</v>
      </c>
      <c r="M1599" s="34" t="s">
        <v>5501</v>
      </c>
      <c r="N1599" s="70" t="s">
        <v>5276</v>
      </c>
      <c r="O1599" s="301">
        <v>400.0</v>
      </c>
      <c r="P1599" s="70" t="s">
        <v>29</v>
      </c>
      <c r="Q1599" s="31" t="s">
        <v>401</v>
      </c>
      <c r="R1599" s="46"/>
    </row>
    <row r="1600" ht="14.25" customHeight="1">
      <c r="A1600" s="211">
        <v>2.0</v>
      </c>
      <c r="B1600" s="34" t="s">
        <v>63</v>
      </c>
      <c r="C1600" s="34" t="s">
        <v>5502</v>
      </c>
      <c r="D1600" s="57" t="s">
        <v>25</v>
      </c>
      <c r="E1600" s="57" t="s">
        <v>189</v>
      </c>
      <c r="F1600" s="264" t="s">
        <v>138</v>
      </c>
      <c r="G1600" s="265" t="s">
        <v>5503</v>
      </c>
      <c r="H1600" s="72">
        <v>40.0</v>
      </c>
      <c r="I1600" s="42">
        <v>200.0</v>
      </c>
      <c r="J1600" s="42">
        <v>1.0</v>
      </c>
      <c r="K1600" s="42">
        <v>1.0</v>
      </c>
      <c r="L1600" s="70">
        <v>3.0</v>
      </c>
      <c r="M1600" s="34" t="s">
        <v>5504</v>
      </c>
      <c r="N1600" s="70" t="s">
        <v>5276</v>
      </c>
      <c r="O1600" s="301">
        <v>200.0</v>
      </c>
      <c r="P1600" s="70" t="s">
        <v>66</v>
      </c>
      <c r="Q1600" s="31">
        <v>20.0</v>
      </c>
      <c r="R1600" s="46"/>
    </row>
    <row r="1601" ht="14.25" customHeight="1">
      <c r="A1601" s="211">
        <v>3.0</v>
      </c>
      <c r="B1601" s="34" t="s">
        <v>5505</v>
      </c>
      <c r="C1601" s="34" t="s">
        <v>1552</v>
      </c>
      <c r="D1601" s="57" t="s">
        <v>25</v>
      </c>
      <c r="E1601" s="57" t="s">
        <v>189</v>
      </c>
      <c r="F1601" s="264" t="s">
        <v>138</v>
      </c>
      <c r="G1601" s="265" t="s">
        <v>5506</v>
      </c>
      <c r="H1601" s="72">
        <v>240.0</v>
      </c>
      <c r="I1601" s="42">
        <v>1200.0</v>
      </c>
      <c r="J1601" s="42">
        <v>2.0</v>
      </c>
      <c r="K1601" s="42">
        <v>2.0</v>
      </c>
      <c r="L1601" s="70">
        <v>0.0</v>
      </c>
      <c r="M1601" s="34" t="s">
        <v>5501</v>
      </c>
      <c r="N1601" s="70" t="s">
        <v>5276</v>
      </c>
      <c r="O1601" s="301">
        <v>1200.0</v>
      </c>
      <c r="P1601" s="70" t="s">
        <v>29</v>
      </c>
      <c r="Q1601" s="31" t="s">
        <v>401</v>
      </c>
      <c r="R1601" s="46"/>
    </row>
    <row r="1602" ht="14.25" customHeight="1">
      <c r="A1602" s="211">
        <v>4.0</v>
      </c>
      <c r="B1602" s="34" t="s">
        <v>177</v>
      </c>
      <c r="C1602" s="34" t="s">
        <v>1552</v>
      </c>
      <c r="D1602" s="57" t="s">
        <v>25</v>
      </c>
      <c r="E1602" s="57" t="s">
        <v>189</v>
      </c>
      <c r="F1602" s="264" t="s">
        <v>138</v>
      </c>
      <c r="G1602" s="265" t="s">
        <v>5507</v>
      </c>
      <c r="H1602" s="72">
        <v>240.0</v>
      </c>
      <c r="I1602" s="42">
        <v>1200.0</v>
      </c>
      <c r="J1602" s="42">
        <v>1.0</v>
      </c>
      <c r="K1602" s="42">
        <v>1.0</v>
      </c>
      <c r="L1602" s="70">
        <v>0.0</v>
      </c>
      <c r="M1602" s="34" t="s">
        <v>5501</v>
      </c>
      <c r="N1602" s="70" t="s">
        <v>5276</v>
      </c>
      <c r="O1602" s="301">
        <v>1200.0</v>
      </c>
      <c r="P1602" s="70" t="s">
        <v>29</v>
      </c>
      <c r="Q1602" s="31" t="s">
        <v>401</v>
      </c>
      <c r="R1602" s="46"/>
    </row>
    <row r="1603" ht="14.25" customHeight="1">
      <c r="A1603" s="211">
        <v>5.0</v>
      </c>
      <c r="B1603" s="34" t="s">
        <v>5508</v>
      </c>
      <c r="C1603" s="34" t="s">
        <v>1552</v>
      </c>
      <c r="D1603" s="57" t="s">
        <v>25</v>
      </c>
      <c r="E1603" s="57" t="s">
        <v>189</v>
      </c>
      <c r="F1603" s="264" t="s">
        <v>138</v>
      </c>
      <c r="G1603" s="265" t="s">
        <v>5509</v>
      </c>
      <c r="H1603" s="72">
        <v>118.0</v>
      </c>
      <c r="I1603" s="42">
        <v>590.0</v>
      </c>
      <c r="J1603" s="42">
        <v>4.0</v>
      </c>
      <c r="K1603" s="42">
        <v>4.0</v>
      </c>
      <c r="L1603" s="70">
        <v>0.0</v>
      </c>
      <c r="M1603" s="34" t="s">
        <v>5501</v>
      </c>
      <c r="N1603" s="70" t="s">
        <v>5276</v>
      </c>
      <c r="O1603" s="301">
        <v>500.0</v>
      </c>
      <c r="P1603" s="70" t="s">
        <v>29</v>
      </c>
      <c r="Q1603" s="31" t="s">
        <v>401</v>
      </c>
      <c r="R1603" s="46"/>
    </row>
    <row r="1604" ht="14.25" customHeight="1">
      <c r="A1604" s="211">
        <v>6.0</v>
      </c>
      <c r="B1604" s="34" t="s">
        <v>5510</v>
      </c>
      <c r="C1604" s="34" t="s">
        <v>5511</v>
      </c>
      <c r="D1604" s="57" t="s">
        <v>25</v>
      </c>
      <c r="E1604" s="57" t="s">
        <v>189</v>
      </c>
      <c r="F1604" s="264" t="s">
        <v>138</v>
      </c>
      <c r="G1604" s="265" t="s">
        <v>5512</v>
      </c>
      <c r="H1604" s="72">
        <v>114.0</v>
      </c>
      <c r="I1604" s="42">
        <v>570.0</v>
      </c>
      <c r="J1604" s="42">
        <v>2.0</v>
      </c>
      <c r="K1604" s="42">
        <v>2.0</v>
      </c>
      <c r="L1604" s="70">
        <v>0.0</v>
      </c>
      <c r="M1604" s="34" t="s">
        <v>5513</v>
      </c>
      <c r="N1604" s="70" t="s">
        <v>5276</v>
      </c>
      <c r="O1604" s="301">
        <v>500.0</v>
      </c>
      <c r="P1604" s="70" t="s">
        <v>29</v>
      </c>
      <c r="Q1604" s="31" t="s">
        <v>401</v>
      </c>
      <c r="R1604" s="46"/>
    </row>
    <row r="1605" ht="14.25" customHeight="1">
      <c r="A1605" s="211">
        <v>7.0</v>
      </c>
      <c r="B1605" s="34" t="s">
        <v>5514</v>
      </c>
      <c r="C1605" s="34" t="s">
        <v>5515</v>
      </c>
      <c r="D1605" s="57" t="s">
        <v>25</v>
      </c>
      <c r="E1605" s="57" t="s">
        <v>189</v>
      </c>
      <c r="F1605" s="264" t="s">
        <v>138</v>
      </c>
      <c r="G1605" s="265" t="s">
        <v>5516</v>
      </c>
      <c r="H1605" s="72">
        <v>47.0</v>
      </c>
      <c r="I1605" s="42">
        <v>236.0</v>
      </c>
      <c r="J1605" s="42">
        <v>2.0</v>
      </c>
      <c r="K1605" s="42">
        <v>2.0</v>
      </c>
      <c r="L1605" s="70">
        <v>0.0</v>
      </c>
      <c r="M1605" s="34" t="s">
        <v>82</v>
      </c>
      <c r="N1605" s="70" t="s">
        <v>5276</v>
      </c>
      <c r="O1605" s="301">
        <v>200.0</v>
      </c>
      <c r="P1605" s="70" t="s">
        <v>29</v>
      </c>
      <c r="Q1605" s="31" t="s">
        <v>401</v>
      </c>
      <c r="R1605" s="46"/>
    </row>
    <row r="1606" ht="14.25" customHeight="1">
      <c r="A1606" s="211">
        <v>8.0</v>
      </c>
      <c r="B1606" s="34" t="s">
        <v>5517</v>
      </c>
      <c r="C1606" s="34" t="s">
        <v>5518</v>
      </c>
      <c r="D1606" s="57" t="s">
        <v>25</v>
      </c>
      <c r="E1606" s="57" t="s">
        <v>189</v>
      </c>
      <c r="F1606" s="264" t="s">
        <v>138</v>
      </c>
      <c r="G1606" s="265" t="s">
        <v>5519</v>
      </c>
      <c r="H1606" s="72">
        <v>87.0</v>
      </c>
      <c r="I1606" s="42">
        <v>433.0</v>
      </c>
      <c r="J1606" s="42">
        <v>3.0</v>
      </c>
      <c r="K1606" s="42">
        <v>3.0</v>
      </c>
      <c r="L1606" s="70">
        <v>0.0</v>
      </c>
      <c r="M1606" s="34" t="s">
        <v>5504</v>
      </c>
      <c r="N1606" s="70" t="s">
        <v>5276</v>
      </c>
      <c r="O1606" s="301">
        <v>400.0</v>
      </c>
      <c r="P1606" s="70" t="s">
        <v>29</v>
      </c>
      <c r="Q1606" s="31" t="s">
        <v>401</v>
      </c>
      <c r="R1606" s="46"/>
    </row>
    <row r="1607" ht="14.25" customHeight="1">
      <c r="A1607" s="211">
        <v>9.0</v>
      </c>
      <c r="B1607" s="34" t="s">
        <v>5520</v>
      </c>
      <c r="C1607" s="34" t="s">
        <v>5521</v>
      </c>
      <c r="D1607" s="57" t="s">
        <v>25</v>
      </c>
      <c r="E1607" s="57" t="s">
        <v>189</v>
      </c>
      <c r="F1607" s="264" t="s">
        <v>138</v>
      </c>
      <c r="G1607" s="265" t="s">
        <v>5522</v>
      </c>
      <c r="H1607" s="72">
        <v>27.0</v>
      </c>
      <c r="I1607" s="42">
        <v>137.0</v>
      </c>
      <c r="J1607" s="42">
        <v>1.0</v>
      </c>
      <c r="K1607" s="42">
        <v>1.0</v>
      </c>
      <c r="L1607" s="70">
        <v>0.0</v>
      </c>
      <c r="M1607" s="34" t="s">
        <v>5504</v>
      </c>
      <c r="N1607" s="70" t="s">
        <v>5276</v>
      </c>
      <c r="O1607" s="301">
        <v>100.0</v>
      </c>
      <c r="P1607" s="70" t="s">
        <v>29</v>
      </c>
      <c r="Q1607" s="31" t="s">
        <v>401</v>
      </c>
      <c r="R1607" s="46"/>
    </row>
    <row r="1608" ht="14.25" customHeight="1">
      <c r="A1608" s="211">
        <v>10.0</v>
      </c>
      <c r="B1608" s="34" t="s">
        <v>5523</v>
      </c>
      <c r="C1608" s="34" t="s">
        <v>5524</v>
      </c>
      <c r="D1608" s="57" t="s">
        <v>25</v>
      </c>
      <c r="E1608" s="57" t="s">
        <v>189</v>
      </c>
      <c r="F1608" s="264" t="s">
        <v>138</v>
      </c>
      <c r="G1608" s="265" t="s">
        <v>5525</v>
      </c>
      <c r="H1608" s="72">
        <v>79.0</v>
      </c>
      <c r="I1608" s="42">
        <v>393.0</v>
      </c>
      <c r="J1608" s="42">
        <v>1.0</v>
      </c>
      <c r="K1608" s="42">
        <v>1.0</v>
      </c>
      <c r="L1608" s="70">
        <v>0.0</v>
      </c>
      <c r="M1608" s="34" t="s">
        <v>82</v>
      </c>
      <c r="N1608" s="70" t="s">
        <v>5276</v>
      </c>
      <c r="O1608" s="301">
        <v>300.0</v>
      </c>
      <c r="P1608" s="70" t="s">
        <v>29</v>
      </c>
      <c r="Q1608" s="31" t="s">
        <v>401</v>
      </c>
      <c r="R1608" s="46"/>
    </row>
    <row r="1609" ht="14.25" customHeight="1">
      <c r="A1609" s="211">
        <v>11.0</v>
      </c>
      <c r="B1609" s="34" t="s">
        <v>5526</v>
      </c>
      <c r="C1609" s="34" t="s">
        <v>5527</v>
      </c>
      <c r="D1609" s="57" t="s">
        <v>25</v>
      </c>
      <c r="E1609" s="57" t="s">
        <v>189</v>
      </c>
      <c r="F1609" s="264" t="s">
        <v>138</v>
      </c>
      <c r="G1609" s="265" t="s">
        <v>5525</v>
      </c>
      <c r="H1609" s="72">
        <v>39.0</v>
      </c>
      <c r="I1609" s="42">
        <v>196.0</v>
      </c>
      <c r="J1609" s="42">
        <v>3.0</v>
      </c>
      <c r="K1609" s="42">
        <v>3.0</v>
      </c>
      <c r="L1609" s="70">
        <v>0.0</v>
      </c>
      <c r="M1609" s="34" t="s">
        <v>82</v>
      </c>
      <c r="N1609" s="70" t="s">
        <v>5276</v>
      </c>
      <c r="O1609" s="301">
        <v>100.0</v>
      </c>
      <c r="P1609" s="70" t="s">
        <v>29</v>
      </c>
      <c r="Q1609" s="31" t="s">
        <v>401</v>
      </c>
      <c r="R1609" s="46"/>
    </row>
    <row r="1610" ht="15.75" customHeight="1">
      <c r="A1610" s="181"/>
      <c r="B1610" s="182" t="s">
        <v>5528</v>
      </c>
      <c r="C1610" s="22"/>
      <c r="D1610" s="22"/>
      <c r="E1610" s="22"/>
      <c r="F1610" s="209"/>
      <c r="G1610" s="210"/>
      <c r="H1610" s="22"/>
      <c r="I1610" s="22"/>
      <c r="J1610" s="22"/>
      <c r="K1610" s="22"/>
      <c r="L1610" s="22"/>
      <c r="M1610" s="22"/>
      <c r="N1610" s="22"/>
      <c r="O1610" s="22"/>
      <c r="P1610" s="22"/>
      <c r="Q1610" s="209"/>
      <c r="R1610" s="218"/>
    </row>
    <row r="1611" ht="14.25" customHeight="1">
      <c r="A1611" s="211">
        <v>1.0</v>
      </c>
      <c r="B1611" s="34" t="s">
        <v>5529</v>
      </c>
      <c r="C1611" s="34" t="s">
        <v>5530</v>
      </c>
      <c r="D1611" s="57" t="s">
        <v>2000</v>
      </c>
      <c r="E1611" s="57" t="s">
        <v>3607</v>
      </c>
      <c r="F1611" s="264"/>
      <c r="G1611" s="265">
        <v>4108.0</v>
      </c>
      <c r="H1611" s="72">
        <v>1000.0</v>
      </c>
      <c r="I1611" s="42">
        <v>5000.0</v>
      </c>
      <c r="J1611" s="42">
        <v>2.0</v>
      </c>
      <c r="K1611" s="42">
        <v>2.0</v>
      </c>
      <c r="L1611" s="70" t="s">
        <v>401</v>
      </c>
      <c r="M1611" s="34" t="s">
        <v>4215</v>
      </c>
      <c r="N1611" s="70" t="s">
        <v>401</v>
      </c>
      <c r="O1611" s="70" t="s">
        <v>39</v>
      </c>
      <c r="P1611" s="70" t="s">
        <v>29</v>
      </c>
      <c r="Q1611" s="31" t="s">
        <v>401</v>
      </c>
      <c r="R1611" s="46"/>
    </row>
    <row r="1612" ht="14.25" customHeight="1">
      <c r="A1612" s="211">
        <v>2.0</v>
      </c>
      <c r="B1612" s="34" t="s">
        <v>5531</v>
      </c>
      <c r="C1612" s="34" t="s">
        <v>5530</v>
      </c>
      <c r="D1612" s="57" t="s">
        <v>2000</v>
      </c>
      <c r="E1612" s="57" t="s">
        <v>3607</v>
      </c>
      <c r="F1612" s="264"/>
      <c r="G1612" s="265">
        <v>500.0</v>
      </c>
      <c r="H1612" s="72">
        <v>150.0</v>
      </c>
      <c r="I1612" s="42">
        <v>750.0</v>
      </c>
      <c r="J1612" s="42">
        <v>11.0</v>
      </c>
      <c r="K1612" s="42">
        <v>11.0</v>
      </c>
      <c r="L1612" s="70" t="s">
        <v>401</v>
      </c>
      <c r="M1612" s="34" t="s">
        <v>4215</v>
      </c>
      <c r="N1612" s="70" t="s">
        <v>401</v>
      </c>
      <c r="O1612" s="70" t="s">
        <v>39</v>
      </c>
      <c r="P1612" s="70" t="s">
        <v>29</v>
      </c>
      <c r="Q1612" s="31" t="s">
        <v>401</v>
      </c>
      <c r="R1612" s="46"/>
    </row>
    <row r="1613" ht="14.25" customHeight="1">
      <c r="A1613" s="211">
        <v>3.0</v>
      </c>
      <c r="B1613" s="34" t="s">
        <v>5532</v>
      </c>
      <c r="C1613" s="34" t="s">
        <v>5533</v>
      </c>
      <c r="D1613" s="57" t="s">
        <v>2000</v>
      </c>
      <c r="E1613" s="57" t="s">
        <v>3607</v>
      </c>
      <c r="F1613" s="264"/>
      <c r="G1613" s="265">
        <v>4100.0</v>
      </c>
      <c r="H1613" s="72">
        <v>200.0</v>
      </c>
      <c r="I1613" s="42">
        <v>1000.0</v>
      </c>
      <c r="J1613" s="42">
        <v>5.0</v>
      </c>
      <c r="K1613" s="42">
        <v>5.0</v>
      </c>
      <c r="L1613" s="70" t="s">
        <v>401</v>
      </c>
      <c r="M1613" s="34" t="s">
        <v>4215</v>
      </c>
      <c r="N1613" s="70" t="s">
        <v>401</v>
      </c>
      <c r="O1613" s="70" t="s">
        <v>39</v>
      </c>
      <c r="P1613" s="70" t="s">
        <v>29</v>
      </c>
      <c r="Q1613" s="31" t="s">
        <v>401</v>
      </c>
      <c r="R1613" s="46"/>
    </row>
    <row r="1614" ht="14.25" customHeight="1">
      <c r="A1614" s="211">
        <v>4.0</v>
      </c>
      <c r="B1614" s="34" t="s">
        <v>5534</v>
      </c>
      <c r="C1614" s="34" t="s">
        <v>5533</v>
      </c>
      <c r="D1614" s="57" t="s">
        <v>2000</v>
      </c>
      <c r="E1614" s="57" t="s">
        <v>3607</v>
      </c>
      <c r="F1614" s="264"/>
      <c r="G1614" s="265">
        <v>500.0</v>
      </c>
      <c r="H1614" s="72">
        <v>200.0</v>
      </c>
      <c r="I1614" s="42">
        <v>1000.0</v>
      </c>
      <c r="J1614" s="42">
        <v>10.0</v>
      </c>
      <c r="K1614" s="42">
        <v>10.0</v>
      </c>
      <c r="L1614" s="70" t="s">
        <v>401</v>
      </c>
      <c r="M1614" s="34" t="s">
        <v>4215</v>
      </c>
      <c r="N1614" s="70" t="s">
        <v>401</v>
      </c>
      <c r="O1614" s="70" t="s">
        <v>39</v>
      </c>
      <c r="P1614" s="70" t="s">
        <v>29</v>
      </c>
      <c r="Q1614" s="31" t="s">
        <v>401</v>
      </c>
      <c r="R1614" s="46"/>
    </row>
    <row r="1615" ht="14.25" customHeight="1">
      <c r="A1615" s="211">
        <v>5.0</v>
      </c>
      <c r="B1615" s="34" t="s">
        <v>5535</v>
      </c>
      <c r="C1615" s="34" t="s">
        <v>5536</v>
      </c>
      <c r="D1615" s="57" t="s">
        <v>2000</v>
      </c>
      <c r="E1615" s="57" t="s">
        <v>3607</v>
      </c>
      <c r="F1615" s="264"/>
      <c r="G1615" s="265">
        <v>500.0</v>
      </c>
      <c r="H1615" s="72">
        <v>10.0</v>
      </c>
      <c r="I1615" s="42">
        <v>50.0</v>
      </c>
      <c r="J1615" s="42">
        <v>4.0</v>
      </c>
      <c r="K1615" s="42">
        <v>4.0</v>
      </c>
      <c r="L1615" s="70" t="s">
        <v>401</v>
      </c>
      <c r="M1615" s="34" t="s">
        <v>4215</v>
      </c>
      <c r="N1615" s="70" t="s">
        <v>401</v>
      </c>
      <c r="O1615" s="70" t="s">
        <v>39</v>
      </c>
      <c r="P1615" s="70" t="s">
        <v>29</v>
      </c>
      <c r="Q1615" s="31" t="s">
        <v>401</v>
      </c>
      <c r="R1615" s="46"/>
    </row>
    <row r="1616" ht="14.25" customHeight="1">
      <c r="A1616" s="211">
        <v>6.0</v>
      </c>
      <c r="B1616" s="34" t="s">
        <v>5537</v>
      </c>
      <c r="C1616" s="34" t="s">
        <v>5538</v>
      </c>
      <c r="D1616" s="57" t="s">
        <v>2000</v>
      </c>
      <c r="E1616" s="57" t="s">
        <v>3607</v>
      </c>
      <c r="F1616" s="264"/>
      <c r="G1616" s="265">
        <v>500.0</v>
      </c>
      <c r="H1616" s="72">
        <v>100.0</v>
      </c>
      <c r="I1616" s="42">
        <v>500.0</v>
      </c>
      <c r="J1616" s="42">
        <v>10.0</v>
      </c>
      <c r="K1616" s="42">
        <v>10.0</v>
      </c>
      <c r="L1616" s="70" t="s">
        <v>401</v>
      </c>
      <c r="M1616" s="34" t="s">
        <v>4215</v>
      </c>
      <c r="N1616" s="70" t="s">
        <v>401</v>
      </c>
      <c r="O1616" s="70" t="s">
        <v>39</v>
      </c>
      <c r="P1616" s="70" t="s">
        <v>29</v>
      </c>
      <c r="Q1616" s="31" t="s">
        <v>401</v>
      </c>
      <c r="R1616" s="46"/>
    </row>
    <row r="1617" ht="14.25" customHeight="1">
      <c r="A1617" s="211">
        <v>7.0</v>
      </c>
      <c r="B1617" s="34" t="s">
        <v>5539</v>
      </c>
      <c r="C1617" s="34" t="s">
        <v>5540</v>
      </c>
      <c r="D1617" s="57" t="s">
        <v>2000</v>
      </c>
      <c r="E1617" s="57" t="s">
        <v>3607</v>
      </c>
      <c r="F1617" s="264"/>
      <c r="G1617" s="265">
        <v>500.0</v>
      </c>
      <c r="H1617" s="72">
        <v>20.0</v>
      </c>
      <c r="I1617" s="42">
        <v>100.0</v>
      </c>
      <c r="J1617" s="42">
        <v>4.0</v>
      </c>
      <c r="K1617" s="42">
        <v>4.0</v>
      </c>
      <c r="L1617" s="70" t="s">
        <v>401</v>
      </c>
      <c r="M1617" s="34" t="s">
        <v>4215</v>
      </c>
      <c r="N1617" s="70" t="s">
        <v>401</v>
      </c>
      <c r="O1617" s="70" t="s">
        <v>39</v>
      </c>
      <c r="P1617" s="70" t="s">
        <v>29</v>
      </c>
      <c r="Q1617" s="31" t="s">
        <v>401</v>
      </c>
      <c r="R1617" s="46"/>
    </row>
    <row r="1618" ht="14.25" customHeight="1">
      <c r="A1618" s="211">
        <v>8.0</v>
      </c>
      <c r="B1618" s="34" t="s">
        <v>5541</v>
      </c>
      <c r="C1618" s="34" t="s">
        <v>5542</v>
      </c>
      <c r="D1618" s="57" t="s">
        <v>2000</v>
      </c>
      <c r="E1618" s="57" t="s">
        <v>3607</v>
      </c>
      <c r="F1618" s="264"/>
      <c r="G1618" s="265">
        <v>500.0</v>
      </c>
      <c r="H1618" s="72">
        <v>200.0</v>
      </c>
      <c r="I1618" s="42">
        <v>1000.0</v>
      </c>
      <c r="J1618" s="42">
        <v>5.0</v>
      </c>
      <c r="K1618" s="42">
        <v>5.0</v>
      </c>
      <c r="L1618" s="70" t="s">
        <v>401</v>
      </c>
      <c r="M1618" s="34" t="s">
        <v>4215</v>
      </c>
      <c r="N1618" s="70" t="s">
        <v>401</v>
      </c>
      <c r="O1618" s="70" t="s">
        <v>39</v>
      </c>
      <c r="P1618" s="70" t="s">
        <v>29</v>
      </c>
      <c r="Q1618" s="31" t="s">
        <v>401</v>
      </c>
      <c r="R1618" s="46"/>
    </row>
    <row r="1619" ht="14.25" customHeight="1">
      <c r="A1619" s="211">
        <v>9.0</v>
      </c>
      <c r="B1619" s="34" t="s">
        <v>5543</v>
      </c>
      <c r="C1619" s="34" t="s">
        <v>5544</v>
      </c>
      <c r="D1619" s="57" t="s">
        <v>2000</v>
      </c>
      <c r="E1619" s="57" t="s">
        <v>3607</v>
      </c>
      <c r="F1619" s="264"/>
      <c r="G1619" s="265">
        <v>500.0</v>
      </c>
      <c r="H1619" s="72">
        <v>36.0</v>
      </c>
      <c r="I1619" s="42">
        <v>180.0</v>
      </c>
      <c r="J1619" s="42">
        <v>4.0</v>
      </c>
      <c r="K1619" s="42">
        <v>4.0</v>
      </c>
      <c r="L1619" s="70" t="s">
        <v>401</v>
      </c>
      <c r="M1619" s="34" t="s">
        <v>4215</v>
      </c>
      <c r="N1619" s="70" t="s">
        <v>401</v>
      </c>
      <c r="O1619" s="70" t="s">
        <v>39</v>
      </c>
      <c r="P1619" s="70" t="s">
        <v>29</v>
      </c>
      <c r="Q1619" s="31" t="s">
        <v>401</v>
      </c>
      <c r="R1619" s="46"/>
    </row>
    <row r="1620" ht="14.25" customHeight="1">
      <c r="A1620" s="211">
        <v>10.0</v>
      </c>
      <c r="B1620" s="34" t="s">
        <v>5545</v>
      </c>
      <c r="C1620" s="34" t="s">
        <v>5546</v>
      </c>
      <c r="D1620" s="57" t="s">
        <v>2000</v>
      </c>
      <c r="E1620" s="57" t="s">
        <v>3607</v>
      </c>
      <c r="F1620" s="264"/>
      <c r="G1620" s="265">
        <v>500.0</v>
      </c>
      <c r="H1620" s="72">
        <v>80.0</v>
      </c>
      <c r="I1620" s="42">
        <v>400.0</v>
      </c>
      <c r="J1620" s="42">
        <v>5.0</v>
      </c>
      <c r="K1620" s="42">
        <v>5.0</v>
      </c>
      <c r="L1620" s="70" t="s">
        <v>401</v>
      </c>
      <c r="M1620" s="34" t="s">
        <v>4215</v>
      </c>
      <c r="N1620" s="70" t="s">
        <v>401</v>
      </c>
      <c r="O1620" s="70" t="s">
        <v>39</v>
      </c>
      <c r="P1620" s="70" t="s">
        <v>29</v>
      </c>
      <c r="Q1620" s="31" t="s">
        <v>401</v>
      </c>
      <c r="R1620" s="46"/>
    </row>
    <row r="1621" ht="14.25" customHeight="1">
      <c r="A1621" s="211">
        <v>11.0</v>
      </c>
      <c r="B1621" s="34" t="s">
        <v>5547</v>
      </c>
      <c r="C1621" s="34" t="s">
        <v>5548</v>
      </c>
      <c r="D1621" s="57" t="s">
        <v>2000</v>
      </c>
      <c r="E1621" s="57" t="s">
        <v>3607</v>
      </c>
      <c r="F1621" s="264"/>
      <c r="G1621" s="265">
        <v>500.0</v>
      </c>
      <c r="H1621" s="72">
        <v>50.0</v>
      </c>
      <c r="I1621" s="42">
        <v>250.0</v>
      </c>
      <c r="J1621" s="42">
        <v>2.0</v>
      </c>
      <c r="K1621" s="42">
        <v>2.0</v>
      </c>
      <c r="L1621" s="70" t="s">
        <v>401</v>
      </c>
      <c r="M1621" s="34" t="s">
        <v>4215</v>
      </c>
      <c r="N1621" s="70" t="s">
        <v>401</v>
      </c>
      <c r="O1621" s="70" t="s">
        <v>39</v>
      </c>
      <c r="P1621" s="70" t="s">
        <v>29</v>
      </c>
      <c r="Q1621" s="31" t="s">
        <v>401</v>
      </c>
      <c r="R1621" s="46"/>
    </row>
    <row r="1622" ht="14.25" customHeight="1">
      <c r="A1622" s="211">
        <v>12.0</v>
      </c>
      <c r="B1622" s="34" t="s">
        <v>5549</v>
      </c>
      <c r="C1622" s="34" t="s">
        <v>5536</v>
      </c>
      <c r="D1622" s="57" t="s">
        <v>2000</v>
      </c>
      <c r="E1622" s="57" t="s">
        <v>3607</v>
      </c>
      <c r="F1622" s="264"/>
      <c r="G1622" s="265">
        <v>300.0</v>
      </c>
      <c r="H1622" s="72">
        <v>20.0</v>
      </c>
      <c r="I1622" s="42">
        <v>100.0</v>
      </c>
      <c r="J1622" s="42">
        <v>1.0</v>
      </c>
      <c r="K1622" s="42">
        <v>1.0</v>
      </c>
      <c r="L1622" s="70" t="s">
        <v>401</v>
      </c>
      <c r="M1622" s="34" t="s">
        <v>4215</v>
      </c>
      <c r="N1622" s="70" t="s">
        <v>401</v>
      </c>
      <c r="O1622" s="70" t="s">
        <v>39</v>
      </c>
      <c r="P1622" s="70" t="s">
        <v>29</v>
      </c>
      <c r="Q1622" s="31" t="s">
        <v>401</v>
      </c>
      <c r="R1622" s="46"/>
    </row>
    <row r="1623" ht="14.25" customHeight="1">
      <c r="A1623" s="211">
        <v>13.0</v>
      </c>
      <c r="B1623" s="34" t="s">
        <v>5550</v>
      </c>
      <c r="C1623" s="34" t="s">
        <v>5530</v>
      </c>
      <c r="D1623" s="57" t="s">
        <v>2000</v>
      </c>
      <c r="E1623" s="57" t="s">
        <v>3607</v>
      </c>
      <c r="F1623" s="264"/>
      <c r="G1623" s="265">
        <v>200.0</v>
      </c>
      <c r="H1623" s="72">
        <v>10.0</v>
      </c>
      <c r="I1623" s="42">
        <v>50.0</v>
      </c>
      <c r="J1623" s="42">
        <v>5.0</v>
      </c>
      <c r="K1623" s="42">
        <v>5.0</v>
      </c>
      <c r="L1623" s="70" t="s">
        <v>401</v>
      </c>
      <c r="M1623" s="34" t="s">
        <v>4215</v>
      </c>
      <c r="N1623" s="70" t="s">
        <v>401</v>
      </c>
      <c r="O1623" s="70" t="s">
        <v>39</v>
      </c>
      <c r="P1623" s="70" t="s">
        <v>29</v>
      </c>
      <c r="Q1623" s="31" t="s">
        <v>401</v>
      </c>
      <c r="R1623" s="46"/>
    </row>
    <row r="1624" ht="15.75" customHeight="1">
      <c r="A1624" s="181"/>
      <c r="B1624" s="182" t="s">
        <v>5551</v>
      </c>
      <c r="C1624" s="22"/>
      <c r="D1624" s="22"/>
      <c r="E1624" s="22"/>
      <c r="F1624" s="209"/>
      <c r="G1624" s="210"/>
      <c r="H1624" s="22"/>
      <c r="I1624" s="22"/>
      <c r="J1624" s="22"/>
      <c r="K1624" s="22"/>
      <c r="L1624" s="22"/>
      <c r="M1624" s="22"/>
      <c r="N1624" s="22"/>
      <c r="O1624" s="22"/>
      <c r="P1624" s="22"/>
      <c r="Q1624" s="209"/>
      <c r="R1624" s="218"/>
    </row>
    <row r="1625" ht="14.25" customHeight="1">
      <c r="A1625" s="211">
        <v>1.0</v>
      </c>
      <c r="B1625" s="34" t="s">
        <v>5552</v>
      </c>
      <c r="C1625" s="34" t="s">
        <v>5553</v>
      </c>
      <c r="D1625" s="57" t="s">
        <v>2000</v>
      </c>
      <c r="E1625" s="57" t="s">
        <v>3607</v>
      </c>
      <c r="F1625" s="264"/>
      <c r="G1625" s="265" t="s">
        <v>5554</v>
      </c>
      <c r="H1625" s="72">
        <v>30.0</v>
      </c>
      <c r="I1625" s="42">
        <v>150.0</v>
      </c>
      <c r="J1625" s="42">
        <v>8.0</v>
      </c>
      <c r="K1625" s="42">
        <v>6.0</v>
      </c>
      <c r="L1625" s="70">
        <v>2.0</v>
      </c>
      <c r="M1625" s="34" t="s">
        <v>427</v>
      </c>
      <c r="N1625" s="70" t="s">
        <v>401</v>
      </c>
      <c r="O1625" s="70">
        <v>300.0</v>
      </c>
      <c r="P1625" s="70" t="s">
        <v>66</v>
      </c>
      <c r="Q1625" s="31" t="s">
        <v>66</v>
      </c>
      <c r="R1625" s="46">
        <v>14.0</v>
      </c>
    </row>
    <row r="1626" ht="14.25" customHeight="1">
      <c r="A1626" s="211">
        <v>2.0</v>
      </c>
      <c r="B1626" s="34" t="s">
        <v>5555</v>
      </c>
      <c r="C1626" s="34" t="s">
        <v>5556</v>
      </c>
      <c r="D1626" s="57" t="s">
        <v>2000</v>
      </c>
      <c r="E1626" s="57" t="s">
        <v>3607</v>
      </c>
      <c r="F1626" s="264"/>
      <c r="G1626" s="265" t="s">
        <v>5557</v>
      </c>
      <c r="H1626" s="72">
        <v>100.0</v>
      </c>
      <c r="I1626" s="42">
        <v>500.0</v>
      </c>
      <c r="J1626" s="42">
        <v>4.0</v>
      </c>
      <c r="K1626" s="42">
        <v>4.0</v>
      </c>
      <c r="L1626" s="70">
        <v>0.0</v>
      </c>
      <c r="M1626" s="34" t="s">
        <v>5501</v>
      </c>
      <c r="N1626" s="70" t="s">
        <v>401</v>
      </c>
      <c r="O1626" s="70">
        <v>300.0</v>
      </c>
      <c r="P1626" s="70" t="s">
        <v>29</v>
      </c>
      <c r="Q1626" s="31" t="s">
        <v>29</v>
      </c>
      <c r="R1626" s="46"/>
    </row>
  </sheetData>
  <mergeCells count="10">
    <mergeCell ref="M1:N1"/>
    <mergeCell ref="O1:O2"/>
    <mergeCell ref="P1:Q1"/>
    <mergeCell ref="A1:A2"/>
    <mergeCell ref="B1:B2"/>
    <mergeCell ref="C1:C2"/>
    <mergeCell ref="D1:F1"/>
    <mergeCell ref="G1:G2"/>
    <mergeCell ref="H1:I1"/>
    <mergeCell ref="J1:L1"/>
  </mergeCells>
  <conditionalFormatting sqref="A4:E4 G4:P4 A6:E6 G6:P6 A8:E8 G8:P8 A10:E157 G10:P157 A159:E208 G159:P208 A210:E255 G210:P255 A257:E276 G257:P276 A278:E301 G278:P301 A303:E327 G303:P327 A329:E393 G329:P393 A395:E398 G395:P398 A400:E408 G400:P408 A410:E441 G410:P441 A443:E443 G443:P443 A445:E451 G445:P451 A453:E486 G453:P486 A488:E549 G488:P549 A551:E577 G551:P577 A579:E628 G579:P628 A630:E654 G630:P654 A656:E683 G656:P683 A685:E695 G685:P695 A697:E756 G697:P756 A758:E817 G758:P817 A819:E836 G819:P836 A838:E909 G838:P909 A911:E945 G911:P945 A947:E980 G947:P980 A982:E1004 G982:P1004 A1006:E1021 G1006:P1021 A1023:E1050 G1023:P1050 A1052:E1095 G1052:P1095 A1097:E1101 G1097:P1101 A1103:E1125 G1103:P1125 A1127:E1198 G1127:P1198 A1200:E1226 G1200:P1226 A1228:E1244 G1228:P1244">
    <cfRule type="containsBlanks" dxfId="0" priority="1">
      <formula>LEN(TRIM(A4))=0</formula>
    </cfRule>
  </conditionalFormatting>
  <conditionalFormatting sqref="Q1229:Q1244 A1246:E1280 G1246:R1280 A1282:E1301 G1282:R1301 A1303:B1376 C1303:E1345 G1303:Q1345 R1303:R1376 C1347:E1376 G1347:Q1376 A1378:E1399 G1378:R1399 A1401:E1409 G1401:R1409 A1411:E1467 G1411:R1467 A1469:E1488 G1469:R1488 A1490:E1597 G1490:R1597 A1599:E1609 G1599:R1609 A1611:E1623 G1611:R1623 A1625:E1626 G1625:R1626">
    <cfRule type="containsBlanks" dxfId="0" priority="2">
      <formula>LEN(TRIM(Q1229))=0</formula>
    </cfRule>
  </conditionalFormatting>
  <dataValidations>
    <dataValidation type="list" allowBlank="1" showErrorMessage="1" sqref="P6 P8 P10:P157 P159:P208 P210:P255 P257:P276 P278:P301 R278:R301 P303:P327 P329:P393 P395:P398 P400:P408 P410:P441 P443 P445:P451 P488:P549 P551:P577 P579:P628 P630:P654 P656:P683 P685:P695 P697:P756 P758:P817 P819:P836 P838:P909 P911:P945 P947:P980 P982:P1004 P1006:P1021 P1023:P1050 P1052:P1095 P1097:P1101 P1103:P1125 P1127:P1198 P1200:P1226 P1228:P1244 P1246:P1280 P1282:P1301 P1303:P1345 P1347:P1376 P1378:P1399 P1401:P1409 P1411:P1467 P1469:P1488 P1490:P1597 P1599:P1609 P1611:P1623 Q1625 P1626:Q1626">
      <formula1>"YES,NO"</formula1>
    </dataValidation>
  </dataValidations>
  <printOptions/>
  <pageMargins bottom="0.75" footer="0.0" header="0.0" left="0.25" right="0.25" top="0.75"/>
  <pageSetup fitToWidth="0" paperSize="14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4.57"/>
    <col customWidth="1" min="2" max="2" width="36.86"/>
    <col customWidth="1" min="3" max="3" width="42.43"/>
    <col customWidth="1" min="4" max="4" width="26.86"/>
    <col customWidth="1" min="5" max="5" width="30.71"/>
    <col customWidth="1" min="6" max="6" width="22.0"/>
    <col customWidth="1" min="7" max="8" width="13.71"/>
    <col customWidth="1" min="9" max="9" width="18.43"/>
    <col customWidth="1" min="10" max="12" width="12.29"/>
    <col customWidth="1" min="13" max="13" width="27.86"/>
    <col customWidth="1" min="14" max="14" width="29.29"/>
    <col customWidth="1" min="15" max="15" width="18.29"/>
    <col customWidth="1" min="16" max="16" width="15.43"/>
    <col customWidth="1" min="17" max="17" width="26.43"/>
    <col customWidth="1" min="18" max="26" width="14.0"/>
  </cols>
  <sheetData>
    <row r="1">
      <c r="A1" s="199" t="s">
        <v>2696</v>
      </c>
      <c r="B1" s="200" t="s">
        <v>2697</v>
      </c>
      <c r="C1" s="200" t="s">
        <v>2698</v>
      </c>
      <c r="D1" s="201" t="s">
        <v>3</v>
      </c>
      <c r="E1" s="5"/>
      <c r="F1" s="6"/>
      <c r="G1" s="309" t="s">
        <v>5558</v>
      </c>
      <c r="H1" s="203" t="s">
        <v>5</v>
      </c>
      <c r="I1" s="9"/>
      <c r="J1" s="203" t="s">
        <v>6</v>
      </c>
      <c r="K1" s="10"/>
      <c r="L1" s="9"/>
      <c r="M1" s="203" t="s">
        <v>7</v>
      </c>
      <c r="N1" s="9"/>
      <c r="O1" s="204" t="s">
        <v>5559</v>
      </c>
      <c r="P1" s="203" t="s">
        <v>9</v>
      </c>
      <c r="Q1" s="9"/>
    </row>
    <row r="2">
      <c r="A2" s="12"/>
      <c r="B2" s="13"/>
      <c r="C2" s="13"/>
      <c r="D2" s="206" t="s">
        <v>10</v>
      </c>
      <c r="E2" s="206" t="s">
        <v>11</v>
      </c>
      <c r="F2" s="207" t="s">
        <v>12</v>
      </c>
      <c r="G2" s="16"/>
      <c r="H2" s="208" t="s">
        <v>5560</v>
      </c>
      <c r="I2" s="208" t="s">
        <v>5561</v>
      </c>
      <c r="J2" s="208" t="s">
        <v>5562</v>
      </c>
      <c r="K2" s="208" t="s">
        <v>5563</v>
      </c>
      <c r="L2" s="208" t="s">
        <v>5564</v>
      </c>
      <c r="M2" s="208" t="s">
        <v>5565</v>
      </c>
      <c r="N2" s="208" t="s">
        <v>5566</v>
      </c>
      <c r="O2" s="13"/>
      <c r="P2" s="208" t="s">
        <v>5567</v>
      </c>
      <c r="Q2" s="208" t="s">
        <v>5568</v>
      </c>
    </row>
    <row r="3">
      <c r="A3" s="310"/>
      <c r="B3" s="311" t="s">
        <v>5569</v>
      </c>
      <c r="C3" s="311"/>
      <c r="D3" s="312"/>
      <c r="E3" s="312"/>
      <c r="F3" s="312"/>
      <c r="G3" s="312"/>
      <c r="H3" s="312"/>
      <c r="I3" s="312"/>
      <c r="J3" s="312"/>
      <c r="K3" s="312"/>
      <c r="L3" s="312"/>
      <c r="M3" s="313"/>
      <c r="N3" s="312"/>
      <c r="O3" s="312"/>
      <c r="P3" s="312"/>
      <c r="Q3" s="312"/>
    </row>
    <row r="4">
      <c r="A4" s="211">
        <v>1.0</v>
      </c>
      <c r="B4" s="146" t="s">
        <v>5570</v>
      </c>
      <c r="C4" s="146" t="s">
        <v>5571</v>
      </c>
      <c r="D4" s="144" t="s">
        <v>25</v>
      </c>
      <c r="E4" s="314" t="s">
        <v>5572</v>
      </c>
      <c r="F4" s="173" t="s">
        <v>1137</v>
      </c>
      <c r="G4" s="315">
        <v>685.0</v>
      </c>
      <c r="H4" s="216">
        <v>26.0</v>
      </c>
      <c r="I4" s="216">
        <v>104.0</v>
      </c>
      <c r="J4" s="216">
        <v>5.0</v>
      </c>
      <c r="K4" s="216">
        <v>5.0</v>
      </c>
      <c r="L4" s="216">
        <v>1.0</v>
      </c>
      <c r="M4" s="133" t="s">
        <v>5573</v>
      </c>
      <c r="N4" s="216" t="s">
        <v>1137</v>
      </c>
      <c r="O4" s="316">
        <v>5000.0</v>
      </c>
      <c r="P4" s="216" t="s">
        <v>66</v>
      </c>
      <c r="Q4" s="216">
        <v>40.0</v>
      </c>
    </row>
    <row r="5">
      <c r="A5" s="310"/>
      <c r="B5" s="311" t="s">
        <v>5574</v>
      </c>
      <c r="C5" s="311"/>
      <c r="D5" s="312"/>
      <c r="E5" s="312"/>
      <c r="F5" s="312"/>
      <c r="G5" s="312"/>
      <c r="H5" s="312"/>
      <c r="I5" s="312"/>
      <c r="J5" s="312"/>
      <c r="K5" s="312"/>
      <c r="L5" s="312"/>
      <c r="M5" s="313"/>
      <c r="N5" s="312"/>
      <c r="O5" s="312"/>
      <c r="P5" s="312"/>
      <c r="Q5" s="312"/>
    </row>
    <row r="6">
      <c r="A6" s="211">
        <v>1.0</v>
      </c>
      <c r="B6" s="317" t="s">
        <v>5575</v>
      </c>
      <c r="C6" s="317" t="s">
        <v>5576</v>
      </c>
      <c r="D6" s="317" t="s">
        <v>36</v>
      </c>
      <c r="E6" s="317" t="s">
        <v>5577</v>
      </c>
      <c r="F6" s="173" t="s">
        <v>1137</v>
      </c>
      <c r="G6" s="318">
        <v>600.0</v>
      </c>
      <c r="H6" s="319">
        <v>60.0</v>
      </c>
      <c r="I6" s="319">
        <v>300.0</v>
      </c>
      <c r="J6" s="319">
        <v>2.0</v>
      </c>
      <c r="K6" s="319">
        <v>2.0</v>
      </c>
      <c r="L6" s="320">
        <v>0.0</v>
      </c>
      <c r="M6" s="314" t="s">
        <v>5578</v>
      </c>
      <c r="N6" s="319" t="s">
        <v>5579</v>
      </c>
      <c r="O6" s="319">
        <v>60.0</v>
      </c>
      <c r="P6" s="319" t="s">
        <v>65</v>
      </c>
      <c r="Q6" s="319">
        <v>23.0</v>
      </c>
    </row>
    <row r="7" hidden="1">
      <c r="A7" s="321">
        <v>2.0</v>
      </c>
      <c r="B7" s="322" t="s">
        <v>5580</v>
      </c>
      <c r="C7" s="322" t="s">
        <v>5581</v>
      </c>
      <c r="D7" s="319"/>
      <c r="E7" s="319"/>
      <c r="F7" s="323"/>
      <c r="G7" s="318"/>
      <c r="H7" s="319"/>
      <c r="I7" s="319">
        <v>30.0</v>
      </c>
      <c r="J7" s="319"/>
      <c r="K7" s="319"/>
      <c r="L7" s="319"/>
      <c r="M7" s="314"/>
      <c r="N7" s="319"/>
      <c r="O7" s="319"/>
      <c r="P7" s="319"/>
      <c r="Q7" s="319"/>
    </row>
    <row r="8" hidden="1">
      <c r="A8" s="211">
        <v>3.0</v>
      </c>
      <c r="B8" s="322" t="s">
        <v>5582</v>
      </c>
      <c r="C8" s="322" t="s">
        <v>5581</v>
      </c>
      <c r="D8" s="319"/>
      <c r="E8" s="319"/>
      <c r="F8" s="323"/>
      <c r="G8" s="318"/>
      <c r="H8" s="319"/>
      <c r="I8" s="319">
        <v>225.0</v>
      </c>
      <c r="J8" s="319"/>
      <c r="K8" s="319"/>
      <c r="L8" s="319"/>
      <c r="M8" s="314"/>
      <c r="N8" s="319"/>
      <c r="O8" s="319"/>
      <c r="P8" s="319"/>
      <c r="Q8" s="319"/>
    </row>
    <row r="9" hidden="1">
      <c r="A9" s="321">
        <v>4.0</v>
      </c>
      <c r="B9" s="322" t="s">
        <v>2772</v>
      </c>
      <c r="C9" s="322" t="s">
        <v>5583</v>
      </c>
      <c r="D9" s="319"/>
      <c r="E9" s="319"/>
      <c r="F9" s="323"/>
      <c r="G9" s="318"/>
      <c r="H9" s="319"/>
      <c r="I9" s="319">
        <v>35.0</v>
      </c>
      <c r="J9" s="319"/>
      <c r="K9" s="319"/>
      <c r="L9" s="319"/>
      <c r="M9" s="314"/>
      <c r="N9" s="319"/>
      <c r="O9" s="319"/>
      <c r="P9" s="319"/>
      <c r="Q9" s="319"/>
    </row>
    <row r="10" hidden="1">
      <c r="A10" s="211">
        <v>5.0</v>
      </c>
      <c r="B10" s="322" t="s">
        <v>1171</v>
      </c>
      <c r="C10" s="322" t="s">
        <v>5583</v>
      </c>
      <c r="D10" s="319"/>
      <c r="E10" s="319"/>
      <c r="F10" s="323"/>
      <c r="G10" s="318"/>
      <c r="H10" s="319"/>
      <c r="I10" s="319">
        <v>30.0</v>
      </c>
      <c r="J10" s="319"/>
      <c r="K10" s="319"/>
      <c r="L10" s="319"/>
      <c r="M10" s="314"/>
      <c r="N10" s="319"/>
      <c r="O10" s="319"/>
      <c r="P10" s="319"/>
      <c r="Q10" s="319"/>
    </row>
    <row r="11" hidden="1">
      <c r="A11" s="321">
        <v>6.0</v>
      </c>
      <c r="B11" s="322" t="s">
        <v>1171</v>
      </c>
      <c r="C11" s="322" t="s">
        <v>5584</v>
      </c>
      <c r="D11" s="319"/>
      <c r="E11" s="319"/>
      <c r="F11" s="323"/>
      <c r="G11" s="318"/>
      <c r="H11" s="319"/>
      <c r="I11" s="319">
        <v>30.0</v>
      </c>
      <c r="J11" s="319"/>
      <c r="K11" s="319"/>
      <c r="L11" s="319"/>
      <c r="M11" s="314"/>
      <c r="N11" s="319"/>
      <c r="O11" s="319"/>
      <c r="P11" s="319"/>
      <c r="Q11" s="319"/>
    </row>
    <row r="12" hidden="1">
      <c r="A12" s="211">
        <v>7.0</v>
      </c>
      <c r="B12" s="322" t="s">
        <v>1134</v>
      </c>
      <c r="C12" s="322" t="s">
        <v>5584</v>
      </c>
      <c r="D12" s="319"/>
      <c r="E12" s="319"/>
      <c r="F12" s="323"/>
      <c r="G12" s="318"/>
      <c r="H12" s="319"/>
      <c r="I12" s="319">
        <v>30.0</v>
      </c>
      <c r="J12" s="319"/>
      <c r="K12" s="319"/>
      <c r="L12" s="319"/>
      <c r="M12" s="314"/>
      <c r="N12" s="319"/>
      <c r="O12" s="319"/>
      <c r="P12" s="319"/>
      <c r="Q12" s="319"/>
    </row>
    <row r="13" hidden="1">
      <c r="A13" s="321">
        <v>8.0</v>
      </c>
      <c r="B13" s="322" t="s">
        <v>5585</v>
      </c>
      <c r="C13" s="322" t="s">
        <v>5584</v>
      </c>
      <c r="D13" s="319"/>
      <c r="E13" s="319"/>
      <c r="F13" s="323"/>
      <c r="G13" s="318"/>
      <c r="H13" s="319"/>
      <c r="I13" s="319">
        <v>480.0</v>
      </c>
      <c r="J13" s="319"/>
      <c r="K13" s="319"/>
      <c r="L13" s="319"/>
      <c r="M13" s="314"/>
      <c r="N13" s="319"/>
      <c r="O13" s="319"/>
      <c r="P13" s="319"/>
      <c r="Q13" s="319"/>
    </row>
    <row r="14" hidden="1">
      <c r="A14" s="211">
        <v>9.0</v>
      </c>
      <c r="B14" s="322" t="s">
        <v>1171</v>
      </c>
      <c r="C14" s="322" t="s">
        <v>5586</v>
      </c>
      <c r="D14" s="319"/>
      <c r="E14" s="319"/>
      <c r="F14" s="323"/>
      <c r="G14" s="318"/>
      <c r="H14" s="319"/>
      <c r="I14" s="319">
        <v>20.0</v>
      </c>
      <c r="J14" s="319"/>
      <c r="K14" s="319"/>
      <c r="L14" s="319"/>
      <c r="M14" s="314"/>
      <c r="N14" s="319"/>
      <c r="O14" s="319"/>
      <c r="P14" s="319"/>
      <c r="Q14" s="319"/>
    </row>
    <row r="15" hidden="1">
      <c r="A15" s="211">
        <v>10.0</v>
      </c>
      <c r="B15" s="322" t="s">
        <v>1134</v>
      </c>
      <c r="C15" s="322" t="s">
        <v>5586</v>
      </c>
      <c r="D15" s="319"/>
      <c r="E15" s="319"/>
      <c r="F15" s="323"/>
      <c r="G15" s="318"/>
      <c r="H15" s="319"/>
      <c r="I15" s="319">
        <v>20.0</v>
      </c>
      <c r="J15" s="319"/>
      <c r="K15" s="319"/>
      <c r="L15" s="319"/>
      <c r="M15" s="314"/>
      <c r="N15" s="319"/>
      <c r="O15" s="319"/>
      <c r="P15" s="319"/>
      <c r="Q15" s="319"/>
    </row>
    <row r="16" hidden="1">
      <c r="A16" s="321">
        <v>11.0</v>
      </c>
      <c r="B16" s="322" t="s">
        <v>5587</v>
      </c>
      <c r="C16" s="322" t="s">
        <v>5586</v>
      </c>
      <c r="D16" s="319"/>
      <c r="E16" s="319"/>
      <c r="F16" s="323"/>
      <c r="G16" s="318"/>
      <c r="H16" s="319"/>
      <c r="I16" s="319">
        <v>300.0</v>
      </c>
      <c r="J16" s="319"/>
      <c r="K16" s="319"/>
      <c r="L16" s="319"/>
      <c r="M16" s="314"/>
      <c r="N16" s="319"/>
      <c r="O16" s="319"/>
      <c r="P16" s="319"/>
      <c r="Q16" s="319"/>
    </row>
    <row r="17" hidden="1">
      <c r="A17" s="211">
        <v>12.0</v>
      </c>
      <c r="B17" s="322" t="s">
        <v>5588</v>
      </c>
      <c r="C17" s="322" t="s">
        <v>5586</v>
      </c>
      <c r="D17" s="319"/>
      <c r="E17" s="319"/>
      <c r="F17" s="323"/>
      <c r="G17" s="318"/>
      <c r="H17" s="319"/>
      <c r="I17" s="319">
        <v>1000.0</v>
      </c>
      <c r="J17" s="319"/>
      <c r="K17" s="319"/>
      <c r="L17" s="319"/>
      <c r="M17" s="314"/>
      <c r="N17" s="319"/>
      <c r="O17" s="319"/>
      <c r="P17" s="319"/>
      <c r="Q17" s="319"/>
    </row>
    <row r="18" hidden="1">
      <c r="A18" s="321">
        <v>13.0</v>
      </c>
      <c r="B18" s="322" t="s">
        <v>5589</v>
      </c>
      <c r="C18" s="322" t="s">
        <v>5586</v>
      </c>
      <c r="D18" s="319"/>
      <c r="E18" s="319"/>
      <c r="F18" s="323"/>
      <c r="G18" s="318"/>
      <c r="H18" s="319"/>
      <c r="I18" s="319">
        <v>500.0</v>
      </c>
      <c r="J18" s="319"/>
      <c r="K18" s="319"/>
      <c r="L18" s="319"/>
      <c r="M18" s="314"/>
      <c r="N18" s="319"/>
      <c r="O18" s="319"/>
      <c r="P18" s="319"/>
      <c r="Q18" s="319"/>
    </row>
    <row r="19" hidden="1">
      <c r="A19" s="211">
        <v>14.0</v>
      </c>
      <c r="B19" s="322" t="s">
        <v>5590</v>
      </c>
      <c r="C19" s="322" t="s">
        <v>5586</v>
      </c>
      <c r="D19" s="319"/>
      <c r="E19" s="319"/>
      <c r="F19" s="323"/>
      <c r="G19" s="318"/>
      <c r="H19" s="319"/>
      <c r="I19" s="319">
        <v>200.0</v>
      </c>
      <c r="J19" s="319"/>
      <c r="K19" s="319"/>
      <c r="L19" s="319"/>
      <c r="M19" s="314"/>
      <c r="N19" s="319"/>
      <c r="O19" s="319"/>
      <c r="P19" s="319"/>
      <c r="Q19" s="319"/>
    </row>
    <row r="20" hidden="1">
      <c r="A20" s="321">
        <v>15.0</v>
      </c>
      <c r="B20" s="322" t="s">
        <v>1171</v>
      </c>
      <c r="C20" s="322" t="s">
        <v>5591</v>
      </c>
      <c r="D20" s="319"/>
      <c r="E20" s="319"/>
      <c r="F20" s="323"/>
      <c r="G20" s="318"/>
      <c r="H20" s="319"/>
      <c r="I20" s="319">
        <v>18.0</v>
      </c>
      <c r="J20" s="319"/>
      <c r="K20" s="319"/>
      <c r="L20" s="319"/>
      <c r="M20" s="314"/>
      <c r="N20" s="319"/>
      <c r="O20" s="319"/>
      <c r="P20" s="319"/>
      <c r="Q20" s="319"/>
    </row>
    <row r="21" ht="15.75" hidden="1" customHeight="1">
      <c r="A21" s="211">
        <v>16.0</v>
      </c>
      <c r="B21" s="322" t="s">
        <v>1134</v>
      </c>
      <c r="C21" s="322" t="s">
        <v>5591</v>
      </c>
      <c r="D21" s="319"/>
      <c r="E21" s="319"/>
      <c r="F21" s="323"/>
      <c r="G21" s="318"/>
      <c r="H21" s="319"/>
      <c r="I21" s="319">
        <v>30.0</v>
      </c>
      <c r="J21" s="319"/>
      <c r="K21" s="319"/>
      <c r="L21" s="319"/>
      <c r="M21" s="314"/>
      <c r="N21" s="319"/>
      <c r="O21" s="319"/>
      <c r="P21" s="319"/>
      <c r="Q21" s="319"/>
    </row>
    <row r="22" ht="15.75" hidden="1" customHeight="1">
      <c r="A22" s="321">
        <v>17.0</v>
      </c>
      <c r="B22" s="322" t="s">
        <v>5592</v>
      </c>
      <c r="C22" s="322" t="s">
        <v>5591</v>
      </c>
      <c r="D22" s="319"/>
      <c r="E22" s="319"/>
      <c r="F22" s="323"/>
      <c r="G22" s="318"/>
      <c r="H22" s="319"/>
      <c r="I22" s="319">
        <v>500.0</v>
      </c>
      <c r="J22" s="319"/>
      <c r="K22" s="319"/>
      <c r="L22" s="319"/>
      <c r="M22" s="314"/>
      <c r="N22" s="319"/>
      <c r="O22" s="319"/>
      <c r="P22" s="319"/>
      <c r="Q22" s="319"/>
    </row>
    <row r="23" ht="15.75" hidden="1" customHeight="1">
      <c r="A23" s="211">
        <v>18.0</v>
      </c>
      <c r="B23" s="322" t="s">
        <v>1171</v>
      </c>
      <c r="C23" s="322" t="s">
        <v>5593</v>
      </c>
      <c r="D23" s="319"/>
      <c r="E23" s="319"/>
      <c r="F23" s="323"/>
      <c r="G23" s="318"/>
      <c r="H23" s="319"/>
      <c r="I23" s="319">
        <v>20.0</v>
      </c>
      <c r="J23" s="319"/>
      <c r="K23" s="319"/>
      <c r="L23" s="319"/>
      <c r="M23" s="314"/>
      <c r="N23" s="319"/>
      <c r="O23" s="319"/>
      <c r="P23" s="319"/>
      <c r="Q23" s="319"/>
    </row>
    <row r="24" ht="15.75" hidden="1" customHeight="1">
      <c r="A24" s="211">
        <v>19.0</v>
      </c>
      <c r="B24" s="322" t="s">
        <v>1134</v>
      </c>
      <c r="C24" s="322" t="s">
        <v>5593</v>
      </c>
      <c r="D24" s="319"/>
      <c r="E24" s="319"/>
      <c r="F24" s="323"/>
      <c r="G24" s="318"/>
      <c r="H24" s="319"/>
      <c r="I24" s="319">
        <v>30.0</v>
      </c>
      <c r="J24" s="319"/>
      <c r="K24" s="319"/>
      <c r="L24" s="319"/>
      <c r="M24" s="314"/>
      <c r="N24" s="319"/>
      <c r="O24" s="319"/>
      <c r="P24" s="319"/>
      <c r="Q24" s="319"/>
    </row>
    <row r="25" ht="15.75" hidden="1" customHeight="1">
      <c r="A25" s="321">
        <v>20.0</v>
      </c>
      <c r="B25" s="322" t="s">
        <v>5594</v>
      </c>
      <c r="C25" s="322" t="s">
        <v>5593</v>
      </c>
      <c r="D25" s="319"/>
      <c r="E25" s="319"/>
      <c r="F25" s="323"/>
      <c r="G25" s="318"/>
      <c r="H25" s="319"/>
      <c r="I25" s="319">
        <v>25.0</v>
      </c>
      <c r="J25" s="319"/>
      <c r="K25" s="319"/>
      <c r="L25" s="319"/>
      <c r="M25" s="314"/>
      <c r="N25" s="319"/>
      <c r="O25" s="319"/>
      <c r="P25" s="319"/>
      <c r="Q25" s="319"/>
    </row>
    <row r="26" ht="15.75" hidden="1" customHeight="1">
      <c r="A26" s="211">
        <v>21.0</v>
      </c>
      <c r="B26" s="322" t="s">
        <v>1171</v>
      </c>
      <c r="C26" s="322" t="s">
        <v>5595</v>
      </c>
      <c r="D26" s="319"/>
      <c r="E26" s="319"/>
      <c r="F26" s="323"/>
      <c r="G26" s="318"/>
      <c r="H26" s="319"/>
      <c r="I26" s="319">
        <v>30.0</v>
      </c>
      <c r="J26" s="319"/>
      <c r="K26" s="319"/>
      <c r="L26" s="319"/>
      <c r="M26" s="314"/>
      <c r="N26" s="319"/>
      <c r="O26" s="319"/>
      <c r="P26" s="319"/>
      <c r="Q26" s="319"/>
    </row>
    <row r="27" ht="15.75" hidden="1" customHeight="1">
      <c r="A27" s="321">
        <v>22.0</v>
      </c>
      <c r="B27" s="322" t="s">
        <v>1134</v>
      </c>
      <c r="C27" s="322" t="s">
        <v>5595</v>
      </c>
      <c r="D27" s="319"/>
      <c r="E27" s="319"/>
      <c r="F27" s="323"/>
      <c r="G27" s="318"/>
      <c r="H27" s="319"/>
      <c r="I27" s="319">
        <v>30.0</v>
      </c>
      <c r="J27" s="319"/>
      <c r="K27" s="319"/>
      <c r="L27" s="319"/>
      <c r="M27" s="314"/>
      <c r="N27" s="319"/>
      <c r="O27" s="319"/>
      <c r="P27" s="319"/>
      <c r="Q27" s="319"/>
    </row>
    <row r="28" ht="15.75" hidden="1" customHeight="1">
      <c r="A28" s="211">
        <v>23.0</v>
      </c>
      <c r="B28" s="322" t="s">
        <v>1171</v>
      </c>
      <c r="C28" s="322" t="s">
        <v>5596</v>
      </c>
      <c r="D28" s="319"/>
      <c r="E28" s="319"/>
      <c r="F28" s="323"/>
      <c r="G28" s="318"/>
      <c r="H28" s="319"/>
      <c r="I28" s="319">
        <v>20.0</v>
      </c>
      <c r="J28" s="319"/>
      <c r="K28" s="319"/>
      <c r="L28" s="319"/>
      <c r="M28" s="314"/>
      <c r="N28" s="319"/>
      <c r="O28" s="319"/>
      <c r="P28" s="319"/>
      <c r="Q28" s="319"/>
    </row>
    <row r="29" ht="15.75" hidden="1" customHeight="1">
      <c r="A29" s="321">
        <v>24.0</v>
      </c>
      <c r="B29" s="322" t="s">
        <v>1134</v>
      </c>
      <c r="C29" s="322" t="s">
        <v>5596</v>
      </c>
      <c r="D29" s="319"/>
      <c r="E29" s="319"/>
      <c r="F29" s="323"/>
      <c r="G29" s="318"/>
      <c r="H29" s="319"/>
      <c r="I29" s="319">
        <v>20.0</v>
      </c>
      <c r="J29" s="319"/>
      <c r="K29" s="319"/>
      <c r="L29" s="319"/>
      <c r="M29" s="314"/>
      <c r="N29" s="319"/>
      <c r="O29" s="319"/>
      <c r="P29" s="319"/>
      <c r="Q29" s="319"/>
    </row>
    <row r="30" ht="15.75" hidden="1" customHeight="1">
      <c r="A30" s="211">
        <v>25.0</v>
      </c>
      <c r="B30" s="322" t="s">
        <v>1134</v>
      </c>
      <c r="C30" s="322" t="s">
        <v>5597</v>
      </c>
      <c r="D30" s="319"/>
      <c r="E30" s="319"/>
      <c r="F30" s="323"/>
      <c r="G30" s="318"/>
      <c r="H30" s="319"/>
      <c r="I30" s="319">
        <v>15.0</v>
      </c>
      <c r="J30" s="319"/>
      <c r="K30" s="319"/>
      <c r="L30" s="319"/>
      <c r="M30" s="314"/>
      <c r="N30" s="319"/>
      <c r="O30" s="319"/>
      <c r="P30" s="319"/>
      <c r="Q30" s="319"/>
    </row>
    <row r="31" ht="15.75" hidden="1" customHeight="1">
      <c r="A31" s="321">
        <v>26.0</v>
      </c>
      <c r="B31" s="322" t="s">
        <v>531</v>
      </c>
      <c r="C31" s="322" t="s">
        <v>5597</v>
      </c>
      <c r="D31" s="319"/>
      <c r="E31" s="319"/>
      <c r="F31" s="323"/>
      <c r="G31" s="318"/>
      <c r="H31" s="319"/>
      <c r="I31" s="319">
        <v>200.0</v>
      </c>
      <c r="J31" s="319"/>
      <c r="K31" s="319"/>
      <c r="L31" s="319"/>
      <c r="M31" s="314"/>
      <c r="N31" s="319"/>
      <c r="O31" s="319"/>
      <c r="P31" s="319"/>
      <c r="Q31" s="319"/>
    </row>
    <row r="32" ht="15.75" hidden="1" customHeight="1">
      <c r="A32" s="211">
        <v>27.0</v>
      </c>
      <c r="B32" s="322" t="s">
        <v>5598</v>
      </c>
      <c r="C32" s="322" t="s">
        <v>5597</v>
      </c>
      <c r="D32" s="319"/>
      <c r="E32" s="319"/>
      <c r="F32" s="323"/>
      <c r="G32" s="318"/>
      <c r="H32" s="319"/>
      <c r="I32" s="319">
        <v>150.0</v>
      </c>
      <c r="J32" s="319"/>
      <c r="K32" s="319"/>
      <c r="L32" s="319"/>
      <c r="M32" s="314"/>
      <c r="N32" s="319"/>
      <c r="O32" s="319"/>
      <c r="P32" s="319"/>
      <c r="Q32" s="319"/>
    </row>
    <row r="33" ht="15.75" hidden="1" customHeight="1">
      <c r="A33" s="211">
        <v>28.0</v>
      </c>
      <c r="B33" s="322" t="s">
        <v>5599</v>
      </c>
      <c r="C33" s="322" t="s">
        <v>5597</v>
      </c>
      <c r="D33" s="319"/>
      <c r="E33" s="319"/>
      <c r="F33" s="323"/>
      <c r="G33" s="318"/>
      <c r="H33" s="319"/>
      <c r="I33" s="319">
        <v>250.0</v>
      </c>
      <c r="J33" s="319"/>
      <c r="K33" s="319"/>
      <c r="L33" s="319"/>
      <c r="M33" s="314"/>
      <c r="N33" s="319"/>
      <c r="O33" s="319"/>
      <c r="P33" s="319"/>
      <c r="Q33" s="319"/>
    </row>
    <row r="34" ht="15.75" hidden="1" customHeight="1">
      <c r="A34" s="321">
        <v>29.0</v>
      </c>
      <c r="B34" s="322" t="s">
        <v>5600</v>
      </c>
      <c r="C34" s="322" t="s">
        <v>5597</v>
      </c>
      <c r="D34" s="319"/>
      <c r="E34" s="319"/>
      <c r="F34" s="323"/>
      <c r="G34" s="318"/>
      <c r="H34" s="319"/>
      <c r="I34" s="319">
        <v>400.0</v>
      </c>
      <c r="J34" s="319"/>
      <c r="K34" s="319"/>
      <c r="L34" s="319"/>
      <c r="M34" s="314"/>
      <c r="N34" s="319"/>
      <c r="O34" s="319"/>
      <c r="P34" s="319"/>
      <c r="Q34" s="319"/>
    </row>
    <row r="35" ht="15.75" hidden="1" customHeight="1">
      <c r="A35" s="211">
        <v>30.0</v>
      </c>
      <c r="B35" s="322" t="s">
        <v>1171</v>
      </c>
      <c r="C35" s="322" t="s">
        <v>5601</v>
      </c>
      <c r="D35" s="319"/>
      <c r="E35" s="319"/>
      <c r="F35" s="323"/>
      <c r="G35" s="318"/>
      <c r="H35" s="319"/>
      <c r="I35" s="319">
        <v>30.0</v>
      </c>
      <c r="J35" s="319"/>
      <c r="K35" s="319"/>
      <c r="L35" s="319"/>
      <c r="M35" s="314"/>
      <c r="N35" s="319"/>
      <c r="O35" s="319"/>
      <c r="P35" s="319"/>
      <c r="Q35" s="319"/>
    </row>
    <row r="36" ht="15.75" hidden="1" customHeight="1">
      <c r="A36" s="321">
        <v>31.0</v>
      </c>
      <c r="B36" s="322" t="s">
        <v>1134</v>
      </c>
      <c r="C36" s="322" t="s">
        <v>5601</v>
      </c>
      <c r="D36" s="319"/>
      <c r="E36" s="319"/>
      <c r="F36" s="323"/>
      <c r="G36" s="318"/>
      <c r="H36" s="319"/>
      <c r="I36" s="319">
        <v>30.0</v>
      </c>
      <c r="J36" s="319"/>
      <c r="K36" s="319"/>
      <c r="L36" s="319"/>
      <c r="M36" s="314"/>
      <c r="N36" s="319"/>
      <c r="O36" s="319"/>
      <c r="P36" s="319"/>
      <c r="Q36" s="319"/>
    </row>
    <row r="37" ht="15.75" hidden="1" customHeight="1">
      <c r="A37" s="211">
        <v>32.0</v>
      </c>
      <c r="B37" s="322" t="s">
        <v>2766</v>
      </c>
      <c r="C37" s="322" t="s">
        <v>5601</v>
      </c>
      <c r="D37" s="319"/>
      <c r="E37" s="319"/>
      <c r="F37" s="323"/>
      <c r="G37" s="318"/>
      <c r="H37" s="319"/>
      <c r="I37" s="319">
        <v>30.0</v>
      </c>
      <c r="J37" s="319"/>
      <c r="K37" s="319"/>
      <c r="L37" s="319"/>
      <c r="M37" s="314"/>
      <c r="N37" s="319"/>
      <c r="O37" s="319"/>
      <c r="P37" s="319"/>
      <c r="Q37" s="319"/>
    </row>
    <row r="38" ht="15.75" hidden="1" customHeight="1">
      <c r="A38" s="321">
        <v>33.0</v>
      </c>
      <c r="B38" s="322" t="s">
        <v>1134</v>
      </c>
      <c r="C38" s="322" t="s">
        <v>5602</v>
      </c>
      <c r="D38" s="319"/>
      <c r="E38" s="319"/>
      <c r="F38" s="323"/>
      <c r="G38" s="318"/>
      <c r="H38" s="319"/>
      <c r="I38" s="319">
        <v>12.0</v>
      </c>
      <c r="J38" s="319"/>
      <c r="K38" s="319"/>
      <c r="L38" s="319"/>
      <c r="M38" s="314"/>
      <c r="N38" s="319"/>
      <c r="O38" s="319"/>
      <c r="P38" s="319"/>
      <c r="Q38" s="319"/>
    </row>
    <row r="39" ht="15.75" hidden="1" customHeight="1">
      <c r="A39" s="211">
        <v>34.0</v>
      </c>
      <c r="B39" s="322" t="s">
        <v>2766</v>
      </c>
      <c r="C39" s="322" t="s">
        <v>5602</v>
      </c>
      <c r="D39" s="319"/>
      <c r="E39" s="319"/>
      <c r="F39" s="323"/>
      <c r="G39" s="318"/>
      <c r="H39" s="319"/>
      <c r="I39" s="319">
        <v>18.0</v>
      </c>
      <c r="J39" s="319"/>
      <c r="K39" s="319"/>
      <c r="L39" s="319"/>
      <c r="M39" s="314"/>
      <c r="N39" s="319"/>
      <c r="O39" s="319"/>
      <c r="P39" s="319"/>
      <c r="Q39" s="319"/>
    </row>
    <row r="40" ht="15.75" hidden="1" customHeight="1">
      <c r="A40" s="321">
        <v>35.0</v>
      </c>
      <c r="B40" s="322" t="s">
        <v>1171</v>
      </c>
      <c r="C40" s="322" t="s">
        <v>5603</v>
      </c>
      <c r="D40" s="319"/>
      <c r="E40" s="319"/>
      <c r="F40" s="323"/>
      <c r="G40" s="318"/>
      <c r="H40" s="319"/>
      <c r="I40" s="319">
        <v>50.0</v>
      </c>
      <c r="J40" s="319"/>
      <c r="K40" s="319"/>
      <c r="L40" s="319"/>
      <c r="M40" s="314"/>
      <c r="N40" s="319"/>
      <c r="O40" s="319"/>
      <c r="P40" s="319"/>
      <c r="Q40" s="319"/>
    </row>
    <row r="41" ht="15.75" hidden="1" customHeight="1">
      <c r="A41" s="211">
        <v>36.0</v>
      </c>
      <c r="B41" s="322" t="s">
        <v>2766</v>
      </c>
      <c r="C41" s="322" t="s">
        <v>5603</v>
      </c>
      <c r="D41" s="319"/>
      <c r="E41" s="319"/>
      <c r="F41" s="323"/>
      <c r="G41" s="318"/>
      <c r="H41" s="319"/>
      <c r="I41" s="319">
        <v>50.0</v>
      </c>
      <c r="J41" s="319"/>
      <c r="K41" s="319"/>
      <c r="L41" s="319"/>
      <c r="M41" s="314"/>
      <c r="N41" s="319"/>
      <c r="O41" s="319"/>
      <c r="P41" s="319"/>
      <c r="Q41" s="319"/>
    </row>
    <row r="42" ht="15.75" hidden="1" customHeight="1">
      <c r="A42" s="211">
        <v>37.0</v>
      </c>
      <c r="B42" s="322" t="s">
        <v>1134</v>
      </c>
      <c r="C42" s="322" t="s">
        <v>5603</v>
      </c>
      <c r="D42" s="319"/>
      <c r="E42" s="319"/>
      <c r="F42" s="323"/>
      <c r="G42" s="318"/>
      <c r="H42" s="319"/>
      <c r="I42" s="319">
        <v>50.0</v>
      </c>
      <c r="J42" s="319"/>
      <c r="K42" s="319"/>
      <c r="L42" s="319"/>
      <c r="M42" s="314"/>
      <c r="N42" s="319"/>
      <c r="O42" s="319"/>
      <c r="P42" s="319"/>
      <c r="Q42" s="319"/>
    </row>
    <row r="43" ht="15.75" hidden="1" customHeight="1">
      <c r="A43" s="321">
        <v>38.0</v>
      </c>
      <c r="B43" s="322" t="s">
        <v>5604</v>
      </c>
      <c r="C43" s="322" t="s">
        <v>5605</v>
      </c>
      <c r="D43" s="319"/>
      <c r="E43" s="319"/>
      <c r="F43" s="323"/>
      <c r="G43" s="318"/>
      <c r="H43" s="319"/>
      <c r="I43" s="319">
        <v>30.0</v>
      </c>
      <c r="J43" s="319"/>
      <c r="K43" s="319"/>
      <c r="L43" s="319"/>
      <c r="M43" s="314"/>
      <c r="N43" s="319"/>
      <c r="O43" s="319"/>
      <c r="P43" s="319"/>
      <c r="Q43" s="319"/>
    </row>
    <row r="44" ht="15.75" hidden="1" customHeight="1">
      <c r="A44" s="211">
        <v>39.0</v>
      </c>
      <c r="B44" s="322" t="s">
        <v>1134</v>
      </c>
      <c r="C44" s="322" t="s">
        <v>5605</v>
      </c>
      <c r="D44" s="319"/>
      <c r="E44" s="319"/>
      <c r="F44" s="323"/>
      <c r="G44" s="318"/>
      <c r="H44" s="319"/>
      <c r="I44" s="319">
        <v>30.0</v>
      </c>
      <c r="J44" s="319"/>
      <c r="K44" s="319"/>
      <c r="L44" s="319"/>
      <c r="M44" s="314"/>
      <c r="N44" s="319"/>
      <c r="O44" s="319"/>
      <c r="P44" s="319"/>
      <c r="Q44" s="319"/>
    </row>
    <row r="45" ht="15.75" hidden="1" customHeight="1">
      <c r="A45" s="321">
        <v>40.0</v>
      </c>
      <c r="B45" s="322" t="s">
        <v>5606</v>
      </c>
      <c r="C45" s="322" t="s">
        <v>5605</v>
      </c>
      <c r="D45" s="319"/>
      <c r="E45" s="319"/>
      <c r="F45" s="323"/>
      <c r="G45" s="318"/>
      <c r="H45" s="319"/>
      <c r="I45" s="319">
        <v>200.0</v>
      </c>
      <c r="J45" s="319"/>
      <c r="K45" s="319"/>
      <c r="L45" s="319"/>
      <c r="M45" s="314"/>
      <c r="N45" s="319"/>
      <c r="O45" s="319"/>
      <c r="P45" s="319"/>
      <c r="Q45" s="319"/>
    </row>
    <row r="46" ht="15.75" hidden="1" customHeight="1">
      <c r="A46" s="211">
        <v>41.0</v>
      </c>
      <c r="B46" s="322" t="s">
        <v>1171</v>
      </c>
      <c r="C46" s="322" t="s">
        <v>5607</v>
      </c>
      <c r="D46" s="319"/>
      <c r="E46" s="319"/>
      <c r="F46" s="323"/>
      <c r="G46" s="318"/>
      <c r="H46" s="319"/>
      <c r="I46" s="319">
        <v>60.0</v>
      </c>
      <c r="J46" s="319"/>
      <c r="K46" s="319"/>
      <c r="L46" s="319"/>
      <c r="M46" s="314"/>
      <c r="N46" s="319"/>
      <c r="O46" s="319"/>
      <c r="P46" s="319"/>
      <c r="Q46" s="319"/>
    </row>
    <row r="47" ht="15.75" hidden="1" customHeight="1">
      <c r="A47" s="321">
        <v>42.0</v>
      </c>
      <c r="B47" s="322" t="s">
        <v>5608</v>
      </c>
      <c r="C47" s="322" t="s">
        <v>5607</v>
      </c>
      <c r="D47" s="319"/>
      <c r="E47" s="319"/>
      <c r="F47" s="323"/>
      <c r="G47" s="318"/>
      <c r="H47" s="319"/>
      <c r="I47" s="319">
        <v>1000.0</v>
      </c>
      <c r="J47" s="319"/>
      <c r="K47" s="319"/>
      <c r="L47" s="319"/>
      <c r="M47" s="314"/>
      <c r="N47" s="319"/>
      <c r="O47" s="319"/>
      <c r="P47" s="319"/>
      <c r="Q47" s="319"/>
    </row>
    <row r="48" ht="15.75" hidden="1" customHeight="1">
      <c r="A48" s="211">
        <v>43.0</v>
      </c>
      <c r="B48" s="322" t="s">
        <v>1171</v>
      </c>
      <c r="C48" s="322" t="s">
        <v>5609</v>
      </c>
      <c r="D48" s="319"/>
      <c r="E48" s="319"/>
      <c r="F48" s="323"/>
      <c r="G48" s="318"/>
      <c r="H48" s="319"/>
      <c r="I48" s="319">
        <v>36.0</v>
      </c>
      <c r="J48" s="319"/>
      <c r="K48" s="319"/>
      <c r="L48" s="319"/>
      <c r="M48" s="314"/>
      <c r="N48" s="319"/>
      <c r="O48" s="319"/>
      <c r="P48" s="319"/>
      <c r="Q48" s="319"/>
    </row>
    <row r="49" ht="15.75" hidden="1" customHeight="1">
      <c r="A49" s="321">
        <v>44.0</v>
      </c>
      <c r="B49" s="322" t="s">
        <v>1134</v>
      </c>
      <c r="C49" s="322" t="s">
        <v>5609</v>
      </c>
      <c r="D49" s="319"/>
      <c r="E49" s="319"/>
      <c r="F49" s="323"/>
      <c r="G49" s="318"/>
      <c r="H49" s="319"/>
      <c r="I49" s="319">
        <v>36.0</v>
      </c>
      <c r="J49" s="319"/>
      <c r="K49" s="319"/>
      <c r="L49" s="319"/>
      <c r="M49" s="314"/>
      <c r="N49" s="319"/>
      <c r="O49" s="319"/>
      <c r="P49" s="319"/>
      <c r="Q49" s="319"/>
    </row>
    <row r="50" ht="15.75" hidden="1" customHeight="1">
      <c r="A50" s="211">
        <v>45.0</v>
      </c>
      <c r="B50" s="322" t="s">
        <v>1171</v>
      </c>
      <c r="C50" s="322" t="s">
        <v>5610</v>
      </c>
      <c r="D50" s="319"/>
      <c r="E50" s="319"/>
      <c r="F50" s="323"/>
      <c r="G50" s="318"/>
      <c r="H50" s="319"/>
      <c r="I50" s="319">
        <v>24.0</v>
      </c>
      <c r="J50" s="319"/>
      <c r="K50" s="319"/>
      <c r="L50" s="319"/>
      <c r="M50" s="314"/>
      <c r="N50" s="319"/>
      <c r="O50" s="319"/>
      <c r="P50" s="319"/>
      <c r="Q50" s="319"/>
    </row>
    <row r="51" ht="15.75" hidden="1" customHeight="1">
      <c r="A51" s="211">
        <v>46.0</v>
      </c>
      <c r="B51" s="322" t="s">
        <v>1134</v>
      </c>
      <c r="C51" s="322" t="s">
        <v>5610</v>
      </c>
      <c r="D51" s="319"/>
      <c r="E51" s="319"/>
      <c r="F51" s="323"/>
      <c r="G51" s="318"/>
      <c r="H51" s="319"/>
      <c r="I51" s="319">
        <v>30.0</v>
      </c>
      <c r="J51" s="319"/>
      <c r="K51" s="319"/>
      <c r="L51" s="319"/>
      <c r="M51" s="314"/>
      <c r="N51" s="319"/>
      <c r="O51" s="319"/>
      <c r="P51" s="319"/>
      <c r="Q51" s="319"/>
    </row>
    <row r="52" ht="15.75" hidden="1" customHeight="1">
      <c r="A52" s="321">
        <v>47.0</v>
      </c>
      <c r="B52" s="322" t="s">
        <v>1171</v>
      </c>
      <c r="C52" s="322" t="s">
        <v>5611</v>
      </c>
      <c r="D52" s="319"/>
      <c r="E52" s="319"/>
      <c r="F52" s="323"/>
      <c r="G52" s="318"/>
      <c r="H52" s="319"/>
      <c r="I52" s="319">
        <v>30.0</v>
      </c>
      <c r="J52" s="319"/>
      <c r="K52" s="319"/>
      <c r="L52" s="319"/>
      <c r="M52" s="314"/>
      <c r="N52" s="319"/>
      <c r="O52" s="319"/>
      <c r="P52" s="319"/>
      <c r="Q52" s="319"/>
    </row>
    <row r="53" ht="15.75" hidden="1" customHeight="1">
      <c r="A53" s="211">
        <v>48.0</v>
      </c>
      <c r="B53" s="322" t="s">
        <v>1134</v>
      </c>
      <c r="C53" s="322" t="s">
        <v>5611</v>
      </c>
      <c r="D53" s="319"/>
      <c r="E53" s="319"/>
      <c r="F53" s="323"/>
      <c r="G53" s="318"/>
      <c r="H53" s="319"/>
      <c r="I53" s="319">
        <v>30.0</v>
      </c>
      <c r="J53" s="319"/>
      <c r="K53" s="319"/>
      <c r="L53" s="319"/>
      <c r="M53" s="314"/>
      <c r="N53" s="319"/>
      <c r="O53" s="319"/>
      <c r="P53" s="319"/>
      <c r="Q53" s="319"/>
    </row>
    <row r="54" ht="15.75" hidden="1" customHeight="1">
      <c r="A54" s="321">
        <v>49.0</v>
      </c>
      <c r="B54" s="322" t="s">
        <v>5612</v>
      </c>
      <c r="C54" s="322" t="s">
        <v>5613</v>
      </c>
      <c r="D54" s="319"/>
      <c r="E54" s="319"/>
      <c r="F54" s="323"/>
      <c r="G54" s="318"/>
      <c r="H54" s="319"/>
      <c r="I54" s="319">
        <v>120.0</v>
      </c>
      <c r="J54" s="319"/>
      <c r="K54" s="319"/>
      <c r="L54" s="319"/>
      <c r="M54" s="314"/>
      <c r="N54" s="319"/>
      <c r="O54" s="319"/>
      <c r="P54" s="319"/>
      <c r="Q54" s="319"/>
    </row>
    <row r="55" ht="15.75" hidden="1" customHeight="1">
      <c r="A55" s="211">
        <v>50.0</v>
      </c>
      <c r="B55" s="322" t="s">
        <v>1134</v>
      </c>
      <c r="C55" s="322" t="s">
        <v>5613</v>
      </c>
      <c r="D55" s="319"/>
      <c r="E55" s="319"/>
      <c r="F55" s="323"/>
      <c r="G55" s="318"/>
      <c r="H55" s="319"/>
      <c r="I55" s="319">
        <v>24.0</v>
      </c>
      <c r="J55" s="319"/>
      <c r="K55" s="319"/>
      <c r="L55" s="319"/>
      <c r="M55" s="314"/>
      <c r="N55" s="319"/>
      <c r="O55" s="319"/>
      <c r="P55" s="319"/>
      <c r="Q55" s="319"/>
    </row>
    <row r="56" ht="15.75" hidden="1" customHeight="1">
      <c r="A56" s="321">
        <v>51.0</v>
      </c>
      <c r="B56" s="322" t="s">
        <v>5614</v>
      </c>
      <c r="C56" s="322" t="s">
        <v>5613</v>
      </c>
      <c r="D56" s="319"/>
      <c r="E56" s="319"/>
      <c r="F56" s="323"/>
      <c r="G56" s="318"/>
      <c r="H56" s="319"/>
      <c r="I56" s="319">
        <v>120.0</v>
      </c>
      <c r="J56" s="319"/>
      <c r="K56" s="319"/>
      <c r="L56" s="319"/>
      <c r="M56" s="314"/>
      <c r="N56" s="319"/>
      <c r="O56" s="319"/>
      <c r="P56" s="319"/>
      <c r="Q56" s="319"/>
    </row>
    <row r="57" ht="15.75" hidden="1" customHeight="1">
      <c r="A57" s="211">
        <v>52.0</v>
      </c>
      <c r="B57" s="322" t="s">
        <v>5615</v>
      </c>
      <c r="C57" s="322" t="s">
        <v>5613</v>
      </c>
      <c r="D57" s="319"/>
      <c r="E57" s="319"/>
      <c r="F57" s="323"/>
      <c r="G57" s="318"/>
      <c r="H57" s="319"/>
      <c r="I57" s="319">
        <v>360.0</v>
      </c>
      <c r="J57" s="319"/>
      <c r="K57" s="319"/>
      <c r="L57" s="319"/>
      <c r="M57" s="314"/>
      <c r="N57" s="319"/>
      <c r="O57" s="319"/>
      <c r="P57" s="319"/>
      <c r="Q57" s="319"/>
    </row>
    <row r="58" ht="15.75" hidden="1" customHeight="1">
      <c r="A58" s="321">
        <v>53.0</v>
      </c>
      <c r="B58" s="322" t="s">
        <v>1134</v>
      </c>
      <c r="C58" s="322" t="s">
        <v>1991</v>
      </c>
      <c r="D58" s="319"/>
      <c r="E58" s="319"/>
      <c r="F58" s="323"/>
      <c r="G58" s="318"/>
      <c r="H58" s="319"/>
      <c r="I58" s="319">
        <v>60.0</v>
      </c>
      <c r="J58" s="319"/>
      <c r="K58" s="319"/>
      <c r="L58" s="319"/>
      <c r="M58" s="314"/>
      <c r="N58" s="319"/>
      <c r="O58" s="319"/>
      <c r="P58" s="319"/>
      <c r="Q58" s="319"/>
    </row>
    <row r="59" ht="15.75" hidden="1" customHeight="1">
      <c r="A59" s="211">
        <v>54.0</v>
      </c>
      <c r="B59" s="322" t="s">
        <v>2680</v>
      </c>
      <c r="C59" s="322" t="s">
        <v>5616</v>
      </c>
      <c r="D59" s="319"/>
      <c r="E59" s="319"/>
      <c r="F59" s="323"/>
      <c r="G59" s="318"/>
      <c r="H59" s="319"/>
      <c r="I59" s="319">
        <v>504.0</v>
      </c>
      <c r="J59" s="319"/>
      <c r="K59" s="319"/>
      <c r="L59" s="319"/>
      <c r="M59" s="314"/>
      <c r="N59" s="319"/>
      <c r="O59" s="319"/>
      <c r="P59" s="319"/>
      <c r="Q59" s="319"/>
    </row>
    <row r="60" ht="15.75" hidden="1" customHeight="1">
      <c r="A60" s="211">
        <v>55.0</v>
      </c>
      <c r="B60" s="322" t="s">
        <v>2302</v>
      </c>
      <c r="C60" s="322" t="s">
        <v>5617</v>
      </c>
      <c r="D60" s="319"/>
      <c r="E60" s="319"/>
      <c r="F60" s="323"/>
      <c r="G60" s="318"/>
      <c r="H60" s="319"/>
      <c r="I60" s="319">
        <v>18.0</v>
      </c>
      <c r="J60" s="319"/>
      <c r="K60" s="319"/>
      <c r="L60" s="319"/>
      <c r="M60" s="314"/>
      <c r="N60" s="319"/>
      <c r="O60" s="319"/>
      <c r="P60" s="319"/>
      <c r="Q60" s="319"/>
    </row>
    <row r="61" ht="15.75" hidden="1" customHeight="1">
      <c r="A61" s="321">
        <v>56.0</v>
      </c>
      <c r="B61" s="322" t="s">
        <v>2766</v>
      </c>
      <c r="C61" s="322" t="s">
        <v>5617</v>
      </c>
      <c r="D61" s="319"/>
      <c r="E61" s="319"/>
      <c r="F61" s="323"/>
      <c r="G61" s="318"/>
      <c r="H61" s="319"/>
      <c r="I61" s="319">
        <v>12.0</v>
      </c>
      <c r="J61" s="319"/>
      <c r="K61" s="319"/>
      <c r="L61" s="319"/>
      <c r="M61" s="314"/>
      <c r="N61" s="319"/>
      <c r="O61" s="319"/>
      <c r="P61" s="319"/>
      <c r="Q61" s="319"/>
    </row>
    <row r="62" ht="15.75" hidden="1" customHeight="1">
      <c r="A62" s="211">
        <v>57.0</v>
      </c>
      <c r="B62" s="322" t="s">
        <v>1171</v>
      </c>
      <c r="C62" s="322" t="s">
        <v>5618</v>
      </c>
      <c r="D62" s="319"/>
      <c r="E62" s="319"/>
      <c r="F62" s="323"/>
      <c r="G62" s="318"/>
      <c r="H62" s="319"/>
      <c r="I62" s="319">
        <v>10.0</v>
      </c>
      <c r="J62" s="319"/>
      <c r="K62" s="319"/>
      <c r="L62" s="319"/>
      <c r="M62" s="314"/>
      <c r="N62" s="319"/>
      <c r="O62" s="319"/>
      <c r="P62" s="319"/>
      <c r="Q62" s="319"/>
    </row>
    <row r="63" ht="15.75" hidden="1" customHeight="1">
      <c r="A63" s="321">
        <v>58.0</v>
      </c>
      <c r="B63" s="322" t="s">
        <v>1134</v>
      </c>
      <c r="C63" s="322" t="s">
        <v>5618</v>
      </c>
      <c r="D63" s="319"/>
      <c r="E63" s="319"/>
      <c r="F63" s="323"/>
      <c r="G63" s="318"/>
      <c r="H63" s="319"/>
      <c r="I63" s="319">
        <v>15.0</v>
      </c>
      <c r="J63" s="319"/>
      <c r="K63" s="319"/>
      <c r="L63" s="319"/>
      <c r="M63" s="314"/>
      <c r="N63" s="319"/>
      <c r="O63" s="319"/>
      <c r="P63" s="319"/>
      <c r="Q63" s="319"/>
    </row>
    <row r="64" ht="15.75" hidden="1" customHeight="1">
      <c r="A64" s="211">
        <v>59.0</v>
      </c>
      <c r="B64" s="322" t="s">
        <v>5619</v>
      </c>
      <c r="C64" s="322" t="s">
        <v>5618</v>
      </c>
      <c r="D64" s="319"/>
      <c r="E64" s="319"/>
      <c r="F64" s="323"/>
      <c r="G64" s="318"/>
      <c r="H64" s="319"/>
      <c r="I64" s="319">
        <v>360.0</v>
      </c>
      <c r="J64" s="319"/>
      <c r="K64" s="319"/>
      <c r="L64" s="319"/>
      <c r="M64" s="314"/>
      <c r="N64" s="319"/>
      <c r="O64" s="319"/>
      <c r="P64" s="319"/>
      <c r="Q64" s="319"/>
    </row>
    <row r="65" ht="15.75" hidden="1" customHeight="1">
      <c r="A65" s="321">
        <v>60.0</v>
      </c>
      <c r="B65" s="322" t="s">
        <v>1171</v>
      </c>
      <c r="C65" s="322" t="s">
        <v>5620</v>
      </c>
      <c r="D65" s="319"/>
      <c r="E65" s="319"/>
      <c r="F65" s="323"/>
      <c r="G65" s="318"/>
      <c r="H65" s="319"/>
      <c r="I65" s="319">
        <v>50.0</v>
      </c>
      <c r="J65" s="319"/>
      <c r="K65" s="319"/>
      <c r="L65" s="319"/>
      <c r="M65" s="314"/>
      <c r="N65" s="319"/>
      <c r="O65" s="319"/>
      <c r="P65" s="319"/>
      <c r="Q65" s="319"/>
    </row>
    <row r="66" ht="15.75" hidden="1" customHeight="1">
      <c r="A66" s="211">
        <v>61.0</v>
      </c>
      <c r="B66" s="322" t="s">
        <v>1134</v>
      </c>
      <c r="C66" s="322" t="s">
        <v>5620</v>
      </c>
      <c r="D66" s="319"/>
      <c r="E66" s="319"/>
      <c r="F66" s="323"/>
      <c r="G66" s="318"/>
      <c r="H66" s="319"/>
      <c r="I66" s="319">
        <v>50.0</v>
      </c>
      <c r="J66" s="319"/>
      <c r="K66" s="319"/>
      <c r="L66" s="319"/>
      <c r="M66" s="314"/>
      <c r="N66" s="319"/>
      <c r="O66" s="319"/>
      <c r="P66" s="319"/>
      <c r="Q66" s="319"/>
    </row>
    <row r="67" ht="15.75" hidden="1" customHeight="1">
      <c r="A67" s="321">
        <v>62.0</v>
      </c>
      <c r="B67" s="322" t="s">
        <v>2766</v>
      </c>
      <c r="C67" s="322" t="s">
        <v>5620</v>
      </c>
      <c r="D67" s="319"/>
      <c r="E67" s="319"/>
      <c r="F67" s="323"/>
      <c r="G67" s="318"/>
      <c r="H67" s="319"/>
      <c r="I67" s="319">
        <v>50.0</v>
      </c>
      <c r="J67" s="319"/>
      <c r="K67" s="319"/>
      <c r="L67" s="319"/>
      <c r="M67" s="314"/>
      <c r="N67" s="319"/>
      <c r="O67" s="319"/>
      <c r="P67" s="319"/>
      <c r="Q67" s="319"/>
    </row>
    <row r="68" ht="15.75" hidden="1" customHeight="1">
      <c r="A68" s="211">
        <v>63.0</v>
      </c>
      <c r="B68" s="322" t="s">
        <v>1171</v>
      </c>
      <c r="C68" s="322" t="s">
        <v>5621</v>
      </c>
      <c r="D68" s="319"/>
      <c r="E68" s="319"/>
      <c r="F68" s="323"/>
      <c r="G68" s="318"/>
      <c r="H68" s="319"/>
      <c r="I68" s="319">
        <v>25.0</v>
      </c>
      <c r="J68" s="319"/>
      <c r="K68" s="319"/>
      <c r="L68" s="319"/>
      <c r="M68" s="314"/>
      <c r="N68" s="319"/>
      <c r="O68" s="319"/>
      <c r="P68" s="319"/>
      <c r="Q68" s="319"/>
    </row>
    <row r="69" ht="15.75" hidden="1" customHeight="1">
      <c r="A69" s="211">
        <v>64.0</v>
      </c>
      <c r="B69" s="322" t="s">
        <v>1134</v>
      </c>
      <c r="C69" s="322" t="s">
        <v>5621</v>
      </c>
      <c r="D69" s="319"/>
      <c r="E69" s="319"/>
      <c r="F69" s="323"/>
      <c r="G69" s="318"/>
      <c r="H69" s="319"/>
      <c r="I69" s="319">
        <v>20.0</v>
      </c>
      <c r="J69" s="319"/>
      <c r="K69" s="319"/>
      <c r="L69" s="319"/>
      <c r="M69" s="314"/>
      <c r="N69" s="319"/>
      <c r="O69" s="319"/>
      <c r="P69" s="319"/>
      <c r="Q69" s="319"/>
    </row>
    <row r="70" ht="15.75" hidden="1" customHeight="1">
      <c r="A70" s="321">
        <v>65.0</v>
      </c>
      <c r="B70" s="322" t="s">
        <v>5622</v>
      </c>
      <c r="C70" s="322" t="s">
        <v>5621</v>
      </c>
      <c r="D70" s="319"/>
      <c r="E70" s="319"/>
      <c r="F70" s="323"/>
      <c r="G70" s="318"/>
      <c r="H70" s="319"/>
      <c r="I70" s="319">
        <v>150.0</v>
      </c>
      <c r="J70" s="319"/>
      <c r="K70" s="319"/>
      <c r="L70" s="319"/>
      <c r="M70" s="314"/>
      <c r="N70" s="319"/>
      <c r="O70" s="319"/>
      <c r="P70" s="319"/>
      <c r="Q70" s="319"/>
    </row>
    <row r="71" ht="15.75" hidden="1" customHeight="1">
      <c r="A71" s="211">
        <v>66.0</v>
      </c>
      <c r="B71" s="322" t="s">
        <v>5623</v>
      </c>
      <c r="C71" s="322" t="s">
        <v>5621</v>
      </c>
      <c r="D71" s="319"/>
      <c r="E71" s="319"/>
      <c r="F71" s="323"/>
      <c r="G71" s="318"/>
      <c r="H71" s="319"/>
      <c r="I71" s="319">
        <v>180.0</v>
      </c>
      <c r="J71" s="319"/>
      <c r="K71" s="319"/>
      <c r="L71" s="319"/>
      <c r="M71" s="314"/>
      <c r="N71" s="319"/>
      <c r="O71" s="319"/>
      <c r="P71" s="319"/>
      <c r="Q71" s="319"/>
    </row>
    <row r="72" ht="15.75" hidden="1" customHeight="1">
      <c r="A72" s="321">
        <v>67.0</v>
      </c>
      <c r="B72" s="322" t="s">
        <v>1171</v>
      </c>
      <c r="C72" s="322" t="s">
        <v>5624</v>
      </c>
      <c r="D72" s="319"/>
      <c r="E72" s="319"/>
      <c r="F72" s="323"/>
      <c r="G72" s="318"/>
      <c r="H72" s="319"/>
      <c r="I72" s="319">
        <v>50.0</v>
      </c>
      <c r="J72" s="319"/>
      <c r="K72" s="319"/>
      <c r="L72" s="319"/>
      <c r="M72" s="314"/>
      <c r="N72" s="319"/>
      <c r="O72" s="319"/>
      <c r="P72" s="319"/>
      <c r="Q72" s="319"/>
    </row>
    <row r="73" ht="15.75" hidden="1" customHeight="1">
      <c r="A73" s="211">
        <v>68.0</v>
      </c>
      <c r="B73" s="322" t="s">
        <v>1134</v>
      </c>
      <c r="C73" s="322" t="s">
        <v>5624</v>
      </c>
      <c r="D73" s="319"/>
      <c r="E73" s="319"/>
      <c r="F73" s="323"/>
      <c r="G73" s="318"/>
      <c r="H73" s="319"/>
      <c r="I73" s="319">
        <v>20.0</v>
      </c>
      <c r="J73" s="319"/>
      <c r="K73" s="319"/>
      <c r="L73" s="319"/>
      <c r="M73" s="314"/>
      <c r="N73" s="319"/>
      <c r="O73" s="319"/>
      <c r="P73" s="319"/>
      <c r="Q73" s="319"/>
    </row>
    <row r="74" ht="15.75" hidden="1" customHeight="1">
      <c r="A74" s="321">
        <v>69.0</v>
      </c>
      <c r="B74" s="322" t="s">
        <v>1171</v>
      </c>
      <c r="C74" s="322" t="s">
        <v>3157</v>
      </c>
      <c r="D74" s="319"/>
      <c r="E74" s="319"/>
      <c r="F74" s="323"/>
      <c r="G74" s="318"/>
      <c r="H74" s="319"/>
      <c r="I74" s="319">
        <v>20.0</v>
      </c>
      <c r="J74" s="319"/>
      <c r="K74" s="319"/>
      <c r="L74" s="319"/>
      <c r="M74" s="314"/>
      <c r="N74" s="319"/>
      <c r="O74" s="319"/>
      <c r="P74" s="319"/>
      <c r="Q74" s="319"/>
    </row>
    <row r="75" ht="15.75" hidden="1" customHeight="1">
      <c r="A75" s="211">
        <v>70.0</v>
      </c>
      <c r="B75" s="322" t="s">
        <v>1134</v>
      </c>
      <c r="C75" s="322" t="s">
        <v>3157</v>
      </c>
      <c r="D75" s="319"/>
      <c r="E75" s="319"/>
      <c r="F75" s="323"/>
      <c r="G75" s="318"/>
      <c r="H75" s="319"/>
      <c r="I75" s="319">
        <v>30.0</v>
      </c>
      <c r="J75" s="319"/>
      <c r="K75" s="319"/>
      <c r="L75" s="319"/>
      <c r="M75" s="314"/>
      <c r="N75" s="319"/>
      <c r="O75" s="319"/>
      <c r="P75" s="319"/>
      <c r="Q75" s="319"/>
    </row>
    <row r="76" ht="15.75" hidden="1" customHeight="1">
      <c r="A76" s="321">
        <v>71.0</v>
      </c>
      <c r="B76" s="322" t="s">
        <v>2766</v>
      </c>
      <c r="C76" s="322" t="s">
        <v>3157</v>
      </c>
      <c r="D76" s="319"/>
      <c r="E76" s="319"/>
      <c r="F76" s="323"/>
      <c r="G76" s="318"/>
      <c r="H76" s="319"/>
      <c r="I76" s="319">
        <v>15.0</v>
      </c>
      <c r="J76" s="319"/>
      <c r="K76" s="319"/>
      <c r="L76" s="319"/>
      <c r="M76" s="314"/>
      <c r="N76" s="319"/>
      <c r="O76" s="319"/>
      <c r="P76" s="319"/>
      <c r="Q76" s="319"/>
    </row>
    <row r="77" ht="15.75" hidden="1" customHeight="1">
      <c r="A77" s="211">
        <v>72.0</v>
      </c>
      <c r="B77" s="322" t="s">
        <v>875</v>
      </c>
      <c r="C77" s="322" t="s">
        <v>3157</v>
      </c>
      <c r="D77" s="319"/>
      <c r="E77" s="319"/>
      <c r="F77" s="323"/>
      <c r="G77" s="318"/>
      <c r="H77" s="319"/>
      <c r="I77" s="319">
        <v>15.0</v>
      </c>
      <c r="J77" s="319"/>
      <c r="K77" s="319"/>
      <c r="L77" s="319"/>
      <c r="M77" s="314"/>
      <c r="N77" s="319"/>
      <c r="O77" s="319"/>
      <c r="P77" s="319"/>
      <c r="Q77" s="319"/>
    </row>
    <row r="78" ht="15.75" hidden="1" customHeight="1">
      <c r="A78" s="211">
        <v>73.0</v>
      </c>
      <c r="B78" s="322" t="s">
        <v>5604</v>
      </c>
      <c r="C78" s="322" t="s">
        <v>5625</v>
      </c>
      <c r="D78" s="319"/>
      <c r="E78" s="319"/>
      <c r="F78" s="323"/>
      <c r="G78" s="318"/>
      <c r="H78" s="319"/>
      <c r="I78" s="319">
        <v>15.0</v>
      </c>
      <c r="J78" s="319"/>
      <c r="K78" s="319"/>
      <c r="L78" s="319"/>
      <c r="M78" s="314"/>
      <c r="N78" s="319"/>
      <c r="O78" s="319"/>
      <c r="P78" s="319"/>
      <c r="Q78" s="319"/>
    </row>
    <row r="79" ht="15.75" hidden="1" customHeight="1">
      <c r="A79" s="321">
        <v>74.0</v>
      </c>
      <c r="B79" s="322" t="s">
        <v>1171</v>
      </c>
      <c r="C79" s="322" t="s">
        <v>5626</v>
      </c>
      <c r="D79" s="319"/>
      <c r="E79" s="319"/>
      <c r="F79" s="323"/>
      <c r="G79" s="318"/>
      <c r="H79" s="319"/>
      <c r="I79" s="319">
        <v>75.0</v>
      </c>
      <c r="J79" s="319"/>
      <c r="K79" s="319"/>
      <c r="L79" s="319"/>
      <c r="M79" s="314"/>
      <c r="N79" s="319"/>
      <c r="O79" s="319"/>
      <c r="P79" s="319"/>
      <c r="Q79" s="319"/>
    </row>
    <row r="80" ht="15.75" hidden="1" customHeight="1">
      <c r="A80" s="211">
        <v>75.0</v>
      </c>
      <c r="B80" s="322" t="s">
        <v>1134</v>
      </c>
      <c r="C80" s="322" t="s">
        <v>5626</v>
      </c>
      <c r="D80" s="319"/>
      <c r="E80" s="319"/>
      <c r="F80" s="323"/>
      <c r="G80" s="318"/>
      <c r="H80" s="319"/>
      <c r="I80" s="319">
        <v>75.0</v>
      </c>
      <c r="J80" s="319"/>
      <c r="K80" s="319"/>
      <c r="L80" s="319"/>
      <c r="M80" s="314"/>
      <c r="N80" s="319"/>
      <c r="O80" s="319"/>
      <c r="P80" s="319"/>
      <c r="Q80" s="319"/>
    </row>
    <row r="81" ht="15.75" hidden="1" customHeight="1">
      <c r="A81" s="321">
        <v>76.0</v>
      </c>
      <c r="B81" s="322" t="s">
        <v>5627</v>
      </c>
      <c r="C81" s="322" t="s">
        <v>5626</v>
      </c>
      <c r="D81" s="319"/>
      <c r="E81" s="319"/>
      <c r="F81" s="323"/>
      <c r="G81" s="318"/>
      <c r="H81" s="319"/>
      <c r="I81" s="319">
        <v>10.0</v>
      </c>
      <c r="J81" s="319"/>
      <c r="K81" s="319"/>
      <c r="L81" s="319"/>
      <c r="M81" s="314"/>
      <c r="N81" s="319"/>
      <c r="O81" s="319"/>
      <c r="P81" s="319"/>
      <c r="Q81" s="319"/>
    </row>
    <row r="82" ht="15.75" hidden="1" customHeight="1">
      <c r="A82" s="211">
        <v>77.0</v>
      </c>
      <c r="B82" s="322" t="s">
        <v>1171</v>
      </c>
      <c r="C82" s="322" t="s">
        <v>5628</v>
      </c>
      <c r="D82" s="319"/>
      <c r="E82" s="319"/>
      <c r="F82" s="323"/>
      <c r="G82" s="318"/>
      <c r="H82" s="319"/>
      <c r="I82" s="319">
        <v>180.0</v>
      </c>
      <c r="J82" s="319"/>
      <c r="K82" s="319"/>
      <c r="L82" s="319"/>
      <c r="M82" s="314"/>
      <c r="N82" s="319"/>
      <c r="O82" s="319"/>
      <c r="P82" s="319"/>
      <c r="Q82" s="319"/>
    </row>
    <row r="83" ht="15.75" hidden="1" customHeight="1">
      <c r="A83" s="321">
        <v>78.0</v>
      </c>
      <c r="B83" s="322" t="s">
        <v>1134</v>
      </c>
      <c r="C83" s="322" t="s">
        <v>5628</v>
      </c>
      <c r="D83" s="319"/>
      <c r="E83" s="319"/>
      <c r="F83" s="323"/>
      <c r="G83" s="318"/>
      <c r="H83" s="319"/>
      <c r="I83" s="319">
        <v>40.0</v>
      </c>
      <c r="J83" s="319"/>
      <c r="K83" s="319"/>
      <c r="L83" s="319"/>
      <c r="M83" s="314"/>
      <c r="N83" s="319"/>
      <c r="O83" s="319"/>
      <c r="P83" s="319"/>
      <c r="Q83" s="319"/>
    </row>
    <row r="84" ht="15.75" hidden="1" customHeight="1">
      <c r="A84" s="211">
        <v>79.0</v>
      </c>
      <c r="B84" s="322" t="s">
        <v>5629</v>
      </c>
      <c r="C84" s="322" t="s">
        <v>5628</v>
      </c>
      <c r="D84" s="319"/>
      <c r="E84" s="319"/>
      <c r="F84" s="323"/>
      <c r="G84" s="318"/>
      <c r="H84" s="319"/>
      <c r="I84" s="319">
        <v>550.0</v>
      </c>
      <c r="J84" s="319"/>
      <c r="K84" s="319"/>
      <c r="L84" s="319"/>
      <c r="M84" s="314"/>
      <c r="N84" s="319"/>
      <c r="O84" s="319"/>
      <c r="P84" s="319"/>
      <c r="Q84" s="319"/>
    </row>
    <row r="85" ht="15.75" hidden="1" customHeight="1">
      <c r="A85" s="321">
        <v>80.0</v>
      </c>
      <c r="B85" s="322" t="s">
        <v>5630</v>
      </c>
      <c r="C85" s="322" t="s">
        <v>5628</v>
      </c>
      <c r="D85" s="319"/>
      <c r="E85" s="319"/>
      <c r="F85" s="323"/>
      <c r="G85" s="318"/>
      <c r="H85" s="319"/>
      <c r="I85" s="319">
        <v>90.0</v>
      </c>
      <c r="J85" s="319"/>
      <c r="K85" s="319"/>
      <c r="L85" s="319"/>
      <c r="M85" s="314"/>
      <c r="N85" s="319"/>
      <c r="O85" s="319"/>
      <c r="P85" s="319"/>
      <c r="Q85" s="319"/>
    </row>
    <row r="86" ht="15.75" hidden="1" customHeight="1">
      <c r="A86" s="211">
        <v>81.0</v>
      </c>
      <c r="B86" s="322" t="s">
        <v>1171</v>
      </c>
      <c r="C86" s="322" t="s">
        <v>5631</v>
      </c>
      <c r="D86" s="319"/>
      <c r="E86" s="319"/>
      <c r="F86" s="323"/>
      <c r="G86" s="318"/>
      <c r="H86" s="319"/>
      <c r="I86" s="319">
        <v>90.0</v>
      </c>
      <c r="J86" s="319"/>
      <c r="K86" s="319"/>
      <c r="L86" s="319"/>
      <c r="M86" s="314"/>
      <c r="N86" s="319"/>
      <c r="O86" s="319"/>
      <c r="P86" s="319"/>
      <c r="Q86" s="319"/>
    </row>
    <row r="87" ht="15.75" hidden="1" customHeight="1">
      <c r="A87" s="211">
        <v>82.0</v>
      </c>
      <c r="B87" s="322" t="s">
        <v>1134</v>
      </c>
      <c r="C87" s="322" t="s">
        <v>5631</v>
      </c>
      <c r="D87" s="319"/>
      <c r="E87" s="319"/>
      <c r="F87" s="323"/>
      <c r="G87" s="318"/>
      <c r="H87" s="319"/>
      <c r="I87" s="319">
        <v>90.0</v>
      </c>
      <c r="J87" s="319"/>
      <c r="K87" s="319"/>
      <c r="L87" s="319"/>
      <c r="M87" s="314"/>
      <c r="N87" s="319"/>
      <c r="O87" s="319"/>
      <c r="P87" s="319"/>
      <c r="Q87" s="319"/>
    </row>
    <row r="88" ht="15.75" hidden="1" customHeight="1">
      <c r="A88" s="321">
        <v>83.0</v>
      </c>
      <c r="B88" s="322" t="s">
        <v>5632</v>
      </c>
      <c r="C88" s="322" t="s">
        <v>5631</v>
      </c>
      <c r="D88" s="319"/>
      <c r="E88" s="319"/>
      <c r="F88" s="323"/>
      <c r="G88" s="318"/>
      <c r="H88" s="319"/>
      <c r="I88" s="319">
        <v>10.0</v>
      </c>
      <c r="J88" s="319"/>
      <c r="K88" s="319"/>
      <c r="L88" s="319"/>
      <c r="M88" s="314"/>
      <c r="N88" s="319"/>
      <c r="O88" s="319"/>
      <c r="P88" s="319"/>
      <c r="Q88" s="319"/>
    </row>
    <row r="89" ht="15.75" hidden="1" customHeight="1">
      <c r="A89" s="211">
        <v>84.0</v>
      </c>
      <c r="B89" s="322" t="s">
        <v>5633</v>
      </c>
      <c r="C89" s="322" t="s">
        <v>5631</v>
      </c>
      <c r="D89" s="319"/>
      <c r="E89" s="319"/>
      <c r="F89" s="323"/>
      <c r="G89" s="318"/>
      <c r="H89" s="319"/>
      <c r="I89" s="319">
        <v>180.0</v>
      </c>
      <c r="J89" s="319"/>
      <c r="K89" s="319"/>
      <c r="L89" s="319"/>
      <c r="M89" s="314"/>
      <c r="N89" s="319"/>
      <c r="O89" s="319"/>
      <c r="P89" s="319"/>
      <c r="Q89" s="319"/>
    </row>
    <row r="90" ht="15.75" hidden="1" customHeight="1">
      <c r="A90" s="321">
        <v>85.0</v>
      </c>
      <c r="B90" s="322" t="s">
        <v>5604</v>
      </c>
      <c r="C90" s="322" t="s">
        <v>5634</v>
      </c>
      <c r="D90" s="319"/>
      <c r="E90" s="319"/>
      <c r="F90" s="323"/>
      <c r="G90" s="318"/>
      <c r="H90" s="319"/>
      <c r="I90" s="319">
        <v>40.0</v>
      </c>
      <c r="J90" s="319"/>
      <c r="K90" s="319"/>
      <c r="L90" s="319"/>
      <c r="M90" s="314"/>
      <c r="N90" s="319"/>
      <c r="O90" s="319"/>
      <c r="P90" s="319"/>
      <c r="Q90" s="319"/>
    </row>
    <row r="91" ht="15.75" hidden="1" customHeight="1">
      <c r="A91" s="211">
        <v>86.0</v>
      </c>
      <c r="B91" s="322" t="s">
        <v>735</v>
      </c>
      <c r="C91" s="322" t="s">
        <v>5634</v>
      </c>
      <c r="D91" s="319"/>
      <c r="E91" s="319"/>
      <c r="F91" s="323"/>
      <c r="G91" s="318"/>
      <c r="H91" s="319"/>
      <c r="I91" s="319">
        <v>550.0</v>
      </c>
      <c r="J91" s="319"/>
      <c r="K91" s="319"/>
      <c r="L91" s="319"/>
      <c r="M91" s="314"/>
      <c r="N91" s="319"/>
      <c r="O91" s="319"/>
      <c r="P91" s="319"/>
      <c r="Q91" s="319"/>
    </row>
    <row r="92" ht="15.75" hidden="1" customHeight="1">
      <c r="A92" s="321">
        <v>87.0</v>
      </c>
      <c r="B92" s="322" t="s">
        <v>1171</v>
      </c>
      <c r="C92" s="322" t="s">
        <v>5635</v>
      </c>
      <c r="D92" s="319"/>
      <c r="E92" s="319"/>
      <c r="F92" s="323"/>
      <c r="G92" s="318"/>
      <c r="H92" s="319"/>
      <c r="I92" s="319">
        <v>90.0</v>
      </c>
      <c r="J92" s="319"/>
      <c r="K92" s="319"/>
      <c r="L92" s="319"/>
      <c r="M92" s="314"/>
      <c r="N92" s="319"/>
      <c r="O92" s="319"/>
      <c r="P92" s="319"/>
      <c r="Q92" s="319"/>
    </row>
    <row r="93" ht="15.75" hidden="1" customHeight="1">
      <c r="A93" s="211">
        <v>88.0</v>
      </c>
      <c r="B93" s="322" t="s">
        <v>2772</v>
      </c>
      <c r="C93" s="322" t="s">
        <v>5635</v>
      </c>
      <c r="D93" s="319"/>
      <c r="E93" s="319"/>
      <c r="F93" s="323"/>
      <c r="G93" s="318"/>
      <c r="H93" s="319"/>
      <c r="I93" s="319">
        <v>90.0</v>
      </c>
      <c r="J93" s="319"/>
      <c r="K93" s="319"/>
      <c r="L93" s="319"/>
      <c r="M93" s="314"/>
      <c r="N93" s="319"/>
      <c r="O93" s="319"/>
      <c r="P93" s="319"/>
      <c r="Q93" s="319"/>
    </row>
    <row r="94" ht="15.75" hidden="1" customHeight="1">
      <c r="A94" s="321">
        <v>89.0</v>
      </c>
      <c r="B94" s="322" t="s">
        <v>1134</v>
      </c>
      <c r="C94" s="322" t="s">
        <v>5635</v>
      </c>
      <c r="D94" s="319"/>
      <c r="E94" s="319"/>
      <c r="F94" s="323"/>
      <c r="G94" s="318"/>
      <c r="H94" s="319"/>
      <c r="I94" s="319">
        <v>90.0</v>
      </c>
      <c r="J94" s="319"/>
      <c r="K94" s="319"/>
      <c r="L94" s="319"/>
      <c r="M94" s="314"/>
      <c r="N94" s="319"/>
      <c r="O94" s="319"/>
      <c r="P94" s="319"/>
      <c r="Q94" s="319"/>
    </row>
    <row r="95" ht="15.75" hidden="1" customHeight="1">
      <c r="A95" s="211">
        <v>90.0</v>
      </c>
      <c r="B95" s="322" t="s">
        <v>5636</v>
      </c>
      <c r="C95" s="322" t="s">
        <v>5635</v>
      </c>
      <c r="D95" s="319"/>
      <c r="E95" s="319"/>
      <c r="F95" s="323"/>
      <c r="G95" s="318"/>
      <c r="H95" s="319"/>
      <c r="I95" s="319">
        <v>660.0</v>
      </c>
      <c r="J95" s="319"/>
      <c r="K95" s="319"/>
      <c r="L95" s="319"/>
      <c r="M95" s="314"/>
      <c r="N95" s="319"/>
      <c r="O95" s="319"/>
      <c r="P95" s="319"/>
      <c r="Q95" s="319"/>
    </row>
    <row r="96" ht="15.75" hidden="1" customHeight="1">
      <c r="A96" s="211">
        <v>91.0</v>
      </c>
      <c r="B96" s="322" t="s">
        <v>1171</v>
      </c>
      <c r="C96" s="322" t="s">
        <v>5637</v>
      </c>
      <c r="D96" s="319"/>
      <c r="E96" s="319"/>
      <c r="F96" s="323"/>
      <c r="G96" s="318"/>
      <c r="H96" s="319"/>
      <c r="I96" s="319">
        <v>30.0</v>
      </c>
      <c r="J96" s="319"/>
      <c r="K96" s="319"/>
      <c r="L96" s="319"/>
      <c r="M96" s="314"/>
      <c r="N96" s="319"/>
      <c r="O96" s="319"/>
      <c r="P96" s="319"/>
      <c r="Q96" s="319"/>
    </row>
    <row r="97" ht="15.75" hidden="1" customHeight="1">
      <c r="A97" s="321">
        <v>92.0</v>
      </c>
      <c r="B97" s="322" t="s">
        <v>1171</v>
      </c>
      <c r="C97" s="322" t="s">
        <v>5638</v>
      </c>
      <c r="D97" s="319"/>
      <c r="E97" s="319"/>
      <c r="F97" s="323"/>
      <c r="G97" s="318"/>
      <c r="H97" s="319"/>
      <c r="I97" s="319">
        <v>30.0</v>
      </c>
      <c r="J97" s="319"/>
      <c r="K97" s="319"/>
      <c r="L97" s="319"/>
      <c r="M97" s="314"/>
      <c r="N97" s="319"/>
      <c r="O97" s="319"/>
      <c r="P97" s="319"/>
      <c r="Q97" s="319"/>
    </row>
    <row r="98" ht="15.75" hidden="1" customHeight="1">
      <c r="A98" s="211">
        <v>93.0</v>
      </c>
      <c r="B98" s="322" t="s">
        <v>1134</v>
      </c>
      <c r="C98" s="322" t="s">
        <v>5638</v>
      </c>
      <c r="D98" s="319"/>
      <c r="E98" s="319"/>
      <c r="F98" s="323"/>
      <c r="G98" s="318"/>
      <c r="H98" s="319"/>
      <c r="I98" s="319">
        <v>18.0</v>
      </c>
      <c r="J98" s="319"/>
      <c r="K98" s="319"/>
      <c r="L98" s="319"/>
      <c r="M98" s="314"/>
      <c r="N98" s="319"/>
      <c r="O98" s="319"/>
      <c r="P98" s="319"/>
      <c r="Q98" s="319"/>
    </row>
    <row r="99" ht="15.75" hidden="1" customHeight="1">
      <c r="A99" s="321">
        <v>94.0</v>
      </c>
      <c r="B99" s="322" t="s">
        <v>5639</v>
      </c>
      <c r="C99" s="322" t="s">
        <v>5638</v>
      </c>
      <c r="D99" s="319"/>
      <c r="E99" s="319"/>
      <c r="F99" s="323"/>
      <c r="G99" s="318"/>
      <c r="H99" s="319"/>
      <c r="I99" s="319">
        <v>1110.0</v>
      </c>
      <c r="J99" s="319"/>
      <c r="K99" s="319"/>
      <c r="L99" s="319"/>
      <c r="M99" s="314"/>
      <c r="N99" s="319"/>
      <c r="O99" s="319"/>
      <c r="P99" s="319"/>
      <c r="Q99" s="319"/>
    </row>
    <row r="100" ht="15.75" hidden="1" customHeight="1">
      <c r="A100" s="211">
        <v>95.0</v>
      </c>
      <c r="B100" s="322" t="s">
        <v>1171</v>
      </c>
      <c r="C100" s="322" t="s">
        <v>5640</v>
      </c>
      <c r="D100" s="319"/>
      <c r="E100" s="319"/>
      <c r="F100" s="323"/>
      <c r="G100" s="318"/>
      <c r="H100" s="319"/>
      <c r="I100" s="319">
        <v>52.0</v>
      </c>
      <c r="J100" s="319"/>
      <c r="K100" s="319"/>
      <c r="L100" s="319"/>
      <c r="M100" s="314"/>
      <c r="N100" s="319"/>
      <c r="O100" s="319"/>
      <c r="P100" s="319"/>
      <c r="Q100" s="319"/>
    </row>
    <row r="101" ht="15.75" hidden="1" customHeight="1">
      <c r="A101" s="321">
        <v>96.0</v>
      </c>
      <c r="B101" s="322" t="s">
        <v>1134</v>
      </c>
      <c r="C101" s="322" t="s">
        <v>5640</v>
      </c>
      <c r="D101" s="319"/>
      <c r="E101" s="319"/>
      <c r="F101" s="323"/>
      <c r="G101" s="318"/>
      <c r="H101" s="319"/>
      <c r="I101" s="319">
        <v>52.0</v>
      </c>
      <c r="J101" s="319"/>
      <c r="K101" s="319"/>
      <c r="L101" s="319"/>
      <c r="M101" s="314"/>
      <c r="N101" s="319"/>
      <c r="O101" s="319"/>
      <c r="P101" s="319"/>
      <c r="Q101" s="319"/>
    </row>
    <row r="102" ht="15.75" hidden="1" customHeight="1">
      <c r="A102" s="211">
        <v>97.0</v>
      </c>
      <c r="B102" s="322" t="s">
        <v>5641</v>
      </c>
      <c r="C102" s="322" t="s">
        <v>5640</v>
      </c>
      <c r="D102" s="319"/>
      <c r="E102" s="319"/>
      <c r="F102" s="323"/>
      <c r="G102" s="318"/>
      <c r="H102" s="319"/>
      <c r="I102" s="319">
        <v>312.0</v>
      </c>
      <c r="J102" s="319"/>
      <c r="K102" s="319"/>
      <c r="L102" s="319"/>
      <c r="M102" s="314"/>
      <c r="N102" s="319"/>
      <c r="O102" s="319"/>
      <c r="P102" s="319"/>
      <c r="Q102" s="319"/>
    </row>
    <row r="103" ht="15.75" hidden="1" customHeight="1">
      <c r="A103" s="321">
        <v>98.0</v>
      </c>
      <c r="B103" s="322" t="s">
        <v>1171</v>
      </c>
      <c r="C103" s="322" t="s">
        <v>5642</v>
      </c>
      <c r="D103" s="319"/>
      <c r="E103" s="319"/>
      <c r="F103" s="323"/>
      <c r="G103" s="318"/>
      <c r="H103" s="319"/>
      <c r="I103" s="319">
        <v>20.0</v>
      </c>
      <c r="J103" s="319"/>
      <c r="K103" s="319"/>
      <c r="L103" s="319"/>
      <c r="M103" s="314"/>
      <c r="N103" s="319"/>
      <c r="O103" s="319"/>
      <c r="P103" s="319"/>
      <c r="Q103" s="319"/>
    </row>
    <row r="104" ht="15.75" hidden="1" customHeight="1">
      <c r="A104" s="211">
        <v>99.0</v>
      </c>
      <c r="B104" s="322" t="s">
        <v>1134</v>
      </c>
      <c r="C104" s="322" t="s">
        <v>5642</v>
      </c>
      <c r="D104" s="319"/>
      <c r="E104" s="319"/>
      <c r="F104" s="323"/>
      <c r="G104" s="318"/>
      <c r="H104" s="319"/>
      <c r="I104" s="319">
        <v>20.0</v>
      </c>
      <c r="J104" s="319"/>
      <c r="K104" s="319"/>
      <c r="L104" s="319"/>
      <c r="M104" s="314"/>
      <c r="N104" s="319"/>
      <c r="O104" s="319"/>
      <c r="P104" s="319"/>
      <c r="Q104" s="319"/>
    </row>
    <row r="105" ht="15.75" hidden="1" customHeight="1">
      <c r="A105" s="211">
        <v>100.0</v>
      </c>
      <c r="B105" s="322" t="s">
        <v>1171</v>
      </c>
      <c r="C105" s="322" t="s">
        <v>5643</v>
      </c>
      <c r="D105" s="319"/>
      <c r="E105" s="319"/>
      <c r="F105" s="323"/>
      <c r="G105" s="318"/>
      <c r="H105" s="319"/>
      <c r="I105" s="319">
        <v>48.0</v>
      </c>
      <c r="J105" s="319"/>
      <c r="K105" s="319"/>
      <c r="L105" s="319"/>
      <c r="M105" s="314"/>
      <c r="N105" s="319"/>
      <c r="O105" s="319"/>
      <c r="P105" s="319"/>
      <c r="Q105" s="319"/>
    </row>
    <row r="106" ht="15.75" hidden="1" customHeight="1">
      <c r="A106" s="321">
        <v>101.0</v>
      </c>
      <c r="B106" s="322" t="s">
        <v>1134</v>
      </c>
      <c r="C106" s="322" t="s">
        <v>5643</v>
      </c>
      <c r="D106" s="319"/>
      <c r="E106" s="319"/>
      <c r="F106" s="323"/>
      <c r="G106" s="318"/>
      <c r="H106" s="319"/>
      <c r="I106" s="319">
        <v>60.0</v>
      </c>
      <c r="J106" s="319"/>
      <c r="K106" s="319"/>
      <c r="L106" s="319"/>
      <c r="M106" s="314"/>
      <c r="N106" s="319"/>
      <c r="O106" s="319"/>
      <c r="P106" s="319"/>
      <c r="Q106" s="319"/>
    </row>
    <row r="107" ht="15.75" hidden="1" customHeight="1">
      <c r="A107" s="211">
        <v>102.0</v>
      </c>
      <c r="B107" s="322" t="s">
        <v>5644</v>
      </c>
      <c r="C107" s="322" t="s">
        <v>5020</v>
      </c>
      <c r="D107" s="319"/>
      <c r="E107" s="319"/>
      <c r="F107" s="323"/>
      <c r="G107" s="318"/>
      <c r="H107" s="319"/>
      <c r="I107" s="319">
        <v>150.0</v>
      </c>
      <c r="J107" s="319"/>
      <c r="K107" s="319"/>
      <c r="L107" s="319"/>
      <c r="M107" s="314"/>
      <c r="N107" s="319"/>
      <c r="O107" s="319"/>
      <c r="P107" s="319"/>
      <c r="Q107" s="319"/>
    </row>
    <row r="108" ht="15.75" hidden="1" customHeight="1">
      <c r="A108" s="321">
        <v>103.0</v>
      </c>
      <c r="B108" s="322" t="s">
        <v>5645</v>
      </c>
      <c r="C108" s="322" t="s">
        <v>5020</v>
      </c>
      <c r="D108" s="319"/>
      <c r="E108" s="319"/>
      <c r="F108" s="323"/>
      <c r="G108" s="318"/>
      <c r="H108" s="319"/>
      <c r="I108" s="319">
        <v>60.0</v>
      </c>
      <c r="J108" s="319"/>
      <c r="K108" s="319"/>
      <c r="L108" s="319"/>
      <c r="M108" s="314"/>
      <c r="N108" s="319"/>
      <c r="O108" s="319"/>
      <c r="P108" s="319"/>
      <c r="Q108" s="319"/>
    </row>
    <row r="109" ht="15.75" hidden="1" customHeight="1">
      <c r="A109" s="211">
        <v>104.0</v>
      </c>
      <c r="B109" s="322" t="s">
        <v>5646</v>
      </c>
      <c r="C109" s="322" t="s">
        <v>5020</v>
      </c>
      <c r="D109" s="319"/>
      <c r="E109" s="319"/>
      <c r="F109" s="323"/>
      <c r="G109" s="318"/>
      <c r="H109" s="319"/>
      <c r="I109" s="319">
        <v>600.0</v>
      </c>
      <c r="J109" s="319"/>
      <c r="K109" s="319"/>
      <c r="L109" s="319"/>
      <c r="M109" s="314"/>
      <c r="N109" s="319"/>
      <c r="O109" s="319"/>
      <c r="P109" s="319"/>
      <c r="Q109" s="319"/>
    </row>
    <row r="110" ht="15.75" hidden="1" customHeight="1">
      <c r="A110" s="321">
        <v>105.0</v>
      </c>
      <c r="B110" s="322" t="s">
        <v>1171</v>
      </c>
      <c r="C110" s="322" t="s">
        <v>5647</v>
      </c>
      <c r="D110" s="319"/>
      <c r="E110" s="319"/>
      <c r="F110" s="323"/>
      <c r="G110" s="318"/>
      <c r="H110" s="319"/>
      <c r="I110" s="319">
        <v>36.0</v>
      </c>
      <c r="J110" s="319"/>
      <c r="K110" s="319"/>
      <c r="L110" s="319"/>
      <c r="M110" s="314"/>
      <c r="N110" s="319"/>
      <c r="O110" s="319"/>
      <c r="P110" s="319"/>
      <c r="Q110" s="319"/>
    </row>
    <row r="111" ht="15.75" hidden="1" customHeight="1">
      <c r="A111" s="211">
        <v>106.0</v>
      </c>
      <c r="B111" s="322" t="s">
        <v>1134</v>
      </c>
      <c r="C111" s="322" t="s">
        <v>5647</v>
      </c>
      <c r="D111" s="319"/>
      <c r="E111" s="319"/>
      <c r="F111" s="323"/>
      <c r="G111" s="318"/>
      <c r="H111" s="319"/>
      <c r="I111" s="319">
        <v>30.0</v>
      </c>
      <c r="J111" s="319"/>
      <c r="K111" s="319"/>
      <c r="L111" s="319"/>
      <c r="M111" s="314"/>
      <c r="N111" s="319"/>
      <c r="O111" s="319"/>
      <c r="P111" s="319"/>
      <c r="Q111" s="319"/>
    </row>
    <row r="112" ht="15.75" hidden="1" customHeight="1">
      <c r="A112" s="321">
        <v>107.0</v>
      </c>
      <c r="B112" s="322" t="s">
        <v>1171</v>
      </c>
      <c r="C112" s="322" t="s">
        <v>2191</v>
      </c>
      <c r="D112" s="319"/>
      <c r="E112" s="319"/>
      <c r="F112" s="323"/>
      <c r="G112" s="318"/>
      <c r="H112" s="319"/>
      <c r="I112" s="319">
        <v>30.0</v>
      </c>
      <c r="J112" s="319"/>
      <c r="K112" s="319"/>
      <c r="L112" s="319"/>
      <c r="M112" s="314"/>
      <c r="N112" s="319"/>
      <c r="O112" s="319"/>
      <c r="P112" s="319"/>
      <c r="Q112" s="319"/>
    </row>
    <row r="113" ht="15.75" hidden="1" customHeight="1">
      <c r="A113" s="211">
        <v>108.0</v>
      </c>
      <c r="B113" s="322" t="s">
        <v>1134</v>
      </c>
      <c r="C113" s="322" t="s">
        <v>2191</v>
      </c>
      <c r="D113" s="319"/>
      <c r="E113" s="319"/>
      <c r="F113" s="323"/>
      <c r="G113" s="318"/>
      <c r="H113" s="319"/>
      <c r="I113" s="319">
        <v>30.0</v>
      </c>
      <c r="J113" s="319"/>
      <c r="K113" s="319"/>
      <c r="L113" s="319"/>
      <c r="M113" s="314"/>
      <c r="N113" s="319"/>
      <c r="O113" s="319"/>
      <c r="P113" s="319"/>
      <c r="Q113" s="319"/>
    </row>
    <row r="114" ht="15.75" hidden="1" customHeight="1">
      <c r="A114" s="211">
        <v>109.0</v>
      </c>
      <c r="B114" s="322" t="s">
        <v>2130</v>
      </c>
      <c r="C114" s="322" t="s">
        <v>2191</v>
      </c>
      <c r="D114" s="319"/>
      <c r="E114" s="319"/>
      <c r="F114" s="323"/>
      <c r="G114" s="318"/>
      <c r="H114" s="319"/>
      <c r="I114" s="319">
        <v>120.0</v>
      </c>
      <c r="J114" s="319"/>
      <c r="K114" s="319"/>
      <c r="L114" s="319"/>
      <c r="M114" s="314"/>
      <c r="N114" s="319"/>
      <c r="O114" s="319"/>
      <c r="P114" s="319"/>
      <c r="Q114" s="319"/>
    </row>
    <row r="115" ht="15.75" hidden="1" customHeight="1">
      <c r="A115" s="321">
        <v>110.0</v>
      </c>
      <c r="B115" s="322" t="s">
        <v>1171</v>
      </c>
      <c r="C115" s="322" t="s">
        <v>5648</v>
      </c>
      <c r="D115" s="319"/>
      <c r="E115" s="319"/>
      <c r="F115" s="323"/>
      <c r="G115" s="318"/>
      <c r="H115" s="319"/>
      <c r="I115" s="319">
        <v>24.0</v>
      </c>
      <c r="J115" s="319"/>
      <c r="K115" s="319"/>
      <c r="L115" s="319"/>
      <c r="M115" s="314"/>
      <c r="N115" s="319"/>
      <c r="O115" s="319"/>
      <c r="P115" s="319"/>
      <c r="Q115" s="319"/>
    </row>
    <row r="116" ht="15.75" hidden="1" customHeight="1">
      <c r="A116" s="211">
        <v>111.0</v>
      </c>
      <c r="B116" s="322" t="s">
        <v>1134</v>
      </c>
      <c r="C116" s="322" t="s">
        <v>5648</v>
      </c>
      <c r="D116" s="319"/>
      <c r="E116" s="319"/>
      <c r="F116" s="323"/>
      <c r="G116" s="318"/>
      <c r="H116" s="319"/>
      <c r="I116" s="319">
        <v>12.0</v>
      </c>
      <c r="J116" s="319"/>
      <c r="K116" s="319"/>
      <c r="L116" s="319"/>
      <c r="M116" s="314"/>
      <c r="N116" s="319"/>
      <c r="O116" s="319"/>
      <c r="P116" s="319"/>
      <c r="Q116" s="319"/>
    </row>
    <row r="117" ht="15.75" hidden="1" customHeight="1">
      <c r="A117" s="321">
        <v>112.0</v>
      </c>
      <c r="B117" s="322" t="s">
        <v>1171</v>
      </c>
      <c r="C117" s="322" t="s">
        <v>5649</v>
      </c>
      <c r="D117" s="319"/>
      <c r="E117" s="319"/>
      <c r="F117" s="323"/>
      <c r="G117" s="318"/>
      <c r="H117" s="319"/>
      <c r="I117" s="319">
        <v>150.0</v>
      </c>
      <c r="J117" s="319"/>
      <c r="K117" s="319"/>
      <c r="L117" s="319"/>
      <c r="M117" s="314"/>
      <c r="N117" s="319"/>
      <c r="O117" s="319"/>
      <c r="P117" s="319"/>
      <c r="Q117" s="319"/>
    </row>
    <row r="118" ht="15.75" hidden="1" customHeight="1">
      <c r="A118" s="211">
        <v>113.0</v>
      </c>
      <c r="B118" s="322" t="s">
        <v>1171</v>
      </c>
      <c r="C118" s="322" t="s">
        <v>5650</v>
      </c>
      <c r="D118" s="319"/>
      <c r="E118" s="319"/>
      <c r="F118" s="323"/>
      <c r="G118" s="318"/>
      <c r="H118" s="319"/>
      <c r="I118" s="319">
        <v>10.0</v>
      </c>
      <c r="J118" s="319"/>
      <c r="K118" s="319"/>
      <c r="L118" s="319"/>
      <c r="M118" s="314"/>
      <c r="N118" s="319"/>
      <c r="O118" s="319"/>
      <c r="P118" s="319"/>
      <c r="Q118" s="319"/>
    </row>
    <row r="119" ht="15.75" hidden="1" customHeight="1">
      <c r="A119" s="321">
        <v>114.0</v>
      </c>
      <c r="B119" s="322" t="s">
        <v>5651</v>
      </c>
      <c r="C119" s="322" t="s">
        <v>5650</v>
      </c>
      <c r="D119" s="319"/>
      <c r="E119" s="319"/>
      <c r="F119" s="323"/>
      <c r="G119" s="318"/>
      <c r="H119" s="319"/>
      <c r="I119" s="319">
        <v>30.0</v>
      </c>
      <c r="J119" s="319"/>
      <c r="K119" s="319"/>
      <c r="L119" s="319"/>
      <c r="M119" s="314"/>
      <c r="N119" s="319"/>
      <c r="O119" s="319"/>
      <c r="P119" s="319"/>
      <c r="Q119" s="319"/>
    </row>
    <row r="120" ht="15.75" hidden="1" customHeight="1">
      <c r="A120" s="211">
        <v>115.0</v>
      </c>
      <c r="B120" s="322" t="s">
        <v>1171</v>
      </c>
      <c r="C120" s="322" t="s">
        <v>5652</v>
      </c>
      <c r="D120" s="319"/>
      <c r="E120" s="319"/>
      <c r="F120" s="323"/>
      <c r="G120" s="318"/>
      <c r="H120" s="319"/>
      <c r="I120" s="319">
        <v>60.0</v>
      </c>
      <c r="J120" s="319"/>
      <c r="K120" s="319"/>
      <c r="L120" s="319"/>
      <c r="M120" s="314"/>
      <c r="N120" s="319"/>
      <c r="O120" s="319"/>
      <c r="P120" s="319"/>
      <c r="Q120" s="319"/>
    </row>
    <row r="121" ht="15.75" hidden="1" customHeight="1">
      <c r="A121" s="321">
        <v>116.0</v>
      </c>
      <c r="B121" s="322" t="s">
        <v>1134</v>
      </c>
      <c r="C121" s="322" t="s">
        <v>5652</v>
      </c>
      <c r="D121" s="319"/>
      <c r="E121" s="319"/>
      <c r="F121" s="323"/>
      <c r="G121" s="318"/>
      <c r="H121" s="319"/>
      <c r="I121" s="319">
        <v>18.0</v>
      </c>
      <c r="J121" s="319"/>
      <c r="K121" s="319"/>
      <c r="L121" s="319"/>
      <c r="M121" s="314"/>
      <c r="N121" s="319"/>
      <c r="O121" s="319"/>
      <c r="P121" s="319"/>
      <c r="Q121" s="319"/>
    </row>
    <row r="122" ht="15.75" hidden="1" customHeight="1">
      <c r="A122" s="211">
        <v>117.0</v>
      </c>
      <c r="B122" s="322" t="s">
        <v>5653</v>
      </c>
      <c r="C122" s="322" t="s">
        <v>5652</v>
      </c>
      <c r="D122" s="319"/>
      <c r="E122" s="319"/>
      <c r="F122" s="323"/>
      <c r="G122" s="318"/>
      <c r="H122" s="319"/>
      <c r="I122" s="319">
        <v>60.0</v>
      </c>
      <c r="J122" s="319"/>
      <c r="K122" s="319"/>
      <c r="L122" s="319"/>
      <c r="M122" s="314"/>
      <c r="N122" s="319"/>
      <c r="O122" s="319"/>
      <c r="P122" s="319"/>
      <c r="Q122" s="319"/>
    </row>
    <row r="123" ht="15.75" hidden="1" customHeight="1">
      <c r="A123" s="211">
        <v>118.0</v>
      </c>
      <c r="B123" s="322" t="s">
        <v>1171</v>
      </c>
      <c r="C123" s="322" t="s">
        <v>5654</v>
      </c>
      <c r="D123" s="319"/>
      <c r="E123" s="319"/>
      <c r="F123" s="323"/>
      <c r="G123" s="318"/>
      <c r="H123" s="319"/>
      <c r="I123" s="319">
        <v>25.0</v>
      </c>
      <c r="J123" s="319"/>
      <c r="K123" s="319"/>
      <c r="L123" s="319"/>
      <c r="M123" s="314"/>
      <c r="N123" s="319"/>
      <c r="O123" s="319"/>
      <c r="P123" s="319"/>
      <c r="Q123" s="319"/>
    </row>
    <row r="124" ht="15.75" hidden="1" customHeight="1">
      <c r="A124" s="321">
        <v>119.0</v>
      </c>
      <c r="B124" s="322" t="s">
        <v>1171</v>
      </c>
      <c r="C124" s="322" t="s">
        <v>5655</v>
      </c>
      <c r="D124" s="319"/>
      <c r="E124" s="319"/>
      <c r="F124" s="323"/>
      <c r="G124" s="318"/>
      <c r="H124" s="319"/>
      <c r="I124" s="319">
        <v>60.0</v>
      </c>
      <c r="J124" s="319"/>
      <c r="K124" s="319"/>
      <c r="L124" s="319"/>
      <c r="M124" s="314"/>
      <c r="N124" s="319"/>
      <c r="O124" s="319"/>
      <c r="P124" s="319"/>
      <c r="Q124" s="319"/>
    </row>
    <row r="125" ht="15.75" hidden="1" customHeight="1">
      <c r="A125" s="211">
        <v>120.0</v>
      </c>
      <c r="B125" s="322" t="s">
        <v>1134</v>
      </c>
      <c r="C125" s="322" t="s">
        <v>5655</v>
      </c>
      <c r="D125" s="319"/>
      <c r="E125" s="319"/>
      <c r="F125" s="323"/>
      <c r="G125" s="318"/>
      <c r="H125" s="319"/>
      <c r="I125" s="319">
        <v>18.0</v>
      </c>
      <c r="J125" s="319"/>
      <c r="K125" s="319"/>
      <c r="L125" s="319"/>
      <c r="M125" s="314"/>
      <c r="N125" s="319"/>
      <c r="O125" s="319"/>
      <c r="P125" s="319"/>
      <c r="Q125" s="319"/>
    </row>
    <row r="126" ht="15.75" hidden="1" customHeight="1">
      <c r="A126" s="321">
        <v>121.0</v>
      </c>
      <c r="B126" s="322" t="s">
        <v>5656</v>
      </c>
      <c r="C126" s="322" t="s">
        <v>5655</v>
      </c>
      <c r="D126" s="319"/>
      <c r="E126" s="319"/>
      <c r="F126" s="323"/>
      <c r="G126" s="318"/>
      <c r="H126" s="319"/>
      <c r="I126" s="319">
        <v>288.0</v>
      </c>
      <c r="J126" s="319"/>
      <c r="K126" s="319"/>
      <c r="L126" s="319"/>
      <c r="M126" s="314"/>
      <c r="N126" s="319"/>
      <c r="O126" s="319"/>
      <c r="P126" s="319"/>
      <c r="Q126" s="319"/>
    </row>
    <row r="127" ht="15.75" customHeight="1">
      <c r="A127" s="310"/>
      <c r="B127" s="311" t="s">
        <v>5657</v>
      </c>
      <c r="C127" s="311"/>
      <c r="D127" s="312"/>
      <c r="E127" s="312"/>
      <c r="F127" s="312"/>
      <c r="G127" s="312"/>
      <c r="H127" s="312"/>
      <c r="I127" s="312"/>
      <c r="J127" s="312"/>
      <c r="K127" s="312"/>
      <c r="L127" s="312"/>
      <c r="M127" s="313"/>
      <c r="N127" s="312"/>
      <c r="O127" s="312"/>
      <c r="P127" s="312"/>
      <c r="Q127" s="312"/>
    </row>
    <row r="128" ht="15.75" customHeight="1">
      <c r="A128" s="324">
        <v>1.0</v>
      </c>
      <c r="B128" s="325" t="s">
        <v>5658</v>
      </c>
      <c r="C128" s="326" t="s">
        <v>1552</v>
      </c>
      <c r="D128" s="317" t="s">
        <v>36</v>
      </c>
      <c r="E128" s="319" t="s">
        <v>37</v>
      </c>
      <c r="F128" s="173" t="s">
        <v>1137</v>
      </c>
      <c r="G128" s="327">
        <v>1250.0</v>
      </c>
      <c r="H128" s="328">
        <v>312.0</v>
      </c>
      <c r="I128" s="329">
        <v>625.0</v>
      </c>
      <c r="J128" s="328">
        <v>2.0</v>
      </c>
      <c r="K128" s="328">
        <v>2.0</v>
      </c>
      <c r="L128" s="130" t="s">
        <v>39</v>
      </c>
      <c r="M128" s="330" t="s">
        <v>138</v>
      </c>
      <c r="N128" s="144" t="s">
        <v>5659</v>
      </c>
      <c r="O128" s="328">
        <v>700.0</v>
      </c>
      <c r="P128" s="328" t="s">
        <v>66</v>
      </c>
      <c r="Q128" s="328">
        <v>20.0</v>
      </c>
    </row>
    <row r="129" ht="15.75" customHeight="1">
      <c r="A129" s="324">
        <v>2.0</v>
      </c>
      <c r="B129" s="331" t="s">
        <v>5660</v>
      </c>
      <c r="C129" s="326" t="s">
        <v>1552</v>
      </c>
      <c r="D129" s="317" t="s">
        <v>36</v>
      </c>
      <c r="E129" s="319" t="s">
        <v>37</v>
      </c>
      <c r="F129" s="332"/>
      <c r="G129" s="333">
        <v>858.0</v>
      </c>
      <c r="H129" s="328">
        <v>214.0</v>
      </c>
      <c r="I129" s="328">
        <v>429.0</v>
      </c>
      <c r="J129" s="130" t="s">
        <v>39</v>
      </c>
      <c r="K129" s="130" t="s">
        <v>39</v>
      </c>
      <c r="L129" s="328">
        <v>58.0</v>
      </c>
      <c r="M129" s="330" t="s">
        <v>138</v>
      </c>
      <c r="N129" s="133" t="s">
        <v>5661</v>
      </c>
      <c r="O129" s="328">
        <v>500.0</v>
      </c>
      <c r="P129" s="328" t="s">
        <v>66</v>
      </c>
      <c r="Q129" s="328">
        <v>35.0</v>
      </c>
    </row>
    <row r="130" ht="15.75" customHeight="1">
      <c r="A130" s="211">
        <v>3.0</v>
      </c>
      <c r="B130" s="334" t="s">
        <v>5662</v>
      </c>
      <c r="C130" s="326" t="s">
        <v>1552</v>
      </c>
      <c r="D130" s="317" t="s">
        <v>36</v>
      </c>
      <c r="E130" s="319" t="s">
        <v>37</v>
      </c>
      <c r="F130" s="335"/>
      <c r="G130" s="336">
        <v>392.0</v>
      </c>
      <c r="H130" s="216">
        <v>98.0</v>
      </c>
      <c r="I130" s="216">
        <v>196.0</v>
      </c>
      <c r="J130" s="216">
        <v>4.0</v>
      </c>
      <c r="K130" s="216">
        <v>4.0</v>
      </c>
      <c r="L130" s="130" t="s">
        <v>39</v>
      </c>
      <c r="M130" s="330" t="s">
        <v>138</v>
      </c>
      <c r="N130" s="133" t="s">
        <v>5661</v>
      </c>
      <c r="O130" s="337">
        <v>150.0</v>
      </c>
      <c r="P130" s="337" t="s">
        <v>29</v>
      </c>
      <c r="Q130" s="216"/>
    </row>
    <row r="131" ht="15.75" customHeight="1">
      <c r="A131" s="211">
        <v>4.0</v>
      </c>
      <c r="B131" s="291" t="s">
        <v>5663</v>
      </c>
      <c r="C131" s="291" t="s">
        <v>5664</v>
      </c>
      <c r="D131" s="317" t="s">
        <v>36</v>
      </c>
      <c r="E131" s="319" t="s">
        <v>5577</v>
      </c>
      <c r="F131" s="335"/>
      <c r="G131" s="336">
        <v>434.0</v>
      </c>
      <c r="H131" s="216">
        <v>108.0</v>
      </c>
      <c r="I131" s="216">
        <v>217.0</v>
      </c>
      <c r="J131" s="130" t="s">
        <v>39</v>
      </c>
      <c r="K131" s="130" t="s">
        <v>39</v>
      </c>
      <c r="L131" s="216">
        <v>15.0</v>
      </c>
      <c r="M131" s="330" t="s">
        <v>138</v>
      </c>
      <c r="N131" s="133" t="s">
        <v>5661</v>
      </c>
      <c r="O131" s="216">
        <v>300.0</v>
      </c>
      <c r="P131" s="216" t="s">
        <v>29</v>
      </c>
      <c r="Q131" s="216"/>
    </row>
    <row r="132" ht="15.75" customHeight="1">
      <c r="A132" s="211">
        <v>5.0</v>
      </c>
      <c r="B132" s="291" t="s">
        <v>5665</v>
      </c>
      <c r="C132" s="291" t="s">
        <v>5666</v>
      </c>
      <c r="D132" s="317" t="s">
        <v>36</v>
      </c>
      <c r="E132" s="319" t="s">
        <v>1303</v>
      </c>
      <c r="F132" s="335"/>
      <c r="G132" s="336">
        <v>553.0</v>
      </c>
      <c r="H132" s="216">
        <v>138.0</v>
      </c>
      <c r="I132" s="216">
        <v>277.0</v>
      </c>
      <c r="J132" s="130" t="s">
        <v>39</v>
      </c>
      <c r="K132" s="130" t="s">
        <v>39</v>
      </c>
      <c r="L132" s="216">
        <v>13.0</v>
      </c>
      <c r="M132" s="330" t="s">
        <v>138</v>
      </c>
      <c r="N132" s="133" t="s">
        <v>5661</v>
      </c>
      <c r="O132" s="216">
        <v>300.0</v>
      </c>
      <c r="P132" s="216" t="s">
        <v>29</v>
      </c>
      <c r="Q132" s="216"/>
    </row>
    <row r="133" ht="15.75" customHeight="1">
      <c r="A133" s="211">
        <v>6.0</v>
      </c>
      <c r="B133" s="291" t="s">
        <v>5667</v>
      </c>
      <c r="C133" s="291" t="s">
        <v>5668</v>
      </c>
      <c r="D133" s="317" t="s">
        <v>36</v>
      </c>
      <c r="E133" s="319" t="s">
        <v>1303</v>
      </c>
      <c r="F133" s="335"/>
      <c r="G133" s="336">
        <v>308.0</v>
      </c>
      <c r="H133" s="216">
        <v>77.0</v>
      </c>
      <c r="I133" s="216">
        <v>154.0</v>
      </c>
      <c r="J133" s="130" t="s">
        <v>39</v>
      </c>
      <c r="K133" s="130" t="s">
        <v>39</v>
      </c>
      <c r="L133" s="216">
        <v>6.0</v>
      </c>
      <c r="M133" s="133" t="s">
        <v>396</v>
      </c>
      <c r="N133" s="330" t="s">
        <v>138</v>
      </c>
      <c r="O133" s="216">
        <v>200.0</v>
      </c>
      <c r="P133" s="216" t="s">
        <v>29</v>
      </c>
      <c r="Q133" s="216"/>
    </row>
    <row r="134" ht="15.75" customHeight="1">
      <c r="A134" s="211">
        <v>7.0</v>
      </c>
      <c r="B134" s="291" t="s">
        <v>5669</v>
      </c>
      <c r="C134" s="291" t="s">
        <v>5670</v>
      </c>
      <c r="D134" s="317" t="s">
        <v>36</v>
      </c>
      <c r="E134" s="319" t="s">
        <v>1303</v>
      </c>
      <c r="F134" s="335"/>
      <c r="G134" s="336">
        <v>126.0</v>
      </c>
      <c r="H134" s="216">
        <v>31.0</v>
      </c>
      <c r="I134" s="216">
        <v>63.0</v>
      </c>
      <c r="J134" s="130" t="s">
        <v>39</v>
      </c>
      <c r="K134" s="130" t="s">
        <v>39</v>
      </c>
      <c r="L134" s="216">
        <v>3.0</v>
      </c>
      <c r="M134" s="133" t="s">
        <v>396</v>
      </c>
      <c r="N134" s="330" t="s">
        <v>138</v>
      </c>
      <c r="O134" s="216">
        <v>100.0</v>
      </c>
      <c r="P134" s="216" t="s">
        <v>29</v>
      </c>
      <c r="Q134" s="216"/>
    </row>
    <row r="135" ht="15.75" customHeight="1">
      <c r="A135" s="211">
        <v>8.0</v>
      </c>
      <c r="B135" s="291" t="s">
        <v>5671</v>
      </c>
      <c r="C135" s="291" t="s">
        <v>5672</v>
      </c>
      <c r="D135" s="317" t="s">
        <v>36</v>
      </c>
      <c r="E135" s="319" t="s">
        <v>1303</v>
      </c>
      <c r="F135" s="335"/>
      <c r="G135" s="336">
        <v>98.0</v>
      </c>
      <c r="H135" s="216">
        <v>24.0</v>
      </c>
      <c r="I135" s="216">
        <v>49.0</v>
      </c>
      <c r="J135" s="130" t="s">
        <v>39</v>
      </c>
      <c r="K135" s="130" t="s">
        <v>39</v>
      </c>
      <c r="L135" s="216">
        <v>3.0</v>
      </c>
      <c r="M135" s="133" t="s">
        <v>396</v>
      </c>
      <c r="N135" s="330" t="s">
        <v>138</v>
      </c>
      <c r="O135" s="216">
        <v>100.0</v>
      </c>
      <c r="P135" s="216" t="s">
        <v>29</v>
      </c>
      <c r="Q135" s="216"/>
    </row>
    <row r="136" ht="15.75" customHeight="1">
      <c r="A136" s="211">
        <v>9.0</v>
      </c>
      <c r="B136" s="291" t="s">
        <v>5673</v>
      </c>
      <c r="C136" s="291" t="s">
        <v>5674</v>
      </c>
      <c r="D136" s="317" t="s">
        <v>36</v>
      </c>
      <c r="E136" s="319" t="s">
        <v>1303</v>
      </c>
      <c r="F136" s="335"/>
      <c r="G136" s="336">
        <v>126.0</v>
      </c>
      <c r="H136" s="216">
        <v>31.0</v>
      </c>
      <c r="I136" s="216">
        <v>63.0</v>
      </c>
      <c r="J136" s="130" t="s">
        <v>39</v>
      </c>
      <c r="K136" s="130" t="s">
        <v>39</v>
      </c>
      <c r="L136" s="216">
        <v>2.0</v>
      </c>
      <c r="M136" s="133" t="s">
        <v>396</v>
      </c>
      <c r="N136" s="330" t="s">
        <v>138</v>
      </c>
      <c r="O136" s="216">
        <v>1000.0</v>
      </c>
      <c r="P136" s="216" t="s">
        <v>29</v>
      </c>
      <c r="Q136" s="216"/>
    </row>
    <row r="137" ht="15.75" customHeight="1">
      <c r="A137" s="211">
        <v>10.0</v>
      </c>
      <c r="B137" s="291" t="s">
        <v>5675</v>
      </c>
      <c r="C137" s="291" t="s">
        <v>5676</v>
      </c>
      <c r="D137" s="317" t="s">
        <v>36</v>
      </c>
      <c r="E137" s="216" t="s">
        <v>5677</v>
      </c>
      <c r="F137" s="335"/>
      <c r="G137" s="336">
        <v>504.0</v>
      </c>
      <c r="H137" s="216">
        <v>126.0</v>
      </c>
      <c r="I137" s="216">
        <v>252.0</v>
      </c>
      <c r="J137" s="130" t="s">
        <v>39</v>
      </c>
      <c r="K137" s="130" t="s">
        <v>39</v>
      </c>
      <c r="L137" s="216">
        <v>19.0</v>
      </c>
      <c r="M137" s="330" t="s">
        <v>138</v>
      </c>
      <c r="N137" s="133" t="s">
        <v>5661</v>
      </c>
      <c r="O137" s="216">
        <v>300.0</v>
      </c>
      <c r="P137" s="216" t="s">
        <v>29</v>
      </c>
      <c r="Q137" s="216"/>
    </row>
    <row r="138" ht="15.75" customHeight="1">
      <c r="A138" s="211">
        <v>11.0</v>
      </c>
      <c r="B138" s="291" t="s">
        <v>5678</v>
      </c>
      <c r="C138" s="291" t="s">
        <v>5676</v>
      </c>
      <c r="D138" s="317" t="s">
        <v>36</v>
      </c>
      <c r="E138" s="216" t="s">
        <v>5677</v>
      </c>
      <c r="F138" s="335"/>
      <c r="G138" s="336">
        <v>144.0</v>
      </c>
      <c r="H138" s="216">
        <v>36.0</v>
      </c>
      <c r="I138" s="216">
        <v>72.0</v>
      </c>
      <c r="J138" s="130" t="s">
        <v>39</v>
      </c>
      <c r="K138" s="130" t="s">
        <v>39</v>
      </c>
      <c r="L138" s="216">
        <v>1.0</v>
      </c>
      <c r="M138" s="330" t="s">
        <v>138</v>
      </c>
      <c r="N138" s="133" t="s">
        <v>5661</v>
      </c>
      <c r="O138" s="216">
        <v>100.0</v>
      </c>
      <c r="P138" s="216" t="s">
        <v>29</v>
      </c>
      <c r="Q138" s="216"/>
    </row>
    <row r="139" ht="15.75" customHeight="1">
      <c r="A139" s="211">
        <v>12.0</v>
      </c>
      <c r="B139" s="291" t="s">
        <v>5679</v>
      </c>
      <c r="C139" s="291" t="s">
        <v>5676</v>
      </c>
      <c r="D139" s="317" t="s">
        <v>36</v>
      </c>
      <c r="E139" s="216" t="s">
        <v>5677</v>
      </c>
      <c r="F139" s="335"/>
      <c r="G139" s="336">
        <v>108.0</v>
      </c>
      <c r="H139" s="216">
        <v>27.0</v>
      </c>
      <c r="I139" s="216">
        <v>54.0</v>
      </c>
      <c r="J139" s="130" t="s">
        <v>39</v>
      </c>
      <c r="K139" s="216">
        <v>1.0</v>
      </c>
      <c r="L139" s="216">
        <v>1.0</v>
      </c>
      <c r="M139" s="330" t="s">
        <v>138</v>
      </c>
      <c r="N139" s="133" t="s">
        <v>5661</v>
      </c>
      <c r="O139" s="216">
        <v>100.0</v>
      </c>
      <c r="P139" s="216" t="s">
        <v>29</v>
      </c>
      <c r="Q139" s="216"/>
    </row>
    <row r="140" ht="15.75" customHeight="1">
      <c r="A140" s="211">
        <v>13.0</v>
      </c>
      <c r="B140" s="291" t="s">
        <v>5680</v>
      </c>
      <c r="C140" s="291" t="s">
        <v>5681</v>
      </c>
      <c r="D140" s="317" t="s">
        <v>36</v>
      </c>
      <c r="E140" s="319" t="s">
        <v>5682</v>
      </c>
      <c r="F140" s="335"/>
      <c r="G140" s="336">
        <v>224.0</v>
      </c>
      <c r="H140" s="216">
        <v>56.0</v>
      </c>
      <c r="I140" s="216">
        <v>112.0</v>
      </c>
      <c r="J140" s="130" t="s">
        <v>39</v>
      </c>
      <c r="K140" s="130" t="s">
        <v>39</v>
      </c>
      <c r="L140" s="216">
        <v>4.0</v>
      </c>
      <c r="M140" s="133" t="s">
        <v>396</v>
      </c>
      <c r="N140" s="330" t="s">
        <v>138</v>
      </c>
      <c r="O140" s="216">
        <v>150.0</v>
      </c>
      <c r="P140" s="216" t="s">
        <v>29</v>
      </c>
      <c r="Q140" s="216"/>
    </row>
    <row r="141" ht="15.75" customHeight="1">
      <c r="A141" s="211">
        <v>14.0</v>
      </c>
      <c r="B141" s="291" t="s">
        <v>5683</v>
      </c>
      <c r="C141" s="291" t="s">
        <v>5684</v>
      </c>
      <c r="D141" s="317" t="s">
        <v>36</v>
      </c>
      <c r="E141" s="319" t="s">
        <v>5682</v>
      </c>
      <c r="F141" s="335"/>
      <c r="G141" s="336">
        <v>196.0</v>
      </c>
      <c r="H141" s="216">
        <v>49.0</v>
      </c>
      <c r="I141" s="216">
        <v>98.0</v>
      </c>
      <c r="J141" s="130" t="s">
        <v>39</v>
      </c>
      <c r="K141" s="216">
        <v>2.0</v>
      </c>
      <c r="L141" s="216">
        <v>2.0</v>
      </c>
      <c r="M141" s="133" t="s">
        <v>396</v>
      </c>
      <c r="N141" s="330" t="s">
        <v>138</v>
      </c>
      <c r="O141" s="216">
        <v>100.0</v>
      </c>
      <c r="P141" s="216" t="s">
        <v>29</v>
      </c>
      <c r="Q141" s="216"/>
    </row>
    <row r="142" ht="15.75" customHeight="1">
      <c r="A142" s="211">
        <v>15.0</v>
      </c>
      <c r="B142" s="291" t="s">
        <v>5685</v>
      </c>
      <c r="C142" s="291" t="s">
        <v>5686</v>
      </c>
      <c r="D142" s="317" t="s">
        <v>36</v>
      </c>
      <c r="E142" s="319" t="s">
        <v>5682</v>
      </c>
      <c r="F142" s="335"/>
      <c r="G142" s="336">
        <v>144.0</v>
      </c>
      <c r="H142" s="216">
        <v>14.0</v>
      </c>
      <c r="I142" s="216">
        <v>72.0</v>
      </c>
      <c r="J142" s="130" t="s">
        <v>39</v>
      </c>
      <c r="K142" s="130" t="s">
        <v>39</v>
      </c>
      <c r="L142" s="216">
        <v>8.0</v>
      </c>
      <c r="M142" s="133" t="s">
        <v>5687</v>
      </c>
      <c r="N142" s="330" t="s">
        <v>138</v>
      </c>
      <c r="O142" s="216">
        <v>100.0</v>
      </c>
      <c r="P142" s="216" t="s">
        <v>29</v>
      </c>
      <c r="Q142" s="216"/>
    </row>
    <row r="143" ht="15.75" customHeight="1">
      <c r="A143" s="211">
        <v>16.0</v>
      </c>
      <c r="B143" s="291" t="s">
        <v>5688</v>
      </c>
      <c r="C143" s="291" t="s">
        <v>5689</v>
      </c>
      <c r="D143" s="317" t="s">
        <v>36</v>
      </c>
      <c r="E143" s="319" t="s">
        <v>5682</v>
      </c>
      <c r="F143" s="335"/>
      <c r="G143" s="336">
        <v>252.0</v>
      </c>
      <c r="H143" s="216">
        <v>63.0</v>
      </c>
      <c r="I143" s="216">
        <v>126.0</v>
      </c>
      <c r="J143" s="130" t="s">
        <v>39</v>
      </c>
      <c r="K143" s="130" t="s">
        <v>39</v>
      </c>
      <c r="L143" s="216">
        <v>5.0</v>
      </c>
      <c r="M143" s="330" t="s">
        <v>138</v>
      </c>
      <c r="N143" s="216" t="s">
        <v>396</v>
      </c>
      <c r="O143" s="216">
        <v>150.0</v>
      </c>
      <c r="P143" s="216" t="s">
        <v>29</v>
      </c>
      <c r="Q143" s="216"/>
    </row>
    <row r="144" ht="15.75" customHeight="1">
      <c r="A144" s="211">
        <v>17.0</v>
      </c>
      <c r="B144" s="291" t="s">
        <v>5690</v>
      </c>
      <c r="C144" s="291" t="s">
        <v>5691</v>
      </c>
      <c r="D144" s="317" t="s">
        <v>36</v>
      </c>
      <c r="E144" s="319" t="s">
        <v>1303</v>
      </c>
      <c r="F144" s="335"/>
      <c r="G144" s="336">
        <v>240.0</v>
      </c>
      <c r="H144" s="216">
        <v>60.0</v>
      </c>
      <c r="I144" s="216">
        <v>120.0</v>
      </c>
      <c r="J144" s="130" t="s">
        <v>39</v>
      </c>
      <c r="K144" s="130" t="s">
        <v>39</v>
      </c>
      <c r="L144" s="216">
        <v>6.0</v>
      </c>
      <c r="M144" s="330" t="s">
        <v>138</v>
      </c>
      <c r="N144" s="216" t="s">
        <v>5687</v>
      </c>
      <c r="O144" s="216">
        <v>150.0</v>
      </c>
      <c r="P144" s="216" t="s">
        <v>29</v>
      </c>
      <c r="Q144" s="216"/>
    </row>
    <row r="145" ht="15.75" customHeight="1">
      <c r="A145" s="211">
        <v>18.0</v>
      </c>
      <c r="B145" s="291" t="s">
        <v>5692</v>
      </c>
      <c r="C145" s="291" t="s">
        <v>5693</v>
      </c>
      <c r="D145" s="317" t="s">
        <v>36</v>
      </c>
      <c r="E145" s="319" t="s">
        <v>1303</v>
      </c>
      <c r="F145" s="335"/>
      <c r="G145" s="336">
        <v>203.0</v>
      </c>
      <c r="H145" s="216">
        <v>50.0</v>
      </c>
      <c r="I145" s="216">
        <v>102.0</v>
      </c>
      <c r="J145" s="130" t="s">
        <v>39</v>
      </c>
      <c r="K145" s="130" t="s">
        <v>39</v>
      </c>
      <c r="L145" s="216">
        <v>4.0</v>
      </c>
      <c r="M145" s="330" t="s">
        <v>138</v>
      </c>
      <c r="N145" s="216" t="s">
        <v>5687</v>
      </c>
      <c r="O145" s="216">
        <v>150.0</v>
      </c>
      <c r="P145" s="216" t="s">
        <v>29</v>
      </c>
      <c r="Q145" s="216"/>
    </row>
    <row r="146" ht="15.75" customHeight="1">
      <c r="A146" s="211">
        <v>19.0</v>
      </c>
      <c r="B146" s="291" t="s">
        <v>5694</v>
      </c>
      <c r="C146" s="291" t="s">
        <v>5695</v>
      </c>
      <c r="D146" s="317" t="s">
        <v>36</v>
      </c>
      <c r="E146" s="216" t="s">
        <v>5696</v>
      </c>
      <c r="F146" s="335"/>
      <c r="G146" s="336">
        <v>272.0</v>
      </c>
      <c r="H146" s="216">
        <v>68.0</v>
      </c>
      <c r="I146" s="216">
        <v>136.0</v>
      </c>
      <c r="J146" s="130" t="s">
        <v>39</v>
      </c>
      <c r="K146" s="130" t="s">
        <v>39</v>
      </c>
      <c r="L146" s="216">
        <v>8.0</v>
      </c>
      <c r="M146" s="330" t="s">
        <v>138</v>
      </c>
      <c r="N146" s="216" t="s">
        <v>5687</v>
      </c>
      <c r="O146" s="216">
        <v>150.0</v>
      </c>
      <c r="P146" s="216" t="s">
        <v>29</v>
      </c>
      <c r="Q146" s="216"/>
    </row>
    <row r="147" ht="15.75" customHeight="1">
      <c r="A147" s="211">
        <v>20.0</v>
      </c>
      <c r="B147" s="291" t="s">
        <v>5697</v>
      </c>
      <c r="C147" s="291" t="s">
        <v>5695</v>
      </c>
      <c r="D147" s="317" t="s">
        <v>36</v>
      </c>
      <c r="E147" s="216" t="s">
        <v>5696</v>
      </c>
      <c r="F147" s="335"/>
      <c r="G147" s="336">
        <v>392.0</v>
      </c>
      <c r="H147" s="216">
        <v>98.0</v>
      </c>
      <c r="I147" s="216">
        <v>196.0</v>
      </c>
      <c r="J147" s="130" t="s">
        <v>39</v>
      </c>
      <c r="K147" s="130" t="s">
        <v>39</v>
      </c>
      <c r="L147" s="216">
        <v>2.0</v>
      </c>
      <c r="M147" s="330" t="s">
        <v>138</v>
      </c>
      <c r="N147" s="216" t="s">
        <v>5687</v>
      </c>
      <c r="O147" s="216">
        <v>150.0</v>
      </c>
      <c r="P147" s="216" t="s">
        <v>29</v>
      </c>
      <c r="Q147" s="216"/>
    </row>
    <row r="148" ht="15.75" customHeight="1">
      <c r="A148" s="211">
        <v>21.0</v>
      </c>
      <c r="B148" s="291" t="s">
        <v>5698</v>
      </c>
      <c r="C148" s="291" t="s">
        <v>5603</v>
      </c>
      <c r="D148" s="317" t="s">
        <v>36</v>
      </c>
      <c r="E148" s="319" t="s">
        <v>1303</v>
      </c>
      <c r="F148" s="335"/>
      <c r="G148" s="336">
        <v>168.0</v>
      </c>
      <c r="H148" s="216">
        <v>42.0</v>
      </c>
      <c r="I148" s="216">
        <v>84.0</v>
      </c>
      <c r="J148" s="130" t="s">
        <v>39</v>
      </c>
      <c r="K148" s="130" t="s">
        <v>39</v>
      </c>
      <c r="L148" s="216">
        <v>10.0</v>
      </c>
      <c r="M148" s="330" t="s">
        <v>138</v>
      </c>
      <c r="N148" s="216" t="s">
        <v>5687</v>
      </c>
      <c r="O148" s="216">
        <v>100.0</v>
      </c>
      <c r="P148" s="216" t="s">
        <v>29</v>
      </c>
      <c r="Q148" s="216"/>
    </row>
    <row r="149" ht="15.75" customHeight="1">
      <c r="A149" s="211">
        <v>22.0</v>
      </c>
      <c r="B149" s="291" t="s">
        <v>5470</v>
      </c>
      <c r="C149" s="291" t="s">
        <v>5699</v>
      </c>
      <c r="D149" s="317" t="s">
        <v>36</v>
      </c>
      <c r="E149" s="319" t="s">
        <v>1303</v>
      </c>
      <c r="F149" s="335"/>
      <c r="G149" s="336">
        <v>377.0</v>
      </c>
      <c r="H149" s="216">
        <v>94.0</v>
      </c>
      <c r="I149" s="216">
        <v>189.0</v>
      </c>
      <c r="J149" s="130" t="s">
        <v>39</v>
      </c>
      <c r="K149" s="130" t="s">
        <v>39</v>
      </c>
      <c r="L149" s="216">
        <v>6.0</v>
      </c>
      <c r="M149" s="330" t="s">
        <v>138</v>
      </c>
      <c r="N149" s="216" t="s">
        <v>5687</v>
      </c>
      <c r="O149" s="216">
        <v>200.0</v>
      </c>
      <c r="P149" s="216" t="s">
        <v>29</v>
      </c>
      <c r="Q149" s="216"/>
    </row>
    <row r="150" ht="15.75" customHeight="1">
      <c r="A150" s="211">
        <v>23.0</v>
      </c>
      <c r="B150" s="291" t="s">
        <v>5700</v>
      </c>
      <c r="C150" s="291" t="s">
        <v>5701</v>
      </c>
      <c r="D150" s="317" t="s">
        <v>36</v>
      </c>
      <c r="E150" s="319" t="s">
        <v>1303</v>
      </c>
      <c r="F150" s="335"/>
      <c r="G150" s="336">
        <v>284.0</v>
      </c>
      <c r="H150" s="216">
        <v>71.0</v>
      </c>
      <c r="I150" s="216">
        <v>142.0</v>
      </c>
      <c r="J150" s="130" t="s">
        <v>39</v>
      </c>
      <c r="K150" s="130" t="s">
        <v>39</v>
      </c>
      <c r="L150" s="216">
        <v>14.0</v>
      </c>
      <c r="M150" s="330" t="s">
        <v>138</v>
      </c>
      <c r="N150" s="216" t="s">
        <v>5687</v>
      </c>
      <c r="O150" s="216">
        <v>150.0</v>
      </c>
      <c r="P150" s="216" t="s">
        <v>29</v>
      </c>
      <c r="Q150" s="216"/>
    </row>
    <row r="151" ht="15.75" customHeight="1">
      <c r="A151" s="211">
        <v>24.0</v>
      </c>
      <c r="B151" s="291" t="s">
        <v>5702</v>
      </c>
      <c r="C151" s="291" t="s">
        <v>5703</v>
      </c>
      <c r="D151" s="317" t="s">
        <v>36</v>
      </c>
      <c r="E151" s="319" t="s">
        <v>1303</v>
      </c>
      <c r="F151" s="335"/>
      <c r="G151" s="336">
        <v>36.0</v>
      </c>
      <c r="H151" s="216">
        <v>9.0</v>
      </c>
      <c r="I151" s="216">
        <v>18.0</v>
      </c>
      <c r="J151" s="216">
        <v>1.0</v>
      </c>
      <c r="K151" s="216">
        <v>1.0</v>
      </c>
      <c r="L151" s="130" t="s">
        <v>39</v>
      </c>
      <c r="M151" s="330" t="s">
        <v>138</v>
      </c>
      <c r="N151" s="216" t="s">
        <v>5687</v>
      </c>
      <c r="O151" s="216">
        <v>200.0</v>
      </c>
      <c r="P151" s="216" t="s">
        <v>29</v>
      </c>
      <c r="Q151" s="216"/>
    </row>
    <row r="152" ht="15.75" customHeight="1">
      <c r="A152" s="211">
        <v>25.0</v>
      </c>
      <c r="B152" s="291" t="s">
        <v>5704</v>
      </c>
      <c r="C152" s="291" t="s">
        <v>5655</v>
      </c>
      <c r="D152" s="317" t="s">
        <v>36</v>
      </c>
      <c r="E152" s="319" t="s">
        <v>1303</v>
      </c>
      <c r="F152" s="335"/>
      <c r="G152" s="336">
        <v>378.0</v>
      </c>
      <c r="H152" s="216">
        <v>94.0</v>
      </c>
      <c r="I152" s="216">
        <v>189.0</v>
      </c>
      <c r="J152" s="130" t="s">
        <v>39</v>
      </c>
      <c r="K152" s="130" t="s">
        <v>39</v>
      </c>
      <c r="L152" s="216">
        <v>13.0</v>
      </c>
      <c r="M152" s="330" t="s">
        <v>138</v>
      </c>
      <c r="N152" s="216" t="s">
        <v>5687</v>
      </c>
      <c r="O152" s="216">
        <v>200.0</v>
      </c>
      <c r="P152" s="216" t="s">
        <v>66</v>
      </c>
      <c r="Q152" s="216">
        <v>100.0</v>
      </c>
    </row>
    <row r="153" ht="15.75" customHeight="1">
      <c r="A153" s="211">
        <v>26.0</v>
      </c>
      <c r="B153" s="291" t="s">
        <v>5705</v>
      </c>
      <c r="C153" s="291" t="s">
        <v>5706</v>
      </c>
      <c r="D153" s="317" t="s">
        <v>36</v>
      </c>
      <c r="E153" s="319" t="s">
        <v>1303</v>
      </c>
      <c r="F153" s="335"/>
      <c r="G153" s="336">
        <v>168.0</v>
      </c>
      <c r="H153" s="216">
        <v>42.0</v>
      </c>
      <c r="I153" s="216">
        <v>84.0</v>
      </c>
      <c r="J153" s="216">
        <v>2.0</v>
      </c>
      <c r="K153" s="216">
        <v>2.0</v>
      </c>
      <c r="L153" s="130" t="s">
        <v>39</v>
      </c>
      <c r="M153" s="330" t="s">
        <v>138</v>
      </c>
      <c r="N153" s="216" t="s">
        <v>396</v>
      </c>
      <c r="O153" s="216">
        <v>100.0</v>
      </c>
      <c r="P153" s="216" t="s">
        <v>29</v>
      </c>
      <c r="Q153" s="216"/>
    </row>
    <row r="154" ht="15.75" customHeight="1">
      <c r="A154" s="211">
        <v>27.0</v>
      </c>
      <c r="B154" s="291" t="s">
        <v>5707</v>
      </c>
      <c r="C154" s="291" t="s">
        <v>5708</v>
      </c>
      <c r="D154" s="317" t="s">
        <v>36</v>
      </c>
      <c r="E154" s="319" t="s">
        <v>1303</v>
      </c>
      <c r="F154" s="335"/>
      <c r="G154" s="338">
        <v>1800.0</v>
      </c>
      <c r="H154" s="216">
        <v>450.0</v>
      </c>
      <c r="I154" s="216">
        <v>900.0</v>
      </c>
      <c r="J154" s="130" t="s">
        <v>39</v>
      </c>
      <c r="K154" s="130" t="s">
        <v>39</v>
      </c>
      <c r="L154" s="216">
        <v>48.0</v>
      </c>
      <c r="M154" s="330" t="s">
        <v>138</v>
      </c>
      <c r="N154" s="216" t="s">
        <v>5687</v>
      </c>
      <c r="O154" s="216">
        <v>1000.0</v>
      </c>
      <c r="P154" s="216" t="s">
        <v>29</v>
      </c>
      <c r="Q154" s="216"/>
    </row>
    <row r="155" ht="15.75" customHeight="1">
      <c r="A155" s="211">
        <v>28.0</v>
      </c>
      <c r="B155" s="291" t="s">
        <v>5709</v>
      </c>
      <c r="C155" s="291" t="s">
        <v>5668</v>
      </c>
      <c r="D155" s="317" t="s">
        <v>36</v>
      </c>
      <c r="E155" s="216" t="s">
        <v>5696</v>
      </c>
      <c r="F155" s="335"/>
      <c r="G155" s="336">
        <v>182.0</v>
      </c>
      <c r="H155" s="216">
        <v>45.0</v>
      </c>
      <c r="I155" s="216">
        <v>91.0</v>
      </c>
      <c r="J155" s="130" t="s">
        <v>39</v>
      </c>
      <c r="K155" s="130" t="s">
        <v>39</v>
      </c>
      <c r="L155" s="216">
        <v>2.0</v>
      </c>
      <c r="M155" s="330" t="s">
        <v>138</v>
      </c>
      <c r="N155" s="216" t="s">
        <v>396</v>
      </c>
      <c r="O155" s="216">
        <v>100.0</v>
      </c>
      <c r="P155" s="216" t="s">
        <v>29</v>
      </c>
      <c r="Q155" s="216"/>
    </row>
    <row r="156" ht="15.75" customHeight="1">
      <c r="A156" s="211">
        <v>29.0</v>
      </c>
      <c r="B156" s="291" t="s">
        <v>5710</v>
      </c>
      <c r="C156" s="291" t="s">
        <v>5711</v>
      </c>
      <c r="D156" s="317" t="s">
        <v>36</v>
      </c>
      <c r="E156" s="216" t="s">
        <v>5696</v>
      </c>
      <c r="F156" s="335"/>
      <c r="G156" s="336">
        <v>294.0</v>
      </c>
      <c r="H156" s="216">
        <v>74.0</v>
      </c>
      <c r="I156" s="216">
        <v>147.0</v>
      </c>
      <c r="J156" s="130" t="s">
        <v>39</v>
      </c>
      <c r="K156" s="130" t="s">
        <v>39</v>
      </c>
      <c r="L156" s="216">
        <v>3.0</v>
      </c>
      <c r="M156" s="330" t="s">
        <v>138</v>
      </c>
      <c r="N156" s="216" t="s">
        <v>5687</v>
      </c>
      <c r="O156" s="216">
        <v>250.0</v>
      </c>
      <c r="P156" s="216" t="s">
        <v>29</v>
      </c>
      <c r="Q156" s="216"/>
    </row>
    <row r="157" ht="15.75" customHeight="1">
      <c r="A157" s="211">
        <v>30.0</v>
      </c>
      <c r="B157" s="291" t="s">
        <v>5712</v>
      </c>
      <c r="C157" s="291" t="s">
        <v>5713</v>
      </c>
      <c r="D157" s="317" t="s">
        <v>36</v>
      </c>
      <c r="E157" s="216" t="s">
        <v>5677</v>
      </c>
      <c r="F157" s="335"/>
      <c r="G157" s="336">
        <v>294.0</v>
      </c>
      <c r="H157" s="216">
        <v>73.0</v>
      </c>
      <c r="I157" s="216">
        <v>147.0</v>
      </c>
      <c r="J157" s="130" t="s">
        <v>39</v>
      </c>
      <c r="K157" s="130" t="s">
        <v>39</v>
      </c>
      <c r="L157" s="216">
        <v>13.0</v>
      </c>
      <c r="M157" s="330" t="s">
        <v>138</v>
      </c>
      <c r="N157" s="216" t="s">
        <v>5687</v>
      </c>
      <c r="O157" s="216">
        <v>150.0</v>
      </c>
      <c r="P157" s="216" t="s">
        <v>29</v>
      </c>
      <c r="Q157" s="216"/>
    </row>
    <row r="158" ht="15.75" customHeight="1">
      <c r="A158" s="211">
        <v>31.0</v>
      </c>
      <c r="B158" s="291" t="s">
        <v>5714</v>
      </c>
      <c r="C158" s="291" t="s">
        <v>5715</v>
      </c>
      <c r="D158" s="317" t="s">
        <v>36</v>
      </c>
      <c r="E158" s="216" t="s">
        <v>5677</v>
      </c>
      <c r="F158" s="335"/>
      <c r="G158" s="336">
        <v>784.0</v>
      </c>
      <c r="H158" s="216">
        <v>196.0</v>
      </c>
      <c r="I158" s="216">
        <v>392.0</v>
      </c>
      <c r="J158" s="130" t="s">
        <v>39</v>
      </c>
      <c r="K158" s="130" t="s">
        <v>39</v>
      </c>
      <c r="L158" s="216">
        <v>13.0</v>
      </c>
      <c r="M158" s="330" t="s">
        <v>138</v>
      </c>
      <c r="N158" s="216" t="s">
        <v>5687</v>
      </c>
      <c r="O158" s="216">
        <v>100.0</v>
      </c>
      <c r="P158" s="216" t="s">
        <v>29</v>
      </c>
      <c r="Q158" s="216"/>
    </row>
    <row r="159" ht="15.75" customHeight="1">
      <c r="A159" s="211">
        <v>32.0</v>
      </c>
      <c r="B159" s="291" t="s">
        <v>5716</v>
      </c>
      <c r="C159" s="291" t="s">
        <v>5717</v>
      </c>
      <c r="D159" s="317" t="s">
        <v>36</v>
      </c>
      <c r="E159" s="216" t="s">
        <v>5677</v>
      </c>
      <c r="F159" s="335"/>
      <c r="G159" s="336">
        <v>108.0</v>
      </c>
      <c r="H159" s="216">
        <v>27.0</v>
      </c>
      <c r="I159" s="216">
        <v>54.0</v>
      </c>
      <c r="J159" s="130" t="s">
        <v>39</v>
      </c>
      <c r="K159" s="130" t="s">
        <v>39</v>
      </c>
      <c r="L159" s="216">
        <v>2.0</v>
      </c>
      <c r="M159" s="330" t="s">
        <v>138</v>
      </c>
      <c r="N159" s="216" t="s">
        <v>5687</v>
      </c>
      <c r="O159" s="216">
        <v>100.0</v>
      </c>
      <c r="P159" s="216" t="s">
        <v>29</v>
      </c>
      <c r="Q159" s="216"/>
    </row>
    <row r="160" ht="15.75" customHeight="1">
      <c r="A160" s="181"/>
      <c r="B160" s="339" t="s">
        <v>5718</v>
      </c>
      <c r="C160" s="311"/>
      <c r="D160" s="312"/>
      <c r="E160" s="312"/>
      <c r="F160" s="312"/>
      <c r="G160" s="312"/>
      <c r="H160" s="312"/>
      <c r="I160" s="312"/>
      <c r="J160" s="312"/>
      <c r="K160" s="312"/>
      <c r="L160" s="312"/>
      <c r="M160" s="313"/>
      <c r="N160" s="312"/>
      <c r="O160" s="312"/>
      <c r="P160" s="312"/>
      <c r="Q160" s="312"/>
    </row>
    <row r="161" ht="15.75" customHeight="1">
      <c r="A161" s="211">
        <v>1.0</v>
      </c>
      <c r="B161" s="340" t="s">
        <v>5719</v>
      </c>
      <c r="C161" s="317" t="s">
        <v>5720</v>
      </c>
      <c r="D161" s="317" t="s">
        <v>36</v>
      </c>
      <c r="E161" s="319" t="s">
        <v>1303</v>
      </c>
      <c r="F161" s="323"/>
      <c r="G161" s="318">
        <v>600.0</v>
      </c>
      <c r="H161" s="319">
        <v>100.0</v>
      </c>
      <c r="I161" s="319">
        <v>400.0</v>
      </c>
      <c r="J161" s="319">
        <v>2.0</v>
      </c>
      <c r="K161" s="319">
        <v>2.0</v>
      </c>
      <c r="L161" s="319">
        <v>1.0</v>
      </c>
      <c r="M161" s="133" t="s">
        <v>5721</v>
      </c>
      <c r="N161" s="319" t="s">
        <v>39</v>
      </c>
      <c r="O161" s="319">
        <v>400.0</v>
      </c>
      <c r="P161" s="319" t="s">
        <v>29</v>
      </c>
      <c r="Q161" s="319" t="s">
        <v>39</v>
      </c>
    </row>
    <row r="162" ht="15.75" customHeight="1">
      <c r="A162" s="211">
        <v>2.0</v>
      </c>
      <c r="B162" s="291" t="s">
        <v>5722</v>
      </c>
      <c r="C162" s="291" t="s">
        <v>5720</v>
      </c>
      <c r="D162" s="317" t="s">
        <v>36</v>
      </c>
      <c r="E162" s="319" t="s">
        <v>1303</v>
      </c>
      <c r="F162" s="335"/>
      <c r="G162" s="336">
        <v>18.0</v>
      </c>
      <c r="H162" s="216">
        <v>9.0</v>
      </c>
      <c r="I162" s="216">
        <v>36.0</v>
      </c>
      <c r="J162" s="216">
        <v>1.0</v>
      </c>
      <c r="K162" s="216">
        <v>1.0</v>
      </c>
      <c r="L162" s="216">
        <v>0.0</v>
      </c>
      <c r="M162" s="133" t="s">
        <v>5721</v>
      </c>
      <c r="N162" s="319" t="s">
        <v>39</v>
      </c>
      <c r="O162" s="216">
        <v>15.0</v>
      </c>
      <c r="P162" s="216" t="s">
        <v>29</v>
      </c>
      <c r="Q162" s="319" t="s">
        <v>39</v>
      </c>
    </row>
    <row r="163" ht="15.75" customHeight="1">
      <c r="A163" s="211">
        <v>3.0</v>
      </c>
      <c r="B163" s="291" t="s">
        <v>5723</v>
      </c>
      <c r="C163" s="291" t="s">
        <v>5720</v>
      </c>
      <c r="D163" s="317" t="s">
        <v>36</v>
      </c>
      <c r="E163" s="216" t="s">
        <v>5724</v>
      </c>
      <c r="F163" s="335"/>
      <c r="G163" s="336">
        <v>500.0</v>
      </c>
      <c r="H163" s="216">
        <v>80.0</v>
      </c>
      <c r="I163" s="216">
        <v>320.0</v>
      </c>
      <c r="J163" s="216">
        <v>1.0</v>
      </c>
      <c r="K163" s="216">
        <v>1.0</v>
      </c>
      <c r="L163" s="216">
        <v>1.0</v>
      </c>
      <c r="M163" s="133" t="s">
        <v>5725</v>
      </c>
      <c r="N163" s="319" t="s">
        <v>39</v>
      </c>
      <c r="O163" s="216">
        <v>80.0</v>
      </c>
      <c r="P163" s="216" t="s">
        <v>66</v>
      </c>
      <c r="Q163" s="319" t="s">
        <v>39</v>
      </c>
    </row>
    <row r="164" ht="15.75" customHeight="1">
      <c r="A164" s="181"/>
      <c r="B164" s="339" t="s">
        <v>5726</v>
      </c>
      <c r="C164" s="311"/>
      <c r="D164" s="312"/>
      <c r="E164" s="312"/>
      <c r="F164" s="312"/>
      <c r="G164" s="312"/>
      <c r="H164" s="312"/>
      <c r="I164" s="312"/>
      <c r="J164" s="312"/>
      <c r="K164" s="312"/>
      <c r="L164" s="312"/>
      <c r="M164" s="313"/>
      <c r="N164" s="312"/>
      <c r="O164" s="312"/>
      <c r="P164" s="312"/>
      <c r="Q164" s="312"/>
    </row>
    <row r="165" ht="14.25" customHeight="1">
      <c r="A165" s="211">
        <v>1.0</v>
      </c>
      <c r="B165" s="341" t="s">
        <v>5727</v>
      </c>
      <c r="C165" s="342" t="s">
        <v>5728</v>
      </c>
      <c r="D165" s="317" t="s">
        <v>36</v>
      </c>
      <c r="E165" s="343" t="s">
        <v>5729</v>
      </c>
      <c r="F165" s="344"/>
      <c r="G165" s="345">
        <v>3000.0</v>
      </c>
      <c r="H165" s="343">
        <v>150.0</v>
      </c>
      <c r="I165" s="343">
        <v>1500.0</v>
      </c>
      <c r="J165" s="343">
        <v>6.0</v>
      </c>
      <c r="K165" s="343">
        <v>6.0</v>
      </c>
      <c r="L165" s="343">
        <v>12.0</v>
      </c>
      <c r="M165" s="346" t="s">
        <v>82</v>
      </c>
      <c r="N165" s="343" t="s">
        <v>401</v>
      </c>
      <c r="O165" s="343">
        <v>5000.0</v>
      </c>
      <c r="P165" s="347" t="s">
        <v>66</v>
      </c>
      <c r="Q165" s="343">
        <v>30.0</v>
      </c>
    </row>
    <row r="166" ht="14.25" customHeight="1">
      <c r="A166" s="211">
        <v>2.0</v>
      </c>
      <c r="B166" s="342" t="s">
        <v>43</v>
      </c>
      <c r="C166" s="342" t="s">
        <v>5728</v>
      </c>
      <c r="D166" s="317" t="s">
        <v>36</v>
      </c>
      <c r="E166" s="343" t="s">
        <v>5730</v>
      </c>
      <c r="F166" s="344"/>
      <c r="G166" s="345">
        <v>600.0</v>
      </c>
      <c r="H166" s="343">
        <v>50.0</v>
      </c>
      <c r="I166" s="343">
        <v>200.0</v>
      </c>
      <c r="J166" s="343">
        <v>3.0</v>
      </c>
      <c r="K166" s="343">
        <v>3.0</v>
      </c>
      <c r="L166" s="343">
        <v>6.0</v>
      </c>
      <c r="M166" s="346" t="s">
        <v>82</v>
      </c>
      <c r="N166" s="343" t="s">
        <v>401</v>
      </c>
      <c r="O166" s="343">
        <v>1500.0</v>
      </c>
      <c r="P166" s="347" t="s">
        <v>66</v>
      </c>
      <c r="Q166" s="343">
        <v>35.0</v>
      </c>
    </row>
    <row r="167" ht="14.25" customHeight="1">
      <c r="A167" s="211">
        <v>3.0</v>
      </c>
      <c r="B167" s="317" t="s">
        <v>5731</v>
      </c>
      <c r="C167" s="317" t="s">
        <v>5732</v>
      </c>
      <c r="D167" s="317" t="s">
        <v>36</v>
      </c>
      <c r="E167" s="343" t="s">
        <v>5733</v>
      </c>
      <c r="F167" s="323"/>
      <c r="G167" s="318">
        <v>500.0</v>
      </c>
      <c r="H167" s="319">
        <v>180.0</v>
      </c>
      <c r="I167" s="319">
        <v>900.0</v>
      </c>
      <c r="J167" s="319">
        <v>1.0</v>
      </c>
      <c r="K167" s="319">
        <v>1.0</v>
      </c>
      <c r="L167" s="319" t="s">
        <v>39</v>
      </c>
      <c r="M167" s="314" t="s">
        <v>82</v>
      </c>
      <c r="N167" s="319" t="s">
        <v>39</v>
      </c>
      <c r="O167" s="319">
        <v>100.0</v>
      </c>
      <c r="P167" s="348" t="s">
        <v>29</v>
      </c>
      <c r="Q167" s="319" t="s">
        <v>39</v>
      </c>
    </row>
    <row r="168" ht="14.25" customHeight="1">
      <c r="A168" s="211">
        <v>4.0</v>
      </c>
      <c r="B168" s="349" t="s">
        <v>5734</v>
      </c>
      <c r="C168" s="349" t="s">
        <v>5732</v>
      </c>
      <c r="D168" s="317" t="s">
        <v>36</v>
      </c>
      <c r="E168" s="343" t="s">
        <v>5733</v>
      </c>
      <c r="F168" s="350"/>
      <c r="G168" s="351">
        <v>1500.0</v>
      </c>
      <c r="H168" s="348">
        <v>120.0</v>
      </c>
      <c r="I168" s="348">
        <v>600.0</v>
      </c>
      <c r="J168" s="348">
        <v>2.0</v>
      </c>
      <c r="K168" s="348">
        <v>2.0</v>
      </c>
      <c r="L168" s="348" t="s">
        <v>39</v>
      </c>
      <c r="M168" s="352" t="s">
        <v>82</v>
      </c>
      <c r="N168" s="348" t="s">
        <v>39</v>
      </c>
      <c r="O168" s="319">
        <v>100.0</v>
      </c>
      <c r="P168" s="348" t="s">
        <v>29</v>
      </c>
      <c r="Q168" s="348" t="s">
        <v>39</v>
      </c>
    </row>
    <row r="169" ht="14.25" customHeight="1">
      <c r="A169" s="211">
        <v>5.0</v>
      </c>
      <c r="B169" s="317" t="s">
        <v>5735</v>
      </c>
      <c r="C169" s="317" t="s">
        <v>5736</v>
      </c>
      <c r="D169" s="317" t="s">
        <v>36</v>
      </c>
      <c r="E169" s="343" t="s">
        <v>5733</v>
      </c>
      <c r="F169" s="323"/>
      <c r="G169" s="318">
        <v>10000.0</v>
      </c>
      <c r="H169" s="319">
        <v>104.0</v>
      </c>
      <c r="I169" s="319">
        <v>520.0</v>
      </c>
      <c r="J169" s="319">
        <v>1.0</v>
      </c>
      <c r="K169" s="319">
        <v>1.0</v>
      </c>
      <c r="L169" s="319" t="s">
        <v>39</v>
      </c>
      <c r="M169" s="314" t="s">
        <v>82</v>
      </c>
      <c r="N169" s="319" t="s">
        <v>39</v>
      </c>
      <c r="O169" s="319">
        <v>100.0</v>
      </c>
      <c r="P169" s="348" t="s">
        <v>29</v>
      </c>
      <c r="Q169" s="319" t="s">
        <v>39</v>
      </c>
    </row>
    <row r="170" ht="14.25" customHeight="1">
      <c r="A170" s="211">
        <v>6.0</v>
      </c>
      <c r="B170" s="349" t="s">
        <v>5737</v>
      </c>
      <c r="C170" s="349" t="s">
        <v>5738</v>
      </c>
      <c r="D170" s="317" t="s">
        <v>36</v>
      </c>
      <c r="E170" s="343" t="s">
        <v>5733</v>
      </c>
      <c r="F170" s="350"/>
      <c r="G170" s="351">
        <v>1239.0</v>
      </c>
      <c r="H170" s="348">
        <v>66.0</v>
      </c>
      <c r="I170" s="348">
        <v>330.0</v>
      </c>
      <c r="J170" s="348">
        <v>1.0</v>
      </c>
      <c r="K170" s="348">
        <v>1.0</v>
      </c>
      <c r="L170" s="348" t="s">
        <v>39</v>
      </c>
      <c r="M170" s="352" t="s">
        <v>82</v>
      </c>
      <c r="N170" s="348" t="s">
        <v>39</v>
      </c>
      <c r="O170" s="319">
        <v>100.0</v>
      </c>
      <c r="P170" s="348" t="s">
        <v>29</v>
      </c>
      <c r="Q170" s="348" t="s">
        <v>39</v>
      </c>
    </row>
    <row r="171" ht="14.25" customHeight="1">
      <c r="A171" s="211">
        <v>7.0</v>
      </c>
      <c r="B171" s="317" t="s">
        <v>2483</v>
      </c>
      <c r="C171" s="317" t="s">
        <v>5739</v>
      </c>
      <c r="D171" s="317" t="s">
        <v>36</v>
      </c>
      <c r="E171" s="343" t="s">
        <v>5733</v>
      </c>
      <c r="F171" s="323"/>
      <c r="G171" s="318">
        <v>9304.0</v>
      </c>
      <c r="H171" s="319">
        <v>85.0</v>
      </c>
      <c r="I171" s="319">
        <v>425.0</v>
      </c>
      <c r="J171" s="319">
        <v>1.0</v>
      </c>
      <c r="K171" s="319">
        <v>1.0</v>
      </c>
      <c r="L171" s="319" t="s">
        <v>39</v>
      </c>
      <c r="M171" s="314" t="s">
        <v>82</v>
      </c>
      <c r="N171" s="319" t="s">
        <v>39</v>
      </c>
      <c r="O171" s="319">
        <v>100.0</v>
      </c>
      <c r="P171" s="348" t="s">
        <v>29</v>
      </c>
      <c r="Q171" s="319" t="s">
        <v>39</v>
      </c>
    </row>
    <row r="172" ht="14.25" customHeight="1">
      <c r="A172" s="211">
        <v>8.0</v>
      </c>
      <c r="B172" s="349" t="s">
        <v>5740</v>
      </c>
      <c r="C172" s="349" t="s">
        <v>5741</v>
      </c>
      <c r="D172" s="317" t="s">
        <v>36</v>
      </c>
      <c r="E172" s="343" t="s">
        <v>5733</v>
      </c>
      <c r="F172" s="350"/>
      <c r="G172" s="351">
        <v>11110.0</v>
      </c>
      <c r="H172" s="348">
        <v>67.0</v>
      </c>
      <c r="I172" s="348">
        <v>335.0</v>
      </c>
      <c r="J172" s="348">
        <v>1.0</v>
      </c>
      <c r="K172" s="348">
        <v>1.0</v>
      </c>
      <c r="L172" s="348" t="s">
        <v>39</v>
      </c>
      <c r="M172" s="352" t="s">
        <v>82</v>
      </c>
      <c r="N172" s="348" t="s">
        <v>39</v>
      </c>
      <c r="O172" s="319">
        <v>100.0</v>
      </c>
      <c r="P172" s="348" t="s">
        <v>29</v>
      </c>
      <c r="Q172" s="348" t="s">
        <v>39</v>
      </c>
    </row>
    <row r="173" ht="14.25" customHeight="1">
      <c r="A173" s="211">
        <v>9.0</v>
      </c>
      <c r="B173" s="317" t="s">
        <v>5742</v>
      </c>
      <c r="C173" s="317" t="s">
        <v>5743</v>
      </c>
      <c r="D173" s="317" t="s">
        <v>36</v>
      </c>
      <c r="E173" s="343" t="s">
        <v>5733</v>
      </c>
      <c r="F173" s="323"/>
      <c r="G173" s="318">
        <v>750.0</v>
      </c>
      <c r="H173" s="319">
        <v>80.0</v>
      </c>
      <c r="I173" s="319">
        <v>400.0</v>
      </c>
      <c r="J173" s="319">
        <v>1.0</v>
      </c>
      <c r="K173" s="319">
        <v>1.0</v>
      </c>
      <c r="L173" s="319" t="s">
        <v>39</v>
      </c>
      <c r="M173" s="314" t="s">
        <v>82</v>
      </c>
      <c r="N173" s="319" t="s">
        <v>39</v>
      </c>
      <c r="O173" s="319">
        <v>100.0</v>
      </c>
      <c r="P173" s="348" t="s">
        <v>29</v>
      </c>
      <c r="Q173" s="319" t="s">
        <v>39</v>
      </c>
    </row>
    <row r="174" ht="14.25" customHeight="1">
      <c r="A174" s="211">
        <v>10.0</v>
      </c>
      <c r="B174" s="349" t="s">
        <v>5744</v>
      </c>
      <c r="C174" s="349" t="s">
        <v>5745</v>
      </c>
      <c r="D174" s="317" t="s">
        <v>36</v>
      </c>
      <c r="E174" s="343" t="s">
        <v>5733</v>
      </c>
      <c r="F174" s="350"/>
      <c r="G174" s="351">
        <v>10859.0</v>
      </c>
      <c r="H174" s="348">
        <v>72.0</v>
      </c>
      <c r="I174" s="348">
        <v>360.0</v>
      </c>
      <c r="J174" s="348">
        <v>1.0</v>
      </c>
      <c r="K174" s="348">
        <v>1.0</v>
      </c>
      <c r="L174" s="348" t="s">
        <v>39</v>
      </c>
      <c r="M174" s="352" t="s">
        <v>82</v>
      </c>
      <c r="N174" s="348" t="s">
        <v>39</v>
      </c>
      <c r="O174" s="319">
        <v>100.0</v>
      </c>
      <c r="P174" s="348" t="s">
        <v>29</v>
      </c>
      <c r="Q174" s="348" t="s">
        <v>39</v>
      </c>
    </row>
    <row r="175" ht="14.25" customHeight="1">
      <c r="A175" s="211">
        <v>11.0</v>
      </c>
      <c r="B175" s="317" t="s">
        <v>2613</v>
      </c>
      <c r="C175" s="317" t="s">
        <v>5746</v>
      </c>
      <c r="D175" s="317" t="s">
        <v>36</v>
      </c>
      <c r="E175" s="343" t="s">
        <v>5733</v>
      </c>
      <c r="F175" s="323"/>
      <c r="G175" s="318">
        <v>15920.0</v>
      </c>
      <c r="H175" s="319">
        <v>140.0</v>
      </c>
      <c r="I175" s="319">
        <v>700.0</v>
      </c>
      <c r="J175" s="319">
        <v>1.0</v>
      </c>
      <c r="K175" s="319">
        <v>1.0</v>
      </c>
      <c r="L175" s="319" t="s">
        <v>39</v>
      </c>
      <c r="M175" s="314" t="s">
        <v>82</v>
      </c>
      <c r="N175" s="319" t="s">
        <v>39</v>
      </c>
      <c r="O175" s="319">
        <v>100.0</v>
      </c>
      <c r="P175" s="348" t="s">
        <v>29</v>
      </c>
      <c r="Q175" s="319" t="s">
        <v>39</v>
      </c>
    </row>
    <row r="176" ht="14.25" customHeight="1">
      <c r="A176" s="211">
        <v>12.0</v>
      </c>
      <c r="B176" s="349" t="s">
        <v>5747</v>
      </c>
      <c r="C176" s="349" t="s">
        <v>5748</v>
      </c>
      <c r="D176" s="317" t="s">
        <v>36</v>
      </c>
      <c r="E176" s="343" t="s">
        <v>5730</v>
      </c>
      <c r="F176" s="350"/>
      <c r="G176" s="351">
        <v>1874.0</v>
      </c>
      <c r="H176" s="348">
        <v>50.0</v>
      </c>
      <c r="I176" s="348">
        <v>250.0</v>
      </c>
      <c r="J176" s="348">
        <v>1.0</v>
      </c>
      <c r="K176" s="348">
        <v>1.0</v>
      </c>
      <c r="L176" s="348" t="s">
        <v>39</v>
      </c>
      <c r="M176" s="352" t="s">
        <v>82</v>
      </c>
      <c r="N176" s="348" t="s">
        <v>39</v>
      </c>
      <c r="O176" s="319">
        <v>100.0</v>
      </c>
      <c r="P176" s="348" t="s">
        <v>29</v>
      </c>
      <c r="Q176" s="348" t="s">
        <v>39</v>
      </c>
    </row>
    <row r="177" ht="14.25" customHeight="1">
      <c r="A177" s="211">
        <v>13.0</v>
      </c>
      <c r="B177" s="317" t="s">
        <v>5749</v>
      </c>
      <c r="C177" s="317" t="s">
        <v>5750</v>
      </c>
      <c r="D177" s="317" t="s">
        <v>36</v>
      </c>
      <c r="E177" s="343" t="s">
        <v>5730</v>
      </c>
      <c r="F177" s="323"/>
      <c r="G177" s="318">
        <v>600.0</v>
      </c>
      <c r="H177" s="319">
        <v>52.0</v>
      </c>
      <c r="I177" s="319">
        <v>260.0</v>
      </c>
      <c r="J177" s="319">
        <v>1.0</v>
      </c>
      <c r="K177" s="319">
        <v>1.0</v>
      </c>
      <c r="L177" s="319" t="s">
        <v>39</v>
      </c>
      <c r="M177" s="314" t="s">
        <v>82</v>
      </c>
      <c r="N177" s="319" t="s">
        <v>39</v>
      </c>
      <c r="O177" s="319">
        <v>100.0</v>
      </c>
      <c r="P177" s="348" t="s">
        <v>29</v>
      </c>
      <c r="Q177" s="319" t="s">
        <v>39</v>
      </c>
    </row>
    <row r="178" ht="14.25" customHeight="1">
      <c r="A178" s="211">
        <v>14.0</v>
      </c>
      <c r="B178" s="349" t="s">
        <v>5751</v>
      </c>
      <c r="C178" s="349" t="s">
        <v>5752</v>
      </c>
      <c r="D178" s="317" t="s">
        <v>36</v>
      </c>
      <c r="E178" s="343" t="s">
        <v>5730</v>
      </c>
      <c r="F178" s="350"/>
      <c r="G178" s="351">
        <v>13046.0</v>
      </c>
      <c r="H178" s="348">
        <v>40.0</v>
      </c>
      <c r="I178" s="348">
        <v>200.0</v>
      </c>
      <c r="J178" s="348">
        <v>1.0</v>
      </c>
      <c r="K178" s="348">
        <v>1.0</v>
      </c>
      <c r="L178" s="348" t="s">
        <v>39</v>
      </c>
      <c r="M178" s="352" t="s">
        <v>82</v>
      </c>
      <c r="N178" s="348" t="s">
        <v>39</v>
      </c>
      <c r="O178" s="319">
        <v>100.0</v>
      </c>
      <c r="P178" s="348" t="s">
        <v>29</v>
      </c>
      <c r="Q178" s="348" t="s">
        <v>39</v>
      </c>
    </row>
    <row r="179" ht="14.25" customHeight="1">
      <c r="A179" s="211">
        <v>15.0</v>
      </c>
      <c r="B179" s="317" t="s">
        <v>5753</v>
      </c>
      <c r="C179" s="317" t="s">
        <v>5754</v>
      </c>
      <c r="D179" s="317" t="s">
        <v>36</v>
      </c>
      <c r="E179" s="343" t="s">
        <v>5733</v>
      </c>
      <c r="F179" s="323"/>
      <c r="G179" s="318">
        <v>2149.0</v>
      </c>
      <c r="H179" s="319">
        <v>41.0</v>
      </c>
      <c r="I179" s="319">
        <v>205.0</v>
      </c>
      <c r="J179" s="319">
        <v>1.0</v>
      </c>
      <c r="K179" s="319">
        <v>1.0</v>
      </c>
      <c r="L179" s="319" t="s">
        <v>39</v>
      </c>
      <c r="M179" s="314" t="s">
        <v>82</v>
      </c>
      <c r="N179" s="319" t="s">
        <v>39</v>
      </c>
      <c r="O179" s="319">
        <v>100.0</v>
      </c>
      <c r="P179" s="348" t="s">
        <v>29</v>
      </c>
      <c r="Q179" s="319" t="s">
        <v>39</v>
      </c>
    </row>
    <row r="180" ht="14.25" customHeight="1">
      <c r="A180" s="211">
        <v>16.0</v>
      </c>
      <c r="B180" s="349" t="s">
        <v>5755</v>
      </c>
      <c r="C180" s="349" t="s">
        <v>5756</v>
      </c>
      <c r="D180" s="317" t="s">
        <v>36</v>
      </c>
      <c r="E180" s="343" t="s">
        <v>5733</v>
      </c>
      <c r="F180" s="350"/>
      <c r="G180" s="351">
        <v>23042.0</v>
      </c>
      <c r="H180" s="348">
        <v>68.0</v>
      </c>
      <c r="I180" s="348">
        <v>340.0</v>
      </c>
      <c r="J180" s="348">
        <v>1.0</v>
      </c>
      <c r="K180" s="348">
        <v>1.0</v>
      </c>
      <c r="L180" s="348" t="s">
        <v>39</v>
      </c>
      <c r="M180" s="352" t="s">
        <v>82</v>
      </c>
      <c r="N180" s="348" t="s">
        <v>39</v>
      </c>
      <c r="O180" s="319">
        <v>100.0</v>
      </c>
      <c r="P180" s="348" t="s">
        <v>29</v>
      </c>
      <c r="Q180" s="348" t="s">
        <v>39</v>
      </c>
    </row>
    <row r="181" ht="14.25" customHeight="1">
      <c r="A181" s="211">
        <v>17.0</v>
      </c>
      <c r="B181" s="317" t="s">
        <v>5757</v>
      </c>
      <c r="C181" s="317" t="s">
        <v>5758</v>
      </c>
      <c r="D181" s="317" t="s">
        <v>36</v>
      </c>
      <c r="E181" s="343" t="s">
        <v>5733</v>
      </c>
      <c r="F181" s="323"/>
      <c r="G181" s="318">
        <v>11812.0</v>
      </c>
      <c r="H181" s="319">
        <v>46.0</v>
      </c>
      <c r="I181" s="319">
        <v>230.0</v>
      </c>
      <c r="J181" s="319">
        <v>1.0</v>
      </c>
      <c r="K181" s="319">
        <v>1.0</v>
      </c>
      <c r="L181" s="319" t="s">
        <v>39</v>
      </c>
      <c r="M181" s="314" t="s">
        <v>82</v>
      </c>
      <c r="N181" s="319" t="s">
        <v>39</v>
      </c>
      <c r="O181" s="319">
        <v>100.0</v>
      </c>
      <c r="P181" s="348" t="s">
        <v>29</v>
      </c>
      <c r="Q181" s="319" t="s">
        <v>39</v>
      </c>
    </row>
    <row r="182" ht="14.25" customHeight="1">
      <c r="A182" s="211">
        <v>18.0</v>
      </c>
      <c r="B182" s="349" t="s">
        <v>5759</v>
      </c>
      <c r="C182" s="349" t="s">
        <v>5760</v>
      </c>
      <c r="D182" s="317" t="s">
        <v>36</v>
      </c>
      <c r="E182" s="343" t="s">
        <v>5733</v>
      </c>
      <c r="F182" s="350"/>
      <c r="G182" s="351">
        <v>620.0</v>
      </c>
      <c r="H182" s="348">
        <v>63.0</v>
      </c>
      <c r="I182" s="348">
        <v>315.0</v>
      </c>
      <c r="J182" s="348">
        <v>1.0</v>
      </c>
      <c r="K182" s="348">
        <v>1.0</v>
      </c>
      <c r="L182" s="348" t="s">
        <v>39</v>
      </c>
      <c r="M182" s="352" t="s">
        <v>82</v>
      </c>
      <c r="N182" s="348" t="s">
        <v>39</v>
      </c>
      <c r="O182" s="319">
        <v>100.0</v>
      </c>
      <c r="P182" s="348" t="s">
        <v>29</v>
      </c>
      <c r="Q182" s="348" t="s">
        <v>39</v>
      </c>
    </row>
    <row r="183" ht="14.25" customHeight="1">
      <c r="A183" s="211">
        <v>19.0</v>
      </c>
      <c r="B183" s="317" t="s">
        <v>5761</v>
      </c>
      <c r="C183" s="317" t="s">
        <v>5762</v>
      </c>
      <c r="D183" s="317" t="s">
        <v>36</v>
      </c>
      <c r="E183" s="343" t="s">
        <v>5733</v>
      </c>
      <c r="F183" s="323"/>
      <c r="G183" s="318">
        <v>50.0</v>
      </c>
      <c r="H183" s="319">
        <v>10.0</v>
      </c>
      <c r="I183" s="319">
        <v>50.0</v>
      </c>
      <c r="J183" s="319">
        <v>1.0</v>
      </c>
      <c r="K183" s="319">
        <v>1.0</v>
      </c>
      <c r="L183" s="319" t="s">
        <v>39</v>
      </c>
      <c r="M183" s="314" t="s">
        <v>82</v>
      </c>
      <c r="N183" s="319" t="s">
        <v>39</v>
      </c>
      <c r="O183" s="319">
        <v>100.0</v>
      </c>
      <c r="P183" s="348" t="s">
        <v>29</v>
      </c>
      <c r="Q183" s="319" t="s">
        <v>39</v>
      </c>
    </row>
    <row r="184" ht="14.25" customHeight="1">
      <c r="A184" s="211">
        <v>20.0</v>
      </c>
      <c r="B184" s="349" t="s">
        <v>5763</v>
      </c>
      <c r="C184" s="349" t="s">
        <v>5764</v>
      </c>
      <c r="D184" s="317" t="s">
        <v>36</v>
      </c>
      <c r="E184" s="343" t="s">
        <v>5733</v>
      </c>
      <c r="F184" s="350"/>
      <c r="G184" s="351">
        <v>30.0</v>
      </c>
      <c r="H184" s="348">
        <v>8.0</v>
      </c>
      <c r="I184" s="348">
        <v>40.0</v>
      </c>
      <c r="J184" s="348">
        <v>1.0</v>
      </c>
      <c r="K184" s="348">
        <v>1.0</v>
      </c>
      <c r="L184" s="348" t="s">
        <v>39</v>
      </c>
      <c r="M184" s="352" t="s">
        <v>82</v>
      </c>
      <c r="N184" s="348" t="s">
        <v>39</v>
      </c>
      <c r="O184" s="319">
        <v>100.0</v>
      </c>
      <c r="P184" s="348" t="s">
        <v>29</v>
      </c>
      <c r="Q184" s="348" t="s">
        <v>39</v>
      </c>
    </row>
    <row r="185" ht="14.25" customHeight="1">
      <c r="A185" s="211">
        <v>21.0</v>
      </c>
      <c r="B185" s="317" t="s">
        <v>5765</v>
      </c>
      <c r="C185" s="317" t="s">
        <v>5766</v>
      </c>
      <c r="D185" s="317" t="s">
        <v>36</v>
      </c>
      <c r="E185" s="343" t="s">
        <v>5733</v>
      </c>
      <c r="F185" s="323"/>
      <c r="G185" s="318">
        <v>19.0</v>
      </c>
      <c r="H185" s="319">
        <v>6.0</v>
      </c>
      <c r="I185" s="319">
        <v>30.0</v>
      </c>
      <c r="J185" s="319">
        <v>1.0</v>
      </c>
      <c r="K185" s="319">
        <v>1.0</v>
      </c>
      <c r="L185" s="319" t="s">
        <v>39</v>
      </c>
      <c r="M185" s="314" t="s">
        <v>82</v>
      </c>
      <c r="N185" s="319" t="s">
        <v>39</v>
      </c>
      <c r="O185" s="319">
        <v>100.0</v>
      </c>
      <c r="P185" s="348" t="s">
        <v>29</v>
      </c>
      <c r="Q185" s="319" t="s">
        <v>39</v>
      </c>
    </row>
    <row r="186" ht="14.25" customHeight="1">
      <c r="A186" s="211">
        <v>22.0</v>
      </c>
      <c r="B186" s="349" t="s">
        <v>5767</v>
      </c>
      <c r="C186" s="349" t="s">
        <v>5768</v>
      </c>
      <c r="D186" s="317" t="s">
        <v>36</v>
      </c>
      <c r="E186" s="343" t="s">
        <v>5733</v>
      </c>
      <c r="F186" s="350"/>
      <c r="G186" s="351">
        <v>500.0</v>
      </c>
      <c r="H186" s="348">
        <v>12.0</v>
      </c>
      <c r="I186" s="348">
        <v>60.0</v>
      </c>
      <c r="J186" s="348">
        <v>1.0</v>
      </c>
      <c r="K186" s="348">
        <v>1.0</v>
      </c>
      <c r="L186" s="348" t="s">
        <v>39</v>
      </c>
      <c r="M186" s="352" t="s">
        <v>82</v>
      </c>
      <c r="N186" s="348" t="s">
        <v>39</v>
      </c>
      <c r="O186" s="319">
        <v>100.0</v>
      </c>
      <c r="P186" s="348" t="s">
        <v>29</v>
      </c>
      <c r="Q186" s="348" t="s">
        <v>39</v>
      </c>
    </row>
    <row r="187" ht="14.25" customHeight="1">
      <c r="A187" s="211">
        <v>23.0</v>
      </c>
      <c r="B187" s="317" t="s">
        <v>5769</v>
      </c>
      <c r="C187" s="317" t="s">
        <v>5770</v>
      </c>
      <c r="D187" s="317" t="s">
        <v>36</v>
      </c>
      <c r="E187" s="343" t="s">
        <v>5733</v>
      </c>
      <c r="F187" s="323"/>
      <c r="G187" s="318">
        <v>50.0</v>
      </c>
      <c r="H187" s="319">
        <v>6.0</v>
      </c>
      <c r="I187" s="319">
        <v>30.0</v>
      </c>
      <c r="J187" s="319">
        <v>1.0</v>
      </c>
      <c r="K187" s="319">
        <v>1.0</v>
      </c>
      <c r="L187" s="319" t="s">
        <v>39</v>
      </c>
      <c r="M187" s="314" t="s">
        <v>82</v>
      </c>
      <c r="N187" s="319" t="s">
        <v>39</v>
      </c>
      <c r="O187" s="319">
        <v>100.0</v>
      </c>
      <c r="P187" s="348" t="s">
        <v>29</v>
      </c>
      <c r="Q187" s="319" t="s">
        <v>39</v>
      </c>
    </row>
    <row r="188" ht="14.25" customHeight="1">
      <c r="A188" s="211">
        <v>24.0</v>
      </c>
      <c r="B188" s="349" t="s">
        <v>5771</v>
      </c>
      <c r="C188" s="349" t="s">
        <v>5772</v>
      </c>
      <c r="D188" s="317" t="s">
        <v>36</v>
      </c>
      <c r="E188" s="343" t="s">
        <v>5733</v>
      </c>
      <c r="F188" s="350"/>
      <c r="G188" s="351">
        <v>60.0</v>
      </c>
      <c r="H188" s="348">
        <v>7.0</v>
      </c>
      <c r="I188" s="348">
        <v>35.0</v>
      </c>
      <c r="J188" s="348">
        <v>1.0</v>
      </c>
      <c r="K188" s="348">
        <v>1.0</v>
      </c>
      <c r="L188" s="348" t="s">
        <v>39</v>
      </c>
      <c r="M188" s="352" t="s">
        <v>82</v>
      </c>
      <c r="N188" s="348" t="s">
        <v>39</v>
      </c>
      <c r="O188" s="319">
        <v>100.0</v>
      </c>
      <c r="P188" s="348" t="s">
        <v>29</v>
      </c>
      <c r="Q188" s="348" t="s">
        <v>39</v>
      </c>
    </row>
    <row r="189" ht="14.25" customHeight="1">
      <c r="A189" s="211">
        <v>25.0</v>
      </c>
      <c r="B189" s="317" t="s">
        <v>5773</v>
      </c>
      <c r="C189" s="317" t="s">
        <v>5774</v>
      </c>
      <c r="D189" s="317" t="s">
        <v>36</v>
      </c>
      <c r="E189" s="343" t="s">
        <v>5733</v>
      </c>
      <c r="F189" s="323"/>
      <c r="G189" s="318">
        <v>75.0</v>
      </c>
      <c r="H189" s="319">
        <v>20.0</v>
      </c>
      <c r="I189" s="319">
        <v>100.0</v>
      </c>
      <c r="J189" s="319">
        <v>1.0</v>
      </c>
      <c r="K189" s="319">
        <v>1.0</v>
      </c>
      <c r="L189" s="319" t="s">
        <v>39</v>
      </c>
      <c r="M189" s="314" t="s">
        <v>82</v>
      </c>
      <c r="N189" s="319" t="s">
        <v>39</v>
      </c>
      <c r="O189" s="319">
        <v>100.0</v>
      </c>
      <c r="P189" s="348" t="s">
        <v>29</v>
      </c>
      <c r="Q189" s="319" t="s">
        <v>39</v>
      </c>
    </row>
    <row r="190" ht="14.25" customHeight="1">
      <c r="A190" s="211">
        <v>26.0</v>
      </c>
      <c r="B190" s="349" t="s">
        <v>5775</v>
      </c>
      <c r="C190" s="349" t="s">
        <v>5746</v>
      </c>
      <c r="D190" s="317" t="s">
        <v>36</v>
      </c>
      <c r="E190" s="343" t="s">
        <v>5733</v>
      </c>
      <c r="F190" s="350"/>
      <c r="G190" s="351">
        <v>30.0</v>
      </c>
      <c r="H190" s="348">
        <v>8.0</v>
      </c>
      <c r="I190" s="348">
        <v>40.0</v>
      </c>
      <c r="J190" s="348">
        <v>1.0</v>
      </c>
      <c r="K190" s="348">
        <v>1.0</v>
      </c>
      <c r="L190" s="348" t="s">
        <v>39</v>
      </c>
      <c r="M190" s="352" t="s">
        <v>82</v>
      </c>
      <c r="N190" s="348" t="s">
        <v>39</v>
      </c>
      <c r="O190" s="319">
        <v>100.0</v>
      </c>
      <c r="P190" s="348" t="s">
        <v>29</v>
      </c>
      <c r="Q190" s="348" t="s">
        <v>39</v>
      </c>
    </row>
    <row r="191" ht="14.25" customHeight="1">
      <c r="A191" s="211">
        <v>27.0</v>
      </c>
      <c r="B191" s="317" t="s">
        <v>5776</v>
      </c>
      <c r="C191" s="317" t="s">
        <v>5777</v>
      </c>
      <c r="D191" s="317" t="s">
        <v>36</v>
      </c>
      <c r="E191" s="343" t="s">
        <v>5733</v>
      </c>
      <c r="F191" s="323"/>
      <c r="G191" s="318">
        <v>50.0</v>
      </c>
      <c r="H191" s="319">
        <v>10.0</v>
      </c>
      <c r="I191" s="319">
        <v>50.0</v>
      </c>
      <c r="J191" s="319">
        <v>1.0</v>
      </c>
      <c r="K191" s="319">
        <v>1.0</v>
      </c>
      <c r="L191" s="319" t="s">
        <v>39</v>
      </c>
      <c r="M191" s="314" t="s">
        <v>82</v>
      </c>
      <c r="N191" s="319" t="s">
        <v>39</v>
      </c>
      <c r="O191" s="319">
        <v>100.0</v>
      </c>
      <c r="P191" s="348" t="s">
        <v>29</v>
      </c>
      <c r="Q191" s="319" t="s">
        <v>39</v>
      </c>
    </row>
    <row r="192" ht="14.25" customHeight="1">
      <c r="A192" s="211">
        <v>28.0</v>
      </c>
      <c r="B192" s="349" t="s">
        <v>5778</v>
      </c>
      <c r="C192" s="349" t="s">
        <v>5779</v>
      </c>
      <c r="D192" s="317" t="s">
        <v>36</v>
      </c>
      <c r="E192" s="343" t="s">
        <v>5733</v>
      </c>
      <c r="F192" s="350"/>
      <c r="G192" s="351">
        <v>25.0</v>
      </c>
      <c r="H192" s="348">
        <v>4.0</v>
      </c>
      <c r="I192" s="348">
        <v>20.0</v>
      </c>
      <c r="J192" s="348">
        <v>1.0</v>
      </c>
      <c r="K192" s="348">
        <v>1.0</v>
      </c>
      <c r="L192" s="348" t="s">
        <v>39</v>
      </c>
      <c r="M192" s="352" t="s">
        <v>82</v>
      </c>
      <c r="N192" s="348" t="s">
        <v>39</v>
      </c>
      <c r="O192" s="319">
        <v>100.0</v>
      </c>
      <c r="P192" s="348" t="s">
        <v>29</v>
      </c>
      <c r="Q192" s="348" t="s">
        <v>39</v>
      </c>
    </row>
    <row r="193" ht="14.25" customHeight="1">
      <c r="A193" s="211">
        <v>29.0</v>
      </c>
      <c r="B193" s="317" t="s">
        <v>5780</v>
      </c>
      <c r="C193" s="317" t="s">
        <v>5781</v>
      </c>
      <c r="D193" s="317" t="s">
        <v>36</v>
      </c>
      <c r="E193" s="343" t="s">
        <v>5733</v>
      </c>
      <c r="F193" s="323"/>
      <c r="G193" s="318">
        <v>40.0</v>
      </c>
      <c r="H193" s="319">
        <v>9.0</v>
      </c>
      <c r="I193" s="319">
        <v>45.0</v>
      </c>
      <c r="J193" s="319">
        <v>1.0</v>
      </c>
      <c r="K193" s="319">
        <v>1.0</v>
      </c>
      <c r="L193" s="319" t="s">
        <v>39</v>
      </c>
      <c r="M193" s="314" t="s">
        <v>82</v>
      </c>
      <c r="N193" s="319" t="s">
        <v>39</v>
      </c>
      <c r="O193" s="319">
        <v>100.0</v>
      </c>
      <c r="P193" s="348" t="s">
        <v>29</v>
      </c>
      <c r="Q193" s="319" t="s">
        <v>39</v>
      </c>
    </row>
    <row r="194" ht="14.25" customHeight="1">
      <c r="A194" s="211">
        <v>30.0</v>
      </c>
      <c r="B194" s="349" t="s">
        <v>5782</v>
      </c>
      <c r="C194" s="349" t="s">
        <v>5783</v>
      </c>
      <c r="D194" s="317" t="s">
        <v>36</v>
      </c>
      <c r="E194" s="343" t="s">
        <v>5733</v>
      </c>
      <c r="F194" s="350"/>
      <c r="G194" s="351">
        <v>30.0</v>
      </c>
      <c r="H194" s="348">
        <v>10.0</v>
      </c>
      <c r="I194" s="348">
        <v>50.0</v>
      </c>
      <c r="J194" s="348">
        <v>1.0</v>
      </c>
      <c r="K194" s="348">
        <v>1.0</v>
      </c>
      <c r="L194" s="348" t="s">
        <v>39</v>
      </c>
      <c r="M194" s="352" t="s">
        <v>82</v>
      </c>
      <c r="N194" s="348" t="s">
        <v>39</v>
      </c>
      <c r="O194" s="319">
        <v>100.0</v>
      </c>
      <c r="P194" s="348" t="s">
        <v>29</v>
      </c>
      <c r="Q194" s="348" t="s">
        <v>39</v>
      </c>
    </row>
    <row r="195" ht="14.25" customHeight="1">
      <c r="A195" s="211">
        <v>31.0</v>
      </c>
      <c r="B195" s="317" t="s">
        <v>5784</v>
      </c>
      <c r="C195" s="317" t="s">
        <v>5785</v>
      </c>
      <c r="D195" s="317" t="s">
        <v>36</v>
      </c>
      <c r="E195" s="343" t="s">
        <v>5733</v>
      </c>
      <c r="F195" s="323"/>
      <c r="G195" s="318">
        <v>500.0</v>
      </c>
      <c r="H195" s="319">
        <v>9.0</v>
      </c>
      <c r="I195" s="319">
        <v>45.0</v>
      </c>
      <c r="J195" s="319">
        <v>1.0</v>
      </c>
      <c r="K195" s="319">
        <v>1.0</v>
      </c>
      <c r="L195" s="319" t="s">
        <v>39</v>
      </c>
      <c r="M195" s="314" t="s">
        <v>82</v>
      </c>
      <c r="N195" s="319" t="s">
        <v>39</v>
      </c>
      <c r="O195" s="319">
        <v>100.0</v>
      </c>
      <c r="P195" s="348" t="s">
        <v>29</v>
      </c>
      <c r="Q195" s="319" t="s">
        <v>39</v>
      </c>
    </row>
    <row r="196" ht="14.25" customHeight="1">
      <c r="A196" s="211">
        <v>32.0</v>
      </c>
      <c r="B196" s="349" t="s">
        <v>5786</v>
      </c>
      <c r="C196" s="349" t="s">
        <v>5787</v>
      </c>
      <c r="D196" s="317" t="s">
        <v>36</v>
      </c>
      <c r="E196" s="343" t="s">
        <v>5733</v>
      </c>
      <c r="F196" s="350"/>
      <c r="G196" s="351">
        <v>5.0</v>
      </c>
      <c r="H196" s="348">
        <v>6.0</v>
      </c>
      <c r="I196" s="348">
        <v>30.0</v>
      </c>
      <c r="J196" s="348">
        <v>1.0</v>
      </c>
      <c r="K196" s="348">
        <v>1.0</v>
      </c>
      <c r="L196" s="348" t="s">
        <v>39</v>
      </c>
      <c r="M196" s="352" t="s">
        <v>82</v>
      </c>
      <c r="N196" s="348" t="s">
        <v>39</v>
      </c>
      <c r="O196" s="319">
        <v>100.0</v>
      </c>
      <c r="P196" s="348" t="s">
        <v>29</v>
      </c>
      <c r="Q196" s="348" t="s">
        <v>39</v>
      </c>
    </row>
    <row r="197" ht="14.25" customHeight="1">
      <c r="A197" s="211">
        <v>33.0</v>
      </c>
      <c r="B197" s="317" t="s">
        <v>5788</v>
      </c>
      <c r="C197" s="317" t="s">
        <v>5789</v>
      </c>
      <c r="D197" s="317" t="s">
        <v>36</v>
      </c>
      <c r="E197" s="343" t="s">
        <v>5733</v>
      </c>
      <c r="F197" s="323"/>
      <c r="G197" s="318">
        <v>70.0</v>
      </c>
      <c r="H197" s="319">
        <v>8.0</v>
      </c>
      <c r="I197" s="319">
        <v>40.0</v>
      </c>
      <c r="J197" s="319">
        <v>1.0</v>
      </c>
      <c r="K197" s="319">
        <v>1.0</v>
      </c>
      <c r="L197" s="319" t="s">
        <v>39</v>
      </c>
      <c r="M197" s="314" t="s">
        <v>82</v>
      </c>
      <c r="N197" s="319" t="s">
        <v>39</v>
      </c>
      <c r="O197" s="319">
        <v>100.0</v>
      </c>
      <c r="P197" s="348" t="s">
        <v>29</v>
      </c>
      <c r="Q197" s="319" t="s">
        <v>39</v>
      </c>
    </row>
    <row r="198" ht="14.25" customHeight="1">
      <c r="A198" s="211">
        <v>34.0</v>
      </c>
      <c r="B198" s="349" t="s">
        <v>5790</v>
      </c>
      <c r="C198" s="349" t="s">
        <v>5791</v>
      </c>
      <c r="D198" s="317" t="s">
        <v>36</v>
      </c>
      <c r="E198" s="343" t="s">
        <v>5733</v>
      </c>
      <c r="F198" s="350"/>
      <c r="G198" s="351">
        <v>400.0</v>
      </c>
      <c r="H198" s="348">
        <v>12.0</v>
      </c>
      <c r="I198" s="348">
        <v>60.0</v>
      </c>
      <c r="J198" s="348">
        <v>1.0</v>
      </c>
      <c r="K198" s="348">
        <v>1.0</v>
      </c>
      <c r="L198" s="348" t="s">
        <v>39</v>
      </c>
      <c r="M198" s="352" t="s">
        <v>82</v>
      </c>
      <c r="N198" s="348" t="s">
        <v>39</v>
      </c>
      <c r="O198" s="319">
        <v>100.0</v>
      </c>
      <c r="P198" s="348" t="s">
        <v>29</v>
      </c>
      <c r="Q198" s="348" t="s">
        <v>39</v>
      </c>
    </row>
    <row r="199" ht="14.25" customHeight="1">
      <c r="A199" s="211">
        <v>35.0</v>
      </c>
      <c r="B199" s="317" t="s">
        <v>5792</v>
      </c>
      <c r="C199" s="317" t="s">
        <v>5793</v>
      </c>
      <c r="D199" s="317" t="s">
        <v>36</v>
      </c>
      <c r="E199" s="343" t="s">
        <v>5733</v>
      </c>
      <c r="F199" s="323"/>
      <c r="G199" s="318">
        <v>70.0</v>
      </c>
      <c r="H199" s="319">
        <v>6.0</v>
      </c>
      <c r="I199" s="319">
        <v>30.0</v>
      </c>
      <c r="J199" s="319">
        <v>1.0</v>
      </c>
      <c r="K199" s="319">
        <v>1.0</v>
      </c>
      <c r="L199" s="319" t="s">
        <v>39</v>
      </c>
      <c r="M199" s="314" t="s">
        <v>82</v>
      </c>
      <c r="N199" s="319" t="s">
        <v>39</v>
      </c>
      <c r="O199" s="319">
        <v>100.0</v>
      </c>
      <c r="P199" s="348" t="s">
        <v>29</v>
      </c>
      <c r="Q199" s="319" t="s">
        <v>39</v>
      </c>
    </row>
    <row r="200" ht="14.25" customHeight="1">
      <c r="A200" s="211">
        <v>36.0</v>
      </c>
      <c r="B200" s="349" t="s">
        <v>5794</v>
      </c>
      <c r="C200" s="349" t="s">
        <v>5795</v>
      </c>
      <c r="D200" s="317" t="s">
        <v>36</v>
      </c>
      <c r="E200" s="343" t="s">
        <v>5733</v>
      </c>
      <c r="F200" s="350"/>
      <c r="G200" s="351">
        <v>70.0</v>
      </c>
      <c r="H200" s="348">
        <v>8.0</v>
      </c>
      <c r="I200" s="348">
        <v>40.0</v>
      </c>
      <c r="J200" s="348">
        <v>1.0</v>
      </c>
      <c r="K200" s="348">
        <v>1.0</v>
      </c>
      <c r="L200" s="348" t="s">
        <v>39</v>
      </c>
      <c r="M200" s="352" t="s">
        <v>82</v>
      </c>
      <c r="N200" s="348" t="s">
        <v>39</v>
      </c>
      <c r="O200" s="319">
        <v>100.0</v>
      </c>
      <c r="P200" s="348" t="s">
        <v>29</v>
      </c>
      <c r="Q200" s="348" t="s">
        <v>39</v>
      </c>
    </row>
    <row r="201" ht="14.25" customHeight="1">
      <c r="A201" s="211">
        <v>37.0</v>
      </c>
      <c r="B201" s="317" t="s">
        <v>5796</v>
      </c>
      <c r="C201" s="317" t="s">
        <v>5797</v>
      </c>
      <c r="D201" s="317" t="s">
        <v>36</v>
      </c>
      <c r="E201" s="343" t="s">
        <v>5730</v>
      </c>
      <c r="F201" s="323"/>
      <c r="G201" s="318">
        <v>76.0</v>
      </c>
      <c r="H201" s="319">
        <v>18.0</v>
      </c>
      <c r="I201" s="319">
        <v>90.0</v>
      </c>
      <c r="J201" s="319">
        <v>1.0</v>
      </c>
      <c r="K201" s="319">
        <v>1.0</v>
      </c>
      <c r="L201" s="319" t="s">
        <v>39</v>
      </c>
      <c r="M201" s="314" t="s">
        <v>82</v>
      </c>
      <c r="N201" s="319" t="s">
        <v>39</v>
      </c>
      <c r="O201" s="319">
        <v>100.0</v>
      </c>
      <c r="P201" s="348" t="s">
        <v>29</v>
      </c>
      <c r="Q201" s="319" t="s">
        <v>39</v>
      </c>
    </row>
    <row r="202" ht="14.25" customHeight="1">
      <c r="A202" s="211">
        <v>38.0</v>
      </c>
      <c r="B202" s="349" t="s">
        <v>5798</v>
      </c>
      <c r="C202" s="349" t="s">
        <v>5799</v>
      </c>
      <c r="D202" s="317" t="s">
        <v>36</v>
      </c>
      <c r="E202" s="343" t="s">
        <v>5730</v>
      </c>
      <c r="F202" s="350"/>
      <c r="G202" s="351">
        <v>50.0</v>
      </c>
      <c r="H202" s="348">
        <v>10.0</v>
      </c>
      <c r="I202" s="348">
        <v>50.0</v>
      </c>
      <c r="J202" s="348">
        <v>1.0</v>
      </c>
      <c r="K202" s="348">
        <v>1.0</v>
      </c>
      <c r="L202" s="348" t="s">
        <v>39</v>
      </c>
      <c r="M202" s="352" t="s">
        <v>82</v>
      </c>
      <c r="N202" s="348" t="s">
        <v>39</v>
      </c>
      <c r="O202" s="319">
        <v>100.0</v>
      </c>
      <c r="P202" s="348" t="s">
        <v>29</v>
      </c>
      <c r="Q202" s="348" t="s">
        <v>39</v>
      </c>
    </row>
    <row r="203" ht="14.25" customHeight="1">
      <c r="A203" s="211">
        <v>39.0</v>
      </c>
      <c r="B203" s="317" t="s">
        <v>5800</v>
      </c>
      <c r="C203" s="317" t="s">
        <v>5801</v>
      </c>
      <c r="D203" s="317" t="s">
        <v>36</v>
      </c>
      <c r="E203" s="343" t="s">
        <v>5730</v>
      </c>
      <c r="F203" s="323"/>
      <c r="G203" s="318">
        <v>70.0</v>
      </c>
      <c r="H203" s="319">
        <v>10.0</v>
      </c>
      <c r="I203" s="319">
        <v>50.0</v>
      </c>
      <c r="J203" s="319">
        <v>1.0</v>
      </c>
      <c r="K203" s="319">
        <v>1.0</v>
      </c>
      <c r="L203" s="319" t="s">
        <v>39</v>
      </c>
      <c r="M203" s="314" t="s">
        <v>82</v>
      </c>
      <c r="N203" s="319" t="s">
        <v>39</v>
      </c>
      <c r="O203" s="319">
        <v>100.0</v>
      </c>
      <c r="P203" s="348" t="s">
        <v>29</v>
      </c>
      <c r="Q203" s="319" t="s">
        <v>39</v>
      </c>
    </row>
    <row r="204" ht="14.25" customHeight="1">
      <c r="A204" s="211">
        <v>40.0</v>
      </c>
      <c r="B204" s="349" t="s">
        <v>5802</v>
      </c>
      <c r="C204" s="349" t="s">
        <v>5803</v>
      </c>
      <c r="D204" s="317" t="s">
        <v>36</v>
      </c>
      <c r="E204" s="343" t="s">
        <v>5733</v>
      </c>
      <c r="F204" s="350"/>
      <c r="G204" s="351">
        <v>50.0</v>
      </c>
      <c r="H204" s="348">
        <v>8.0</v>
      </c>
      <c r="I204" s="348">
        <v>40.0</v>
      </c>
      <c r="J204" s="348">
        <v>1.0</v>
      </c>
      <c r="K204" s="348">
        <v>1.0</v>
      </c>
      <c r="L204" s="348" t="s">
        <v>39</v>
      </c>
      <c r="M204" s="352" t="s">
        <v>82</v>
      </c>
      <c r="N204" s="348" t="s">
        <v>39</v>
      </c>
      <c r="O204" s="319">
        <v>100.0</v>
      </c>
      <c r="P204" s="348" t="s">
        <v>29</v>
      </c>
      <c r="Q204" s="348" t="s">
        <v>39</v>
      </c>
    </row>
    <row r="205" ht="14.25" customHeight="1">
      <c r="A205" s="211">
        <v>41.0</v>
      </c>
      <c r="B205" s="317" t="s">
        <v>5804</v>
      </c>
      <c r="C205" s="317" t="s">
        <v>5805</v>
      </c>
      <c r="D205" s="317" t="s">
        <v>36</v>
      </c>
      <c r="E205" s="343" t="s">
        <v>5733</v>
      </c>
      <c r="F205" s="323"/>
      <c r="G205" s="318">
        <v>210.0</v>
      </c>
      <c r="H205" s="319">
        <v>8.0</v>
      </c>
      <c r="I205" s="319">
        <v>40.0</v>
      </c>
      <c r="J205" s="319">
        <v>1.0</v>
      </c>
      <c r="K205" s="319">
        <v>1.0</v>
      </c>
      <c r="L205" s="319" t="s">
        <v>39</v>
      </c>
      <c r="M205" s="314" t="s">
        <v>82</v>
      </c>
      <c r="N205" s="319" t="s">
        <v>39</v>
      </c>
      <c r="O205" s="319">
        <v>100.0</v>
      </c>
      <c r="P205" s="348" t="s">
        <v>29</v>
      </c>
      <c r="Q205" s="319" t="s">
        <v>39</v>
      </c>
    </row>
    <row r="206" ht="14.25" customHeight="1">
      <c r="A206" s="211">
        <v>42.0</v>
      </c>
      <c r="B206" s="349" t="s">
        <v>5806</v>
      </c>
      <c r="C206" s="349" t="s">
        <v>5807</v>
      </c>
      <c r="D206" s="317" t="s">
        <v>36</v>
      </c>
      <c r="E206" s="343" t="s">
        <v>5733</v>
      </c>
      <c r="F206" s="350"/>
      <c r="G206" s="351">
        <v>70.0</v>
      </c>
      <c r="H206" s="348">
        <v>6.0</v>
      </c>
      <c r="I206" s="348">
        <v>30.0</v>
      </c>
      <c r="J206" s="348">
        <v>1.0</v>
      </c>
      <c r="K206" s="348">
        <v>1.0</v>
      </c>
      <c r="L206" s="348" t="s">
        <v>39</v>
      </c>
      <c r="M206" s="352" t="s">
        <v>82</v>
      </c>
      <c r="N206" s="348" t="s">
        <v>39</v>
      </c>
      <c r="O206" s="319">
        <v>100.0</v>
      </c>
      <c r="P206" s="348" t="s">
        <v>29</v>
      </c>
      <c r="Q206" s="348" t="s">
        <v>39</v>
      </c>
    </row>
    <row r="207" ht="14.25" customHeight="1">
      <c r="A207" s="211">
        <v>43.0</v>
      </c>
      <c r="B207" s="317" t="s">
        <v>5808</v>
      </c>
      <c r="C207" s="317" t="s">
        <v>5809</v>
      </c>
      <c r="D207" s="317" t="s">
        <v>36</v>
      </c>
      <c r="E207" s="343" t="s">
        <v>5733</v>
      </c>
      <c r="F207" s="323"/>
      <c r="G207" s="318">
        <v>50.0</v>
      </c>
      <c r="H207" s="319">
        <v>9.0</v>
      </c>
      <c r="I207" s="319">
        <v>45.0</v>
      </c>
      <c r="J207" s="319">
        <v>1.0</v>
      </c>
      <c r="K207" s="319">
        <v>1.0</v>
      </c>
      <c r="L207" s="319" t="s">
        <v>39</v>
      </c>
      <c r="M207" s="314" t="s">
        <v>82</v>
      </c>
      <c r="N207" s="319" t="s">
        <v>39</v>
      </c>
      <c r="O207" s="319">
        <v>100.0</v>
      </c>
      <c r="P207" s="348" t="s">
        <v>29</v>
      </c>
      <c r="Q207" s="319" t="s">
        <v>39</v>
      </c>
    </row>
    <row r="208" ht="14.25" customHeight="1">
      <c r="A208" s="211">
        <v>44.0</v>
      </c>
      <c r="B208" s="349" t="s">
        <v>5810</v>
      </c>
      <c r="C208" s="349" t="s">
        <v>5811</v>
      </c>
      <c r="D208" s="317" t="s">
        <v>36</v>
      </c>
      <c r="E208" s="343" t="s">
        <v>5730</v>
      </c>
      <c r="F208" s="350"/>
      <c r="G208" s="351">
        <v>238.0</v>
      </c>
      <c r="H208" s="348">
        <v>14.0</v>
      </c>
      <c r="I208" s="348">
        <v>70.0</v>
      </c>
      <c r="J208" s="348">
        <v>1.0</v>
      </c>
      <c r="K208" s="348">
        <v>1.0</v>
      </c>
      <c r="L208" s="348" t="s">
        <v>39</v>
      </c>
      <c r="M208" s="352" t="s">
        <v>82</v>
      </c>
      <c r="N208" s="348" t="s">
        <v>39</v>
      </c>
      <c r="O208" s="319">
        <v>100.0</v>
      </c>
      <c r="P208" s="348" t="s">
        <v>29</v>
      </c>
      <c r="Q208" s="348" t="s">
        <v>39</v>
      </c>
    </row>
    <row r="209" ht="14.25" customHeight="1">
      <c r="A209" s="211">
        <v>45.0</v>
      </c>
      <c r="B209" s="317" t="s">
        <v>5812</v>
      </c>
      <c r="C209" s="317" t="s">
        <v>5813</v>
      </c>
      <c r="D209" s="317" t="s">
        <v>36</v>
      </c>
      <c r="E209" s="343" t="s">
        <v>5730</v>
      </c>
      <c r="F209" s="323"/>
      <c r="G209" s="318">
        <v>65.0</v>
      </c>
      <c r="H209" s="319">
        <v>4.0</v>
      </c>
      <c r="I209" s="319">
        <v>20.0</v>
      </c>
      <c r="J209" s="319">
        <v>1.0</v>
      </c>
      <c r="K209" s="319">
        <v>1.0</v>
      </c>
      <c r="L209" s="319" t="s">
        <v>39</v>
      </c>
      <c r="M209" s="314" t="s">
        <v>82</v>
      </c>
      <c r="N209" s="319" t="s">
        <v>39</v>
      </c>
      <c r="O209" s="319">
        <v>100.0</v>
      </c>
      <c r="P209" s="348" t="s">
        <v>29</v>
      </c>
      <c r="Q209" s="319" t="s">
        <v>39</v>
      </c>
    </row>
    <row r="210" ht="14.25" customHeight="1">
      <c r="A210" s="211">
        <v>46.0</v>
      </c>
      <c r="B210" s="349" t="s">
        <v>5814</v>
      </c>
      <c r="C210" s="349" t="s">
        <v>5815</v>
      </c>
      <c r="D210" s="317" t="s">
        <v>36</v>
      </c>
      <c r="E210" s="343" t="s">
        <v>5730</v>
      </c>
      <c r="F210" s="350"/>
      <c r="G210" s="351">
        <v>338.0</v>
      </c>
      <c r="H210" s="348">
        <v>8.0</v>
      </c>
      <c r="I210" s="348">
        <v>40.0</v>
      </c>
      <c r="J210" s="348">
        <v>1.0</v>
      </c>
      <c r="K210" s="348">
        <v>1.0</v>
      </c>
      <c r="L210" s="348" t="s">
        <v>39</v>
      </c>
      <c r="M210" s="352" t="s">
        <v>82</v>
      </c>
      <c r="N210" s="348" t="s">
        <v>39</v>
      </c>
      <c r="O210" s="319">
        <v>100.0</v>
      </c>
      <c r="P210" s="348" t="s">
        <v>29</v>
      </c>
      <c r="Q210" s="348" t="s">
        <v>39</v>
      </c>
    </row>
    <row r="211" ht="14.25" customHeight="1">
      <c r="A211" s="211">
        <v>47.0</v>
      </c>
      <c r="B211" s="317" t="s">
        <v>5816</v>
      </c>
      <c r="C211" s="317" t="s">
        <v>5817</v>
      </c>
      <c r="D211" s="317" t="s">
        <v>36</v>
      </c>
      <c r="E211" s="343" t="s">
        <v>5730</v>
      </c>
      <c r="F211" s="323"/>
      <c r="G211" s="318">
        <v>45.0</v>
      </c>
      <c r="H211" s="319">
        <v>7.0</v>
      </c>
      <c r="I211" s="319">
        <v>35.0</v>
      </c>
      <c r="J211" s="319">
        <v>1.0</v>
      </c>
      <c r="K211" s="319">
        <v>1.0</v>
      </c>
      <c r="L211" s="319" t="s">
        <v>39</v>
      </c>
      <c r="M211" s="314" t="s">
        <v>82</v>
      </c>
      <c r="N211" s="319" t="s">
        <v>39</v>
      </c>
      <c r="O211" s="319">
        <v>100.0</v>
      </c>
      <c r="P211" s="348" t="s">
        <v>29</v>
      </c>
      <c r="Q211" s="319" t="s">
        <v>39</v>
      </c>
    </row>
    <row r="212" ht="14.25" customHeight="1">
      <c r="A212" s="211">
        <v>48.0</v>
      </c>
      <c r="B212" s="349" t="s">
        <v>5818</v>
      </c>
      <c r="C212" s="349" t="s">
        <v>5819</v>
      </c>
      <c r="D212" s="317" t="s">
        <v>36</v>
      </c>
      <c r="E212" s="343" t="s">
        <v>5733</v>
      </c>
      <c r="F212" s="350"/>
      <c r="G212" s="351">
        <v>350.0</v>
      </c>
      <c r="H212" s="348">
        <v>10.0</v>
      </c>
      <c r="I212" s="348">
        <v>50.0</v>
      </c>
      <c r="J212" s="348">
        <v>1.0</v>
      </c>
      <c r="K212" s="348">
        <v>1.0</v>
      </c>
      <c r="L212" s="348" t="s">
        <v>39</v>
      </c>
      <c r="M212" s="352" t="s">
        <v>82</v>
      </c>
      <c r="N212" s="348" t="s">
        <v>39</v>
      </c>
      <c r="O212" s="319">
        <v>100.0</v>
      </c>
      <c r="P212" s="348" t="s">
        <v>29</v>
      </c>
      <c r="Q212" s="348" t="s">
        <v>39</v>
      </c>
    </row>
    <row r="213" ht="14.25" customHeight="1">
      <c r="A213" s="211">
        <v>49.0</v>
      </c>
      <c r="B213" s="317" t="s">
        <v>5820</v>
      </c>
      <c r="C213" s="317" t="s">
        <v>5821</v>
      </c>
      <c r="D213" s="317" t="s">
        <v>36</v>
      </c>
      <c r="E213" s="343" t="s">
        <v>5730</v>
      </c>
      <c r="F213" s="323"/>
      <c r="G213" s="318">
        <v>76.0</v>
      </c>
      <c r="H213" s="319">
        <v>6.0</v>
      </c>
      <c r="I213" s="319">
        <v>30.0</v>
      </c>
      <c r="J213" s="319">
        <v>1.0</v>
      </c>
      <c r="K213" s="319">
        <v>1.0</v>
      </c>
      <c r="L213" s="319" t="s">
        <v>39</v>
      </c>
      <c r="M213" s="314" t="s">
        <v>82</v>
      </c>
      <c r="N213" s="319" t="s">
        <v>39</v>
      </c>
      <c r="O213" s="319">
        <v>100.0</v>
      </c>
      <c r="P213" s="348" t="s">
        <v>29</v>
      </c>
      <c r="Q213" s="319" t="s">
        <v>39</v>
      </c>
    </row>
    <row r="214" ht="14.25" customHeight="1">
      <c r="A214" s="211">
        <v>50.0</v>
      </c>
      <c r="B214" s="349" t="s">
        <v>5822</v>
      </c>
      <c r="C214" s="349" t="s">
        <v>5823</v>
      </c>
      <c r="D214" s="317" t="s">
        <v>36</v>
      </c>
      <c r="E214" s="343" t="s">
        <v>5733</v>
      </c>
      <c r="F214" s="350"/>
      <c r="G214" s="351">
        <v>50.0</v>
      </c>
      <c r="H214" s="348">
        <v>20.0</v>
      </c>
      <c r="I214" s="348">
        <v>100.0</v>
      </c>
      <c r="J214" s="348">
        <v>1.0</v>
      </c>
      <c r="K214" s="348">
        <v>1.0</v>
      </c>
      <c r="L214" s="348" t="s">
        <v>39</v>
      </c>
      <c r="M214" s="352" t="s">
        <v>82</v>
      </c>
      <c r="N214" s="348" t="s">
        <v>39</v>
      </c>
      <c r="O214" s="319">
        <v>100.0</v>
      </c>
      <c r="P214" s="348" t="s">
        <v>29</v>
      </c>
      <c r="Q214" s="348" t="s">
        <v>39</v>
      </c>
    </row>
    <row r="215" ht="14.25" customHeight="1">
      <c r="A215" s="211">
        <v>51.0</v>
      </c>
      <c r="B215" s="317" t="s">
        <v>5824</v>
      </c>
      <c r="C215" s="317" t="s">
        <v>5825</v>
      </c>
      <c r="D215" s="317" t="s">
        <v>36</v>
      </c>
      <c r="E215" s="343" t="s">
        <v>5733</v>
      </c>
      <c r="F215" s="323"/>
      <c r="G215" s="318">
        <v>52.0</v>
      </c>
      <c r="H215" s="319">
        <v>8.0</v>
      </c>
      <c r="I215" s="319">
        <v>40.0</v>
      </c>
      <c r="J215" s="319">
        <v>1.0</v>
      </c>
      <c r="K215" s="319">
        <v>1.0</v>
      </c>
      <c r="L215" s="319" t="s">
        <v>39</v>
      </c>
      <c r="M215" s="314" t="s">
        <v>82</v>
      </c>
      <c r="N215" s="319" t="s">
        <v>39</v>
      </c>
      <c r="O215" s="319">
        <v>100.0</v>
      </c>
      <c r="P215" s="348" t="s">
        <v>29</v>
      </c>
      <c r="Q215" s="319" t="s">
        <v>39</v>
      </c>
    </row>
    <row r="216" ht="14.25" customHeight="1">
      <c r="A216" s="211">
        <v>52.0</v>
      </c>
      <c r="B216" s="349" t="s">
        <v>5826</v>
      </c>
      <c r="C216" s="349" t="s">
        <v>5827</v>
      </c>
      <c r="D216" s="317" t="s">
        <v>36</v>
      </c>
      <c r="E216" s="343" t="s">
        <v>5730</v>
      </c>
      <c r="F216" s="350"/>
      <c r="G216" s="351">
        <v>76.0</v>
      </c>
      <c r="H216" s="348">
        <v>16.0</v>
      </c>
      <c r="I216" s="348">
        <v>80.0</v>
      </c>
      <c r="J216" s="348">
        <v>1.0</v>
      </c>
      <c r="K216" s="348">
        <v>1.0</v>
      </c>
      <c r="L216" s="348" t="s">
        <v>39</v>
      </c>
      <c r="M216" s="352" t="s">
        <v>82</v>
      </c>
      <c r="N216" s="348" t="s">
        <v>39</v>
      </c>
      <c r="O216" s="319">
        <v>100.0</v>
      </c>
      <c r="P216" s="348" t="s">
        <v>29</v>
      </c>
      <c r="Q216" s="348" t="s">
        <v>39</v>
      </c>
    </row>
    <row r="217" ht="14.25" customHeight="1">
      <c r="A217" s="211">
        <v>53.0</v>
      </c>
      <c r="B217" s="317" t="s">
        <v>5828</v>
      </c>
      <c r="C217" s="317" t="s">
        <v>5829</v>
      </c>
      <c r="D217" s="317" t="s">
        <v>36</v>
      </c>
      <c r="E217" s="343" t="s">
        <v>5730</v>
      </c>
      <c r="F217" s="323"/>
      <c r="G217" s="318">
        <v>52.0</v>
      </c>
      <c r="H217" s="319">
        <v>14.0</v>
      </c>
      <c r="I217" s="319">
        <v>70.0</v>
      </c>
      <c r="J217" s="319">
        <v>1.0</v>
      </c>
      <c r="K217" s="319">
        <v>1.0</v>
      </c>
      <c r="L217" s="319" t="s">
        <v>39</v>
      </c>
      <c r="M217" s="314" t="s">
        <v>82</v>
      </c>
      <c r="N217" s="319" t="s">
        <v>39</v>
      </c>
      <c r="O217" s="319">
        <v>100.0</v>
      </c>
      <c r="P217" s="348" t="s">
        <v>29</v>
      </c>
      <c r="Q217" s="319" t="s">
        <v>39</v>
      </c>
    </row>
    <row r="218" ht="14.25" customHeight="1">
      <c r="A218" s="211">
        <v>54.0</v>
      </c>
      <c r="B218" s="349" t="s">
        <v>5830</v>
      </c>
      <c r="C218" s="349" t="s">
        <v>5831</v>
      </c>
      <c r="D218" s="317" t="s">
        <v>36</v>
      </c>
      <c r="E218" s="343" t="s">
        <v>5733</v>
      </c>
      <c r="F218" s="350"/>
      <c r="G218" s="351">
        <v>50.0</v>
      </c>
      <c r="H218" s="348">
        <v>10.0</v>
      </c>
      <c r="I218" s="348">
        <v>50.0</v>
      </c>
      <c r="J218" s="348">
        <v>1.0</v>
      </c>
      <c r="K218" s="348">
        <v>1.0</v>
      </c>
      <c r="L218" s="348" t="s">
        <v>39</v>
      </c>
      <c r="M218" s="352" t="s">
        <v>82</v>
      </c>
      <c r="N218" s="348" t="s">
        <v>39</v>
      </c>
      <c r="O218" s="319">
        <v>100.0</v>
      </c>
      <c r="P218" s="348" t="s">
        <v>29</v>
      </c>
      <c r="Q218" s="348" t="s">
        <v>39</v>
      </c>
    </row>
    <row r="219" ht="14.25" customHeight="1">
      <c r="A219" s="211">
        <v>55.0</v>
      </c>
      <c r="B219" s="317" t="s">
        <v>5832</v>
      </c>
      <c r="C219" s="317" t="s">
        <v>5833</v>
      </c>
      <c r="D219" s="317" t="s">
        <v>36</v>
      </c>
      <c r="E219" s="343" t="s">
        <v>5733</v>
      </c>
      <c r="F219" s="323"/>
      <c r="G219" s="318">
        <v>72.0</v>
      </c>
      <c r="H219" s="319">
        <v>9.0</v>
      </c>
      <c r="I219" s="319">
        <v>45.0</v>
      </c>
      <c r="J219" s="319">
        <v>1.0</v>
      </c>
      <c r="K219" s="319">
        <v>1.0</v>
      </c>
      <c r="L219" s="319" t="s">
        <v>39</v>
      </c>
      <c r="M219" s="314" t="s">
        <v>82</v>
      </c>
      <c r="N219" s="319" t="s">
        <v>39</v>
      </c>
      <c r="O219" s="319">
        <v>100.0</v>
      </c>
      <c r="P219" s="348" t="s">
        <v>29</v>
      </c>
      <c r="Q219" s="319" t="s">
        <v>39</v>
      </c>
    </row>
    <row r="220" ht="14.25" customHeight="1">
      <c r="A220" s="211">
        <v>56.0</v>
      </c>
      <c r="B220" s="349" t="s">
        <v>5834</v>
      </c>
      <c r="C220" s="349" t="s">
        <v>5835</v>
      </c>
      <c r="D220" s="317" t="s">
        <v>36</v>
      </c>
      <c r="E220" s="343" t="s">
        <v>5733</v>
      </c>
      <c r="F220" s="350"/>
      <c r="G220" s="351">
        <v>813.0</v>
      </c>
      <c r="H220" s="348">
        <v>6.0</v>
      </c>
      <c r="I220" s="348">
        <v>30.0</v>
      </c>
      <c r="J220" s="348">
        <v>1.0</v>
      </c>
      <c r="K220" s="348">
        <v>1.0</v>
      </c>
      <c r="L220" s="348" t="s">
        <v>39</v>
      </c>
      <c r="M220" s="352" t="s">
        <v>82</v>
      </c>
      <c r="N220" s="348" t="s">
        <v>39</v>
      </c>
      <c r="O220" s="319">
        <v>100.0</v>
      </c>
      <c r="P220" s="348" t="s">
        <v>29</v>
      </c>
      <c r="Q220" s="348" t="s">
        <v>39</v>
      </c>
    </row>
    <row r="221" ht="14.25" customHeight="1">
      <c r="A221" s="211">
        <v>57.0</v>
      </c>
      <c r="B221" s="317" t="s">
        <v>5836</v>
      </c>
      <c r="C221" s="317" t="s">
        <v>5837</v>
      </c>
      <c r="D221" s="317" t="s">
        <v>36</v>
      </c>
      <c r="E221" s="343" t="s">
        <v>5733</v>
      </c>
      <c r="F221" s="323"/>
      <c r="G221" s="318">
        <v>50.0</v>
      </c>
      <c r="H221" s="319">
        <v>5.0</v>
      </c>
      <c r="I221" s="319">
        <v>25.0</v>
      </c>
      <c r="J221" s="319">
        <v>1.0</v>
      </c>
      <c r="K221" s="319">
        <v>1.0</v>
      </c>
      <c r="L221" s="319" t="s">
        <v>39</v>
      </c>
      <c r="M221" s="314" t="s">
        <v>82</v>
      </c>
      <c r="N221" s="319" t="s">
        <v>39</v>
      </c>
      <c r="O221" s="319">
        <v>100.0</v>
      </c>
      <c r="P221" s="348" t="s">
        <v>29</v>
      </c>
      <c r="Q221" s="319" t="s">
        <v>39</v>
      </c>
    </row>
    <row r="222" ht="14.25" customHeight="1">
      <c r="A222" s="211">
        <v>58.0</v>
      </c>
      <c r="B222" s="349" t="s">
        <v>5838</v>
      </c>
      <c r="C222" s="349" t="s">
        <v>5839</v>
      </c>
      <c r="D222" s="317" t="s">
        <v>36</v>
      </c>
      <c r="E222" s="343" t="s">
        <v>5733</v>
      </c>
      <c r="F222" s="350"/>
      <c r="G222" s="351">
        <v>70.0</v>
      </c>
      <c r="H222" s="348">
        <v>8.0</v>
      </c>
      <c r="I222" s="348">
        <v>40.0</v>
      </c>
      <c r="J222" s="348">
        <v>1.0</v>
      </c>
      <c r="K222" s="348">
        <v>1.0</v>
      </c>
      <c r="L222" s="348" t="s">
        <v>39</v>
      </c>
      <c r="M222" s="352" t="s">
        <v>82</v>
      </c>
      <c r="N222" s="348" t="s">
        <v>39</v>
      </c>
      <c r="O222" s="319">
        <v>100.0</v>
      </c>
      <c r="P222" s="348" t="s">
        <v>29</v>
      </c>
      <c r="Q222" s="348" t="s">
        <v>39</v>
      </c>
    </row>
    <row r="223" ht="14.25" customHeight="1">
      <c r="A223" s="211">
        <v>59.0</v>
      </c>
      <c r="B223" s="317" t="s">
        <v>5840</v>
      </c>
      <c r="C223" s="317" t="s">
        <v>5841</v>
      </c>
      <c r="D223" s="317" t="s">
        <v>36</v>
      </c>
      <c r="E223" s="343" t="s">
        <v>5733</v>
      </c>
      <c r="F223" s="323"/>
      <c r="G223" s="318">
        <v>250.0</v>
      </c>
      <c r="H223" s="319">
        <v>8.0</v>
      </c>
      <c r="I223" s="319">
        <v>40.0</v>
      </c>
      <c r="J223" s="319">
        <v>1.0</v>
      </c>
      <c r="K223" s="319">
        <v>1.0</v>
      </c>
      <c r="L223" s="319" t="s">
        <v>39</v>
      </c>
      <c r="M223" s="314" t="s">
        <v>82</v>
      </c>
      <c r="N223" s="319" t="s">
        <v>39</v>
      </c>
      <c r="O223" s="319">
        <v>100.0</v>
      </c>
      <c r="P223" s="348" t="s">
        <v>29</v>
      </c>
      <c r="Q223" s="319" t="s">
        <v>39</v>
      </c>
    </row>
    <row r="224" ht="14.25" customHeight="1">
      <c r="A224" s="211">
        <v>60.0</v>
      </c>
      <c r="B224" s="349" t="s">
        <v>5842</v>
      </c>
      <c r="C224" s="349" t="s">
        <v>5843</v>
      </c>
      <c r="D224" s="317" t="s">
        <v>36</v>
      </c>
      <c r="E224" s="343" t="s">
        <v>5730</v>
      </c>
      <c r="F224" s="350"/>
      <c r="G224" s="351">
        <v>50.0</v>
      </c>
      <c r="H224" s="348">
        <v>9.0</v>
      </c>
      <c r="I224" s="348">
        <v>45.0</v>
      </c>
      <c r="J224" s="348">
        <v>1.0</v>
      </c>
      <c r="K224" s="348">
        <v>1.0</v>
      </c>
      <c r="L224" s="348" t="s">
        <v>39</v>
      </c>
      <c r="M224" s="352" t="s">
        <v>82</v>
      </c>
      <c r="N224" s="348" t="s">
        <v>39</v>
      </c>
      <c r="O224" s="319">
        <v>100.0</v>
      </c>
      <c r="P224" s="348" t="s">
        <v>29</v>
      </c>
      <c r="Q224" s="348" t="s">
        <v>39</v>
      </c>
    </row>
    <row r="225" ht="14.25" customHeight="1">
      <c r="A225" s="211">
        <v>61.0</v>
      </c>
      <c r="B225" s="317" t="s">
        <v>5844</v>
      </c>
      <c r="C225" s="317" t="s">
        <v>5845</v>
      </c>
      <c r="D225" s="317" t="s">
        <v>36</v>
      </c>
      <c r="E225" s="343" t="s">
        <v>5733</v>
      </c>
      <c r="F225" s="323"/>
      <c r="G225" s="318">
        <v>90.0</v>
      </c>
      <c r="H225" s="319">
        <v>12.0</v>
      </c>
      <c r="I225" s="319">
        <v>60.0</v>
      </c>
      <c r="J225" s="319">
        <v>1.0</v>
      </c>
      <c r="K225" s="319">
        <v>1.0</v>
      </c>
      <c r="L225" s="319" t="s">
        <v>39</v>
      </c>
      <c r="M225" s="314" t="s">
        <v>82</v>
      </c>
      <c r="N225" s="319" t="s">
        <v>39</v>
      </c>
      <c r="O225" s="319">
        <v>100.0</v>
      </c>
      <c r="P225" s="348" t="s">
        <v>29</v>
      </c>
      <c r="Q225" s="319" t="s">
        <v>39</v>
      </c>
    </row>
    <row r="226" ht="15.75" customHeight="1">
      <c r="A226" s="181"/>
      <c r="B226" s="339" t="s">
        <v>5846</v>
      </c>
      <c r="C226" s="311"/>
      <c r="D226" s="312"/>
      <c r="E226" s="312"/>
      <c r="F226" s="312"/>
      <c r="G226" s="312"/>
      <c r="H226" s="312"/>
      <c r="I226" s="312"/>
      <c r="J226" s="312"/>
      <c r="K226" s="312"/>
      <c r="L226" s="312"/>
      <c r="M226" s="313"/>
      <c r="N226" s="312"/>
      <c r="O226" s="312"/>
      <c r="P226" s="312"/>
      <c r="Q226" s="312"/>
    </row>
    <row r="227" ht="14.25" customHeight="1">
      <c r="A227" s="211">
        <v>1.0</v>
      </c>
      <c r="B227" s="349" t="s">
        <v>43</v>
      </c>
      <c r="C227" s="349" t="s">
        <v>5847</v>
      </c>
      <c r="D227" s="348" t="s">
        <v>25</v>
      </c>
      <c r="E227" s="348" t="s">
        <v>45</v>
      </c>
      <c r="F227" s="350"/>
      <c r="G227" s="351">
        <v>1800.0</v>
      </c>
      <c r="H227" s="348">
        <v>300.0</v>
      </c>
      <c r="I227" s="348">
        <v>1200.0</v>
      </c>
      <c r="J227" s="348">
        <v>1.0</v>
      </c>
      <c r="K227" s="348">
        <v>1.0</v>
      </c>
      <c r="L227" s="348">
        <v>1.0</v>
      </c>
      <c r="M227" s="314" t="s">
        <v>5848</v>
      </c>
      <c r="N227" s="348" t="s">
        <v>39</v>
      </c>
      <c r="O227" s="348">
        <v>500.0</v>
      </c>
      <c r="P227" s="319" t="s">
        <v>29</v>
      </c>
      <c r="Q227" s="348" t="s">
        <v>39</v>
      </c>
    </row>
    <row r="228" ht="14.25" customHeight="1">
      <c r="A228" s="211">
        <v>2.0</v>
      </c>
      <c r="B228" s="349" t="s">
        <v>5849</v>
      </c>
      <c r="C228" s="349" t="s">
        <v>5850</v>
      </c>
      <c r="D228" s="348" t="s">
        <v>25</v>
      </c>
      <c r="E228" s="348" t="s">
        <v>45</v>
      </c>
      <c r="F228" s="350" t="s">
        <v>5851</v>
      </c>
      <c r="G228" s="353">
        <v>180.0</v>
      </c>
      <c r="H228" s="353">
        <v>25.0</v>
      </c>
      <c r="I228" s="353">
        <v>70.0</v>
      </c>
      <c r="J228" s="353">
        <v>0.0</v>
      </c>
      <c r="K228" s="353">
        <v>0.0</v>
      </c>
      <c r="L228" s="352">
        <v>2.0</v>
      </c>
      <c r="M228" s="314" t="s">
        <v>27</v>
      </c>
      <c r="N228" s="348" t="s">
        <v>5852</v>
      </c>
      <c r="O228" s="348">
        <v>100.0</v>
      </c>
      <c r="P228" s="319" t="s">
        <v>29</v>
      </c>
      <c r="Q228" s="348" t="s">
        <v>39</v>
      </c>
    </row>
    <row r="229" ht="14.25" customHeight="1">
      <c r="A229" s="211">
        <v>3.0</v>
      </c>
      <c r="B229" s="317" t="s">
        <v>5853</v>
      </c>
      <c r="C229" s="317" t="s">
        <v>5854</v>
      </c>
      <c r="D229" s="348" t="s">
        <v>25</v>
      </c>
      <c r="E229" s="348" t="s">
        <v>45</v>
      </c>
      <c r="F229" s="323"/>
      <c r="G229" s="353">
        <v>45.0</v>
      </c>
      <c r="H229" s="353">
        <v>8.0</v>
      </c>
      <c r="I229" s="353">
        <v>30.0</v>
      </c>
      <c r="J229" s="352">
        <v>0.0</v>
      </c>
      <c r="K229" s="352">
        <v>0.0</v>
      </c>
      <c r="L229" s="352">
        <v>3.0</v>
      </c>
      <c r="M229" s="314" t="s">
        <v>27</v>
      </c>
      <c r="N229" s="348" t="s">
        <v>39</v>
      </c>
      <c r="O229" s="348">
        <v>100.0</v>
      </c>
      <c r="P229" s="319" t="s">
        <v>29</v>
      </c>
      <c r="Q229" s="348" t="s">
        <v>39</v>
      </c>
    </row>
    <row r="230" ht="14.25" customHeight="1">
      <c r="A230" s="211">
        <v>4.0</v>
      </c>
      <c r="B230" s="317" t="s">
        <v>5855</v>
      </c>
      <c r="C230" s="317" t="s">
        <v>5856</v>
      </c>
      <c r="D230" s="348" t="s">
        <v>25</v>
      </c>
      <c r="E230" s="348" t="s">
        <v>45</v>
      </c>
      <c r="F230" s="323"/>
      <c r="G230" s="353">
        <v>650.0</v>
      </c>
      <c r="H230" s="353">
        <v>25.0</v>
      </c>
      <c r="I230" s="353">
        <v>100.0</v>
      </c>
      <c r="J230" s="352">
        <v>0.0</v>
      </c>
      <c r="K230" s="352">
        <v>0.0</v>
      </c>
      <c r="L230" s="352">
        <v>2.0</v>
      </c>
      <c r="M230" s="314" t="s">
        <v>27</v>
      </c>
      <c r="N230" s="319" t="s">
        <v>39</v>
      </c>
      <c r="O230" s="319">
        <v>100.0</v>
      </c>
      <c r="P230" s="319" t="s">
        <v>29</v>
      </c>
      <c r="Q230" s="319" t="s">
        <v>39</v>
      </c>
    </row>
    <row r="231" ht="14.25" customHeight="1">
      <c r="A231" s="211">
        <v>5.0</v>
      </c>
      <c r="B231" s="349" t="s">
        <v>5857</v>
      </c>
      <c r="C231" s="349" t="s">
        <v>5858</v>
      </c>
      <c r="D231" s="348" t="s">
        <v>25</v>
      </c>
      <c r="E231" s="348" t="s">
        <v>45</v>
      </c>
      <c r="F231" s="350"/>
      <c r="G231" s="353">
        <v>120.0</v>
      </c>
      <c r="H231" s="353">
        <v>15.0</v>
      </c>
      <c r="I231" s="353">
        <v>70.0</v>
      </c>
      <c r="J231" s="352">
        <v>0.0</v>
      </c>
      <c r="K231" s="352">
        <v>0.0</v>
      </c>
      <c r="L231" s="352">
        <v>2.0</v>
      </c>
      <c r="M231" s="314" t="s">
        <v>27</v>
      </c>
      <c r="N231" s="348" t="s">
        <v>39</v>
      </c>
      <c r="O231" s="348">
        <v>100.0</v>
      </c>
      <c r="P231" s="319" t="s">
        <v>29</v>
      </c>
      <c r="Q231" s="348" t="s">
        <v>39</v>
      </c>
    </row>
    <row r="232" ht="14.25" customHeight="1">
      <c r="A232" s="211">
        <v>6.0</v>
      </c>
      <c r="B232" s="317" t="s">
        <v>5859</v>
      </c>
      <c r="C232" s="317" t="s">
        <v>5860</v>
      </c>
      <c r="D232" s="348" t="s">
        <v>25</v>
      </c>
      <c r="E232" s="348" t="s">
        <v>45</v>
      </c>
      <c r="F232" s="323"/>
      <c r="G232" s="353">
        <v>120.0</v>
      </c>
      <c r="H232" s="353">
        <v>10.0</v>
      </c>
      <c r="I232" s="353">
        <v>60.0</v>
      </c>
      <c r="J232" s="352">
        <v>0.0</v>
      </c>
      <c r="K232" s="352">
        <v>0.0</v>
      </c>
      <c r="L232" s="352">
        <v>1.0</v>
      </c>
      <c r="M232" s="314" t="s">
        <v>27</v>
      </c>
      <c r="N232" s="319" t="s">
        <v>39</v>
      </c>
      <c r="O232" s="319">
        <v>100.0</v>
      </c>
      <c r="P232" s="319" t="s">
        <v>29</v>
      </c>
      <c r="Q232" s="319" t="s">
        <v>39</v>
      </c>
    </row>
    <row r="233" ht="14.25" customHeight="1">
      <c r="A233" s="211">
        <v>7.0</v>
      </c>
      <c r="B233" s="349" t="s">
        <v>5861</v>
      </c>
      <c r="C233" s="349" t="s">
        <v>5862</v>
      </c>
      <c r="D233" s="348" t="s">
        <v>25</v>
      </c>
      <c r="E233" s="348" t="s">
        <v>45</v>
      </c>
      <c r="F233" s="350"/>
      <c r="G233" s="353">
        <v>130.0</v>
      </c>
      <c r="H233" s="353">
        <v>20.0</v>
      </c>
      <c r="I233" s="353">
        <v>80.0</v>
      </c>
      <c r="J233" s="352">
        <v>0.0</v>
      </c>
      <c r="K233" s="352">
        <v>0.0</v>
      </c>
      <c r="L233" s="352">
        <v>1.0</v>
      </c>
      <c r="M233" s="314" t="s">
        <v>27</v>
      </c>
      <c r="N233" s="348" t="s">
        <v>39</v>
      </c>
      <c r="O233" s="348">
        <v>100.0</v>
      </c>
      <c r="P233" s="319" t="s">
        <v>29</v>
      </c>
      <c r="Q233" s="348" t="s">
        <v>39</v>
      </c>
    </row>
    <row r="234" ht="14.25" customHeight="1">
      <c r="A234" s="211">
        <v>8.0</v>
      </c>
      <c r="B234" s="317" t="s">
        <v>5863</v>
      </c>
      <c r="C234" s="317" t="s">
        <v>5864</v>
      </c>
      <c r="D234" s="348" t="s">
        <v>25</v>
      </c>
      <c r="E234" s="348" t="s">
        <v>45</v>
      </c>
      <c r="F234" s="323"/>
      <c r="G234" s="353">
        <v>130.0</v>
      </c>
      <c r="H234" s="353">
        <v>15.0</v>
      </c>
      <c r="I234" s="353">
        <v>75.0</v>
      </c>
      <c r="J234" s="352">
        <v>0.0</v>
      </c>
      <c r="K234" s="352">
        <v>0.0</v>
      </c>
      <c r="L234" s="352">
        <v>2.0</v>
      </c>
      <c r="M234" s="314" t="s">
        <v>27</v>
      </c>
      <c r="N234" s="319" t="s">
        <v>39</v>
      </c>
      <c r="O234" s="319">
        <v>100.0</v>
      </c>
      <c r="P234" s="319" t="s">
        <v>29</v>
      </c>
      <c r="Q234" s="319" t="s">
        <v>39</v>
      </c>
    </row>
    <row r="235" ht="14.25" customHeight="1">
      <c r="A235" s="211">
        <v>9.0</v>
      </c>
      <c r="B235" s="349" t="s">
        <v>2265</v>
      </c>
      <c r="C235" s="349" t="s">
        <v>5865</v>
      </c>
      <c r="D235" s="348" t="s">
        <v>25</v>
      </c>
      <c r="E235" s="348" t="s">
        <v>45</v>
      </c>
      <c r="F235" s="350"/>
      <c r="G235" s="354">
        <v>140.0</v>
      </c>
      <c r="H235" s="353">
        <v>20.0</v>
      </c>
      <c r="I235" s="353">
        <v>100.0</v>
      </c>
      <c r="J235" s="352">
        <v>0.0</v>
      </c>
      <c r="K235" s="352">
        <v>0.0</v>
      </c>
      <c r="L235" s="352">
        <v>1.0</v>
      </c>
      <c r="M235" s="314" t="s">
        <v>27</v>
      </c>
      <c r="N235" s="348" t="s">
        <v>39</v>
      </c>
      <c r="O235" s="348">
        <v>100.0</v>
      </c>
      <c r="P235" s="319" t="s">
        <v>29</v>
      </c>
      <c r="Q235" s="348" t="s">
        <v>39</v>
      </c>
    </row>
    <row r="236" ht="14.25" customHeight="1">
      <c r="A236" s="211">
        <v>10.0</v>
      </c>
      <c r="B236" s="317" t="s">
        <v>5866</v>
      </c>
      <c r="C236" s="317" t="s">
        <v>5867</v>
      </c>
      <c r="D236" s="348" t="s">
        <v>25</v>
      </c>
      <c r="E236" s="348" t="s">
        <v>45</v>
      </c>
      <c r="F236" s="323"/>
      <c r="G236" s="354">
        <v>98.0</v>
      </c>
      <c r="H236" s="353">
        <v>10.0</v>
      </c>
      <c r="I236" s="353">
        <v>75.0</v>
      </c>
      <c r="J236" s="352">
        <v>0.0</v>
      </c>
      <c r="K236" s="352">
        <v>0.0</v>
      </c>
      <c r="L236" s="352">
        <v>1.0</v>
      </c>
      <c r="M236" s="314" t="s">
        <v>27</v>
      </c>
      <c r="N236" s="319" t="s">
        <v>143</v>
      </c>
      <c r="O236" s="319">
        <v>100.0</v>
      </c>
      <c r="P236" s="319" t="s">
        <v>29</v>
      </c>
      <c r="Q236" s="319" t="s">
        <v>39</v>
      </c>
    </row>
    <row r="237" ht="14.25" customHeight="1">
      <c r="A237" s="211">
        <v>11.0</v>
      </c>
      <c r="B237" s="349" t="s">
        <v>5868</v>
      </c>
      <c r="C237" s="349" t="s">
        <v>5869</v>
      </c>
      <c r="D237" s="348" t="s">
        <v>25</v>
      </c>
      <c r="E237" s="348" t="s">
        <v>45</v>
      </c>
      <c r="F237" s="350"/>
      <c r="G237" s="353">
        <v>150.0</v>
      </c>
      <c r="H237" s="353">
        <v>25.0</v>
      </c>
      <c r="I237" s="353">
        <v>100.0</v>
      </c>
      <c r="J237" s="352">
        <v>0.0</v>
      </c>
      <c r="K237" s="352">
        <v>0.0</v>
      </c>
      <c r="L237" s="352">
        <v>2.0</v>
      </c>
      <c r="M237" s="314" t="s">
        <v>27</v>
      </c>
      <c r="N237" s="348" t="s">
        <v>39</v>
      </c>
      <c r="O237" s="348">
        <v>100.0</v>
      </c>
      <c r="P237" s="319" t="s">
        <v>29</v>
      </c>
      <c r="Q237" s="348" t="s">
        <v>39</v>
      </c>
    </row>
    <row r="238" ht="14.25" customHeight="1">
      <c r="A238" s="211">
        <v>12.0</v>
      </c>
      <c r="B238" s="317" t="s">
        <v>5870</v>
      </c>
      <c r="C238" s="317" t="s">
        <v>5871</v>
      </c>
      <c r="D238" s="348" t="s">
        <v>25</v>
      </c>
      <c r="E238" s="348" t="s">
        <v>45</v>
      </c>
      <c r="F238" s="323"/>
      <c r="G238" s="353">
        <v>600.0</v>
      </c>
      <c r="H238" s="353">
        <v>30.0</v>
      </c>
      <c r="I238" s="353">
        <v>130.0</v>
      </c>
      <c r="J238" s="352">
        <v>1.0</v>
      </c>
      <c r="K238" s="352">
        <v>1.0</v>
      </c>
      <c r="L238" s="352">
        <v>2.0</v>
      </c>
      <c r="M238" s="314" t="s">
        <v>27</v>
      </c>
      <c r="N238" s="319" t="s">
        <v>39</v>
      </c>
      <c r="O238" s="319">
        <v>100.0</v>
      </c>
      <c r="P238" s="319" t="s">
        <v>29</v>
      </c>
      <c r="Q238" s="319" t="s">
        <v>39</v>
      </c>
    </row>
    <row r="239" ht="14.25" customHeight="1">
      <c r="A239" s="211">
        <v>13.0</v>
      </c>
      <c r="B239" s="349" t="s">
        <v>5872</v>
      </c>
      <c r="C239" s="349" t="s">
        <v>5873</v>
      </c>
      <c r="D239" s="348" t="s">
        <v>25</v>
      </c>
      <c r="E239" s="348" t="s">
        <v>45</v>
      </c>
      <c r="F239" s="350"/>
      <c r="G239" s="354">
        <v>100.0</v>
      </c>
      <c r="H239" s="354">
        <v>22.0</v>
      </c>
      <c r="I239" s="354">
        <v>120.0</v>
      </c>
      <c r="J239" s="352">
        <v>0.0</v>
      </c>
      <c r="K239" s="352">
        <v>0.0</v>
      </c>
      <c r="L239" s="352">
        <v>1.0</v>
      </c>
      <c r="M239" s="314" t="s">
        <v>27</v>
      </c>
      <c r="N239" s="348" t="s">
        <v>39</v>
      </c>
      <c r="O239" s="348">
        <v>100.0</v>
      </c>
      <c r="P239" s="319" t="s">
        <v>29</v>
      </c>
      <c r="Q239" s="348" t="s">
        <v>39</v>
      </c>
    </row>
    <row r="240" ht="14.25" customHeight="1">
      <c r="A240" s="211">
        <v>14.0</v>
      </c>
      <c r="B240" s="317" t="s">
        <v>5874</v>
      </c>
      <c r="C240" s="317" t="s">
        <v>5875</v>
      </c>
      <c r="D240" s="348" t="s">
        <v>25</v>
      </c>
      <c r="E240" s="348" t="s">
        <v>45</v>
      </c>
      <c r="F240" s="323"/>
      <c r="G240" s="354">
        <v>100.0</v>
      </c>
      <c r="H240" s="353">
        <v>10.0</v>
      </c>
      <c r="I240" s="353">
        <v>50.0</v>
      </c>
      <c r="J240" s="352">
        <v>0.0</v>
      </c>
      <c r="K240" s="352">
        <v>0.0</v>
      </c>
      <c r="L240" s="352">
        <v>1.0</v>
      </c>
      <c r="M240" s="314" t="s">
        <v>27</v>
      </c>
      <c r="N240" s="319" t="s">
        <v>39</v>
      </c>
      <c r="O240" s="319">
        <v>100.0</v>
      </c>
      <c r="P240" s="319" t="s">
        <v>29</v>
      </c>
      <c r="Q240" s="319" t="s">
        <v>39</v>
      </c>
    </row>
    <row r="241" ht="14.25" customHeight="1">
      <c r="A241" s="211">
        <v>15.0</v>
      </c>
      <c r="B241" s="349" t="s">
        <v>5876</v>
      </c>
      <c r="C241" s="349" t="s">
        <v>5877</v>
      </c>
      <c r="D241" s="348" t="s">
        <v>25</v>
      </c>
      <c r="E241" s="348" t="s">
        <v>45</v>
      </c>
      <c r="F241" s="350"/>
      <c r="G241" s="353">
        <v>150.0</v>
      </c>
      <c r="H241" s="353">
        <v>25.0</v>
      </c>
      <c r="I241" s="353">
        <v>200.0</v>
      </c>
      <c r="J241" s="352">
        <v>0.0</v>
      </c>
      <c r="K241" s="352">
        <v>0.0</v>
      </c>
      <c r="L241" s="352">
        <v>2.0</v>
      </c>
      <c r="M241" s="314" t="s">
        <v>27</v>
      </c>
      <c r="N241" s="348" t="s">
        <v>39</v>
      </c>
      <c r="O241" s="348">
        <v>100.0</v>
      </c>
      <c r="P241" s="319" t="s">
        <v>29</v>
      </c>
      <c r="Q241" s="348" t="s">
        <v>39</v>
      </c>
    </row>
    <row r="242" ht="14.25" customHeight="1">
      <c r="A242" s="211">
        <v>16.0</v>
      </c>
      <c r="B242" s="317" t="s">
        <v>5878</v>
      </c>
      <c r="C242" s="317" t="s">
        <v>5879</v>
      </c>
      <c r="D242" s="348" t="s">
        <v>25</v>
      </c>
      <c r="E242" s="348" t="s">
        <v>45</v>
      </c>
      <c r="F242" s="323"/>
      <c r="G242" s="354">
        <v>150.0</v>
      </c>
      <c r="H242" s="353">
        <v>20.0</v>
      </c>
      <c r="I242" s="353">
        <v>210.0</v>
      </c>
      <c r="J242" s="352">
        <v>0.0</v>
      </c>
      <c r="K242" s="352">
        <v>0.0</v>
      </c>
      <c r="L242" s="352">
        <v>1.0</v>
      </c>
      <c r="M242" s="314" t="s">
        <v>27</v>
      </c>
      <c r="N242" s="319" t="s">
        <v>39</v>
      </c>
      <c r="O242" s="319">
        <v>100.0</v>
      </c>
      <c r="P242" s="319" t="s">
        <v>29</v>
      </c>
      <c r="Q242" s="319" t="s">
        <v>39</v>
      </c>
    </row>
    <row r="243" ht="14.25" customHeight="1">
      <c r="A243" s="211">
        <v>17.0</v>
      </c>
      <c r="B243" s="349" t="s">
        <v>5880</v>
      </c>
      <c r="C243" s="349" t="s">
        <v>5881</v>
      </c>
      <c r="D243" s="348" t="s">
        <v>25</v>
      </c>
      <c r="E243" s="348" t="s">
        <v>45</v>
      </c>
      <c r="F243" s="350"/>
      <c r="G243" s="353">
        <v>160.0</v>
      </c>
      <c r="H243" s="353">
        <v>15.0</v>
      </c>
      <c r="I243" s="353">
        <v>50.0</v>
      </c>
      <c r="J243" s="352">
        <v>0.0</v>
      </c>
      <c r="K243" s="352">
        <v>0.0</v>
      </c>
      <c r="L243" s="352">
        <v>1.0</v>
      </c>
      <c r="M243" s="314" t="s">
        <v>27</v>
      </c>
      <c r="N243" s="348" t="s">
        <v>39</v>
      </c>
      <c r="O243" s="348">
        <v>100.0</v>
      </c>
      <c r="P243" s="319" t="s">
        <v>29</v>
      </c>
      <c r="Q243" s="348" t="s">
        <v>39</v>
      </c>
    </row>
    <row r="244" ht="14.25" customHeight="1">
      <c r="A244" s="211">
        <v>18.0</v>
      </c>
      <c r="B244" s="317" t="s">
        <v>5882</v>
      </c>
      <c r="C244" s="317" t="s">
        <v>5883</v>
      </c>
      <c r="D244" s="348" t="s">
        <v>25</v>
      </c>
      <c r="E244" s="348" t="s">
        <v>45</v>
      </c>
      <c r="F244" s="323"/>
      <c r="G244" s="353">
        <v>120.0</v>
      </c>
      <c r="H244" s="353">
        <v>25.0</v>
      </c>
      <c r="I244" s="353">
        <v>75.0</v>
      </c>
      <c r="J244" s="352">
        <v>0.0</v>
      </c>
      <c r="K244" s="352">
        <v>0.0</v>
      </c>
      <c r="L244" s="352">
        <v>2.0</v>
      </c>
      <c r="M244" s="314" t="s">
        <v>27</v>
      </c>
      <c r="N244" s="319" t="s">
        <v>39</v>
      </c>
      <c r="O244" s="319">
        <v>100.0</v>
      </c>
      <c r="P244" s="319" t="s">
        <v>29</v>
      </c>
      <c r="Q244" s="319" t="s">
        <v>39</v>
      </c>
    </row>
    <row r="245" ht="14.25" customHeight="1">
      <c r="A245" s="211">
        <v>19.0</v>
      </c>
      <c r="B245" s="349" t="s">
        <v>5884</v>
      </c>
      <c r="C245" s="349" t="s">
        <v>5885</v>
      </c>
      <c r="D245" s="348" t="s">
        <v>25</v>
      </c>
      <c r="E245" s="348" t="s">
        <v>45</v>
      </c>
      <c r="F245" s="350"/>
      <c r="G245" s="354">
        <v>150.0</v>
      </c>
      <c r="H245" s="353">
        <v>20.0</v>
      </c>
      <c r="I245" s="353">
        <v>75.0</v>
      </c>
      <c r="J245" s="352">
        <v>0.0</v>
      </c>
      <c r="K245" s="352">
        <v>0.0</v>
      </c>
      <c r="L245" s="352">
        <v>2.0</v>
      </c>
      <c r="M245" s="314" t="s">
        <v>27</v>
      </c>
      <c r="N245" s="348" t="s">
        <v>39</v>
      </c>
      <c r="O245" s="348">
        <v>100.0</v>
      </c>
      <c r="P245" s="319" t="s">
        <v>29</v>
      </c>
      <c r="Q245" s="348" t="s">
        <v>39</v>
      </c>
    </row>
    <row r="246" ht="14.25" customHeight="1">
      <c r="A246" s="211">
        <v>20.0</v>
      </c>
      <c r="B246" s="317" t="s">
        <v>5886</v>
      </c>
      <c r="C246" s="317" t="s">
        <v>5887</v>
      </c>
      <c r="D246" s="348" t="s">
        <v>25</v>
      </c>
      <c r="E246" s="348" t="s">
        <v>45</v>
      </c>
      <c r="F246" s="323"/>
      <c r="G246" s="354">
        <v>100.0</v>
      </c>
      <c r="H246" s="354">
        <v>18.0</v>
      </c>
      <c r="I246" s="354">
        <v>110.0</v>
      </c>
      <c r="J246" s="352">
        <v>0.0</v>
      </c>
      <c r="K246" s="352">
        <v>0.0</v>
      </c>
      <c r="L246" s="352">
        <v>2.0</v>
      </c>
      <c r="M246" s="314" t="s">
        <v>27</v>
      </c>
      <c r="N246" s="319" t="s">
        <v>39</v>
      </c>
      <c r="O246" s="319">
        <v>100.0</v>
      </c>
      <c r="P246" s="319" t="s">
        <v>29</v>
      </c>
      <c r="Q246" s="319" t="s">
        <v>39</v>
      </c>
    </row>
    <row r="247" ht="14.25" customHeight="1">
      <c r="A247" s="211">
        <v>21.0</v>
      </c>
      <c r="B247" s="349" t="s">
        <v>5888</v>
      </c>
      <c r="C247" s="349" t="s">
        <v>5889</v>
      </c>
      <c r="D247" s="348" t="s">
        <v>25</v>
      </c>
      <c r="E247" s="348" t="s">
        <v>45</v>
      </c>
      <c r="F247" s="350"/>
      <c r="G247" s="354">
        <v>140.0</v>
      </c>
      <c r="H247" s="353">
        <v>25.0</v>
      </c>
      <c r="I247" s="353">
        <v>60.0</v>
      </c>
      <c r="J247" s="352">
        <v>0.0</v>
      </c>
      <c r="K247" s="352">
        <v>0.0</v>
      </c>
      <c r="L247" s="352">
        <v>1.0</v>
      </c>
      <c r="M247" s="314" t="s">
        <v>27</v>
      </c>
      <c r="N247" s="348" t="s">
        <v>39</v>
      </c>
      <c r="O247" s="348">
        <v>100.0</v>
      </c>
      <c r="P247" s="319" t="s">
        <v>29</v>
      </c>
      <c r="Q247" s="348" t="s">
        <v>39</v>
      </c>
    </row>
    <row r="248" ht="14.25" customHeight="1">
      <c r="A248" s="211">
        <v>22.0</v>
      </c>
      <c r="B248" s="317" t="s">
        <v>5890</v>
      </c>
      <c r="C248" s="317" t="s">
        <v>5891</v>
      </c>
      <c r="D248" s="348" t="s">
        <v>25</v>
      </c>
      <c r="E248" s="348" t="s">
        <v>45</v>
      </c>
      <c r="F248" s="323"/>
      <c r="G248" s="354">
        <v>150.0</v>
      </c>
      <c r="H248" s="353">
        <v>25.0</v>
      </c>
      <c r="I248" s="353">
        <v>90.0</v>
      </c>
      <c r="J248" s="352">
        <v>0.0</v>
      </c>
      <c r="K248" s="352">
        <v>0.0</v>
      </c>
      <c r="L248" s="352">
        <v>2.0</v>
      </c>
      <c r="M248" s="314" t="s">
        <v>27</v>
      </c>
      <c r="N248" s="319" t="s">
        <v>39</v>
      </c>
      <c r="O248" s="319">
        <v>100.0</v>
      </c>
      <c r="P248" s="319" t="s">
        <v>29</v>
      </c>
      <c r="Q248" s="319" t="s">
        <v>39</v>
      </c>
    </row>
    <row r="249" ht="14.25" customHeight="1">
      <c r="A249" s="211">
        <v>23.0</v>
      </c>
      <c r="B249" s="349" t="s">
        <v>5892</v>
      </c>
      <c r="C249" s="349" t="s">
        <v>5893</v>
      </c>
      <c r="D249" s="348" t="s">
        <v>25</v>
      </c>
      <c r="E249" s="348" t="s">
        <v>45</v>
      </c>
      <c r="F249" s="350" t="s">
        <v>5894</v>
      </c>
      <c r="G249" s="354">
        <v>150.0</v>
      </c>
      <c r="H249" s="354">
        <v>20.0</v>
      </c>
      <c r="I249" s="354">
        <v>90.0</v>
      </c>
      <c r="J249" s="352">
        <v>0.0</v>
      </c>
      <c r="K249" s="352">
        <v>0.0</v>
      </c>
      <c r="L249" s="352">
        <v>2.0</v>
      </c>
      <c r="M249" s="314" t="s">
        <v>27</v>
      </c>
      <c r="N249" s="348" t="s">
        <v>1238</v>
      </c>
      <c r="O249" s="348">
        <v>100.0</v>
      </c>
      <c r="P249" s="319" t="s">
        <v>29</v>
      </c>
      <c r="Q249" s="348" t="s">
        <v>39</v>
      </c>
    </row>
    <row r="250" ht="14.25" customHeight="1">
      <c r="A250" s="211">
        <v>24.0</v>
      </c>
      <c r="B250" s="317" t="s">
        <v>536</v>
      </c>
      <c r="C250" s="317" t="s">
        <v>5895</v>
      </c>
      <c r="D250" s="348" t="s">
        <v>25</v>
      </c>
      <c r="E250" s="348" t="s">
        <v>45</v>
      </c>
      <c r="F250" s="323"/>
      <c r="G250" s="353">
        <v>80.0</v>
      </c>
      <c r="H250" s="353">
        <v>10.0</v>
      </c>
      <c r="I250" s="353">
        <v>50.0</v>
      </c>
      <c r="J250" s="352">
        <v>1.0</v>
      </c>
      <c r="K250" s="352">
        <v>1.0</v>
      </c>
      <c r="L250" s="352">
        <v>1.0</v>
      </c>
      <c r="M250" s="314" t="s">
        <v>27</v>
      </c>
      <c r="N250" s="319" t="s">
        <v>39</v>
      </c>
      <c r="O250" s="319">
        <v>100.0</v>
      </c>
      <c r="P250" s="319" t="s">
        <v>29</v>
      </c>
      <c r="Q250" s="319" t="s">
        <v>39</v>
      </c>
    </row>
    <row r="251" ht="14.25" customHeight="1">
      <c r="A251" s="211">
        <v>25.0</v>
      </c>
      <c r="B251" s="349" t="s">
        <v>5896</v>
      </c>
      <c r="C251" s="349" t="s">
        <v>5897</v>
      </c>
      <c r="D251" s="348" t="s">
        <v>25</v>
      </c>
      <c r="E251" s="348" t="s">
        <v>45</v>
      </c>
      <c r="F251" s="350"/>
      <c r="G251" s="353">
        <v>299.0</v>
      </c>
      <c r="H251" s="353">
        <v>40.0</v>
      </c>
      <c r="I251" s="353">
        <v>143.0</v>
      </c>
      <c r="J251" s="352">
        <v>0.0</v>
      </c>
      <c r="K251" s="352">
        <v>0.0</v>
      </c>
      <c r="L251" s="352">
        <v>2.0</v>
      </c>
      <c r="M251" s="314" t="s">
        <v>27</v>
      </c>
      <c r="N251" s="348" t="s">
        <v>39</v>
      </c>
      <c r="O251" s="348">
        <v>100.0</v>
      </c>
      <c r="P251" s="319" t="s">
        <v>29</v>
      </c>
      <c r="Q251" s="348" t="s">
        <v>39</v>
      </c>
    </row>
    <row r="252" ht="14.25" customHeight="1">
      <c r="A252" s="211">
        <v>26.0</v>
      </c>
      <c r="B252" s="317" t="s">
        <v>5898</v>
      </c>
      <c r="C252" s="317" t="s">
        <v>5899</v>
      </c>
      <c r="D252" s="348" t="s">
        <v>25</v>
      </c>
      <c r="E252" s="348" t="s">
        <v>26</v>
      </c>
      <c r="F252" s="323"/>
      <c r="G252" s="354">
        <v>140.0</v>
      </c>
      <c r="H252" s="353">
        <v>20.0</v>
      </c>
      <c r="I252" s="353">
        <v>65.0</v>
      </c>
      <c r="J252" s="352">
        <v>0.0</v>
      </c>
      <c r="K252" s="352">
        <v>0.0</v>
      </c>
      <c r="L252" s="352">
        <v>1.0</v>
      </c>
      <c r="M252" s="314" t="s">
        <v>27</v>
      </c>
      <c r="N252" s="319" t="s">
        <v>39</v>
      </c>
      <c r="O252" s="319">
        <v>100.0</v>
      </c>
      <c r="P252" s="319" t="s">
        <v>29</v>
      </c>
      <c r="Q252" s="348" t="s">
        <v>39</v>
      </c>
    </row>
    <row r="253" ht="14.25" customHeight="1">
      <c r="A253" s="211">
        <v>27.0</v>
      </c>
      <c r="B253" s="349" t="s">
        <v>5900</v>
      </c>
      <c r="C253" s="349" t="s">
        <v>5901</v>
      </c>
      <c r="D253" s="348" t="s">
        <v>25</v>
      </c>
      <c r="E253" s="348" t="s">
        <v>45</v>
      </c>
      <c r="F253" s="350"/>
      <c r="G253" s="353">
        <v>50.0</v>
      </c>
      <c r="H253" s="353">
        <v>20.0</v>
      </c>
      <c r="I253" s="353">
        <v>80.0</v>
      </c>
      <c r="J253" s="352">
        <v>0.0</v>
      </c>
      <c r="K253" s="352">
        <v>0.0</v>
      </c>
      <c r="L253" s="352">
        <v>1.0</v>
      </c>
      <c r="M253" s="314" t="s">
        <v>27</v>
      </c>
      <c r="N253" s="348" t="s">
        <v>39</v>
      </c>
      <c r="O253" s="348">
        <v>100.0</v>
      </c>
      <c r="P253" s="319" t="s">
        <v>29</v>
      </c>
      <c r="Q253" s="348" t="s">
        <v>39</v>
      </c>
    </row>
    <row r="254" ht="14.25" customHeight="1">
      <c r="A254" s="211">
        <v>28.0</v>
      </c>
      <c r="B254" s="317" t="s">
        <v>5902</v>
      </c>
      <c r="C254" s="317" t="s">
        <v>5903</v>
      </c>
      <c r="D254" s="348" t="s">
        <v>25</v>
      </c>
      <c r="E254" s="348" t="s">
        <v>45</v>
      </c>
      <c r="F254" s="323"/>
      <c r="G254" s="353">
        <v>98.0</v>
      </c>
      <c r="H254" s="353">
        <v>15.0</v>
      </c>
      <c r="I254" s="353">
        <v>50.0</v>
      </c>
      <c r="J254" s="352">
        <v>0.0</v>
      </c>
      <c r="K254" s="352">
        <v>0.0</v>
      </c>
      <c r="L254" s="352">
        <v>1.0</v>
      </c>
      <c r="M254" s="314" t="s">
        <v>27</v>
      </c>
      <c r="N254" s="319" t="s">
        <v>39</v>
      </c>
      <c r="O254" s="319">
        <v>100.0</v>
      </c>
      <c r="P254" s="319" t="s">
        <v>29</v>
      </c>
      <c r="Q254" s="319" t="s">
        <v>39</v>
      </c>
    </row>
    <row r="255" ht="14.25" customHeight="1">
      <c r="A255" s="211">
        <v>29.0</v>
      </c>
      <c r="B255" s="349" t="s">
        <v>5904</v>
      </c>
      <c r="C255" s="349" t="s">
        <v>5905</v>
      </c>
      <c r="D255" s="348" t="s">
        <v>25</v>
      </c>
      <c r="E255" s="348" t="s">
        <v>45</v>
      </c>
      <c r="F255" s="350"/>
      <c r="G255" s="353">
        <v>200.0</v>
      </c>
      <c r="H255" s="353">
        <v>20.0</v>
      </c>
      <c r="I255" s="353">
        <v>40.0</v>
      </c>
      <c r="J255" s="352">
        <v>0.0</v>
      </c>
      <c r="K255" s="352">
        <v>0.0</v>
      </c>
      <c r="L255" s="352">
        <v>1.0</v>
      </c>
      <c r="M255" s="314" t="s">
        <v>27</v>
      </c>
      <c r="N255" s="348" t="s">
        <v>39</v>
      </c>
      <c r="O255" s="348">
        <v>100.0</v>
      </c>
      <c r="P255" s="319" t="s">
        <v>29</v>
      </c>
      <c r="Q255" s="348" t="s">
        <v>39</v>
      </c>
    </row>
    <row r="256" ht="14.25" customHeight="1">
      <c r="A256" s="211">
        <v>30.0</v>
      </c>
      <c r="B256" s="317" t="s">
        <v>5906</v>
      </c>
      <c r="C256" s="317" t="s">
        <v>5907</v>
      </c>
      <c r="D256" s="348" t="s">
        <v>25</v>
      </c>
      <c r="E256" s="348" t="s">
        <v>45</v>
      </c>
      <c r="F256" s="323"/>
      <c r="G256" s="354">
        <v>72.0</v>
      </c>
      <c r="H256" s="354">
        <v>14.0</v>
      </c>
      <c r="I256" s="354">
        <v>40.0</v>
      </c>
      <c r="J256" s="352">
        <v>0.0</v>
      </c>
      <c r="K256" s="352">
        <v>0.0</v>
      </c>
      <c r="L256" s="352">
        <v>1.0</v>
      </c>
      <c r="M256" s="314" t="s">
        <v>27</v>
      </c>
      <c r="N256" s="319" t="s">
        <v>39</v>
      </c>
      <c r="O256" s="319">
        <v>100.0</v>
      </c>
      <c r="P256" s="319" t="s">
        <v>29</v>
      </c>
      <c r="Q256" s="319" t="s">
        <v>39</v>
      </c>
    </row>
    <row r="257" ht="14.25" customHeight="1">
      <c r="A257" s="211">
        <v>31.0</v>
      </c>
      <c r="B257" s="349" t="s">
        <v>5908</v>
      </c>
      <c r="C257" s="349" t="s">
        <v>5909</v>
      </c>
      <c r="D257" s="348" t="s">
        <v>25</v>
      </c>
      <c r="E257" s="348" t="s">
        <v>45</v>
      </c>
      <c r="F257" s="350" t="s">
        <v>5851</v>
      </c>
      <c r="G257" s="354">
        <v>210.0</v>
      </c>
      <c r="H257" s="354">
        <v>33.0</v>
      </c>
      <c r="I257" s="354">
        <v>130.0</v>
      </c>
      <c r="J257" s="352">
        <v>0.0</v>
      </c>
      <c r="K257" s="352">
        <v>0.0</v>
      </c>
      <c r="L257" s="352">
        <v>1.0</v>
      </c>
      <c r="M257" s="314" t="s">
        <v>27</v>
      </c>
      <c r="N257" s="348" t="s">
        <v>5852</v>
      </c>
      <c r="O257" s="348">
        <v>100.0</v>
      </c>
      <c r="P257" s="319" t="s">
        <v>29</v>
      </c>
      <c r="Q257" s="348" t="s">
        <v>39</v>
      </c>
    </row>
    <row r="258" ht="14.25" customHeight="1">
      <c r="A258" s="211">
        <v>32.0</v>
      </c>
      <c r="B258" s="317" t="s">
        <v>5910</v>
      </c>
      <c r="C258" s="317" t="s">
        <v>5911</v>
      </c>
      <c r="D258" s="348" t="s">
        <v>25</v>
      </c>
      <c r="E258" s="348" t="s">
        <v>45</v>
      </c>
      <c r="F258" s="323"/>
      <c r="G258" s="353">
        <v>100.0</v>
      </c>
      <c r="H258" s="353">
        <v>44.0</v>
      </c>
      <c r="I258" s="353">
        <v>150.0</v>
      </c>
      <c r="J258" s="352">
        <v>0.0</v>
      </c>
      <c r="K258" s="352">
        <v>0.0</v>
      </c>
      <c r="L258" s="352">
        <v>1.0</v>
      </c>
      <c r="M258" s="314" t="s">
        <v>27</v>
      </c>
      <c r="N258" s="319" t="s">
        <v>39</v>
      </c>
      <c r="O258" s="319">
        <v>100.0</v>
      </c>
      <c r="P258" s="319" t="s">
        <v>29</v>
      </c>
      <c r="Q258" s="319" t="s">
        <v>39</v>
      </c>
    </row>
    <row r="259" ht="14.25" customHeight="1">
      <c r="A259" s="211">
        <v>33.0</v>
      </c>
      <c r="B259" s="349" t="s">
        <v>5912</v>
      </c>
      <c r="C259" s="349" t="s">
        <v>5913</v>
      </c>
      <c r="D259" s="348" t="s">
        <v>25</v>
      </c>
      <c r="E259" s="348" t="s">
        <v>45</v>
      </c>
      <c r="F259" s="350"/>
      <c r="G259" s="354">
        <v>100.0</v>
      </c>
      <c r="H259" s="353">
        <v>30.0</v>
      </c>
      <c r="I259" s="353">
        <v>90.0</v>
      </c>
      <c r="J259" s="352">
        <v>0.0</v>
      </c>
      <c r="K259" s="352">
        <v>0.0</v>
      </c>
      <c r="L259" s="352">
        <v>1.0</v>
      </c>
      <c r="M259" s="314" t="s">
        <v>27</v>
      </c>
      <c r="N259" s="348" t="s">
        <v>39</v>
      </c>
      <c r="O259" s="348">
        <v>100.0</v>
      </c>
      <c r="P259" s="319" t="s">
        <v>29</v>
      </c>
      <c r="Q259" s="348" t="s">
        <v>39</v>
      </c>
    </row>
    <row r="260" ht="14.25" customHeight="1">
      <c r="A260" s="211">
        <v>34.0</v>
      </c>
      <c r="B260" s="317" t="s">
        <v>1816</v>
      </c>
      <c r="C260" s="317" t="s">
        <v>5914</v>
      </c>
      <c r="D260" s="348" t="s">
        <v>25</v>
      </c>
      <c r="E260" s="348" t="s">
        <v>45</v>
      </c>
      <c r="F260" s="323"/>
      <c r="G260" s="353">
        <v>170.0</v>
      </c>
      <c r="H260" s="353">
        <v>15.0</v>
      </c>
      <c r="I260" s="353">
        <v>70.0</v>
      </c>
      <c r="J260" s="352">
        <v>0.0</v>
      </c>
      <c r="K260" s="352">
        <v>0.0</v>
      </c>
      <c r="L260" s="352">
        <v>1.0</v>
      </c>
      <c r="M260" s="314" t="s">
        <v>27</v>
      </c>
      <c r="N260" s="319" t="s">
        <v>39</v>
      </c>
      <c r="O260" s="319">
        <v>100.0</v>
      </c>
      <c r="P260" s="319" t="s">
        <v>29</v>
      </c>
      <c r="Q260" s="319" t="s">
        <v>39</v>
      </c>
    </row>
    <row r="261" ht="14.25" customHeight="1">
      <c r="A261" s="211">
        <v>35.0</v>
      </c>
      <c r="B261" s="349" t="s">
        <v>5915</v>
      </c>
      <c r="C261" s="349" t="s">
        <v>5916</v>
      </c>
      <c r="D261" s="348" t="s">
        <v>25</v>
      </c>
      <c r="E261" s="348" t="s">
        <v>45</v>
      </c>
      <c r="F261" s="350"/>
      <c r="G261" s="353">
        <v>50.0</v>
      </c>
      <c r="H261" s="353">
        <v>10.0</v>
      </c>
      <c r="I261" s="353">
        <v>30.0</v>
      </c>
      <c r="J261" s="352">
        <v>0.0</v>
      </c>
      <c r="K261" s="352">
        <v>0.0</v>
      </c>
      <c r="L261" s="352">
        <v>1.0</v>
      </c>
      <c r="M261" s="314" t="s">
        <v>27</v>
      </c>
      <c r="N261" s="348" t="s">
        <v>39</v>
      </c>
      <c r="O261" s="348">
        <v>100.0</v>
      </c>
      <c r="P261" s="319" t="s">
        <v>29</v>
      </c>
      <c r="Q261" s="348" t="s">
        <v>39</v>
      </c>
    </row>
    <row r="262" ht="14.25" customHeight="1">
      <c r="A262" s="211">
        <v>36.0</v>
      </c>
      <c r="B262" s="317" t="s">
        <v>5917</v>
      </c>
      <c r="C262" s="317" t="s">
        <v>5918</v>
      </c>
      <c r="D262" s="348" t="s">
        <v>25</v>
      </c>
      <c r="E262" s="348" t="s">
        <v>45</v>
      </c>
      <c r="F262" s="323"/>
      <c r="G262" s="353">
        <v>100.0</v>
      </c>
      <c r="H262" s="353">
        <v>20.0</v>
      </c>
      <c r="I262" s="353">
        <v>50.0</v>
      </c>
      <c r="J262" s="352">
        <v>0.0</v>
      </c>
      <c r="K262" s="352">
        <v>0.0</v>
      </c>
      <c r="L262" s="352">
        <v>1.0</v>
      </c>
      <c r="M262" s="314" t="s">
        <v>27</v>
      </c>
      <c r="N262" s="319" t="s">
        <v>39</v>
      </c>
      <c r="O262" s="319">
        <v>100.0</v>
      </c>
      <c r="P262" s="319" t="s">
        <v>29</v>
      </c>
      <c r="Q262" s="319" t="s">
        <v>39</v>
      </c>
    </row>
    <row r="263" ht="14.25" customHeight="1">
      <c r="A263" s="211">
        <v>37.0</v>
      </c>
      <c r="B263" s="349" t="s">
        <v>5919</v>
      </c>
      <c r="C263" s="349" t="s">
        <v>5920</v>
      </c>
      <c r="D263" s="348" t="s">
        <v>25</v>
      </c>
      <c r="E263" s="348" t="s">
        <v>45</v>
      </c>
      <c r="F263" s="350"/>
      <c r="G263" s="353">
        <v>451.14</v>
      </c>
      <c r="H263" s="353">
        <v>19.0</v>
      </c>
      <c r="I263" s="353">
        <v>266.0</v>
      </c>
      <c r="J263" s="352">
        <v>0.0</v>
      </c>
      <c r="K263" s="352">
        <v>0.0</v>
      </c>
      <c r="L263" s="352">
        <v>1.0</v>
      </c>
      <c r="M263" s="314" t="s">
        <v>27</v>
      </c>
      <c r="N263" s="348" t="s">
        <v>39</v>
      </c>
      <c r="O263" s="348">
        <v>100.0</v>
      </c>
      <c r="P263" s="319" t="s">
        <v>29</v>
      </c>
      <c r="Q263" s="348" t="s">
        <v>39</v>
      </c>
    </row>
    <row r="264" ht="15.75" customHeight="1">
      <c r="A264" s="181"/>
      <c r="B264" s="339" t="s">
        <v>5921</v>
      </c>
      <c r="C264" s="311"/>
      <c r="D264" s="312"/>
      <c r="E264" s="312"/>
      <c r="F264" s="312"/>
      <c r="G264" s="312"/>
      <c r="H264" s="312"/>
      <c r="I264" s="312"/>
      <c r="J264" s="312"/>
      <c r="K264" s="312"/>
      <c r="L264" s="312"/>
      <c r="M264" s="313"/>
      <c r="N264" s="312"/>
      <c r="O264" s="312"/>
      <c r="P264" s="312"/>
      <c r="Q264" s="312"/>
    </row>
    <row r="265" ht="15.75" customHeight="1">
      <c r="A265" s="211"/>
      <c r="B265" s="355" t="s">
        <v>43</v>
      </c>
      <c r="C265" s="317" t="s">
        <v>5922</v>
      </c>
      <c r="D265" s="317" t="s">
        <v>36</v>
      </c>
      <c r="E265" s="319" t="s">
        <v>45</v>
      </c>
      <c r="F265" s="323"/>
      <c r="G265" s="318">
        <v>2374.88</v>
      </c>
      <c r="H265" s="319">
        <v>50.0</v>
      </c>
      <c r="I265" s="319">
        <v>100.0</v>
      </c>
      <c r="J265" s="319">
        <v>2.0</v>
      </c>
      <c r="K265" s="319">
        <v>2.0</v>
      </c>
      <c r="L265" s="319">
        <v>1.0</v>
      </c>
      <c r="M265" s="314" t="s">
        <v>1156</v>
      </c>
      <c r="N265" s="319" t="s">
        <v>39</v>
      </c>
      <c r="O265" s="319">
        <v>500.0</v>
      </c>
      <c r="P265" s="319" t="s">
        <v>29</v>
      </c>
      <c r="Q265" s="319" t="s">
        <v>39</v>
      </c>
    </row>
    <row r="266" ht="14.25" customHeight="1">
      <c r="A266" s="211"/>
      <c r="B266" s="340" t="s">
        <v>288</v>
      </c>
      <c r="C266" s="317" t="s">
        <v>5923</v>
      </c>
      <c r="D266" s="317" t="s">
        <v>36</v>
      </c>
      <c r="E266" s="319" t="s">
        <v>45</v>
      </c>
      <c r="F266" s="323"/>
      <c r="G266" s="318">
        <v>401.2</v>
      </c>
      <c r="H266" s="319">
        <v>40.0</v>
      </c>
      <c r="I266" s="319">
        <v>200.0</v>
      </c>
      <c r="J266" s="319">
        <v>2.0</v>
      </c>
      <c r="K266" s="319">
        <v>2.0</v>
      </c>
      <c r="L266" s="319">
        <v>0.0</v>
      </c>
      <c r="M266" s="314" t="s">
        <v>1156</v>
      </c>
      <c r="N266" s="319" t="s">
        <v>39</v>
      </c>
      <c r="O266" s="319">
        <v>50.0</v>
      </c>
      <c r="P266" s="319" t="s">
        <v>29</v>
      </c>
      <c r="Q266" s="319" t="s">
        <v>39</v>
      </c>
    </row>
    <row r="267" ht="14.25" customHeight="1">
      <c r="A267" s="211"/>
      <c r="B267" s="349" t="s">
        <v>5924</v>
      </c>
      <c r="C267" s="349" t="s">
        <v>5922</v>
      </c>
      <c r="D267" s="317" t="s">
        <v>36</v>
      </c>
      <c r="E267" s="319" t="s">
        <v>45</v>
      </c>
      <c r="F267" s="323"/>
      <c r="G267" s="351">
        <v>357.86</v>
      </c>
      <c r="H267" s="348">
        <v>30.0</v>
      </c>
      <c r="I267" s="348">
        <v>150.0</v>
      </c>
      <c r="J267" s="348">
        <v>1.0</v>
      </c>
      <c r="K267" s="348">
        <v>1.0</v>
      </c>
      <c r="L267" s="348">
        <v>0.0</v>
      </c>
      <c r="M267" s="352" t="s">
        <v>1156</v>
      </c>
      <c r="N267" s="348" t="s">
        <v>39</v>
      </c>
      <c r="O267" s="348">
        <v>50.0</v>
      </c>
      <c r="P267" s="319" t="s">
        <v>29</v>
      </c>
      <c r="Q267" s="319" t="s">
        <v>39</v>
      </c>
    </row>
    <row r="268" ht="14.25" customHeight="1">
      <c r="A268" s="211"/>
      <c r="B268" s="317" t="s">
        <v>5925</v>
      </c>
      <c r="C268" s="317" t="s">
        <v>5922</v>
      </c>
      <c r="D268" s="317" t="s">
        <v>36</v>
      </c>
      <c r="E268" s="319" t="s">
        <v>45</v>
      </c>
      <c r="F268" s="323"/>
      <c r="G268" s="318">
        <v>1771.18</v>
      </c>
      <c r="H268" s="319">
        <v>60.0</v>
      </c>
      <c r="I268" s="319">
        <v>300.0</v>
      </c>
      <c r="J268" s="319">
        <v>2.0</v>
      </c>
      <c r="K268" s="319">
        <v>2.0</v>
      </c>
      <c r="L268" s="319">
        <v>1.0</v>
      </c>
      <c r="M268" s="314" t="s">
        <v>1156</v>
      </c>
      <c r="N268" s="319" t="s">
        <v>39</v>
      </c>
      <c r="O268" s="319">
        <v>50.0</v>
      </c>
      <c r="P268" s="319" t="s">
        <v>29</v>
      </c>
      <c r="Q268" s="319" t="s">
        <v>39</v>
      </c>
    </row>
    <row r="269" ht="14.25" customHeight="1">
      <c r="A269" s="211"/>
      <c r="B269" s="349" t="s">
        <v>5926</v>
      </c>
      <c r="C269" s="349" t="s">
        <v>5922</v>
      </c>
      <c r="D269" s="317" t="s">
        <v>36</v>
      </c>
      <c r="E269" s="319" t="s">
        <v>45</v>
      </c>
      <c r="F269" s="323"/>
      <c r="G269" s="351">
        <v>190.0</v>
      </c>
      <c r="H269" s="348">
        <v>15.0</v>
      </c>
      <c r="I269" s="348">
        <v>75.0</v>
      </c>
      <c r="J269" s="348">
        <v>0.0</v>
      </c>
      <c r="K269" s="348">
        <v>0.0</v>
      </c>
      <c r="L269" s="348">
        <v>1.0</v>
      </c>
      <c r="M269" s="352" t="s">
        <v>1156</v>
      </c>
      <c r="N269" s="348" t="s">
        <v>39</v>
      </c>
      <c r="O269" s="348">
        <v>50.0</v>
      </c>
      <c r="P269" s="319" t="s">
        <v>29</v>
      </c>
      <c r="Q269" s="319" t="s">
        <v>39</v>
      </c>
    </row>
    <row r="270" ht="14.25" customHeight="1">
      <c r="A270" s="211"/>
      <c r="B270" s="317" t="s">
        <v>5927</v>
      </c>
      <c r="C270" s="317" t="s">
        <v>5928</v>
      </c>
      <c r="D270" s="317" t="s">
        <v>36</v>
      </c>
      <c r="E270" s="319" t="s">
        <v>189</v>
      </c>
      <c r="F270" s="323" t="s">
        <v>5929</v>
      </c>
      <c r="G270" s="318">
        <v>2875.0</v>
      </c>
      <c r="H270" s="319">
        <v>20.0</v>
      </c>
      <c r="I270" s="319">
        <v>100.0</v>
      </c>
      <c r="J270" s="319">
        <v>4.0</v>
      </c>
      <c r="K270" s="319">
        <v>4.0</v>
      </c>
      <c r="L270" s="319">
        <v>0.0</v>
      </c>
      <c r="M270" s="314" t="s">
        <v>1156</v>
      </c>
      <c r="N270" s="319" t="s">
        <v>39</v>
      </c>
      <c r="O270" s="319">
        <v>50.0</v>
      </c>
      <c r="P270" s="319" t="s">
        <v>29</v>
      </c>
      <c r="Q270" s="319" t="s">
        <v>39</v>
      </c>
    </row>
    <row r="271" ht="14.25" customHeight="1">
      <c r="A271" s="211"/>
      <c r="B271" s="349" t="s">
        <v>5930</v>
      </c>
      <c r="C271" s="349" t="s">
        <v>5931</v>
      </c>
      <c r="D271" s="317" t="s">
        <v>36</v>
      </c>
      <c r="E271" s="319" t="s">
        <v>45</v>
      </c>
      <c r="F271" s="350"/>
      <c r="G271" s="351">
        <v>5947.0</v>
      </c>
      <c r="H271" s="348">
        <v>30.0</v>
      </c>
      <c r="I271" s="348">
        <v>150.0</v>
      </c>
      <c r="J271" s="348">
        <v>7.0</v>
      </c>
      <c r="K271" s="348">
        <v>7.0</v>
      </c>
      <c r="L271" s="348">
        <v>0.0</v>
      </c>
      <c r="M271" s="352" t="s">
        <v>1156</v>
      </c>
      <c r="N271" s="348" t="s">
        <v>39</v>
      </c>
      <c r="O271" s="348">
        <v>50.0</v>
      </c>
      <c r="P271" s="319" t="s">
        <v>29</v>
      </c>
      <c r="Q271" s="319" t="s">
        <v>39</v>
      </c>
    </row>
    <row r="272" ht="14.25" customHeight="1">
      <c r="A272" s="211"/>
      <c r="B272" s="317" t="s">
        <v>5932</v>
      </c>
      <c r="C272" s="317" t="s">
        <v>5922</v>
      </c>
      <c r="D272" s="317" t="s">
        <v>36</v>
      </c>
      <c r="E272" s="319" t="s">
        <v>45</v>
      </c>
      <c r="F272" s="323"/>
      <c r="G272" s="318">
        <v>4900.0</v>
      </c>
      <c r="H272" s="319">
        <v>60.0</v>
      </c>
      <c r="I272" s="319">
        <v>300.0</v>
      </c>
      <c r="J272" s="319">
        <v>7.0</v>
      </c>
      <c r="K272" s="319">
        <v>7.0</v>
      </c>
      <c r="L272" s="319">
        <v>0.0</v>
      </c>
      <c r="M272" s="314" t="s">
        <v>1156</v>
      </c>
      <c r="N272" s="319" t="s">
        <v>39</v>
      </c>
      <c r="O272" s="319">
        <v>50.0</v>
      </c>
      <c r="P272" s="319" t="s">
        <v>29</v>
      </c>
      <c r="Q272" s="319" t="s">
        <v>39</v>
      </c>
    </row>
    <row r="273" ht="14.25" customHeight="1">
      <c r="A273" s="211"/>
      <c r="B273" s="349" t="s">
        <v>5933</v>
      </c>
      <c r="C273" s="349" t="s">
        <v>5934</v>
      </c>
      <c r="D273" s="317" t="s">
        <v>36</v>
      </c>
      <c r="E273" s="319" t="s">
        <v>189</v>
      </c>
      <c r="F273" s="350" t="s">
        <v>5929</v>
      </c>
      <c r="G273" s="351">
        <v>2165.0</v>
      </c>
      <c r="H273" s="348">
        <v>20.0</v>
      </c>
      <c r="I273" s="348">
        <v>100.0</v>
      </c>
      <c r="J273" s="348">
        <v>10.0</v>
      </c>
      <c r="K273" s="348">
        <v>10.0</v>
      </c>
      <c r="L273" s="348">
        <v>0.0</v>
      </c>
      <c r="M273" s="352" t="s">
        <v>1156</v>
      </c>
      <c r="N273" s="348" t="s">
        <v>39</v>
      </c>
      <c r="O273" s="348">
        <v>50.0</v>
      </c>
      <c r="P273" s="319" t="s">
        <v>29</v>
      </c>
      <c r="Q273" s="319" t="s">
        <v>39</v>
      </c>
    </row>
    <row r="274" ht="14.25" customHeight="1">
      <c r="A274" s="211"/>
      <c r="B274" s="317" t="s">
        <v>5935</v>
      </c>
      <c r="C274" s="317" t="s">
        <v>5936</v>
      </c>
      <c r="D274" s="317" t="s">
        <v>36</v>
      </c>
      <c r="E274" s="319" t="s">
        <v>45</v>
      </c>
      <c r="F274" s="323"/>
      <c r="G274" s="318">
        <v>10382.0</v>
      </c>
      <c r="H274" s="319">
        <v>20.0</v>
      </c>
      <c r="I274" s="319">
        <v>100.0</v>
      </c>
      <c r="J274" s="319">
        <v>10.0</v>
      </c>
      <c r="K274" s="319">
        <v>10.0</v>
      </c>
      <c r="L274" s="319">
        <v>0.0</v>
      </c>
      <c r="M274" s="314" t="s">
        <v>1156</v>
      </c>
      <c r="N274" s="319" t="s">
        <v>39</v>
      </c>
      <c r="O274" s="319">
        <v>50.0</v>
      </c>
      <c r="P274" s="319" t="s">
        <v>29</v>
      </c>
      <c r="Q274" s="319" t="s">
        <v>39</v>
      </c>
    </row>
    <row r="275" ht="14.25" customHeight="1">
      <c r="A275" s="211"/>
      <c r="B275" s="349" t="s">
        <v>5937</v>
      </c>
      <c r="C275" s="349" t="s">
        <v>5938</v>
      </c>
      <c r="D275" s="317" t="s">
        <v>36</v>
      </c>
      <c r="E275" s="348" t="s">
        <v>26</v>
      </c>
      <c r="F275" s="350"/>
      <c r="G275" s="351">
        <v>26400.0</v>
      </c>
      <c r="H275" s="348">
        <v>100.0</v>
      </c>
      <c r="I275" s="348">
        <v>500.0</v>
      </c>
      <c r="J275" s="348">
        <v>10.0</v>
      </c>
      <c r="K275" s="348">
        <v>10.0</v>
      </c>
      <c r="L275" s="348">
        <v>0.0</v>
      </c>
      <c r="M275" s="352" t="s">
        <v>1156</v>
      </c>
      <c r="N275" s="348" t="s">
        <v>39</v>
      </c>
      <c r="O275" s="348">
        <v>50.0</v>
      </c>
      <c r="P275" s="319" t="s">
        <v>29</v>
      </c>
      <c r="Q275" s="319" t="s">
        <v>39</v>
      </c>
    </row>
    <row r="276" ht="14.25" customHeight="1">
      <c r="A276" s="211"/>
      <c r="B276" s="317" t="s">
        <v>5939</v>
      </c>
      <c r="C276" s="317" t="s">
        <v>5940</v>
      </c>
      <c r="D276" s="317" t="s">
        <v>36</v>
      </c>
      <c r="E276" s="319" t="s">
        <v>45</v>
      </c>
      <c r="F276" s="323"/>
      <c r="G276" s="318">
        <v>1313.0</v>
      </c>
      <c r="H276" s="319">
        <v>10.0</v>
      </c>
      <c r="I276" s="319">
        <v>50.0</v>
      </c>
      <c r="J276" s="319">
        <v>4.0</v>
      </c>
      <c r="K276" s="319">
        <v>4.0</v>
      </c>
      <c r="L276" s="319">
        <v>0.0</v>
      </c>
      <c r="M276" s="314" t="s">
        <v>1156</v>
      </c>
      <c r="N276" s="319" t="s">
        <v>39</v>
      </c>
      <c r="O276" s="319">
        <v>50.0</v>
      </c>
      <c r="P276" s="319" t="s">
        <v>29</v>
      </c>
      <c r="Q276" s="319" t="s">
        <v>39</v>
      </c>
    </row>
    <row r="277" ht="14.25" customHeight="1">
      <c r="A277" s="211"/>
      <c r="B277" s="349" t="s">
        <v>5941</v>
      </c>
      <c r="C277" s="349" t="s">
        <v>5942</v>
      </c>
      <c r="D277" s="317" t="s">
        <v>36</v>
      </c>
      <c r="E277" s="348" t="s">
        <v>45</v>
      </c>
      <c r="F277" s="350"/>
      <c r="G277" s="351">
        <v>6372.0</v>
      </c>
      <c r="H277" s="348">
        <v>20.0</v>
      </c>
      <c r="I277" s="348">
        <v>100.0</v>
      </c>
      <c r="J277" s="348">
        <v>5.0</v>
      </c>
      <c r="K277" s="348">
        <v>5.0</v>
      </c>
      <c r="L277" s="348">
        <v>0.0</v>
      </c>
      <c r="M277" s="352" t="s">
        <v>1156</v>
      </c>
      <c r="N277" s="348" t="s">
        <v>39</v>
      </c>
      <c r="O277" s="348">
        <v>50.0</v>
      </c>
      <c r="P277" s="319" t="s">
        <v>29</v>
      </c>
      <c r="Q277" s="319" t="s">
        <v>39</v>
      </c>
    </row>
    <row r="278" ht="14.25" customHeight="1">
      <c r="A278" s="211"/>
      <c r="B278" s="317" t="s">
        <v>5943</v>
      </c>
      <c r="C278" s="317" t="s">
        <v>5944</v>
      </c>
      <c r="D278" s="317" t="s">
        <v>36</v>
      </c>
      <c r="E278" s="319" t="s">
        <v>45</v>
      </c>
      <c r="F278" s="323"/>
      <c r="G278" s="318">
        <v>11200.0</v>
      </c>
      <c r="H278" s="319">
        <v>20.0</v>
      </c>
      <c r="I278" s="319">
        <v>100.0</v>
      </c>
      <c r="J278" s="319">
        <v>5.0</v>
      </c>
      <c r="K278" s="319">
        <v>5.0</v>
      </c>
      <c r="L278" s="319">
        <v>0.0</v>
      </c>
      <c r="M278" s="314" t="s">
        <v>1156</v>
      </c>
      <c r="N278" s="319" t="s">
        <v>39</v>
      </c>
      <c r="O278" s="319">
        <v>50.0</v>
      </c>
      <c r="P278" s="319" t="s">
        <v>29</v>
      </c>
      <c r="Q278" s="319" t="s">
        <v>39</v>
      </c>
    </row>
    <row r="279" ht="14.25" customHeight="1">
      <c r="A279" s="211"/>
      <c r="B279" s="349" t="s">
        <v>5945</v>
      </c>
      <c r="C279" s="349" t="s">
        <v>5946</v>
      </c>
      <c r="D279" s="317" t="s">
        <v>36</v>
      </c>
      <c r="E279" s="348" t="s">
        <v>189</v>
      </c>
      <c r="F279" s="350"/>
      <c r="G279" s="351">
        <v>10768.0</v>
      </c>
      <c r="H279" s="348">
        <v>20.0</v>
      </c>
      <c r="I279" s="348">
        <v>100.0</v>
      </c>
      <c r="J279" s="348">
        <v>10.0</v>
      </c>
      <c r="K279" s="348">
        <v>10.0</v>
      </c>
      <c r="L279" s="348">
        <v>0.0</v>
      </c>
      <c r="M279" s="352" t="s">
        <v>1156</v>
      </c>
      <c r="N279" s="348" t="s">
        <v>39</v>
      </c>
      <c r="O279" s="348">
        <v>50.0</v>
      </c>
      <c r="P279" s="319" t="s">
        <v>29</v>
      </c>
      <c r="Q279" s="319" t="s">
        <v>39</v>
      </c>
    </row>
    <row r="280" ht="14.25" customHeight="1">
      <c r="A280" s="211"/>
      <c r="B280" s="317" t="s">
        <v>5737</v>
      </c>
      <c r="C280" s="317" t="s">
        <v>5947</v>
      </c>
      <c r="D280" s="317" t="s">
        <v>36</v>
      </c>
      <c r="E280" s="348" t="s">
        <v>189</v>
      </c>
      <c r="F280" s="323" t="s">
        <v>5851</v>
      </c>
      <c r="G280" s="318">
        <v>21000.0</v>
      </c>
      <c r="H280" s="319">
        <v>20.0</v>
      </c>
      <c r="I280" s="319">
        <v>100.0</v>
      </c>
      <c r="J280" s="319">
        <v>10.0</v>
      </c>
      <c r="K280" s="319">
        <v>10.0</v>
      </c>
      <c r="L280" s="319">
        <v>0.0</v>
      </c>
      <c r="M280" s="314" t="s">
        <v>1156</v>
      </c>
      <c r="N280" s="319" t="s">
        <v>39</v>
      </c>
      <c r="O280" s="319">
        <v>50.0</v>
      </c>
      <c r="P280" s="319" t="s">
        <v>29</v>
      </c>
      <c r="Q280" s="319" t="s">
        <v>39</v>
      </c>
    </row>
    <row r="281" ht="14.25" customHeight="1">
      <c r="A281" s="211"/>
      <c r="B281" s="349" t="s">
        <v>5948</v>
      </c>
      <c r="C281" s="349" t="s">
        <v>5946</v>
      </c>
      <c r="D281" s="317" t="s">
        <v>36</v>
      </c>
      <c r="E281" s="348" t="s">
        <v>45</v>
      </c>
      <c r="F281" s="350"/>
      <c r="G281" s="351">
        <v>8500.0</v>
      </c>
      <c r="H281" s="348">
        <v>60.0</v>
      </c>
      <c r="I281" s="348">
        <v>300.0</v>
      </c>
      <c r="J281" s="348">
        <v>10.0</v>
      </c>
      <c r="K281" s="348">
        <v>10.0</v>
      </c>
      <c r="L281" s="348">
        <v>0.0</v>
      </c>
      <c r="M281" s="352" t="s">
        <v>1156</v>
      </c>
      <c r="N281" s="348" t="s">
        <v>39</v>
      </c>
      <c r="O281" s="348">
        <v>50.0</v>
      </c>
      <c r="P281" s="319" t="s">
        <v>29</v>
      </c>
      <c r="Q281" s="319" t="s">
        <v>39</v>
      </c>
    </row>
    <row r="282" ht="14.25" customHeight="1">
      <c r="A282" s="211"/>
      <c r="B282" s="317" t="s">
        <v>5949</v>
      </c>
      <c r="C282" s="317" t="s">
        <v>5950</v>
      </c>
      <c r="D282" s="317" t="s">
        <v>36</v>
      </c>
      <c r="E282" s="348" t="s">
        <v>45</v>
      </c>
      <c r="F282" s="323"/>
      <c r="G282" s="318">
        <v>3569.0</v>
      </c>
      <c r="H282" s="319">
        <v>30.0</v>
      </c>
      <c r="I282" s="319">
        <v>150.0</v>
      </c>
      <c r="J282" s="319">
        <v>10.0</v>
      </c>
      <c r="K282" s="319">
        <v>10.0</v>
      </c>
      <c r="L282" s="319">
        <v>0.0</v>
      </c>
      <c r="M282" s="314" t="s">
        <v>1156</v>
      </c>
      <c r="N282" s="319" t="s">
        <v>39</v>
      </c>
      <c r="O282" s="319">
        <v>50.0</v>
      </c>
      <c r="P282" s="319" t="s">
        <v>29</v>
      </c>
      <c r="Q282" s="319" t="s">
        <v>39</v>
      </c>
    </row>
    <row r="283" ht="14.25" customHeight="1">
      <c r="A283" s="211"/>
      <c r="B283" s="349" t="s">
        <v>5951</v>
      </c>
      <c r="C283" s="349" t="s">
        <v>5952</v>
      </c>
      <c r="D283" s="317" t="s">
        <v>36</v>
      </c>
      <c r="E283" s="348" t="s">
        <v>45</v>
      </c>
      <c r="F283" s="350"/>
      <c r="G283" s="351">
        <v>3569.0</v>
      </c>
      <c r="H283" s="348">
        <v>20.0</v>
      </c>
      <c r="I283" s="348">
        <v>100.0</v>
      </c>
      <c r="J283" s="348">
        <v>5.0</v>
      </c>
      <c r="K283" s="348">
        <v>5.0</v>
      </c>
      <c r="L283" s="348">
        <v>0.0</v>
      </c>
      <c r="M283" s="352" t="s">
        <v>1156</v>
      </c>
      <c r="N283" s="348" t="s">
        <v>39</v>
      </c>
      <c r="O283" s="348">
        <v>50.0</v>
      </c>
      <c r="P283" s="319" t="s">
        <v>29</v>
      </c>
      <c r="Q283" s="319" t="s">
        <v>39</v>
      </c>
    </row>
    <row r="284" ht="14.25" customHeight="1">
      <c r="A284" s="211"/>
      <c r="B284" s="317" t="s">
        <v>5953</v>
      </c>
      <c r="C284" s="317" t="s">
        <v>5954</v>
      </c>
      <c r="D284" s="317" t="s">
        <v>36</v>
      </c>
      <c r="E284" s="348" t="s">
        <v>45</v>
      </c>
      <c r="F284" s="323"/>
      <c r="G284" s="318">
        <v>4256.0</v>
      </c>
      <c r="H284" s="319">
        <v>50.0</v>
      </c>
      <c r="I284" s="319">
        <v>250.0</v>
      </c>
      <c r="J284" s="319">
        <v>2.0</v>
      </c>
      <c r="K284" s="319">
        <v>2.0</v>
      </c>
      <c r="L284" s="319">
        <v>0.0</v>
      </c>
      <c r="M284" s="314" t="s">
        <v>1156</v>
      </c>
      <c r="N284" s="319" t="s">
        <v>39</v>
      </c>
      <c r="O284" s="319">
        <v>50.0</v>
      </c>
      <c r="P284" s="319" t="s">
        <v>29</v>
      </c>
      <c r="Q284" s="319" t="s">
        <v>39</v>
      </c>
    </row>
    <row r="285" ht="14.25" customHeight="1">
      <c r="A285" s="211"/>
      <c r="B285" s="349" t="s">
        <v>5955</v>
      </c>
      <c r="C285" s="349" t="s">
        <v>5954</v>
      </c>
      <c r="D285" s="317" t="s">
        <v>36</v>
      </c>
      <c r="E285" s="348" t="s">
        <v>45</v>
      </c>
      <c r="F285" s="350"/>
      <c r="G285" s="351">
        <v>3403.0</v>
      </c>
      <c r="H285" s="348">
        <v>25.0</v>
      </c>
      <c r="I285" s="348">
        <v>125.0</v>
      </c>
      <c r="J285" s="348">
        <v>2.0</v>
      </c>
      <c r="K285" s="348">
        <v>2.0</v>
      </c>
      <c r="L285" s="348">
        <v>0.0</v>
      </c>
      <c r="M285" s="352" t="s">
        <v>1156</v>
      </c>
      <c r="N285" s="348" t="s">
        <v>39</v>
      </c>
      <c r="O285" s="348">
        <v>50.0</v>
      </c>
      <c r="P285" s="319" t="s">
        <v>29</v>
      </c>
      <c r="Q285" s="319" t="s">
        <v>39</v>
      </c>
    </row>
    <row r="286" ht="14.25" customHeight="1">
      <c r="A286" s="211"/>
      <c r="B286" s="317" t="s">
        <v>5956</v>
      </c>
      <c r="C286" s="317" t="s">
        <v>5918</v>
      </c>
      <c r="D286" s="317" t="s">
        <v>36</v>
      </c>
      <c r="E286" s="348" t="s">
        <v>45</v>
      </c>
      <c r="F286" s="323"/>
      <c r="G286" s="318">
        <v>2805.0</v>
      </c>
      <c r="H286" s="319">
        <v>30.0</v>
      </c>
      <c r="I286" s="319">
        <v>150.0</v>
      </c>
      <c r="J286" s="319">
        <v>5.0</v>
      </c>
      <c r="K286" s="319">
        <v>5.0</v>
      </c>
      <c r="L286" s="319">
        <v>0.0</v>
      </c>
      <c r="M286" s="314" t="s">
        <v>1156</v>
      </c>
      <c r="N286" s="319" t="s">
        <v>39</v>
      </c>
      <c r="O286" s="319">
        <v>50.0</v>
      </c>
      <c r="P286" s="319" t="s">
        <v>29</v>
      </c>
      <c r="Q286" s="319" t="s">
        <v>39</v>
      </c>
    </row>
    <row r="287" ht="14.25" customHeight="1">
      <c r="A287" s="211"/>
      <c r="B287" s="349" t="s">
        <v>5957</v>
      </c>
      <c r="C287" s="349" t="s">
        <v>5958</v>
      </c>
      <c r="D287" s="317" t="s">
        <v>36</v>
      </c>
      <c r="E287" s="348" t="s">
        <v>45</v>
      </c>
      <c r="F287" s="350"/>
      <c r="G287" s="351">
        <v>1938.0</v>
      </c>
      <c r="H287" s="348">
        <v>20.0</v>
      </c>
      <c r="I287" s="348">
        <v>100.0</v>
      </c>
      <c r="J287" s="348">
        <v>5.0</v>
      </c>
      <c r="K287" s="348">
        <v>5.0</v>
      </c>
      <c r="L287" s="348">
        <v>0.0</v>
      </c>
      <c r="M287" s="352" t="s">
        <v>1156</v>
      </c>
      <c r="N287" s="348" t="s">
        <v>39</v>
      </c>
      <c r="O287" s="348">
        <v>50.0</v>
      </c>
      <c r="P287" s="319" t="s">
        <v>29</v>
      </c>
      <c r="Q287" s="319" t="s">
        <v>39</v>
      </c>
    </row>
    <row r="288" ht="14.25" customHeight="1">
      <c r="A288" s="211"/>
      <c r="B288" s="317" t="s">
        <v>5959</v>
      </c>
      <c r="C288" s="317" t="s">
        <v>5960</v>
      </c>
      <c r="D288" s="317" t="s">
        <v>36</v>
      </c>
      <c r="E288" s="348" t="s">
        <v>45</v>
      </c>
      <c r="F288" s="323" t="s">
        <v>5929</v>
      </c>
      <c r="G288" s="318">
        <v>57.09</v>
      </c>
      <c r="H288" s="319">
        <v>10.0</v>
      </c>
      <c r="I288" s="319">
        <v>50.0</v>
      </c>
      <c r="J288" s="319">
        <v>0.0</v>
      </c>
      <c r="K288" s="319">
        <v>0.0</v>
      </c>
      <c r="L288" s="319">
        <v>1.0</v>
      </c>
      <c r="M288" s="314" t="s">
        <v>1156</v>
      </c>
      <c r="N288" s="319" t="s">
        <v>39</v>
      </c>
      <c r="O288" s="319">
        <v>50.0</v>
      </c>
      <c r="P288" s="319" t="s">
        <v>29</v>
      </c>
      <c r="Q288" s="319" t="s">
        <v>39</v>
      </c>
    </row>
    <row r="289" ht="14.25" customHeight="1">
      <c r="A289" s="211"/>
      <c r="B289" s="349" t="s">
        <v>5961</v>
      </c>
      <c r="C289" s="349" t="s">
        <v>5962</v>
      </c>
      <c r="D289" s="317" t="s">
        <v>36</v>
      </c>
      <c r="E289" s="348" t="s">
        <v>45</v>
      </c>
      <c r="F289" s="323" t="s">
        <v>5929</v>
      </c>
      <c r="G289" s="351">
        <v>169.45</v>
      </c>
      <c r="H289" s="348">
        <v>10.0</v>
      </c>
      <c r="I289" s="348">
        <v>50.0</v>
      </c>
      <c r="J289" s="348">
        <v>0.0</v>
      </c>
      <c r="K289" s="348">
        <v>0.0</v>
      </c>
      <c r="L289" s="348">
        <v>1.0</v>
      </c>
      <c r="M289" s="352" t="s">
        <v>1156</v>
      </c>
      <c r="N289" s="348" t="s">
        <v>39</v>
      </c>
      <c r="O289" s="348">
        <v>50.0</v>
      </c>
      <c r="P289" s="319" t="s">
        <v>29</v>
      </c>
      <c r="Q289" s="319" t="s">
        <v>39</v>
      </c>
    </row>
    <row r="290" ht="14.25" customHeight="1">
      <c r="A290" s="211"/>
      <c r="B290" s="317" t="s">
        <v>5963</v>
      </c>
      <c r="C290" s="317" t="s">
        <v>5964</v>
      </c>
      <c r="D290" s="317" t="s">
        <v>36</v>
      </c>
      <c r="E290" s="348" t="s">
        <v>45</v>
      </c>
      <c r="F290" s="323" t="s">
        <v>5929</v>
      </c>
      <c r="G290" s="318">
        <v>276.25</v>
      </c>
      <c r="H290" s="319">
        <v>10.0</v>
      </c>
      <c r="I290" s="319">
        <v>50.0</v>
      </c>
      <c r="J290" s="319">
        <v>0.0</v>
      </c>
      <c r="K290" s="319">
        <v>0.0</v>
      </c>
      <c r="L290" s="319">
        <v>1.0</v>
      </c>
      <c r="M290" s="314" t="s">
        <v>1156</v>
      </c>
      <c r="N290" s="319" t="s">
        <v>39</v>
      </c>
      <c r="O290" s="319">
        <v>50.0</v>
      </c>
      <c r="P290" s="319" t="s">
        <v>29</v>
      </c>
      <c r="Q290" s="319" t="s">
        <v>39</v>
      </c>
    </row>
    <row r="291" ht="14.25" customHeight="1">
      <c r="A291" s="211"/>
      <c r="B291" s="349" t="s">
        <v>5965</v>
      </c>
      <c r="C291" s="349" t="s">
        <v>5931</v>
      </c>
      <c r="D291" s="317" t="s">
        <v>36</v>
      </c>
      <c r="E291" s="348" t="s">
        <v>45</v>
      </c>
      <c r="F291" s="350"/>
      <c r="G291" s="351">
        <v>80.24</v>
      </c>
      <c r="H291" s="348">
        <v>10.0</v>
      </c>
      <c r="I291" s="348">
        <v>50.0</v>
      </c>
      <c r="J291" s="348">
        <v>0.0</v>
      </c>
      <c r="K291" s="348">
        <v>0.0</v>
      </c>
      <c r="L291" s="348">
        <v>1.0</v>
      </c>
      <c r="M291" s="352" t="s">
        <v>1156</v>
      </c>
      <c r="N291" s="348" t="s">
        <v>39</v>
      </c>
      <c r="O291" s="348">
        <v>50.0</v>
      </c>
      <c r="P291" s="319" t="s">
        <v>29</v>
      </c>
      <c r="Q291" s="319" t="s">
        <v>39</v>
      </c>
    </row>
    <row r="292" ht="14.25" customHeight="1">
      <c r="A292" s="211"/>
      <c r="B292" s="317" t="s">
        <v>5966</v>
      </c>
      <c r="C292" s="317" t="s">
        <v>5967</v>
      </c>
      <c r="D292" s="317" t="s">
        <v>36</v>
      </c>
      <c r="E292" s="348" t="s">
        <v>45</v>
      </c>
      <c r="F292" s="323"/>
      <c r="G292" s="318">
        <v>625.0</v>
      </c>
      <c r="H292" s="319">
        <v>10.0</v>
      </c>
      <c r="I292" s="319">
        <v>50.0</v>
      </c>
      <c r="J292" s="319">
        <v>0.0</v>
      </c>
      <c r="K292" s="319">
        <v>0.0</v>
      </c>
      <c r="L292" s="319">
        <v>1.0</v>
      </c>
      <c r="M292" s="314" t="s">
        <v>1156</v>
      </c>
      <c r="N292" s="319" t="s">
        <v>39</v>
      </c>
      <c r="O292" s="319">
        <v>50.0</v>
      </c>
      <c r="P292" s="319" t="s">
        <v>29</v>
      </c>
      <c r="Q292" s="319" t="s">
        <v>39</v>
      </c>
    </row>
    <row r="293" ht="14.25" customHeight="1">
      <c r="A293" s="211"/>
      <c r="B293" s="349" t="s">
        <v>5968</v>
      </c>
      <c r="C293" s="349" t="s">
        <v>5934</v>
      </c>
      <c r="D293" s="317" t="s">
        <v>36</v>
      </c>
      <c r="E293" s="348" t="s">
        <v>189</v>
      </c>
      <c r="F293" s="350" t="s">
        <v>5929</v>
      </c>
      <c r="G293" s="351">
        <v>187.0</v>
      </c>
      <c r="H293" s="348">
        <v>10.0</v>
      </c>
      <c r="I293" s="348">
        <v>50.0</v>
      </c>
      <c r="J293" s="348">
        <v>0.0</v>
      </c>
      <c r="K293" s="348">
        <v>0.0</v>
      </c>
      <c r="L293" s="348">
        <v>1.0</v>
      </c>
      <c r="M293" s="352" t="s">
        <v>1156</v>
      </c>
      <c r="N293" s="348" t="s">
        <v>39</v>
      </c>
      <c r="O293" s="348">
        <v>50.0</v>
      </c>
      <c r="P293" s="319" t="s">
        <v>29</v>
      </c>
      <c r="Q293" s="319" t="s">
        <v>39</v>
      </c>
    </row>
    <row r="294" ht="14.25" customHeight="1">
      <c r="A294" s="211"/>
      <c r="B294" s="317" t="s">
        <v>5969</v>
      </c>
      <c r="C294" s="317" t="s">
        <v>5970</v>
      </c>
      <c r="D294" s="317" t="s">
        <v>36</v>
      </c>
      <c r="E294" s="348" t="s">
        <v>189</v>
      </c>
      <c r="F294" s="350" t="s">
        <v>5929</v>
      </c>
      <c r="G294" s="318">
        <v>216.17</v>
      </c>
      <c r="H294" s="319">
        <v>10.0</v>
      </c>
      <c r="I294" s="319">
        <v>50.0</v>
      </c>
      <c r="J294" s="319">
        <v>0.0</v>
      </c>
      <c r="K294" s="319">
        <v>0.0</v>
      </c>
      <c r="L294" s="319">
        <v>1.0</v>
      </c>
      <c r="M294" s="314" t="s">
        <v>1156</v>
      </c>
      <c r="N294" s="319" t="s">
        <v>39</v>
      </c>
      <c r="O294" s="319">
        <v>50.0</v>
      </c>
      <c r="P294" s="319" t="s">
        <v>29</v>
      </c>
      <c r="Q294" s="319" t="s">
        <v>39</v>
      </c>
    </row>
    <row r="295" ht="14.25" customHeight="1">
      <c r="A295" s="211"/>
      <c r="B295" s="349" t="s">
        <v>5971</v>
      </c>
      <c r="C295" s="349" t="s">
        <v>5954</v>
      </c>
      <c r="D295" s="317" t="s">
        <v>36</v>
      </c>
      <c r="E295" s="348" t="s">
        <v>45</v>
      </c>
      <c r="F295" s="350"/>
      <c r="G295" s="351">
        <v>170.0</v>
      </c>
      <c r="H295" s="348">
        <v>10.0</v>
      </c>
      <c r="I295" s="348">
        <v>50.0</v>
      </c>
      <c r="J295" s="348">
        <v>0.0</v>
      </c>
      <c r="K295" s="348">
        <v>0.0</v>
      </c>
      <c r="L295" s="348">
        <v>1.0</v>
      </c>
      <c r="M295" s="352" t="s">
        <v>1156</v>
      </c>
      <c r="N295" s="348" t="s">
        <v>39</v>
      </c>
      <c r="O295" s="348">
        <v>50.0</v>
      </c>
      <c r="P295" s="319" t="s">
        <v>29</v>
      </c>
      <c r="Q295" s="319" t="s">
        <v>39</v>
      </c>
    </row>
    <row r="296" ht="14.25" customHeight="1">
      <c r="A296" s="211"/>
      <c r="B296" s="317" t="s">
        <v>5972</v>
      </c>
      <c r="C296" s="317" t="s">
        <v>5973</v>
      </c>
      <c r="D296" s="317" t="s">
        <v>36</v>
      </c>
      <c r="E296" s="348" t="s">
        <v>45</v>
      </c>
      <c r="F296" s="323"/>
      <c r="G296" s="318">
        <v>225.65</v>
      </c>
      <c r="H296" s="319">
        <v>10.0</v>
      </c>
      <c r="I296" s="319">
        <v>50.0</v>
      </c>
      <c r="J296" s="319">
        <v>0.0</v>
      </c>
      <c r="K296" s="319">
        <v>0.0</v>
      </c>
      <c r="L296" s="319">
        <v>1.0</v>
      </c>
      <c r="M296" s="314" t="s">
        <v>1156</v>
      </c>
      <c r="N296" s="319" t="s">
        <v>39</v>
      </c>
      <c r="O296" s="319">
        <v>50.0</v>
      </c>
      <c r="P296" s="319" t="s">
        <v>29</v>
      </c>
      <c r="Q296" s="319" t="s">
        <v>39</v>
      </c>
    </row>
    <row r="297" ht="14.25" customHeight="1">
      <c r="A297" s="211"/>
      <c r="B297" s="349" t="s">
        <v>5974</v>
      </c>
      <c r="C297" s="349" t="s">
        <v>5923</v>
      </c>
      <c r="D297" s="317" t="s">
        <v>36</v>
      </c>
      <c r="E297" s="348" t="s">
        <v>45</v>
      </c>
      <c r="F297" s="350"/>
      <c r="G297" s="351">
        <v>45.6</v>
      </c>
      <c r="H297" s="348">
        <v>10.0</v>
      </c>
      <c r="I297" s="348">
        <v>50.0</v>
      </c>
      <c r="J297" s="348">
        <v>0.0</v>
      </c>
      <c r="K297" s="348">
        <v>0.0</v>
      </c>
      <c r="L297" s="348">
        <v>1.0</v>
      </c>
      <c r="M297" s="352" t="s">
        <v>1156</v>
      </c>
      <c r="N297" s="348" t="s">
        <v>39</v>
      </c>
      <c r="O297" s="348">
        <v>50.0</v>
      </c>
      <c r="P297" s="319" t="s">
        <v>29</v>
      </c>
      <c r="Q297" s="319" t="s">
        <v>39</v>
      </c>
    </row>
    <row r="298" ht="14.25" customHeight="1">
      <c r="A298" s="211"/>
      <c r="B298" s="317" t="s">
        <v>5975</v>
      </c>
      <c r="C298" s="317" t="s">
        <v>5976</v>
      </c>
      <c r="D298" s="317" t="s">
        <v>36</v>
      </c>
      <c r="E298" s="348" t="s">
        <v>45</v>
      </c>
      <c r="F298" s="323"/>
      <c r="G298" s="318">
        <v>48.0</v>
      </c>
      <c r="H298" s="319">
        <v>10.0</v>
      </c>
      <c r="I298" s="319">
        <v>50.0</v>
      </c>
      <c r="J298" s="319">
        <v>0.0</v>
      </c>
      <c r="K298" s="319">
        <v>0.0</v>
      </c>
      <c r="L298" s="319">
        <v>1.0</v>
      </c>
      <c r="M298" s="314" t="s">
        <v>1156</v>
      </c>
      <c r="N298" s="319" t="s">
        <v>39</v>
      </c>
      <c r="O298" s="319">
        <v>50.0</v>
      </c>
      <c r="P298" s="319" t="s">
        <v>29</v>
      </c>
      <c r="Q298" s="319" t="s">
        <v>39</v>
      </c>
    </row>
    <row r="299" ht="14.25" customHeight="1">
      <c r="A299" s="211"/>
      <c r="B299" s="349" t="s">
        <v>5977</v>
      </c>
      <c r="C299" s="349" t="s">
        <v>5936</v>
      </c>
      <c r="D299" s="317" t="s">
        <v>36</v>
      </c>
      <c r="E299" s="348" t="s">
        <v>45</v>
      </c>
      <c r="F299" s="350"/>
      <c r="G299" s="351">
        <v>529.46</v>
      </c>
      <c r="H299" s="348">
        <v>10.0</v>
      </c>
      <c r="I299" s="348">
        <v>50.0</v>
      </c>
      <c r="J299" s="348">
        <v>0.0</v>
      </c>
      <c r="K299" s="348">
        <v>0.0</v>
      </c>
      <c r="L299" s="348">
        <v>1.0</v>
      </c>
      <c r="M299" s="352" t="s">
        <v>1156</v>
      </c>
      <c r="N299" s="348" t="s">
        <v>39</v>
      </c>
      <c r="O299" s="348">
        <v>50.0</v>
      </c>
      <c r="P299" s="319" t="s">
        <v>29</v>
      </c>
      <c r="Q299" s="319" t="s">
        <v>39</v>
      </c>
    </row>
    <row r="300" ht="14.25" customHeight="1">
      <c r="A300" s="211"/>
      <c r="B300" s="317" t="s">
        <v>5978</v>
      </c>
      <c r="C300" s="317" t="s">
        <v>5979</v>
      </c>
      <c r="D300" s="317" t="s">
        <v>36</v>
      </c>
      <c r="E300" s="348" t="s">
        <v>45</v>
      </c>
      <c r="F300" s="323"/>
      <c r="G300" s="318">
        <v>217.13</v>
      </c>
      <c r="H300" s="319">
        <v>5.0</v>
      </c>
      <c r="I300" s="319">
        <v>25.0</v>
      </c>
      <c r="J300" s="319">
        <v>0.0</v>
      </c>
      <c r="K300" s="319">
        <v>0.0</v>
      </c>
      <c r="L300" s="319">
        <v>1.0</v>
      </c>
      <c r="M300" s="314" t="s">
        <v>1156</v>
      </c>
      <c r="N300" s="319" t="s">
        <v>39</v>
      </c>
      <c r="O300" s="319">
        <v>50.0</v>
      </c>
      <c r="P300" s="319" t="s">
        <v>29</v>
      </c>
      <c r="Q300" s="319" t="s">
        <v>39</v>
      </c>
    </row>
    <row r="301" ht="14.25" customHeight="1">
      <c r="A301" s="211"/>
      <c r="B301" s="349" t="s">
        <v>5980</v>
      </c>
      <c r="C301" s="349" t="s">
        <v>5981</v>
      </c>
      <c r="D301" s="317" t="s">
        <v>36</v>
      </c>
      <c r="E301" s="348" t="s">
        <v>45</v>
      </c>
      <c r="F301" s="350"/>
      <c r="G301" s="351">
        <v>23.82</v>
      </c>
      <c r="H301" s="348">
        <v>10.0</v>
      </c>
      <c r="I301" s="348">
        <v>50.0</v>
      </c>
      <c r="J301" s="348">
        <v>0.0</v>
      </c>
      <c r="K301" s="348">
        <v>0.0</v>
      </c>
      <c r="L301" s="348">
        <v>1.0</v>
      </c>
      <c r="M301" s="352" t="s">
        <v>1156</v>
      </c>
      <c r="N301" s="348" t="s">
        <v>39</v>
      </c>
      <c r="O301" s="348">
        <v>50.0</v>
      </c>
      <c r="P301" s="319" t="s">
        <v>29</v>
      </c>
      <c r="Q301" s="319" t="s">
        <v>39</v>
      </c>
    </row>
    <row r="302" ht="14.25" customHeight="1">
      <c r="A302" s="211"/>
      <c r="B302" s="317" t="s">
        <v>5982</v>
      </c>
      <c r="C302" s="317" t="s">
        <v>5983</v>
      </c>
      <c r="D302" s="317" t="s">
        <v>36</v>
      </c>
      <c r="E302" s="348" t="s">
        <v>189</v>
      </c>
      <c r="F302" s="350" t="s">
        <v>5929</v>
      </c>
      <c r="G302" s="318">
        <v>204.0</v>
      </c>
      <c r="H302" s="319">
        <v>10.0</v>
      </c>
      <c r="I302" s="319">
        <v>50.0</v>
      </c>
      <c r="J302" s="319">
        <v>0.0</v>
      </c>
      <c r="K302" s="319">
        <v>0.0</v>
      </c>
      <c r="L302" s="319">
        <v>1.0</v>
      </c>
      <c r="M302" s="314" t="s">
        <v>1156</v>
      </c>
      <c r="N302" s="319" t="s">
        <v>39</v>
      </c>
      <c r="O302" s="319">
        <v>50.0</v>
      </c>
      <c r="P302" s="319" t="s">
        <v>29</v>
      </c>
      <c r="Q302" s="319" t="s">
        <v>39</v>
      </c>
    </row>
    <row r="303" ht="14.25" customHeight="1">
      <c r="A303" s="211"/>
      <c r="B303" s="349" t="s">
        <v>5984</v>
      </c>
      <c r="C303" s="349" t="s">
        <v>5942</v>
      </c>
      <c r="D303" s="317" t="s">
        <v>36</v>
      </c>
      <c r="E303" s="348" t="s">
        <v>45</v>
      </c>
      <c r="F303" s="350"/>
      <c r="G303" s="351">
        <v>232.0</v>
      </c>
      <c r="H303" s="348">
        <v>10.0</v>
      </c>
      <c r="I303" s="348">
        <v>50.0</v>
      </c>
      <c r="J303" s="348">
        <v>0.0</v>
      </c>
      <c r="K303" s="348">
        <v>0.0</v>
      </c>
      <c r="L303" s="348">
        <v>1.0</v>
      </c>
      <c r="M303" s="352" t="s">
        <v>1156</v>
      </c>
      <c r="N303" s="348" t="s">
        <v>39</v>
      </c>
      <c r="O303" s="348">
        <v>50.0</v>
      </c>
      <c r="P303" s="319" t="s">
        <v>29</v>
      </c>
      <c r="Q303" s="319" t="s">
        <v>39</v>
      </c>
    </row>
    <row r="304" ht="14.25" customHeight="1">
      <c r="A304" s="211"/>
      <c r="B304" s="317" t="s">
        <v>5985</v>
      </c>
      <c r="C304" s="317" t="s">
        <v>5986</v>
      </c>
      <c r="D304" s="317" t="s">
        <v>36</v>
      </c>
      <c r="E304" s="348" t="s">
        <v>45</v>
      </c>
      <c r="F304" s="323"/>
      <c r="G304" s="318">
        <v>935.44</v>
      </c>
      <c r="H304" s="319">
        <v>10.0</v>
      </c>
      <c r="I304" s="319">
        <v>50.0</v>
      </c>
      <c r="J304" s="319">
        <v>0.0</v>
      </c>
      <c r="K304" s="319">
        <v>0.0</v>
      </c>
      <c r="L304" s="319">
        <v>1.0</v>
      </c>
      <c r="M304" s="314" t="s">
        <v>1156</v>
      </c>
      <c r="N304" s="319" t="s">
        <v>39</v>
      </c>
      <c r="O304" s="319">
        <v>50.0</v>
      </c>
      <c r="P304" s="319" t="s">
        <v>29</v>
      </c>
      <c r="Q304" s="319" t="s">
        <v>39</v>
      </c>
    </row>
    <row r="305" ht="14.25" customHeight="1">
      <c r="A305" s="211"/>
      <c r="B305" s="349" t="s">
        <v>5987</v>
      </c>
      <c r="C305" s="349" t="s">
        <v>5988</v>
      </c>
      <c r="D305" s="317" t="s">
        <v>36</v>
      </c>
      <c r="E305" s="348" t="s">
        <v>45</v>
      </c>
      <c r="F305" s="350"/>
      <c r="G305" s="351">
        <v>260.0</v>
      </c>
      <c r="H305" s="348">
        <v>10.0</v>
      </c>
      <c r="I305" s="348">
        <v>50.0</v>
      </c>
      <c r="J305" s="348">
        <v>0.0</v>
      </c>
      <c r="K305" s="348">
        <v>0.0</v>
      </c>
      <c r="L305" s="348">
        <v>1.0</v>
      </c>
      <c r="M305" s="352" t="s">
        <v>1156</v>
      </c>
      <c r="N305" s="348" t="s">
        <v>39</v>
      </c>
      <c r="O305" s="348">
        <v>50.0</v>
      </c>
      <c r="P305" s="319" t="s">
        <v>29</v>
      </c>
      <c r="Q305" s="319" t="s">
        <v>39</v>
      </c>
    </row>
    <row r="306" ht="14.25" customHeight="1">
      <c r="A306" s="211"/>
      <c r="B306" s="317" t="s">
        <v>5989</v>
      </c>
      <c r="C306" s="317" t="s">
        <v>5990</v>
      </c>
      <c r="D306" s="317" t="s">
        <v>36</v>
      </c>
      <c r="E306" s="348" t="s">
        <v>45</v>
      </c>
      <c r="F306" s="323"/>
      <c r="G306" s="318">
        <v>82.2</v>
      </c>
      <c r="H306" s="319">
        <v>10.0</v>
      </c>
      <c r="I306" s="319">
        <v>50.0</v>
      </c>
      <c r="J306" s="319">
        <v>0.0</v>
      </c>
      <c r="K306" s="319">
        <v>0.0</v>
      </c>
      <c r="L306" s="319">
        <v>1.0</v>
      </c>
      <c r="M306" s="314" t="s">
        <v>1156</v>
      </c>
      <c r="N306" s="319" t="s">
        <v>39</v>
      </c>
      <c r="O306" s="319">
        <v>50.0</v>
      </c>
      <c r="P306" s="319" t="s">
        <v>29</v>
      </c>
      <c r="Q306" s="319" t="s">
        <v>39</v>
      </c>
    </row>
    <row r="307" ht="14.25" customHeight="1">
      <c r="A307" s="211"/>
      <c r="B307" s="349" t="s">
        <v>5991</v>
      </c>
      <c r="C307" s="349" t="s">
        <v>5992</v>
      </c>
      <c r="D307" s="317" t="s">
        <v>36</v>
      </c>
      <c r="E307" s="319" t="s">
        <v>189</v>
      </c>
      <c r="F307" s="323" t="s">
        <v>5851</v>
      </c>
      <c r="G307" s="351">
        <v>46.8</v>
      </c>
      <c r="H307" s="348">
        <v>20.0</v>
      </c>
      <c r="I307" s="348">
        <v>100.0</v>
      </c>
      <c r="J307" s="348">
        <v>0.0</v>
      </c>
      <c r="K307" s="348">
        <v>0.0</v>
      </c>
      <c r="L307" s="348">
        <v>1.0</v>
      </c>
      <c r="M307" s="352" t="s">
        <v>1156</v>
      </c>
      <c r="N307" s="348" t="s">
        <v>39</v>
      </c>
      <c r="O307" s="348">
        <v>50.0</v>
      </c>
      <c r="P307" s="319" t="s">
        <v>29</v>
      </c>
      <c r="Q307" s="319" t="s">
        <v>39</v>
      </c>
    </row>
    <row r="308" ht="14.25" customHeight="1">
      <c r="A308" s="211"/>
      <c r="B308" s="317" t="s">
        <v>5993</v>
      </c>
      <c r="C308" s="317" t="s">
        <v>5928</v>
      </c>
      <c r="D308" s="317" t="s">
        <v>36</v>
      </c>
      <c r="E308" s="319" t="s">
        <v>45</v>
      </c>
      <c r="F308" s="323"/>
      <c r="G308" s="318">
        <v>85.0</v>
      </c>
      <c r="H308" s="319">
        <v>10.0</v>
      </c>
      <c r="I308" s="319">
        <v>50.0</v>
      </c>
      <c r="J308" s="319">
        <v>0.0</v>
      </c>
      <c r="K308" s="319">
        <v>0.0</v>
      </c>
      <c r="L308" s="319">
        <v>1.0</v>
      </c>
      <c r="M308" s="314" t="s">
        <v>1156</v>
      </c>
      <c r="N308" s="319" t="s">
        <v>39</v>
      </c>
      <c r="O308" s="319">
        <v>50.0</v>
      </c>
      <c r="P308" s="319" t="s">
        <v>29</v>
      </c>
      <c r="Q308" s="319" t="s">
        <v>39</v>
      </c>
    </row>
    <row r="309" ht="14.25" customHeight="1">
      <c r="A309" s="211"/>
      <c r="B309" s="349" t="s">
        <v>5994</v>
      </c>
      <c r="C309" s="349" t="s">
        <v>5947</v>
      </c>
      <c r="D309" s="317" t="s">
        <v>36</v>
      </c>
      <c r="E309" s="319" t="s">
        <v>189</v>
      </c>
      <c r="F309" s="323" t="s">
        <v>5851</v>
      </c>
      <c r="G309" s="351">
        <v>172.93</v>
      </c>
      <c r="H309" s="348">
        <v>10.0</v>
      </c>
      <c r="I309" s="348">
        <v>50.0</v>
      </c>
      <c r="J309" s="348">
        <v>0.0</v>
      </c>
      <c r="K309" s="348">
        <v>0.0</v>
      </c>
      <c r="L309" s="348">
        <v>1.0</v>
      </c>
      <c r="M309" s="352" t="s">
        <v>1156</v>
      </c>
      <c r="N309" s="348" t="s">
        <v>39</v>
      </c>
      <c r="O309" s="348">
        <v>50.0</v>
      </c>
      <c r="P309" s="319" t="s">
        <v>29</v>
      </c>
      <c r="Q309" s="319" t="s">
        <v>39</v>
      </c>
    </row>
    <row r="310" ht="14.25" customHeight="1">
      <c r="A310" s="211"/>
      <c r="B310" s="317" t="s">
        <v>5995</v>
      </c>
      <c r="C310" s="317" t="s">
        <v>5996</v>
      </c>
      <c r="D310" s="317" t="s">
        <v>36</v>
      </c>
      <c r="E310" s="319" t="s">
        <v>189</v>
      </c>
      <c r="F310" s="323" t="s">
        <v>5851</v>
      </c>
      <c r="G310" s="318">
        <v>100.0</v>
      </c>
      <c r="H310" s="319">
        <v>10.0</v>
      </c>
      <c r="I310" s="319">
        <v>50.0</v>
      </c>
      <c r="J310" s="319">
        <v>0.0</v>
      </c>
      <c r="K310" s="319">
        <v>0.0</v>
      </c>
      <c r="L310" s="319">
        <v>1.0</v>
      </c>
      <c r="M310" s="314" t="s">
        <v>1156</v>
      </c>
      <c r="N310" s="319" t="s">
        <v>39</v>
      </c>
      <c r="O310" s="319">
        <v>50.0</v>
      </c>
      <c r="P310" s="319" t="s">
        <v>29</v>
      </c>
      <c r="Q310" s="319" t="s">
        <v>39</v>
      </c>
    </row>
    <row r="311" ht="14.25" customHeight="1">
      <c r="A311" s="211"/>
      <c r="B311" s="349" t="s">
        <v>5997</v>
      </c>
      <c r="C311" s="349" t="s">
        <v>5996</v>
      </c>
      <c r="D311" s="317" t="s">
        <v>36</v>
      </c>
      <c r="E311" s="319" t="s">
        <v>189</v>
      </c>
      <c r="F311" s="323" t="s">
        <v>5851</v>
      </c>
      <c r="G311" s="351">
        <v>147.0</v>
      </c>
      <c r="H311" s="348">
        <v>10.0</v>
      </c>
      <c r="I311" s="348">
        <v>50.0</v>
      </c>
      <c r="J311" s="348">
        <v>0.0</v>
      </c>
      <c r="K311" s="348">
        <v>0.0</v>
      </c>
      <c r="L311" s="348">
        <v>1.0</v>
      </c>
      <c r="M311" s="352" t="s">
        <v>1156</v>
      </c>
      <c r="N311" s="348" t="s">
        <v>39</v>
      </c>
      <c r="O311" s="348">
        <v>50.0</v>
      </c>
      <c r="P311" s="319" t="s">
        <v>29</v>
      </c>
      <c r="Q311" s="319" t="s">
        <v>39</v>
      </c>
    </row>
    <row r="312" ht="14.25" customHeight="1">
      <c r="A312" s="211"/>
      <c r="B312" s="317" t="s">
        <v>5998</v>
      </c>
      <c r="C312" s="317" t="s">
        <v>5999</v>
      </c>
      <c r="D312" s="317" t="s">
        <v>36</v>
      </c>
      <c r="E312" s="319" t="s">
        <v>45</v>
      </c>
      <c r="F312" s="323"/>
      <c r="G312" s="318">
        <v>75.71</v>
      </c>
      <c r="H312" s="319">
        <v>10.0</v>
      </c>
      <c r="I312" s="319">
        <v>50.0</v>
      </c>
      <c r="J312" s="319">
        <v>0.0</v>
      </c>
      <c r="K312" s="319">
        <v>0.0</v>
      </c>
      <c r="L312" s="319">
        <v>1.0</v>
      </c>
      <c r="M312" s="314" t="s">
        <v>1156</v>
      </c>
      <c r="N312" s="319" t="s">
        <v>39</v>
      </c>
      <c r="O312" s="319">
        <v>50.0</v>
      </c>
      <c r="P312" s="319" t="s">
        <v>29</v>
      </c>
      <c r="Q312" s="319" t="s">
        <v>39</v>
      </c>
    </row>
    <row r="313" ht="14.25" customHeight="1">
      <c r="A313" s="211"/>
      <c r="B313" s="349" t="s">
        <v>6000</v>
      </c>
      <c r="C313" s="349" t="s">
        <v>6001</v>
      </c>
      <c r="D313" s="317" t="s">
        <v>36</v>
      </c>
      <c r="E313" s="319" t="s">
        <v>45</v>
      </c>
      <c r="F313" s="350"/>
      <c r="G313" s="351">
        <v>74.4</v>
      </c>
      <c r="H313" s="348">
        <v>10.0</v>
      </c>
      <c r="I313" s="348">
        <v>50.0</v>
      </c>
      <c r="J313" s="348">
        <v>0.0</v>
      </c>
      <c r="K313" s="348">
        <v>0.0</v>
      </c>
      <c r="L313" s="348">
        <v>1.0</v>
      </c>
      <c r="M313" s="352" t="s">
        <v>1156</v>
      </c>
      <c r="N313" s="348" t="s">
        <v>39</v>
      </c>
      <c r="O313" s="348">
        <v>50.0</v>
      </c>
      <c r="P313" s="319" t="s">
        <v>29</v>
      </c>
      <c r="Q313" s="319" t="s">
        <v>39</v>
      </c>
    </row>
    <row r="314" ht="14.25" customHeight="1">
      <c r="A314" s="211"/>
      <c r="B314" s="317" t="s">
        <v>6002</v>
      </c>
      <c r="C314" s="317" t="s">
        <v>5950</v>
      </c>
      <c r="D314" s="317" t="s">
        <v>36</v>
      </c>
      <c r="E314" s="319" t="s">
        <v>45</v>
      </c>
      <c r="F314" s="323"/>
      <c r="G314" s="318">
        <v>725.0</v>
      </c>
      <c r="H314" s="319">
        <v>10.0</v>
      </c>
      <c r="I314" s="319">
        <v>50.0</v>
      </c>
      <c r="J314" s="319">
        <v>0.0</v>
      </c>
      <c r="K314" s="319">
        <v>0.0</v>
      </c>
      <c r="L314" s="319">
        <v>1.0</v>
      </c>
      <c r="M314" s="314" t="s">
        <v>1156</v>
      </c>
      <c r="N314" s="319" t="s">
        <v>39</v>
      </c>
      <c r="O314" s="319">
        <v>50.0</v>
      </c>
      <c r="P314" s="319" t="s">
        <v>29</v>
      </c>
      <c r="Q314" s="319" t="s">
        <v>39</v>
      </c>
    </row>
    <row r="315" ht="14.25" customHeight="1">
      <c r="A315" s="211"/>
      <c r="B315" s="349" t="s">
        <v>6003</v>
      </c>
      <c r="C315" s="349" t="s">
        <v>6004</v>
      </c>
      <c r="D315" s="317" t="s">
        <v>36</v>
      </c>
      <c r="E315" s="319" t="s">
        <v>45</v>
      </c>
      <c r="F315" s="350"/>
      <c r="G315" s="351">
        <v>91.0</v>
      </c>
      <c r="H315" s="348">
        <v>10.0</v>
      </c>
      <c r="I315" s="348">
        <v>50.0</v>
      </c>
      <c r="J315" s="348">
        <v>0.0</v>
      </c>
      <c r="K315" s="348">
        <v>0.0</v>
      </c>
      <c r="L315" s="348">
        <v>1.0</v>
      </c>
      <c r="M315" s="352" t="s">
        <v>1156</v>
      </c>
      <c r="N315" s="348" t="s">
        <v>39</v>
      </c>
      <c r="O315" s="348">
        <v>50.0</v>
      </c>
      <c r="P315" s="319" t="s">
        <v>29</v>
      </c>
      <c r="Q315" s="319" t="s">
        <v>39</v>
      </c>
    </row>
    <row r="316" ht="14.25" customHeight="1">
      <c r="A316" s="211"/>
      <c r="B316" s="317" t="s">
        <v>6005</v>
      </c>
      <c r="C316" s="317" t="s">
        <v>6006</v>
      </c>
      <c r="D316" s="317" t="s">
        <v>36</v>
      </c>
      <c r="E316" s="319" t="s">
        <v>45</v>
      </c>
      <c r="F316" s="323"/>
      <c r="G316" s="318">
        <v>42.25</v>
      </c>
      <c r="H316" s="319">
        <v>10.0</v>
      </c>
      <c r="I316" s="319">
        <v>50.0</v>
      </c>
      <c r="J316" s="319">
        <v>0.0</v>
      </c>
      <c r="K316" s="319">
        <v>0.0</v>
      </c>
      <c r="L316" s="319">
        <v>1.0</v>
      </c>
      <c r="M316" s="314" t="s">
        <v>1156</v>
      </c>
      <c r="N316" s="319" t="s">
        <v>39</v>
      </c>
      <c r="O316" s="319">
        <v>50.0</v>
      </c>
      <c r="P316" s="319" t="s">
        <v>29</v>
      </c>
      <c r="Q316" s="319" t="s">
        <v>39</v>
      </c>
    </row>
    <row r="317" ht="14.25" customHeight="1">
      <c r="A317" s="211"/>
      <c r="B317" s="349" t="s">
        <v>6007</v>
      </c>
      <c r="C317" s="349" t="s">
        <v>6008</v>
      </c>
      <c r="D317" s="317" t="s">
        <v>36</v>
      </c>
      <c r="E317" s="319" t="s">
        <v>45</v>
      </c>
      <c r="F317" s="350"/>
      <c r="G317" s="351">
        <v>1156.4</v>
      </c>
      <c r="H317" s="348">
        <v>10.0</v>
      </c>
      <c r="I317" s="348">
        <v>50.0</v>
      </c>
      <c r="J317" s="348">
        <v>0.0</v>
      </c>
      <c r="K317" s="348">
        <v>0.0</v>
      </c>
      <c r="L317" s="348">
        <v>1.0</v>
      </c>
      <c r="M317" s="352" t="s">
        <v>323</v>
      </c>
      <c r="N317" s="348" t="s">
        <v>39</v>
      </c>
      <c r="O317" s="348">
        <v>50.0</v>
      </c>
      <c r="P317" s="319" t="s">
        <v>29</v>
      </c>
      <c r="Q317" s="319" t="s">
        <v>39</v>
      </c>
    </row>
    <row r="318" ht="14.25" customHeight="1">
      <c r="A318" s="211"/>
      <c r="B318" s="317" t="s">
        <v>6009</v>
      </c>
      <c r="C318" s="317" t="s">
        <v>6010</v>
      </c>
      <c r="D318" s="317" t="s">
        <v>36</v>
      </c>
      <c r="E318" s="319" t="s">
        <v>45</v>
      </c>
      <c r="F318" s="323"/>
      <c r="G318" s="318">
        <v>103.68</v>
      </c>
      <c r="H318" s="319">
        <v>10.0</v>
      </c>
      <c r="I318" s="319">
        <v>50.0</v>
      </c>
      <c r="J318" s="319">
        <v>0.0</v>
      </c>
      <c r="K318" s="319">
        <v>0.0</v>
      </c>
      <c r="L318" s="319">
        <v>1.0</v>
      </c>
      <c r="M318" s="314" t="s">
        <v>323</v>
      </c>
      <c r="N318" s="319" t="s">
        <v>39</v>
      </c>
      <c r="O318" s="319">
        <v>50.0</v>
      </c>
      <c r="P318" s="319" t="s">
        <v>29</v>
      </c>
      <c r="Q318" s="319" t="s">
        <v>39</v>
      </c>
    </row>
    <row r="319" ht="14.25" customHeight="1">
      <c r="A319" s="211"/>
      <c r="B319" s="349" t="s">
        <v>6011</v>
      </c>
      <c r="C319" s="349" t="s">
        <v>6012</v>
      </c>
      <c r="D319" s="317" t="s">
        <v>36</v>
      </c>
      <c r="E319" s="319" t="s">
        <v>45</v>
      </c>
      <c r="F319" s="350"/>
      <c r="G319" s="351">
        <v>252.83</v>
      </c>
      <c r="H319" s="348">
        <v>10.0</v>
      </c>
      <c r="I319" s="348">
        <v>50.0</v>
      </c>
      <c r="J319" s="348">
        <v>0.0</v>
      </c>
      <c r="K319" s="348">
        <v>0.0</v>
      </c>
      <c r="L319" s="348">
        <v>1.0</v>
      </c>
      <c r="M319" s="352" t="s">
        <v>1156</v>
      </c>
      <c r="N319" s="348" t="s">
        <v>39</v>
      </c>
      <c r="O319" s="348">
        <v>50.0</v>
      </c>
      <c r="P319" s="348" t="s">
        <v>29</v>
      </c>
      <c r="Q319" s="319" t="s">
        <v>39</v>
      </c>
    </row>
    <row r="320" ht="14.25" customHeight="1">
      <c r="A320" s="181"/>
      <c r="B320" s="339" t="s">
        <v>6013</v>
      </c>
      <c r="C320" s="311"/>
      <c r="D320" s="312"/>
      <c r="E320" s="312"/>
      <c r="F320" s="312"/>
      <c r="G320" s="312"/>
      <c r="H320" s="312"/>
      <c r="I320" s="312"/>
      <c r="J320" s="312"/>
      <c r="K320" s="312"/>
      <c r="L320" s="312"/>
      <c r="M320" s="313"/>
      <c r="N320" s="312"/>
      <c r="O320" s="312"/>
      <c r="P320" s="312"/>
      <c r="Q320" s="312"/>
    </row>
    <row r="321" ht="14.25" customHeight="1">
      <c r="A321" s="211">
        <v>1.0</v>
      </c>
      <c r="B321" s="356" t="s">
        <v>43</v>
      </c>
      <c r="C321" s="357" t="s">
        <v>6014</v>
      </c>
      <c r="D321" s="319" t="s">
        <v>6015</v>
      </c>
      <c r="E321" s="319" t="s">
        <v>6016</v>
      </c>
      <c r="F321" s="323"/>
      <c r="G321" s="318">
        <v>400.0</v>
      </c>
      <c r="H321" s="319">
        <v>50.0</v>
      </c>
      <c r="I321" s="319">
        <v>200.0</v>
      </c>
      <c r="J321" s="319">
        <v>1.0</v>
      </c>
      <c r="K321" s="319">
        <v>1.0</v>
      </c>
      <c r="L321" s="319">
        <v>0.0</v>
      </c>
      <c r="M321" s="314" t="s">
        <v>6017</v>
      </c>
      <c r="N321" s="319" t="s">
        <v>2645</v>
      </c>
      <c r="O321" s="319">
        <v>500.0</v>
      </c>
      <c r="P321" s="319" t="s">
        <v>66</v>
      </c>
      <c r="Q321" s="319">
        <v>20.0</v>
      </c>
    </row>
    <row r="322" ht="14.25" customHeight="1">
      <c r="A322" s="211">
        <v>2.0</v>
      </c>
      <c r="B322" s="358" t="s">
        <v>6018</v>
      </c>
      <c r="C322" s="358" t="s">
        <v>6014</v>
      </c>
      <c r="D322" s="319" t="s">
        <v>6015</v>
      </c>
      <c r="E322" s="319" t="s">
        <v>6016</v>
      </c>
      <c r="F322" s="350"/>
      <c r="G322" s="351">
        <v>200.0</v>
      </c>
      <c r="H322" s="348">
        <v>200.0</v>
      </c>
      <c r="I322" s="348">
        <v>500.0</v>
      </c>
      <c r="J322" s="348">
        <v>1.0</v>
      </c>
      <c r="K322" s="348">
        <v>1.0</v>
      </c>
      <c r="L322" s="348">
        <v>0.0</v>
      </c>
      <c r="M322" s="352" t="s">
        <v>6017</v>
      </c>
      <c r="N322" s="348" t="s">
        <v>2645</v>
      </c>
      <c r="O322" s="348">
        <v>500.0</v>
      </c>
      <c r="P322" s="348" t="s">
        <v>29</v>
      </c>
      <c r="Q322" s="348">
        <v>0.0</v>
      </c>
    </row>
    <row r="323" ht="14.25" customHeight="1">
      <c r="A323" s="211">
        <v>3.0</v>
      </c>
      <c r="B323" s="357" t="s">
        <v>933</v>
      </c>
      <c r="C323" s="357" t="s">
        <v>6019</v>
      </c>
      <c r="D323" s="319" t="s">
        <v>6015</v>
      </c>
      <c r="E323" s="319" t="s">
        <v>6020</v>
      </c>
      <c r="F323" s="323"/>
      <c r="G323" s="318">
        <v>200.0</v>
      </c>
      <c r="H323" s="319">
        <v>50.0</v>
      </c>
      <c r="I323" s="319">
        <v>100.0</v>
      </c>
      <c r="J323" s="319">
        <v>1.0</v>
      </c>
      <c r="K323" s="319">
        <v>1.0</v>
      </c>
      <c r="L323" s="319">
        <v>0.0</v>
      </c>
      <c r="M323" s="314" t="s">
        <v>6017</v>
      </c>
      <c r="N323" s="319" t="s">
        <v>2645</v>
      </c>
      <c r="O323" s="319">
        <v>100.0</v>
      </c>
      <c r="P323" s="319" t="s">
        <v>29</v>
      </c>
      <c r="Q323" s="319">
        <v>0.0</v>
      </c>
    </row>
    <row r="324" ht="14.25" customHeight="1">
      <c r="A324" s="211">
        <v>4.0</v>
      </c>
      <c r="B324" s="358" t="s">
        <v>6021</v>
      </c>
      <c r="C324" s="358" t="s">
        <v>6022</v>
      </c>
      <c r="D324" s="319" t="s">
        <v>6015</v>
      </c>
      <c r="E324" s="319" t="s">
        <v>6020</v>
      </c>
      <c r="F324" s="350"/>
      <c r="G324" s="351">
        <v>200.0</v>
      </c>
      <c r="H324" s="348">
        <v>100.0</v>
      </c>
      <c r="I324" s="348">
        <v>400.0</v>
      </c>
      <c r="J324" s="348">
        <v>1.0</v>
      </c>
      <c r="K324" s="348">
        <v>1.0</v>
      </c>
      <c r="L324" s="348">
        <v>0.0</v>
      </c>
      <c r="M324" s="352" t="s">
        <v>6017</v>
      </c>
      <c r="N324" s="348" t="s">
        <v>2645</v>
      </c>
      <c r="O324" s="348">
        <v>100.0</v>
      </c>
      <c r="P324" s="348" t="s">
        <v>29</v>
      </c>
      <c r="Q324" s="348">
        <v>0.0</v>
      </c>
    </row>
    <row r="325" ht="14.25" customHeight="1">
      <c r="A325" s="211">
        <v>5.0</v>
      </c>
      <c r="B325" s="357" t="s">
        <v>6023</v>
      </c>
      <c r="C325" s="357" t="s">
        <v>6024</v>
      </c>
      <c r="D325" s="319" t="s">
        <v>6015</v>
      </c>
      <c r="E325" s="319" t="s">
        <v>6020</v>
      </c>
      <c r="F325" s="323"/>
      <c r="G325" s="318">
        <v>200.0</v>
      </c>
      <c r="H325" s="319">
        <v>200.0</v>
      </c>
      <c r="I325" s="319">
        <v>400.0</v>
      </c>
      <c r="J325" s="319">
        <v>1.0</v>
      </c>
      <c r="K325" s="319">
        <v>1.0</v>
      </c>
      <c r="L325" s="319">
        <v>0.0</v>
      </c>
      <c r="M325" s="314" t="s">
        <v>6017</v>
      </c>
      <c r="N325" s="319" t="s">
        <v>2645</v>
      </c>
      <c r="O325" s="319">
        <v>100.0</v>
      </c>
      <c r="P325" s="319" t="s">
        <v>29</v>
      </c>
      <c r="Q325" s="319">
        <v>0.0</v>
      </c>
    </row>
    <row r="326" ht="14.25" customHeight="1">
      <c r="A326" s="211">
        <v>6.0</v>
      </c>
      <c r="B326" s="215" t="s">
        <v>1515</v>
      </c>
      <c r="C326" s="215" t="s">
        <v>6024</v>
      </c>
      <c r="D326" s="319" t="s">
        <v>6015</v>
      </c>
      <c r="E326" s="319" t="s">
        <v>6020</v>
      </c>
      <c r="F326" s="335"/>
      <c r="G326" s="336">
        <v>200.0</v>
      </c>
      <c r="H326" s="216">
        <v>50.0</v>
      </c>
      <c r="I326" s="216">
        <v>100.0</v>
      </c>
      <c r="J326" s="216">
        <v>1.0</v>
      </c>
      <c r="K326" s="216">
        <v>1.0</v>
      </c>
      <c r="L326" s="216">
        <v>0.0</v>
      </c>
      <c r="M326" s="133" t="s">
        <v>6017</v>
      </c>
      <c r="N326" s="216" t="s">
        <v>2645</v>
      </c>
      <c r="O326" s="216">
        <v>100.0</v>
      </c>
      <c r="P326" s="216" t="s">
        <v>29</v>
      </c>
      <c r="Q326" s="216">
        <v>0.0</v>
      </c>
    </row>
    <row r="327" ht="14.25" customHeight="1">
      <c r="A327" s="211">
        <v>7.0</v>
      </c>
      <c r="B327" s="215" t="s">
        <v>6025</v>
      </c>
      <c r="C327" s="215" t="s">
        <v>6026</v>
      </c>
      <c r="D327" s="319" t="s">
        <v>6015</v>
      </c>
      <c r="E327" s="319" t="s">
        <v>6020</v>
      </c>
      <c r="F327" s="335"/>
      <c r="G327" s="336">
        <v>300.0</v>
      </c>
      <c r="H327" s="216">
        <v>50.0</v>
      </c>
      <c r="I327" s="216">
        <v>500.0</v>
      </c>
      <c r="J327" s="216">
        <v>1.0</v>
      </c>
      <c r="K327" s="216">
        <v>1.0</v>
      </c>
      <c r="L327" s="216">
        <v>0.0</v>
      </c>
      <c r="M327" s="133" t="s">
        <v>6017</v>
      </c>
      <c r="N327" s="216" t="s">
        <v>2645</v>
      </c>
      <c r="O327" s="216">
        <v>100.0</v>
      </c>
      <c r="P327" s="216" t="s">
        <v>29</v>
      </c>
      <c r="Q327" s="216">
        <v>0.0</v>
      </c>
    </row>
    <row r="328" ht="14.25" customHeight="1">
      <c r="A328" s="211">
        <v>8.0</v>
      </c>
      <c r="B328" s="215" t="s">
        <v>6027</v>
      </c>
      <c r="C328" s="359" t="s">
        <v>6028</v>
      </c>
      <c r="D328" s="319" t="s">
        <v>6015</v>
      </c>
      <c r="E328" s="319" t="s">
        <v>6020</v>
      </c>
      <c r="F328" s="360"/>
      <c r="G328" s="336">
        <v>200.0</v>
      </c>
      <c r="H328" s="216">
        <v>50.0</v>
      </c>
      <c r="I328" s="216">
        <v>100.0</v>
      </c>
      <c r="J328" s="216">
        <v>1.0</v>
      </c>
      <c r="K328" s="216">
        <v>1.0</v>
      </c>
      <c r="L328" s="216">
        <v>0.0</v>
      </c>
      <c r="M328" s="133" t="s">
        <v>427</v>
      </c>
      <c r="N328" s="216" t="s">
        <v>2645</v>
      </c>
      <c r="O328" s="216">
        <v>100.0</v>
      </c>
      <c r="P328" s="216" t="s">
        <v>29</v>
      </c>
      <c r="Q328" s="216">
        <v>0.0</v>
      </c>
    </row>
    <row r="329" ht="14.25" customHeight="1">
      <c r="A329" s="211">
        <v>9.0</v>
      </c>
      <c r="B329" s="361" t="s">
        <v>6029</v>
      </c>
      <c r="C329" s="362" t="s">
        <v>6030</v>
      </c>
      <c r="D329" s="319" t="s">
        <v>6015</v>
      </c>
      <c r="E329" s="319" t="s">
        <v>6020</v>
      </c>
      <c r="F329" s="363"/>
      <c r="G329" s="336">
        <v>200.0</v>
      </c>
      <c r="H329" s="216">
        <v>50.0</v>
      </c>
      <c r="I329" s="216">
        <v>100.0</v>
      </c>
      <c r="J329" s="216">
        <v>1.0</v>
      </c>
      <c r="K329" s="216">
        <v>1.0</v>
      </c>
      <c r="L329" s="216">
        <v>0.0</v>
      </c>
      <c r="M329" s="133" t="s">
        <v>427</v>
      </c>
      <c r="N329" s="216" t="s">
        <v>2645</v>
      </c>
      <c r="O329" s="216">
        <v>100.0</v>
      </c>
      <c r="P329" s="216" t="s">
        <v>29</v>
      </c>
      <c r="Q329" s="216">
        <v>0.0</v>
      </c>
    </row>
    <row r="330" ht="14.25" customHeight="1">
      <c r="A330" s="211">
        <v>10.0</v>
      </c>
      <c r="B330" s="361" t="s">
        <v>6031</v>
      </c>
      <c r="C330" s="362" t="s">
        <v>6032</v>
      </c>
      <c r="D330" s="319" t="s">
        <v>6015</v>
      </c>
      <c r="E330" s="319" t="s">
        <v>6020</v>
      </c>
      <c r="F330" s="363"/>
      <c r="G330" s="336">
        <v>250.0</v>
      </c>
      <c r="H330" s="216">
        <v>50.0</v>
      </c>
      <c r="I330" s="216">
        <v>100.0</v>
      </c>
      <c r="J330" s="216">
        <v>1.0</v>
      </c>
      <c r="K330" s="216">
        <v>1.0</v>
      </c>
      <c r="L330" s="216">
        <v>0.0</v>
      </c>
      <c r="M330" s="133" t="s">
        <v>427</v>
      </c>
      <c r="N330" s="216" t="s">
        <v>2645</v>
      </c>
      <c r="O330" s="216">
        <v>100.0</v>
      </c>
      <c r="P330" s="216" t="s">
        <v>29</v>
      </c>
      <c r="Q330" s="216">
        <v>0.0</v>
      </c>
    </row>
    <row r="331" ht="14.25" customHeight="1">
      <c r="A331" s="211">
        <v>11.0</v>
      </c>
      <c r="B331" s="215" t="s">
        <v>6033</v>
      </c>
      <c r="C331" s="359" t="s">
        <v>6034</v>
      </c>
      <c r="D331" s="319" t="s">
        <v>6015</v>
      </c>
      <c r="E331" s="319" t="s">
        <v>6020</v>
      </c>
      <c r="F331" s="360"/>
      <c r="G331" s="336">
        <v>300.0</v>
      </c>
      <c r="H331" s="216">
        <v>50.0</v>
      </c>
      <c r="I331" s="216">
        <v>500.0</v>
      </c>
      <c r="J331" s="216">
        <v>1.0</v>
      </c>
      <c r="K331" s="216">
        <v>1.0</v>
      </c>
      <c r="L331" s="216">
        <v>0.0</v>
      </c>
      <c r="M331" s="133" t="s">
        <v>427</v>
      </c>
      <c r="N331" s="216" t="s">
        <v>2645</v>
      </c>
      <c r="O331" s="216">
        <v>100.0</v>
      </c>
      <c r="P331" s="216" t="s">
        <v>29</v>
      </c>
      <c r="Q331" s="216">
        <v>0.0</v>
      </c>
    </row>
    <row r="332" ht="14.25" customHeight="1">
      <c r="A332" s="211">
        <v>12.0</v>
      </c>
      <c r="B332" s="361" t="s">
        <v>6035</v>
      </c>
      <c r="C332" s="362" t="s">
        <v>6036</v>
      </c>
      <c r="D332" s="319" t="s">
        <v>6015</v>
      </c>
      <c r="E332" s="364" t="s">
        <v>6020</v>
      </c>
      <c r="F332" s="363"/>
      <c r="G332" s="336">
        <v>300.0</v>
      </c>
      <c r="H332" s="216">
        <v>50.0</v>
      </c>
      <c r="I332" s="365">
        <v>100.0</v>
      </c>
      <c r="J332" s="216">
        <v>1.0</v>
      </c>
      <c r="K332" s="216">
        <v>1.0</v>
      </c>
      <c r="L332" s="216">
        <v>0.0</v>
      </c>
      <c r="M332" s="133" t="s">
        <v>427</v>
      </c>
      <c r="N332" s="216" t="s">
        <v>2645</v>
      </c>
      <c r="O332" s="216">
        <v>100.0</v>
      </c>
      <c r="P332" s="216" t="s">
        <v>29</v>
      </c>
      <c r="Q332" s="216">
        <v>0.0</v>
      </c>
    </row>
    <row r="333" ht="14.25" customHeight="1">
      <c r="A333" s="211">
        <v>13.0</v>
      </c>
      <c r="B333" s="361" t="s">
        <v>6037</v>
      </c>
      <c r="C333" s="362" t="s">
        <v>6038</v>
      </c>
      <c r="D333" s="319" t="s">
        <v>6015</v>
      </c>
      <c r="E333" s="348" t="s">
        <v>45</v>
      </c>
      <c r="F333" s="363"/>
      <c r="G333" s="336">
        <v>250.0</v>
      </c>
      <c r="H333" s="216">
        <v>50.0</v>
      </c>
      <c r="I333" s="365">
        <v>100.0</v>
      </c>
      <c r="J333" s="216">
        <v>1.0</v>
      </c>
      <c r="K333" s="216">
        <v>1.0</v>
      </c>
      <c r="L333" s="216">
        <v>0.0</v>
      </c>
      <c r="M333" s="133" t="s">
        <v>427</v>
      </c>
      <c r="N333" s="216" t="s">
        <v>2645</v>
      </c>
      <c r="O333" s="216">
        <v>100.0</v>
      </c>
      <c r="P333" s="216" t="s">
        <v>29</v>
      </c>
      <c r="Q333" s="216">
        <v>0.0</v>
      </c>
    </row>
    <row r="334" ht="14.25" customHeight="1">
      <c r="A334" s="211">
        <v>14.0</v>
      </c>
      <c r="B334" s="361" t="s">
        <v>6039</v>
      </c>
      <c r="C334" s="362" t="s">
        <v>6040</v>
      </c>
      <c r="D334" s="319" t="s">
        <v>6015</v>
      </c>
      <c r="E334" s="348" t="s">
        <v>45</v>
      </c>
      <c r="F334" s="363"/>
      <c r="G334" s="336">
        <v>200.0</v>
      </c>
      <c r="H334" s="216">
        <v>50.0</v>
      </c>
      <c r="I334" s="365">
        <v>50.0</v>
      </c>
      <c r="J334" s="216">
        <v>1.0</v>
      </c>
      <c r="K334" s="216">
        <v>1.0</v>
      </c>
      <c r="L334" s="216">
        <v>0.0</v>
      </c>
      <c r="M334" s="133" t="s">
        <v>427</v>
      </c>
      <c r="N334" s="216" t="s">
        <v>2645</v>
      </c>
      <c r="O334" s="216">
        <v>100.0</v>
      </c>
      <c r="P334" s="216" t="s">
        <v>29</v>
      </c>
      <c r="Q334" s="216">
        <v>0.0</v>
      </c>
    </row>
    <row r="335" ht="14.25" customHeight="1">
      <c r="A335" s="211">
        <v>15.0</v>
      </c>
      <c r="B335" s="361" t="s">
        <v>6041</v>
      </c>
      <c r="C335" s="362" t="s">
        <v>6042</v>
      </c>
      <c r="D335" s="319" t="s">
        <v>6015</v>
      </c>
      <c r="E335" s="364" t="s">
        <v>6020</v>
      </c>
      <c r="F335" s="363"/>
      <c r="G335" s="336">
        <v>200.0</v>
      </c>
      <c r="H335" s="216">
        <v>50.0</v>
      </c>
      <c r="I335" s="365">
        <v>1000.0</v>
      </c>
      <c r="J335" s="216">
        <v>1.0</v>
      </c>
      <c r="K335" s="216">
        <v>1.0</v>
      </c>
      <c r="L335" s="216">
        <v>0.0</v>
      </c>
      <c r="M335" s="133" t="s">
        <v>427</v>
      </c>
      <c r="N335" s="216" t="s">
        <v>2645</v>
      </c>
      <c r="O335" s="216">
        <v>100.0</v>
      </c>
      <c r="P335" s="216" t="s">
        <v>29</v>
      </c>
      <c r="Q335" s="216">
        <v>0.0</v>
      </c>
    </row>
    <row r="336" ht="14.25" customHeight="1">
      <c r="A336" s="211">
        <v>16.0</v>
      </c>
      <c r="B336" s="361" t="s">
        <v>6043</v>
      </c>
      <c r="C336" s="362" t="s">
        <v>6044</v>
      </c>
      <c r="D336" s="319" t="s">
        <v>6015</v>
      </c>
      <c r="E336" s="348" t="s">
        <v>45</v>
      </c>
      <c r="F336" s="363"/>
      <c r="G336" s="336">
        <v>250.0</v>
      </c>
      <c r="H336" s="216">
        <v>50.0</v>
      </c>
      <c r="I336" s="365">
        <v>50.0</v>
      </c>
      <c r="J336" s="216">
        <v>1.0</v>
      </c>
      <c r="K336" s="216">
        <v>1.0</v>
      </c>
      <c r="L336" s="216">
        <v>0.0</v>
      </c>
      <c r="M336" s="133" t="s">
        <v>427</v>
      </c>
      <c r="N336" s="216" t="s">
        <v>2645</v>
      </c>
      <c r="O336" s="216">
        <v>100.0</v>
      </c>
      <c r="P336" s="216" t="s">
        <v>29</v>
      </c>
      <c r="Q336" s="216">
        <v>0.0</v>
      </c>
    </row>
    <row r="337" ht="14.25" customHeight="1">
      <c r="A337" s="211">
        <v>17.0</v>
      </c>
      <c r="B337" s="361" t="s">
        <v>6045</v>
      </c>
      <c r="C337" s="362" t="s">
        <v>6046</v>
      </c>
      <c r="D337" s="319" t="s">
        <v>6015</v>
      </c>
      <c r="E337" s="348" t="s">
        <v>57</v>
      </c>
      <c r="F337" s="363"/>
      <c r="G337" s="336">
        <v>300.0</v>
      </c>
      <c r="H337" s="216">
        <v>50.0</v>
      </c>
      <c r="I337" s="365">
        <v>100.0</v>
      </c>
      <c r="J337" s="216">
        <v>1.0</v>
      </c>
      <c r="K337" s="216">
        <v>1.0</v>
      </c>
      <c r="L337" s="216">
        <v>0.0</v>
      </c>
      <c r="M337" s="133" t="s">
        <v>427</v>
      </c>
      <c r="N337" s="216" t="s">
        <v>2645</v>
      </c>
      <c r="O337" s="216">
        <v>100.0</v>
      </c>
      <c r="P337" s="216" t="s">
        <v>29</v>
      </c>
      <c r="Q337" s="216">
        <v>0.0</v>
      </c>
    </row>
    <row r="338" ht="14.25" customHeight="1">
      <c r="A338" s="211">
        <v>18.0</v>
      </c>
      <c r="B338" s="361" t="s">
        <v>6047</v>
      </c>
      <c r="C338" s="362" t="s">
        <v>6048</v>
      </c>
      <c r="D338" s="319" t="s">
        <v>6015</v>
      </c>
      <c r="E338" s="348" t="s">
        <v>57</v>
      </c>
      <c r="F338" s="363"/>
      <c r="G338" s="336">
        <v>300.0</v>
      </c>
      <c r="H338" s="216">
        <v>50.0</v>
      </c>
      <c r="I338" s="365">
        <v>500.0</v>
      </c>
      <c r="J338" s="216">
        <v>1.0</v>
      </c>
      <c r="K338" s="216">
        <v>1.0</v>
      </c>
      <c r="L338" s="216">
        <v>0.0</v>
      </c>
      <c r="M338" s="133" t="s">
        <v>427</v>
      </c>
      <c r="N338" s="216" t="s">
        <v>2645</v>
      </c>
      <c r="O338" s="216">
        <v>100.0</v>
      </c>
      <c r="P338" s="216" t="s">
        <v>29</v>
      </c>
      <c r="Q338" s="216">
        <v>0.0</v>
      </c>
    </row>
    <row r="339" ht="14.25" customHeight="1">
      <c r="A339" s="211">
        <v>19.0</v>
      </c>
      <c r="B339" s="361" t="s">
        <v>6049</v>
      </c>
      <c r="C339" s="362" t="s">
        <v>6050</v>
      </c>
      <c r="D339" s="319" t="s">
        <v>6015</v>
      </c>
      <c r="E339" s="348" t="s">
        <v>57</v>
      </c>
      <c r="F339" s="363"/>
      <c r="G339" s="336">
        <v>200.0</v>
      </c>
      <c r="H339" s="216">
        <v>50.0</v>
      </c>
      <c r="I339" s="365">
        <v>500.0</v>
      </c>
      <c r="J339" s="216">
        <v>1.0</v>
      </c>
      <c r="K339" s="216">
        <v>1.0</v>
      </c>
      <c r="L339" s="216">
        <v>0.0</v>
      </c>
      <c r="M339" s="133" t="s">
        <v>427</v>
      </c>
      <c r="N339" s="216" t="s">
        <v>2645</v>
      </c>
      <c r="O339" s="216">
        <v>100.0</v>
      </c>
      <c r="P339" s="216" t="s">
        <v>29</v>
      </c>
      <c r="Q339" s="216">
        <v>0.0</v>
      </c>
    </row>
    <row r="340" ht="14.25" customHeight="1">
      <c r="A340" s="211">
        <v>20.0</v>
      </c>
      <c r="B340" s="361" t="s">
        <v>6051</v>
      </c>
      <c r="C340" s="362" t="s">
        <v>6052</v>
      </c>
      <c r="D340" s="319" t="s">
        <v>6015</v>
      </c>
      <c r="E340" s="348" t="s">
        <v>57</v>
      </c>
      <c r="F340" s="363"/>
      <c r="G340" s="336">
        <v>200.0</v>
      </c>
      <c r="H340" s="216">
        <v>50.0</v>
      </c>
      <c r="I340" s="365">
        <v>300.0</v>
      </c>
      <c r="J340" s="216">
        <v>1.0</v>
      </c>
      <c r="K340" s="216">
        <v>1.0</v>
      </c>
      <c r="L340" s="216">
        <v>0.0</v>
      </c>
      <c r="M340" s="133" t="s">
        <v>427</v>
      </c>
      <c r="N340" s="216" t="s">
        <v>2645</v>
      </c>
      <c r="O340" s="216">
        <v>100.0</v>
      </c>
      <c r="P340" s="216" t="s">
        <v>29</v>
      </c>
      <c r="Q340" s="216">
        <v>0.0</v>
      </c>
    </row>
    <row r="341" ht="14.25" customHeight="1">
      <c r="A341" s="211">
        <v>21.0</v>
      </c>
      <c r="B341" s="361" t="s">
        <v>6053</v>
      </c>
      <c r="C341" s="362" t="s">
        <v>6054</v>
      </c>
      <c r="D341" s="319" t="s">
        <v>6015</v>
      </c>
      <c r="E341" s="348" t="s">
        <v>57</v>
      </c>
      <c r="F341" s="363"/>
      <c r="G341" s="336">
        <v>300.0</v>
      </c>
      <c r="H341" s="216">
        <v>50.0</v>
      </c>
      <c r="I341" s="365">
        <v>500.0</v>
      </c>
      <c r="J341" s="216">
        <v>1.0</v>
      </c>
      <c r="K341" s="216">
        <v>1.0</v>
      </c>
      <c r="L341" s="216">
        <v>0.0</v>
      </c>
      <c r="M341" s="133" t="s">
        <v>427</v>
      </c>
      <c r="N341" s="216" t="s">
        <v>2645</v>
      </c>
      <c r="O341" s="216">
        <v>100.0</v>
      </c>
      <c r="P341" s="216" t="s">
        <v>29</v>
      </c>
      <c r="Q341" s="216">
        <v>0.0</v>
      </c>
    </row>
    <row r="342" ht="14.25" customHeight="1">
      <c r="A342" s="211">
        <v>22.0</v>
      </c>
      <c r="B342" s="361" t="s">
        <v>6055</v>
      </c>
      <c r="C342" s="362" t="s">
        <v>6056</v>
      </c>
      <c r="D342" s="319" t="s">
        <v>6015</v>
      </c>
      <c r="E342" s="348" t="s">
        <v>57</v>
      </c>
      <c r="F342" s="363"/>
      <c r="G342" s="336">
        <v>200.0</v>
      </c>
      <c r="H342" s="216">
        <v>50.0</v>
      </c>
      <c r="I342" s="365">
        <v>50.0</v>
      </c>
      <c r="J342" s="216">
        <v>1.0</v>
      </c>
      <c r="K342" s="216">
        <v>1.0</v>
      </c>
      <c r="L342" s="216">
        <v>0.0</v>
      </c>
      <c r="M342" s="133" t="s">
        <v>427</v>
      </c>
      <c r="N342" s="216" t="s">
        <v>2645</v>
      </c>
      <c r="O342" s="216">
        <v>100.0</v>
      </c>
      <c r="P342" s="216" t="s">
        <v>29</v>
      </c>
      <c r="Q342" s="216">
        <v>0.0</v>
      </c>
    </row>
    <row r="343" ht="14.25" customHeight="1">
      <c r="A343" s="211">
        <v>23.0</v>
      </c>
      <c r="B343" s="361" t="s">
        <v>6057</v>
      </c>
      <c r="C343" s="362" t="s">
        <v>6058</v>
      </c>
      <c r="D343" s="319" t="s">
        <v>6015</v>
      </c>
      <c r="E343" s="348" t="s">
        <v>57</v>
      </c>
      <c r="F343" s="363"/>
      <c r="G343" s="336">
        <v>300.0</v>
      </c>
      <c r="H343" s="216">
        <v>50.0</v>
      </c>
      <c r="I343" s="365">
        <v>300.0</v>
      </c>
      <c r="J343" s="216">
        <v>1.0</v>
      </c>
      <c r="K343" s="216">
        <v>1.0</v>
      </c>
      <c r="L343" s="216">
        <v>0.0</v>
      </c>
      <c r="M343" s="133" t="s">
        <v>427</v>
      </c>
      <c r="N343" s="216" t="s">
        <v>2645</v>
      </c>
      <c r="O343" s="216">
        <v>100.0</v>
      </c>
      <c r="P343" s="216" t="s">
        <v>29</v>
      </c>
      <c r="Q343" s="216">
        <v>0.0</v>
      </c>
    </row>
    <row r="344" ht="14.25" customHeight="1">
      <c r="A344" s="211">
        <v>24.0</v>
      </c>
      <c r="B344" s="361" t="s">
        <v>6059</v>
      </c>
      <c r="C344" s="362" t="s">
        <v>6060</v>
      </c>
      <c r="D344" s="319" t="s">
        <v>6015</v>
      </c>
      <c r="E344" s="348" t="s">
        <v>57</v>
      </c>
      <c r="F344" s="363"/>
      <c r="G344" s="336">
        <v>300.0</v>
      </c>
      <c r="H344" s="216">
        <v>50.0</v>
      </c>
      <c r="I344" s="365">
        <v>100.0</v>
      </c>
      <c r="J344" s="216">
        <v>1.0</v>
      </c>
      <c r="K344" s="216">
        <v>1.0</v>
      </c>
      <c r="L344" s="216">
        <v>0.0</v>
      </c>
      <c r="M344" s="133" t="s">
        <v>427</v>
      </c>
      <c r="N344" s="216" t="s">
        <v>2645</v>
      </c>
      <c r="O344" s="216">
        <v>100.0</v>
      </c>
      <c r="P344" s="216" t="s">
        <v>29</v>
      </c>
      <c r="Q344" s="216">
        <v>0.0</v>
      </c>
    </row>
    <row r="345" ht="14.25" customHeight="1">
      <c r="A345" s="211">
        <v>25.0</v>
      </c>
      <c r="B345" s="361" t="s">
        <v>6061</v>
      </c>
      <c r="C345" s="362" t="s">
        <v>6014</v>
      </c>
      <c r="D345" s="319" t="s">
        <v>6015</v>
      </c>
      <c r="E345" s="348" t="s">
        <v>57</v>
      </c>
      <c r="F345" s="363"/>
      <c r="G345" s="336">
        <v>200.0</v>
      </c>
      <c r="H345" s="216">
        <v>50.0</v>
      </c>
      <c r="I345" s="365">
        <v>100.0</v>
      </c>
      <c r="J345" s="216">
        <v>1.0</v>
      </c>
      <c r="K345" s="216">
        <v>1.0</v>
      </c>
      <c r="L345" s="216">
        <v>0.0</v>
      </c>
      <c r="M345" s="133" t="s">
        <v>427</v>
      </c>
      <c r="N345" s="216" t="s">
        <v>2645</v>
      </c>
      <c r="O345" s="216">
        <v>100.0</v>
      </c>
      <c r="P345" s="216" t="s">
        <v>29</v>
      </c>
      <c r="Q345" s="216">
        <v>0.0</v>
      </c>
    </row>
    <row r="346" ht="14.25" customHeight="1">
      <c r="A346" s="211">
        <v>26.0</v>
      </c>
      <c r="B346" s="361" t="s">
        <v>6062</v>
      </c>
      <c r="C346" s="362" t="s">
        <v>6014</v>
      </c>
      <c r="D346" s="319" t="s">
        <v>6015</v>
      </c>
      <c r="E346" s="348" t="s">
        <v>57</v>
      </c>
      <c r="F346" s="363"/>
      <c r="G346" s="336">
        <v>200.0</v>
      </c>
      <c r="H346" s="216">
        <v>50.0</v>
      </c>
      <c r="I346" s="365">
        <v>100.0</v>
      </c>
      <c r="J346" s="216">
        <v>1.0</v>
      </c>
      <c r="K346" s="216">
        <v>1.0</v>
      </c>
      <c r="L346" s="216">
        <v>0.0</v>
      </c>
      <c r="M346" s="133" t="s">
        <v>427</v>
      </c>
      <c r="N346" s="216" t="s">
        <v>2645</v>
      </c>
      <c r="O346" s="216">
        <v>100.0</v>
      </c>
      <c r="P346" s="216" t="s">
        <v>29</v>
      </c>
      <c r="Q346" s="216">
        <v>0.0</v>
      </c>
    </row>
    <row r="347" ht="14.25" customHeight="1">
      <c r="A347" s="211">
        <v>27.0</v>
      </c>
      <c r="B347" s="361" t="s">
        <v>6063</v>
      </c>
      <c r="C347" s="362" t="s">
        <v>6064</v>
      </c>
      <c r="D347" s="319" t="s">
        <v>6015</v>
      </c>
      <c r="E347" s="348" t="s">
        <v>57</v>
      </c>
      <c r="F347" s="363"/>
      <c r="G347" s="336">
        <v>300.0</v>
      </c>
      <c r="H347" s="216">
        <v>50.0</v>
      </c>
      <c r="I347" s="365">
        <v>50.0</v>
      </c>
      <c r="J347" s="216">
        <v>1.0</v>
      </c>
      <c r="K347" s="216">
        <v>1.0</v>
      </c>
      <c r="L347" s="216">
        <v>0.0</v>
      </c>
      <c r="M347" s="133" t="s">
        <v>427</v>
      </c>
      <c r="N347" s="216" t="s">
        <v>2645</v>
      </c>
      <c r="O347" s="216">
        <v>100.0</v>
      </c>
      <c r="P347" s="216" t="s">
        <v>29</v>
      </c>
      <c r="Q347" s="216">
        <v>0.0</v>
      </c>
    </row>
    <row r="348" ht="14.25" customHeight="1">
      <c r="A348" s="211">
        <v>28.0</v>
      </c>
      <c r="B348" s="215" t="s">
        <v>6018</v>
      </c>
      <c r="C348" s="359" t="s">
        <v>6065</v>
      </c>
      <c r="D348" s="319" t="s">
        <v>6015</v>
      </c>
      <c r="E348" s="364" t="s">
        <v>6020</v>
      </c>
      <c r="F348" s="360"/>
      <c r="G348" s="336">
        <v>200.0</v>
      </c>
      <c r="H348" s="216">
        <v>50.0</v>
      </c>
      <c r="I348" s="216">
        <v>2000.0</v>
      </c>
      <c r="J348" s="216">
        <v>1.0</v>
      </c>
      <c r="K348" s="216">
        <v>1.0</v>
      </c>
      <c r="L348" s="216">
        <v>0.0</v>
      </c>
      <c r="M348" s="133" t="s">
        <v>427</v>
      </c>
      <c r="N348" s="216" t="s">
        <v>2645</v>
      </c>
      <c r="O348" s="216">
        <v>100.0</v>
      </c>
      <c r="P348" s="216" t="s">
        <v>29</v>
      </c>
      <c r="Q348" s="216">
        <v>0.0</v>
      </c>
    </row>
    <row r="349" ht="14.25" customHeight="1">
      <c r="A349" s="211">
        <v>29.0</v>
      </c>
      <c r="B349" s="361" t="s">
        <v>6066</v>
      </c>
      <c r="C349" s="362" t="s">
        <v>1516</v>
      </c>
      <c r="D349" s="319" t="s">
        <v>6015</v>
      </c>
      <c r="E349" s="348" t="s">
        <v>57</v>
      </c>
      <c r="F349" s="363"/>
      <c r="G349" s="336">
        <v>200.0</v>
      </c>
      <c r="H349" s="216">
        <v>50.0</v>
      </c>
      <c r="I349" s="365">
        <v>2000.0</v>
      </c>
      <c r="J349" s="216">
        <v>1.0</v>
      </c>
      <c r="K349" s="216">
        <v>1.0</v>
      </c>
      <c r="L349" s="216">
        <v>0.0</v>
      </c>
      <c r="M349" s="133" t="s">
        <v>427</v>
      </c>
      <c r="N349" s="216" t="s">
        <v>2645</v>
      </c>
      <c r="O349" s="216">
        <v>100.0</v>
      </c>
      <c r="P349" s="216" t="s">
        <v>29</v>
      </c>
      <c r="Q349" s="216">
        <v>0.0</v>
      </c>
    </row>
    <row r="350" ht="14.25" customHeight="1">
      <c r="A350" s="211">
        <v>30.0</v>
      </c>
      <c r="B350" s="361" t="s">
        <v>6067</v>
      </c>
      <c r="C350" s="362" t="s">
        <v>2230</v>
      </c>
      <c r="D350" s="319" t="s">
        <v>6015</v>
      </c>
      <c r="E350" s="348" t="s">
        <v>57</v>
      </c>
      <c r="F350" s="363"/>
      <c r="G350" s="336">
        <v>250.0</v>
      </c>
      <c r="H350" s="216">
        <v>50.0</v>
      </c>
      <c r="I350" s="365">
        <v>1000.0</v>
      </c>
      <c r="J350" s="216">
        <v>1.0</v>
      </c>
      <c r="K350" s="216">
        <v>1.0</v>
      </c>
      <c r="L350" s="216">
        <v>0.0</v>
      </c>
      <c r="M350" s="133" t="s">
        <v>427</v>
      </c>
      <c r="N350" s="216" t="s">
        <v>2645</v>
      </c>
      <c r="O350" s="216">
        <v>100.0</v>
      </c>
      <c r="P350" s="216" t="s">
        <v>29</v>
      </c>
      <c r="Q350" s="216">
        <v>0.0</v>
      </c>
    </row>
    <row r="351" ht="14.25" customHeight="1">
      <c r="A351" s="211">
        <v>31.0</v>
      </c>
      <c r="B351" s="361" t="s">
        <v>6068</v>
      </c>
      <c r="C351" s="362" t="s">
        <v>6069</v>
      </c>
      <c r="D351" s="319" t="s">
        <v>6015</v>
      </c>
      <c r="E351" s="348" t="s">
        <v>57</v>
      </c>
      <c r="F351" s="363"/>
      <c r="G351" s="336">
        <v>300.0</v>
      </c>
      <c r="H351" s="216">
        <v>50.0</v>
      </c>
      <c r="I351" s="365">
        <v>700.0</v>
      </c>
      <c r="J351" s="216">
        <v>1.0</v>
      </c>
      <c r="K351" s="216">
        <v>1.0</v>
      </c>
      <c r="L351" s="216">
        <v>0.0</v>
      </c>
      <c r="M351" s="133" t="s">
        <v>427</v>
      </c>
      <c r="N351" s="216" t="s">
        <v>2645</v>
      </c>
      <c r="O351" s="216">
        <v>100.0</v>
      </c>
      <c r="P351" s="216" t="s">
        <v>29</v>
      </c>
      <c r="Q351" s="216">
        <v>0.0</v>
      </c>
    </row>
    <row r="352" ht="14.25" customHeight="1">
      <c r="A352" s="211">
        <v>32.0</v>
      </c>
      <c r="B352" s="361" t="s">
        <v>6070</v>
      </c>
      <c r="C352" s="362" t="s">
        <v>6071</v>
      </c>
      <c r="D352" s="319" t="s">
        <v>6015</v>
      </c>
      <c r="E352" s="348" t="s">
        <v>57</v>
      </c>
      <c r="F352" s="363"/>
      <c r="G352" s="336">
        <v>250.0</v>
      </c>
      <c r="H352" s="216">
        <v>50.0</v>
      </c>
      <c r="I352" s="365">
        <v>500.0</v>
      </c>
      <c r="J352" s="216">
        <v>1.0</v>
      </c>
      <c r="K352" s="216">
        <v>1.0</v>
      </c>
      <c r="L352" s="216">
        <v>0.0</v>
      </c>
      <c r="M352" s="133" t="s">
        <v>427</v>
      </c>
      <c r="N352" s="216" t="s">
        <v>2645</v>
      </c>
      <c r="O352" s="216">
        <v>100.0</v>
      </c>
      <c r="P352" s="216" t="s">
        <v>29</v>
      </c>
      <c r="Q352" s="216">
        <v>0.0</v>
      </c>
    </row>
    <row r="353" ht="14.25" customHeight="1">
      <c r="A353" s="211">
        <v>33.0</v>
      </c>
      <c r="B353" s="361" t="s">
        <v>6072</v>
      </c>
      <c r="C353" s="362" t="s">
        <v>6073</v>
      </c>
      <c r="D353" s="319" t="s">
        <v>6015</v>
      </c>
      <c r="E353" s="348" t="s">
        <v>57</v>
      </c>
      <c r="F353" s="363"/>
      <c r="G353" s="336">
        <v>300.0</v>
      </c>
      <c r="H353" s="216">
        <v>50.0</v>
      </c>
      <c r="I353" s="365">
        <v>300.0</v>
      </c>
      <c r="J353" s="216">
        <v>1.0</v>
      </c>
      <c r="K353" s="216">
        <v>1.0</v>
      </c>
      <c r="L353" s="216">
        <v>0.0</v>
      </c>
      <c r="M353" s="133" t="s">
        <v>427</v>
      </c>
      <c r="N353" s="216" t="s">
        <v>2645</v>
      </c>
      <c r="O353" s="216">
        <v>100.0</v>
      </c>
      <c r="P353" s="216" t="s">
        <v>29</v>
      </c>
      <c r="Q353" s="216">
        <v>0.0</v>
      </c>
    </row>
    <row r="354" ht="14.25" customHeight="1">
      <c r="A354" s="211">
        <v>34.0</v>
      </c>
      <c r="B354" s="361" t="s">
        <v>6074</v>
      </c>
      <c r="C354" s="362" t="s">
        <v>6075</v>
      </c>
      <c r="D354" s="319" t="s">
        <v>6015</v>
      </c>
      <c r="E354" s="348" t="s">
        <v>57</v>
      </c>
      <c r="F354" s="363"/>
      <c r="G354" s="336">
        <v>250.0</v>
      </c>
      <c r="H354" s="216">
        <v>50.0</v>
      </c>
      <c r="I354" s="365">
        <v>500.0</v>
      </c>
      <c r="J354" s="216">
        <v>1.0</v>
      </c>
      <c r="K354" s="216">
        <v>1.0</v>
      </c>
      <c r="L354" s="216">
        <v>0.0</v>
      </c>
      <c r="M354" s="133" t="s">
        <v>427</v>
      </c>
      <c r="N354" s="216" t="s">
        <v>2645</v>
      </c>
      <c r="O354" s="216">
        <v>100.0</v>
      </c>
      <c r="P354" s="216" t="s">
        <v>29</v>
      </c>
      <c r="Q354" s="216">
        <v>0.0</v>
      </c>
    </row>
    <row r="355" ht="14.25" customHeight="1">
      <c r="A355" s="211">
        <v>35.0</v>
      </c>
      <c r="B355" s="361" t="s">
        <v>6076</v>
      </c>
      <c r="C355" s="362" t="s">
        <v>6075</v>
      </c>
      <c r="D355" s="319" t="s">
        <v>6015</v>
      </c>
      <c r="E355" s="364" t="s">
        <v>6020</v>
      </c>
      <c r="F355" s="363"/>
      <c r="G355" s="336">
        <v>300.0</v>
      </c>
      <c r="H355" s="216">
        <v>50.0</v>
      </c>
      <c r="I355" s="365">
        <v>200.0</v>
      </c>
      <c r="J355" s="216">
        <v>1.0</v>
      </c>
      <c r="K355" s="216">
        <v>1.0</v>
      </c>
      <c r="L355" s="216">
        <v>0.0</v>
      </c>
      <c r="M355" s="133" t="s">
        <v>427</v>
      </c>
      <c r="N355" s="216" t="s">
        <v>2645</v>
      </c>
      <c r="O355" s="216">
        <v>100.0</v>
      </c>
      <c r="P355" s="216" t="s">
        <v>29</v>
      </c>
      <c r="Q355" s="216">
        <v>0.0</v>
      </c>
    </row>
    <row r="356" ht="14.25" customHeight="1">
      <c r="A356" s="211">
        <v>36.0</v>
      </c>
      <c r="B356" s="361" t="s">
        <v>6077</v>
      </c>
      <c r="C356" s="362" t="s">
        <v>6078</v>
      </c>
      <c r="D356" s="319" t="s">
        <v>6015</v>
      </c>
      <c r="E356" s="348" t="s">
        <v>57</v>
      </c>
      <c r="F356" s="363"/>
      <c r="G356" s="336">
        <v>300.0</v>
      </c>
      <c r="H356" s="216">
        <v>50.0</v>
      </c>
      <c r="I356" s="365">
        <v>500.0</v>
      </c>
      <c r="J356" s="216">
        <v>1.0</v>
      </c>
      <c r="K356" s="216">
        <v>1.0</v>
      </c>
      <c r="L356" s="216">
        <v>0.0</v>
      </c>
      <c r="M356" s="133" t="s">
        <v>427</v>
      </c>
      <c r="N356" s="216" t="s">
        <v>2645</v>
      </c>
      <c r="O356" s="216">
        <v>100.0</v>
      </c>
      <c r="P356" s="216" t="s">
        <v>29</v>
      </c>
      <c r="Q356" s="216">
        <v>0.0</v>
      </c>
    </row>
    <row r="357" ht="14.25" customHeight="1">
      <c r="A357" s="211">
        <v>37.0</v>
      </c>
      <c r="B357" s="361" t="s">
        <v>6079</v>
      </c>
      <c r="C357" s="362" t="s">
        <v>6080</v>
      </c>
      <c r="D357" s="319" t="s">
        <v>6015</v>
      </c>
      <c r="E357" s="348" t="s">
        <v>57</v>
      </c>
      <c r="F357" s="363"/>
      <c r="G357" s="336">
        <v>250.0</v>
      </c>
      <c r="H357" s="216">
        <v>50.0</v>
      </c>
      <c r="I357" s="365">
        <v>300.0</v>
      </c>
      <c r="J357" s="216">
        <v>1.0</v>
      </c>
      <c r="K357" s="216">
        <v>1.0</v>
      </c>
      <c r="L357" s="216">
        <v>0.0</v>
      </c>
      <c r="M357" s="133" t="s">
        <v>427</v>
      </c>
      <c r="N357" s="216" t="s">
        <v>2645</v>
      </c>
      <c r="O357" s="216">
        <v>100.0</v>
      </c>
      <c r="P357" s="216" t="s">
        <v>29</v>
      </c>
      <c r="Q357" s="216">
        <v>0.0</v>
      </c>
    </row>
    <row r="358" ht="14.25" customHeight="1">
      <c r="A358" s="211">
        <v>38.0</v>
      </c>
      <c r="B358" s="361" t="s">
        <v>6081</v>
      </c>
      <c r="C358" s="362" t="s">
        <v>6082</v>
      </c>
      <c r="D358" s="319" t="s">
        <v>6015</v>
      </c>
      <c r="E358" s="348" t="s">
        <v>57</v>
      </c>
      <c r="F358" s="363"/>
      <c r="G358" s="336">
        <v>300.0</v>
      </c>
      <c r="H358" s="216">
        <v>50.0</v>
      </c>
      <c r="I358" s="365">
        <v>500.0</v>
      </c>
      <c r="J358" s="216">
        <v>1.0</v>
      </c>
      <c r="K358" s="216">
        <v>1.0</v>
      </c>
      <c r="L358" s="216">
        <v>0.0</v>
      </c>
      <c r="M358" s="133" t="s">
        <v>427</v>
      </c>
      <c r="N358" s="216" t="s">
        <v>2645</v>
      </c>
      <c r="O358" s="216">
        <v>100.0</v>
      </c>
      <c r="P358" s="216" t="s">
        <v>29</v>
      </c>
      <c r="Q358" s="216">
        <v>0.0</v>
      </c>
    </row>
    <row r="359" ht="14.25" customHeight="1">
      <c r="A359" s="211">
        <v>39.0</v>
      </c>
      <c r="B359" s="361" t="s">
        <v>6083</v>
      </c>
      <c r="C359" s="362" t="s">
        <v>6084</v>
      </c>
      <c r="D359" s="319" t="s">
        <v>6015</v>
      </c>
      <c r="E359" s="348" t="s">
        <v>57</v>
      </c>
      <c r="F359" s="363"/>
      <c r="G359" s="336">
        <v>200.0</v>
      </c>
      <c r="H359" s="216">
        <v>50.0</v>
      </c>
      <c r="I359" s="365">
        <v>1000.0</v>
      </c>
      <c r="J359" s="216">
        <v>1.0</v>
      </c>
      <c r="K359" s="216">
        <v>1.0</v>
      </c>
      <c r="L359" s="216">
        <v>0.0</v>
      </c>
      <c r="M359" s="133" t="s">
        <v>427</v>
      </c>
      <c r="N359" s="216" t="s">
        <v>2645</v>
      </c>
      <c r="O359" s="216">
        <v>100.0</v>
      </c>
      <c r="P359" s="216" t="s">
        <v>29</v>
      </c>
      <c r="Q359" s="216">
        <v>0.0</v>
      </c>
    </row>
    <row r="360" ht="14.25" customHeight="1">
      <c r="A360" s="211">
        <v>40.0</v>
      </c>
      <c r="B360" s="361" t="s">
        <v>6085</v>
      </c>
      <c r="C360" s="362" t="s">
        <v>6086</v>
      </c>
      <c r="D360" s="319" t="s">
        <v>6015</v>
      </c>
      <c r="E360" s="348" t="s">
        <v>57</v>
      </c>
      <c r="F360" s="363"/>
      <c r="G360" s="336">
        <v>250.0</v>
      </c>
      <c r="H360" s="216">
        <v>50.0</v>
      </c>
      <c r="I360" s="365">
        <v>1000.0</v>
      </c>
      <c r="J360" s="216">
        <v>1.0</v>
      </c>
      <c r="K360" s="216">
        <v>1.0</v>
      </c>
      <c r="L360" s="216">
        <v>0.0</v>
      </c>
      <c r="M360" s="133" t="s">
        <v>427</v>
      </c>
      <c r="N360" s="216" t="s">
        <v>2645</v>
      </c>
      <c r="O360" s="216">
        <v>100.0</v>
      </c>
      <c r="P360" s="216" t="s">
        <v>29</v>
      </c>
      <c r="Q360" s="216">
        <v>0.0</v>
      </c>
    </row>
    <row r="361" ht="14.25" customHeight="1">
      <c r="A361" s="211">
        <v>41.0</v>
      </c>
      <c r="B361" s="361" t="s">
        <v>6087</v>
      </c>
      <c r="C361" s="362" t="s">
        <v>6086</v>
      </c>
      <c r="D361" s="319" t="s">
        <v>6015</v>
      </c>
      <c r="E361" s="364" t="s">
        <v>6020</v>
      </c>
      <c r="F361" s="363"/>
      <c r="G361" s="336">
        <v>200.0</v>
      </c>
      <c r="H361" s="216">
        <v>50.0</v>
      </c>
      <c r="I361" s="365">
        <v>1000.0</v>
      </c>
      <c r="J361" s="216">
        <v>1.0</v>
      </c>
      <c r="K361" s="216">
        <v>1.0</v>
      </c>
      <c r="L361" s="216">
        <v>0.0</v>
      </c>
      <c r="M361" s="133" t="s">
        <v>427</v>
      </c>
      <c r="N361" s="216" t="s">
        <v>2645</v>
      </c>
      <c r="O361" s="216">
        <v>100.0</v>
      </c>
      <c r="P361" s="216" t="s">
        <v>29</v>
      </c>
      <c r="Q361" s="216">
        <v>0.0</v>
      </c>
    </row>
    <row r="362" ht="14.25" customHeight="1">
      <c r="A362" s="211">
        <v>42.0</v>
      </c>
      <c r="B362" s="361" t="s">
        <v>6088</v>
      </c>
      <c r="C362" s="362" t="s">
        <v>6089</v>
      </c>
      <c r="D362" s="319" t="s">
        <v>6015</v>
      </c>
      <c r="E362" s="364" t="s">
        <v>6020</v>
      </c>
      <c r="F362" s="363"/>
      <c r="G362" s="336">
        <v>300.0</v>
      </c>
      <c r="H362" s="216">
        <v>50.0</v>
      </c>
      <c r="I362" s="365">
        <v>1000.0</v>
      </c>
      <c r="J362" s="216">
        <v>1.0</v>
      </c>
      <c r="K362" s="216">
        <v>1.0</v>
      </c>
      <c r="L362" s="216">
        <v>0.0</v>
      </c>
      <c r="M362" s="133" t="s">
        <v>427</v>
      </c>
      <c r="N362" s="216" t="s">
        <v>2645</v>
      </c>
      <c r="O362" s="216">
        <v>100.0</v>
      </c>
      <c r="P362" s="216" t="s">
        <v>29</v>
      </c>
      <c r="Q362" s="216">
        <v>0.0</v>
      </c>
    </row>
    <row r="363" ht="14.25" customHeight="1">
      <c r="A363" s="211">
        <v>43.0</v>
      </c>
      <c r="B363" s="361" t="s">
        <v>6090</v>
      </c>
      <c r="C363" s="362" t="s">
        <v>6089</v>
      </c>
      <c r="D363" s="319" t="s">
        <v>6015</v>
      </c>
      <c r="E363" s="364" t="s">
        <v>6020</v>
      </c>
      <c r="F363" s="363"/>
      <c r="G363" s="336">
        <v>300.0</v>
      </c>
      <c r="H363" s="216">
        <v>50.0</v>
      </c>
      <c r="I363" s="365">
        <v>500.0</v>
      </c>
      <c r="J363" s="216">
        <v>1.0</v>
      </c>
      <c r="K363" s="216">
        <v>1.0</v>
      </c>
      <c r="L363" s="216">
        <v>0.0</v>
      </c>
      <c r="M363" s="133" t="s">
        <v>427</v>
      </c>
      <c r="N363" s="216" t="s">
        <v>2645</v>
      </c>
      <c r="O363" s="216">
        <v>100.0</v>
      </c>
      <c r="P363" s="216" t="s">
        <v>29</v>
      </c>
      <c r="Q363" s="216">
        <v>0.0</v>
      </c>
    </row>
    <row r="364" ht="14.25" customHeight="1">
      <c r="A364" s="211">
        <v>44.0</v>
      </c>
      <c r="B364" s="361" t="s">
        <v>6091</v>
      </c>
      <c r="C364" s="362" t="s">
        <v>6092</v>
      </c>
      <c r="D364" s="319" t="s">
        <v>6015</v>
      </c>
      <c r="E364" s="348" t="s">
        <v>57</v>
      </c>
      <c r="F364" s="363"/>
      <c r="G364" s="336">
        <v>200.0</v>
      </c>
      <c r="H364" s="216">
        <v>50.0</v>
      </c>
      <c r="I364" s="365">
        <v>100.0</v>
      </c>
      <c r="J364" s="216">
        <v>1.0</v>
      </c>
      <c r="K364" s="216">
        <v>1.0</v>
      </c>
      <c r="L364" s="216">
        <v>0.0</v>
      </c>
      <c r="M364" s="133" t="s">
        <v>427</v>
      </c>
      <c r="N364" s="216" t="s">
        <v>2645</v>
      </c>
      <c r="O364" s="216">
        <v>100.0</v>
      </c>
      <c r="P364" s="216" t="s">
        <v>29</v>
      </c>
      <c r="Q364" s="216">
        <v>0.0</v>
      </c>
    </row>
    <row r="365" ht="14.25" customHeight="1">
      <c r="A365" s="211">
        <v>45.0</v>
      </c>
      <c r="B365" s="361" t="s">
        <v>6093</v>
      </c>
      <c r="C365" s="362" t="s">
        <v>6094</v>
      </c>
      <c r="D365" s="319" t="s">
        <v>6015</v>
      </c>
      <c r="E365" s="348" t="s">
        <v>57</v>
      </c>
      <c r="F365" s="363"/>
      <c r="G365" s="336">
        <v>300.0</v>
      </c>
      <c r="H365" s="216">
        <v>50.0</v>
      </c>
      <c r="I365" s="365">
        <v>200.0</v>
      </c>
      <c r="J365" s="216">
        <v>1.0</v>
      </c>
      <c r="K365" s="216">
        <v>1.0</v>
      </c>
      <c r="L365" s="216">
        <v>0.0</v>
      </c>
      <c r="M365" s="133" t="s">
        <v>427</v>
      </c>
      <c r="N365" s="216" t="s">
        <v>2645</v>
      </c>
      <c r="O365" s="216">
        <v>100.0</v>
      </c>
      <c r="P365" s="216" t="s">
        <v>29</v>
      </c>
      <c r="Q365" s="216">
        <v>0.0</v>
      </c>
    </row>
    <row r="366" ht="14.25" customHeight="1">
      <c r="A366" s="211">
        <v>46.0</v>
      </c>
      <c r="B366" s="361" t="s">
        <v>6095</v>
      </c>
      <c r="C366" s="362" t="s">
        <v>6096</v>
      </c>
      <c r="D366" s="319" t="s">
        <v>6015</v>
      </c>
      <c r="E366" s="364" t="s">
        <v>6020</v>
      </c>
      <c r="F366" s="363"/>
      <c r="G366" s="336">
        <v>300.0</v>
      </c>
      <c r="H366" s="216">
        <v>50.0</v>
      </c>
      <c r="I366" s="365">
        <v>200.0</v>
      </c>
      <c r="J366" s="216">
        <v>1.0</v>
      </c>
      <c r="K366" s="216">
        <v>1.0</v>
      </c>
      <c r="L366" s="216">
        <v>0.0</v>
      </c>
      <c r="M366" s="133" t="s">
        <v>427</v>
      </c>
      <c r="N366" s="216" t="s">
        <v>2645</v>
      </c>
      <c r="O366" s="216">
        <v>100.0</v>
      </c>
      <c r="P366" s="216" t="s">
        <v>29</v>
      </c>
      <c r="Q366" s="216">
        <v>0.0</v>
      </c>
    </row>
    <row r="367" ht="14.25" customHeight="1">
      <c r="A367" s="211">
        <v>47.0</v>
      </c>
      <c r="B367" s="361" t="s">
        <v>6097</v>
      </c>
      <c r="C367" s="362" t="s">
        <v>6098</v>
      </c>
      <c r="D367" s="319" t="s">
        <v>6015</v>
      </c>
      <c r="E367" s="364" t="s">
        <v>6020</v>
      </c>
      <c r="F367" s="363"/>
      <c r="G367" s="336">
        <v>300.0</v>
      </c>
      <c r="H367" s="216">
        <v>50.0</v>
      </c>
      <c r="I367" s="365">
        <v>500.0</v>
      </c>
      <c r="J367" s="216">
        <v>1.0</v>
      </c>
      <c r="K367" s="216">
        <v>1.0</v>
      </c>
      <c r="L367" s="216">
        <v>0.0</v>
      </c>
      <c r="M367" s="133" t="s">
        <v>427</v>
      </c>
      <c r="N367" s="216" t="s">
        <v>2645</v>
      </c>
      <c r="O367" s="216">
        <v>100.0</v>
      </c>
      <c r="P367" s="216" t="s">
        <v>29</v>
      </c>
      <c r="Q367" s="216">
        <v>0.0</v>
      </c>
    </row>
    <row r="368" ht="14.25" customHeight="1">
      <c r="A368" s="181"/>
      <c r="B368" s="339" t="s">
        <v>1254</v>
      </c>
      <c r="C368" s="311"/>
      <c r="D368" s="312"/>
      <c r="E368" s="312"/>
      <c r="F368" s="312"/>
      <c r="G368" s="312"/>
      <c r="H368" s="312"/>
      <c r="I368" s="312"/>
      <c r="J368" s="312"/>
      <c r="K368" s="312"/>
      <c r="L368" s="312"/>
      <c r="M368" s="313"/>
      <c r="N368" s="312"/>
      <c r="O368" s="312"/>
      <c r="P368" s="312"/>
      <c r="Q368" s="312"/>
    </row>
    <row r="369" ht="14.25" customHeight="1">
      <c r="A369" s="211">
        <v>1.0</v>
      </c>
      <c r="B369" s="366" t="s">
        <v>6099</v>
      </c>
      <c r="C369" s="322" t="s">
        <v>6100</v>
      </c>
      <c r="D369" s="319" t="s">
        <v>6015</v>
      </c>
      <c r="E369" s="348" t="s">
        <v>57</v>
      </c>
      <c r="F369" s="367"/>
      <c r="G369" s="318">
        <v>400.0</v>
      </c>
      <c r="H369" s="319">
        <v>25.0</v>
      </c>
      <c r="I369" s="319">
        <v>100.0</v>
      </c>
      <c r="J369" s="319">
        <v>2.0</v>
      </c>
      <c r="K369" s="319">
        <v>2.0</v>
      </c>
      <c r="L369" s="319" t="s">
        <v>39</v>
      </c>
      <c r="M369" s="314" t="s">
        <v>449</v>
      </c>
      <c r="N369" s="368" t="s">
        <v>2645</v>
      </c>
      <c r="O369" s="319">
        <v>500.0</v>
      </c>
      <c r="P369" s="319" t="s">
        <v>29</v>
      </c>
      <c r="Q369" s="319" t="s">
        <v>39</v>
      </c>
    </row>
    <row r="370" ht="14.25" customHeight="1">
      <c r="A370" s="181"/>
      <c r="B370" s="339" t="s">
        <v>6101</v>
      </c>
      <c r="C370" s="311"/>
      <c r="D370" s="312"/>
      <c r="E370" s="312"/>
      <c r="F370" s="312"/>
      <c r="G370" s="312"/>
      <c r="H370" s="312"/>
      <c r="I370" s="312"/>
      <c r="J370" s="312"/>
      <c r="K370" s="312"/>
      <c r="L370" s="312"/>
      <c r="M370" s="313"/>
      <c r="N370" s="312"/>
      <c r="O370" s="312"/>
      <c r="P370" s="312"/>
      <c r="Q370" s="312"/>
    </row>
    <row r="371" ht="14.25" customHeight="1">
      <c r="A371" s="211">
        <v>1.0</v>
      </c>
      <c r="B371" s="317" t="s">
        <v>6102</v>
      </c>
      <c r="C371" s="317" t="s">
        <v>6103</v>
      </c>
      <c r="D371" s="319" t="s">
        <v>6015</v>
      </c>
      <c r="E371" s="319" t="s">
        <v>57</v>
      </c>
      <c r="F371" s="323"/>
      <c r="G371" s="318">
        <v>2000.0</v>
      </c>
      <c r="H371" s="319">
        <v>70.0</v>
      </c>
      <c r="I371" s="319">
        <v>500.0</v>
      </c>
      <c r="J371" s="319">
        <v>1.0</v>
      </c>
      <c r="K371" s="319">
        <v>1.0</v>
      </c>
      <c r="L371" s="319">
        <v>1.0</v>
      </c>
      <c r="M371" s="314" t="s">
        <v>27</v>
      </c>
      <c r="N371" s="319" t="s">
        <v>2645</v>
      </c>
      <c r="O371" s="319">
        <v>100.0</v>
      </c>
      <c r="P371" s="319" t="s">
        <v>29</v>
      </c>
      <c r="Q371" s="319">
        <v>0.0</v>
      </c>
    </row>
    <row r="372" ht="14.25" customHeight="1">
      <c r="A372" s="211">
        <v>2.0</v>
      </c>
      <c r="B372" s="340" t="s">
        <v>2286</v>
      </c>
      <c r="C372" s="317" t="s">
        <v>6104</v>
      </c>
      <c r="D372" s="319" t="s">
        <v>6015</v>
      </c>
      <c r="E372" s="319" t="s">
        <v>57</v>
      </c>
      <c r="F372" s="323"/>
      <c r="G372" s="318">
        <v>450.0</v>
      </c>
      <c r="H372" s="319">
        <v>5.0</v>
      </c>
      <c r="I372" s="319">
        <v>20.0</v>
      </c>
      <c r="J372" s="319">
        <v>1.0</v>
      </c>
      <c r="K372" s="319">
        <v>1.0</v>
      </c>
      <c r="L372" s="319">
        <v>1.0</v>
      </c>
      <c r="M372" s="314" t="s">
        <v>27</v>
      </c>
      <c r="N372" s="319" t="s">
        <v>143</v>
      </c>
      <c r="O372" s="319">
        <v>10.0</v>
      </c>
      <c r="P372" s="319" t="s">
        <v>29</v>
      </c>
      <c r="Q372" s="319">
        <v>0.0</v>
      </c>
    </row>
    <row r="373" ht="14.25" customHeight="1">
      <c r="A373" s="211">
        <v>3.0</v>
      </c>
      <c r="B373" s="349" t="s">
        <v>2285</v>
      </c>
      <c r="C373" s="349" t="s">
        <v>6103</v>
      </c>
      <c r="D373" s="319" t="s">
        <v>6015</v>
      </c>
      <c r="E373" s="319" t="s">
        <v>57</v>
      </c>
      <c r="F373" s="350"/>
      <c r="G373" s="351">
        <v>450.0</v>
      </c>
      <c r="H373" s="348">
        <v>5.0</v>
      </c>
      <c r="I373" s="348">
        <v>20.0</v>
      </c>
      <c r="J373" s="348">
        <v>1.0</v>
      </c>
      <c r="K373" s="348">
        <v>1.0</v>
      </c>
      <c r="L373" s="348">
        <v>1.0</v>
      </c>
      <c r="M373" s="352" t="s">
        <v>27</v>
      </c>
      <c r="N373" s="348" t="s">
        <v>143</v>
      </c>
      <c r="O373" s="348">
        <v>10.0</v>
      </c>
      <c r="P373" s="319" t="s">
        <v>29</v>
      </c>
      <c r="Q373" s="348">
        <v>0.0</v>
      </c>
    </row>
    <row r="374" ht="14.25" customHeight="1">
      <c r="A374" s="211">
        <v>4.0</v>
      </c>
      <c r="B374" s="317" t="s">
        <v>6105</v>
      </c>
      <c r="C374" s="317" t="s">
        <v>6106</v>
      </c>
      <c r="D374" s="319" t="s">
        <v>6015</v>
      </c>
      <c r="E374" s="319" t="s">
        <v>6107</v>
      </c>
      <c r="F374" s="323"/>
      <c r="G374" s="318">
        <v>450.0</v>
      </c>
      <c r="H374" s="319">
        <v>5.0</v>
      </c>
      <c r="I374" s="319">
        <v>20.0</v>
      </c>
      <c r="J374" s="319">
        <v>1.0</v>
      </c>
      <c r="K374" s="319">
        <v>1.0</v>
      </c>
      <c r="L374" s="319">
        <v>1.0</v>
      </c>
      <c r="M374" s="314" t="s">
        <v>27</v>
      </c>
      <c r="N374" s="319" t="s">
        <v>6108</v>
      </c>
      <c r="O374" s="319">
        <v>10.0</v>
      </c>
      <c r="P374" s="319" t="s">
        <v>29</v>
      </c>
      <c r="Q374" s="319">
        <v>0.0</v>
      </c>
    </row>
    <row r="375" ht="14.25" customHeight="1">
      <c r="A375" s="211">
        <v>5.0</v>
      </c>
      <c r="B375" s="349" t="s">
        <v>6109</v>
      </c>
      <c r="C375" s="349" t="s">
        <v>6110</v>
      </c>
      <c r="D375" s="319" t="s">
        <v>6015</v>
      </c>
      <c r="E375" s="319" t="s">
        <v>6107</v>
      </c>
      <c r="F375" s="350"/>
      <c r="G375" s="351">
        <v>450.0</v>
      </c>
      <c r="H375" s="348">
        <v>5.0</v>
      </c>
      <c r="I375" s="348">
        <v>20.0</v>
      </c>
      <c r="J375" s="348">
        <v>1.0</v>
      </c>
      <c r="K375" s="348">
        <v>1.0</v>
      </c>
      <c r="L375" s="348">
        <v>1.0</v>
      </c>
      <c r="M375" s="352" t="s">
        <v>27</v>
      </c>
      <c r="N375" s="348" t="s">
        <v>6108</v>
      </c>
      <c r="O375" s="348">
        <v>10.0</v>
      </c>
      <c r="P375" s="319" t="s">
        <v>29</v>
      </c>
      <c r="Q375" s="348">
        <v>0.0</v>
      </c>
    </row>
    <row r="376" ht="14.25" customHeight="1">
      <c r="A376" s="211">
        <v>6.0</v>
      </c>
      <c r="B376" s="317" t="s">
        <v>6111</v>
      </c>
      <c r="C376" s="317" t="s">
        <v>6112</v>
      </c>
      <c r="D376" s="319" t="s">
        <v>6015</v>
      </c>
      <c r="E376" s="319" t="s">
        <v>57</v>
      </c>
      <c r="F376" s="323"/>
      <c r="G376" s="318">
        <v>1000.0</v>
      </c>
      <c r="H376" s="319">
        <v>10.0</v>
      </c>
      <c r="I376" s="319">
        <v>50.0</v>
      </c>
      <c r="J376" s="319">
        <v>1.0</v>
      </c>
      <c r="K376" s="319">
        <v>1.0</v>
      </c>
      <c r="L376" s="319">
        <v>1.0</v>
      </c>
      <c r="M376" s="314" t="s">
        <v>27</v>
      </c>
      <c r="N376" s="319" t="s">
        <v>143</v>
      </c>
      <c r="O376" s="319">
        <v>20.0</v>
      </c>
      <c r="P376" s="319" t="s">
        <v>29</v>
      </c>
      <c r="Q376" s="319">
        <v>0.0</v>
      </c>
    </row>
    <row r="377" ht="14.25" customHeight="1">
      <c r="A377" s="211">
        <v>7.0</v>
      </c>
      <c r="B377" s="349" t="s">
        <v>6113</v>
      </c>
      <c r="C377" s="349" t="s">
        <v>6114</v>
      </c>
      <c r="D377" s="319" t="s">
        <v>6015</v>
      </c>
      <c r="E377" s="348" t="s">
        <v>6115</v>
      </c>
      <c r="F377" s="350"/>
      <c r="G377" s="351">
        <v>1000.0</v>
      </c>
      <c r="H377" s="348">
        <v>10.0</v>
      </c>
      <c r="I377" s="348">
        <v>50.0</v>
      </c>
      <c r="J377" s="348">
        <v>1.0</v>
      </c>
      <c r="K377" s="348">
        <v>1.0</v>
      </c>
      <c r="L377" s="348">
        <v>1.0</v>
      </c>
      <c r="M377" s="352" t="s">
        <v>27</v>
      </c>
      <c r="N377" s="348" t="s">
        <v>143</v>
      </c>
      <c r="O377" s="348">
        <v>20.0</v>
      </c>
      <c r="P377" s="319" t="s">
        <v>29</v>
      </c>
      <c r="Q377" s="348">
        <v>0.0</v>
      </c>
    </row>
    <row r="378" ht="14.25" customHeight="1">
      <c r="A378" s="211">
        <v>8.0</v>
      </c>
      <c r="B378" s="317" t="s">
        <v>6116</v>
      </c>
      <c r="C378" s="317" t="s">
        <v>6117</v>
      </c>
      <c r="D378" s="319" t="s">
        <v>6015</v>
      </c>
      <c r="E378" s="319" t="s">
        <v>837</v>
      </c>
      <c r="F378" s="323"/>
      <c r="G378" s="318">
        <v>1000.0</v>
      </c>
      <c r="H378" s="319">
        <v>10.0</v>
      </c>
      <c r="I378" s="319">
        <v>50.0</v>
      </c>
      <c r="J378" s="319">
        <v>1.0</v>
      </c>
      <c r="K378" s="319">
        <v>1.0</v>
      </c>
      <c r="L378" s="319">
        <v>1.0</v>
      </c>
      <c r="M378" s="314" t="s">
        <v>27</v>
      </c>
      <c r="N378" s="319" t="s">
        <v>143</v>
      </c>
      <c r="O378" s="319">
        <v>20.0</v>
      </c>
      <c r="P378" s="319" t="s">
        <v>29</v>
      </c>
      <c r="Q378" s="319">
        <v>0.0</v>
      </c>
    </row>
    <row r="379" ht="14.25" customHeight="1">
      <c r="A379" s="211">
        <v>9.0</v>
      </c>
      <c r="B379" s="349" t="s">
        <v>6118</v>
      </c>
      <c r="C379" s="349" t="s">
        <v>6119</v>
      </c>
      <c r="D379" s="319" t="s">
        <v>6015</v>
      </c>
      <c r="E379" s="348" t="s">
        <v>6107</v>
      </c>
      <c r="F379" s="350"/>
      <c r="G379" s="351">
        <v>1000.0</v>
      </c>
      <c r="H379" s="348">
        <v>10.0</v>
      </c>
      <c r="I379" s="348">
        <v>50.0</v>
      </c>
      <c r="J379" s="348">
        <v>1.0</v>
      </c>
      <c r="K379" s="348">
        <v>1.0</v>
      </c>
      <c r="L379" s="348">
        <v>1.0</v>
      </c>
      <c r="M379" s="352" t="s">
        <v>27</v>
      </c>
      <c r="N379" s="348" t="s">
        <v>6108</v>
      </c>
      <c r="O379" s="348">
        <v>20.0</v>
      </c>
      <c r="P379" s="319" t="s">
        <v>29</v>
      </c>
      <c r="Q379" s="348">
        <v>0.0</v>
      </c>
    </row>
    <row r="380" ht="14.25" customHeight="1">
      <c r="A380" s="211">
        <v>10.0</v>
      </c>
      <c r="B380" s="317" t="s">
        <v>6120</v>
      </c>
      <c r="C380" s="317" t="s">
        <v>6121</v>
      </c>
      <c r="D380" s="319" t="s">
        <v>6015</v>
      </c>
      <c r="E380" s="319" t="s">
        <v>57</v>
      </c>
      <c r="F380" s="323"/>
      <c r="G380" s="318">
        <v>1000.0</v>
      </c>
      <c r="H380" s="319">
        <v>10.0</v>
      </c>
      <c r="I380" s="319">
        <v>50.0</v>
      </c>
      <c r="J380" s="319">
        <v>1.0</v>
      </c>
      <c r="K380" s="319">
        <v>1.0</v>
      </c>
      <c r="L380" s="319">
        <v>1.0</v>
      </c>
      <c r="M380" s="314" t="s">
        <v>27</v>
      </c>
      <c r="N380" s="319" t="s">
        <v>143</v>
      </c>
      <c r="O380" s="319">
        <v>20.0</v>
      </c>
      <c r="P380" s="319" t="s">
        <v>29</v>
      </c>
      <c r="Q380" s="319">
        <v>0.0</v>
      </c>
    </row>
    <row r="381" ht="14.25" customHeight="1">
      <c r="A381" s="211">
        <v>11.0</v>
      </c>
      <c r="B381" s="349" t="s">
        <v>6122</v>
      </c>
      <c r="C381" s="349" t="s">
        <v>6123</v>
      </c>
      <c r="D381" s="319" t="s">
        <v>6015</v>
      </c>
      <c r="E381" s="348" t="s">
        <v>6115</v>
      </c>
      <c r="F381" s="350"/>
      <c r="G381" s="351">
        <v>450.0</v>
      </c>
      <c r="H381" s="348">
        <v>5.0</v>
      </c>
      <c r="I381" s="348">
        <v>20.0</v>
      </c>
      <c r="J381" s="348">
        <v>1.0</v>
      </c>
      <c r="K381" s="348">
        <v>1.0</v>
      </c>
      <c r="L381" s="348">
        <v>1.0</v>
      </c>
      <c r="M381" s="352" t="s">
        <v>27</v>
      </c>
      <c r="N381" s="348" t="s">
        <v>143</v>
      </c>
      <c r="O381" s="348">
        <v>10.0</v>
      </c>
      <c r="P381" s="319" t="s">
        <v>29</v>
      </c>
      <c r="Q381" s="348">
        <v>0.0</v>
      </c>
    </row>
    <row r="382" ht="14.25" customHeight="1">
      <c r="A382" s="211">
        <v>12.0</v>
      </c>
      <c r="B382" s="317" t="s">
        <v>6124</v>
      </c>
      <c r="C382" s="317" t="s">
        <v>6125</v>
      </c>
      <c r="D382" s="319" t="s">
        <v>6015</v>
      </c>
      <c r="E382" s="319" t="s">
        <v>647</v>
      </c>
      <c r="F382" s="323"/>
      <c r="G382" s="318">
        <v>1000.0</v>
      </c>
      <c r="H382" s="319">
        <v>10.0</v>
      </c>
      <c r="I382" s="319">
        <v>50.0</v>
      </c>
      <c r="J382" s="319">
        <v>1.0</v>
      </c>
      <c r="K382" s="319">
        <v>1.0</v>
      </c>
      <c r="L382" s="319">
        <v>1.0</v>
      </c>
      <c r="M382" s="314" t="s">
        <v>27</v>
      </c>
      <c r="N382" s="319" t="s">
        <v>143</v>
      </c>
      <c r="O382" s="319">
        <v>20.0</v>
      </c>
      <c r="P382" s="319" t="s">
        <v>29</v>
      </c>
      <c r="Q382" s="319">
        <v>0.0</v>
      </c>
    </row>
    <row r="383" ht="14.25" customHeight="1">
      <c r="A383" s="211">
        <v>13.0</v>
      </c>
      <c r="B383" s="349" t="s">
        <v>6126</v>
      </c>
      <c r="C383" s="349" t="s">
        <v>6127</v>
      </c>
      <c r="D383" s="319" t="s">
        <v>6015</v>
      </c>
      <c r="E383" s="348" t="s">
        <v>57</v>
      </c>
      <c r="F383" s="350"/>
      <c r="G383" s="351">
        <v>600.0</v>
      </c>
      <c r="H383" s="348">
        <v>5.0</v>
      </c>
      <c r="I383" s="348">
        <v>20.0</v>
      </c>
      <c r="J383" s="348">
        <v>1.0</v>
      </c>
      <c r="K383" s="348">
        <v>11.0</v>
      </c>
      <c r="L383" s="348">
        <v>1.0</v>
      </c>
      <c r="M383" s="352" t="s">
        <v>27</v>
      </c>
      <c r="N383" s="348" t="s">
        <v>143</v>
      </c>
      <c r="O383" s="348">
        <v>10.0</v>
      </c>
      <c r="P383" s="319" t="s">
        <v>29</v>
      </c>
      <c r="Q383" s="348">
        <v>0.0</v>
      </c>
    </row>
    <row r="384" ht="14.25" customHeight="1">
      <c r="A384" s="211">
        <v>14.0</v>
      </c>
      <c r="B384" s="317" t="s">
        <v>6128</v>
      </c>
      <c r="C384" s="317" t="s">
        <v>6129</v>
      </c>
      <c r="D384" s="319" t="s">
        <v>6015</v>
      </c>
      <c r="E384" s="348" t="s">
        <v>6115</v>
      </c>
      <c r="F384" s="323"/>
      <c r="G384" s="318">
        <v>450.0</v>
      </c>
      <c r="H384" s="319">
        <v>5.0</v>
      </c>
      <c r="I384" s="319">
        <v>20.0</v>
      </c>
      <c r="J384" s="319">
        <v>1.0</v>
      </c>
      <c r="K384" s="319">
        <v>1.0</v>
      </c>
      <c r="L384" s="319">
        <v>11.0</v>
      </c>
      <c r="M384" s="314" t="s">
        <v>27</v>
      </c>
      <c r="N384" s="319" t="s">
        <v>143</v>
      </c>
      <c r="O384" s="319">
        <v>10.0</v>
      </c>
      <c r="P384" s="319" t="s">
        <v>29</v>
      </c>
      <c r="Q384" s="319">
        <v>0.0</v>
      </c>
    </row>
    <row r="385" ht="14.25" customHeight="1">
      <c r="A385" s="211">
        <v>15.0</v>
      </c>
      <c r="B385" s="349" t="s">
        <v>6130</v>
      </c>
      <c r="C385" s="349" t="s">
        <v>6131</v>
      </c>
      <c r="D385" s="319" t="s">
        <v>6015</v>
      </c>
      <c r="E385" s="348" t="s">
        <v>6115</v>
      </c>
      <c r="F385" s="350"/>
      <c r="G385" s="351">
        <v>1000.0</v>
      </c>
      <c r="H385" s="348">
        <v>10.0</v>
      </c>
      <c r="I385" s="348">
        <v>50.0</v>
      </c>
      <c r="J385" s="348">
        <v>1.0</v>
      </c>
      <c r="K385" s="348">
        <v>1.0</v>
      </c>
      <c r="L385" s="348">
        <v>1.0</v>
      </c>
      <c r="M385" s="352" t="s">
        <v>27</v>
      </c>
      <c r="N385" s="348" t="s">
        <v>143</v>
      </c>
      <c r="O385" s="348">
        <v>20.0</v>
      </c>
      <c r="P385" s="319" t="s">
        <v>29</v>
      </c>
      <c r="Q385" s="348">
        <v>0.0</v>
      </c>
    </row>
    <row r="386" ht="14.25" customHeight="1">
      <c r="A386" s="211">
        <v>16.0</v>
      </c>
      <c r="B386" s="317" t="s">
        <v>6132</v>
      </c>
      <c r="C386" s="317" t="s">
        <v>6133</v>
      </c>
      <c r="D386" s="319" t="s">
        <v>6015</v>
      </c>
      <c r="E386" s="348" t="s">
        <v>6115</v>
      </c>
      <c r="F386" s="323"/>
      <c r="G386" s="318">
        <v>1000.0</v>
      </c>
      <c r="H386" s="319">
        <v>10.0</v>
      </c>
      <c r="I386" s="319">
        <v>50.0</v>
      </c>
      <c r="J386" s="319">
        <v>1.0</v>
      </c>
      <c r="K386" s="319">
        <v>1.0</v>
      </c>
      <c r="L386" s="319">
        <v>1.0</v>
      </c>
      <c r="M386" s="314" t="s">
        <v>27</v>
      </c>
      <c r="N386" s="319" t="s">
        <v>143</v>
      </c>
      <c r="O386" s="319">
        <v>20.0</v>
      </c>
      <c r="P386" s="319" t="s">
        <v>29</v>
      </c>
      <c r="Q386" s="319">
        <v>0.0</v>
      </c>
    </row>
    <row r="387" ht="14.25" customHeight="1">
      <c r="A387" s="211">
        <v>17.0</v>
      </c>
      <c r="B387" s="349" t="s">
        <v>6134</v>
      </c>
      <c r="C387" s="349" t="s">
        <v>6135</v>
      </c>
      <c r="D387" s="319" t="s">
        <v>6015</v>
      </c>
      <c r="E387" s="348" t="s">
        <v>6107</v>
      </c>
      <c r="F387" s="350"/>
      <c r="G387" s="351">
        <v>145.0</v>
      </c>
      <c r="H387" s="348">
        <v>5.0</v>
      </c>
      <c r="I387" s="348">
        <v>20.0</v>
      </c>
      <c r="J387" s="348">
        <v>1.0</v>
      </c>
      <c r="K387" s="348">
        <v>1.0</v>
      </c>
      <c r="L387" s="348">
        <v>1.0</v>
      </c>
      <c r="M387" s="352" t="s">
        <v>27</v>
      </c>
      <c r="N387" s="348" t="s">
        <v>6136</v>
      </c>
      <c r="O387" s="348">
        <v>10.0</v>
      </c>
      <c r="P387" s="319" t="s">
        <v>29</v>
      </c>
      <c r="Q387" s="348">
        <v>0.0</v>
      </c>
    </row>
    <row r="388" ht="14.25" customHeight="1">
      <c r="A388" s="211">
        <v>18.0</v>
      </c>
      <c r="B388" s="317" t="s">
        <v>6137</v>
      </c>
      <c r="C388" s="317" t="s">
        <v>6138</v>
      </c>
      <c r="D388" s="319" t="s">
        <v>6015</v>
      </c>
      <c r="E388" s="348" t="s">
        <v>6139</v>
      </c>
      <c r="F388" s="323"/>
      <c r="G388" s="318">
        <v>375.0</v>
      </c>
      <c r="H388" s="319">
        <v>5.0</v>
      </c>
      <c r="I388" s="319">
        <v>15.0</v>
      </c>
      <c r="J388" s="319">
        <v>1.0</v>
      </c>
      <c r="K388" s="319">
        <v>1.0</v>
      </c>
      <c r="L388" s="319">
        <v>1.0</v>
      </c>
      <c r="M388" s="314" t="s">
        <v>27</v>
      </c>
      <c r="N388" s="319" t="s">
        <v>143</v>
      </c>
      <c r="O388" s="319">
        <v>10.0</v>
      </c>
      <c r="P388" s="319" t="s">
        <v>29</v>
      </c>
      <c r="Q388" s="319">
        <v>0.0</v>
      </c>
    </row>
    <row r="389" ht="16.5" customHeight="1">
      <c r="A389" s="181"/>
      <c r="B389" s="339" t="s">
        <v>6140</v>
      </c>
      <c r="C389" s="311"/>
      <c r="D389" s="312"/>
      <c r="E389" s="312"/>
      <c r="F389" s="312"/>
      <c r="G389" s="312"/>
      <c r="H389" s="312"/>
      <c r="I389" s="312"/>
      <c r="J389" s="312"/>
      <c r="K389" s="312"/>
      <c r="L389" s="312"/>
      <c r="M389" s="313"/>
      <c r="N389" s="312"/>
      <c r="O389" s="312"/>
      <c r="P389" s="312"/>
      <c r="Q389" s="312"/>
    </row>
    <row r="390" ht="14.25" customHeight="1">
      <c r="A390" s="211">
        <v>1.0</v>
      </c>
      <c r="B390" s="340" t="s">
        <v>6141</v>
      </c>
      <c r="C390" s="317" t="s">
        <v>6142</v>
      </c>
      <c r="D390" s="319" t="s">
        <v>6143</v>
      </c>
      <c r="E390" s="319" t="s">
        <v>5724</v>
      </c>
      <c r="F390" s="323"/>
      <c r="G390" s="318">
        <v>1300.0</v>
      </c>
      <c r="H390" s="319">
        <v>107.0</v>
      </c>
      <c r="I390" s="319">
        <v>400.0</v>
      </c>
      <c r="J390" s="319">
        <v>2.0</v>
      </c>
      <c r="K390" s="319">
        <v>1.0</v>
      </c>
      <c r="L390" s="319">
        <v>0.0</v>
      </c>
      <c r="M390" s="314" t="s">
        <v>1156</v>
      </c>
      <c r="N390" s="319" t="s">
        <v>46</v>
      </c>
      <c r="O390" s="319">
        <v>61.0</v>
      </c>
      <c r="P390" s="319" t="s">
        <v>66</v>
      </c>
      <c r="Q390" s="319">
        <v>20.0</v>
      </c>
    </row>
    <row r="391" ht="14.25" customHeight="1">
      <c r="A391" s="211">
        <v>2.0</v>
      </c>
      <c r="B391" s="349" t="s">
        <v>6144</v>
      </c>
      <c r="C391" s="349" t="s">
        <v>6145</v>
      </c>
      <c r="D391" s="348" t="s">
        <v>6143</v>
      </c>
      <c r="E391" s="348" t="s">
        <v>6146</v>
      </c>
      <c r="F391" s="350"/>
      <c r="G391" s="351">
        <v>600.0</v>
      </c>
      <c r="H391" s="348">
        <v>4.0</v>
      </c>
      <c r="I391" s="348">
        <v>12.0</v>
      </c>
      <c r="J391" s="348">
        <v>1.0</v>
      </c>
      <c r="K391" s="348">
        <v>1.0</v>
      </c>
      <c r="L391" s="348">
        <v>0.0</v>
      </c>
      <c r="M391" s="352" t="s">
        <v>1156</v>
      </c>
      <c r="N391" s="348" t="s">
        <v>46</v>
      </c>
      <c r="O391" s="348">
        <v>3.0</v>
      </c>
      <c r="P391" s="348" t="s">
        <v>29</v>
      </c>
      <c r="Q391" s="348">
        <v>0.0</v>
      </c>
    </row>
    <row r="392" ht="14.25" customHeight="1">
      <c r="A392" s="211">
        <v>3.0</v>
      </c>
      <c r="B392" s="317" t="s">
        <v>6147</v>
      </c>
      <c r="C392" s="317" t="s">
        <v>6145</v>
      </c>
      <c r="D392" s="319" t="s">
        <v>6143</v>
      </c>
      <c r="E392" s="319" t="s">
        <v>6146</v>
      </c>
      <c r="F392" s="323"/>
      <c r="G392" s="318">
        <v>100.0</v>
      </c>
      <c r="H392" s="319">
        <v>5.0</v>
      </c>
      <c r="I392" s="319">
        <v>25.0</v>
      </c>
      <c r="J392" s="319">
        <v>0.0</v>
      </c>
      <c r="K392" s="319">
        <v>0.0</v>
      </c>
      <c r="L392" s="319">
        <v>1.0</v>
      </c>
      <c r="M392" s="314" t="s">
        <v>1156</v>
      </c>
      <c r="N392" s="319" t="s">
        <v>46</v>
      </c>
      <c r="O392" s="319">
        <v>15.0</v>
      </c>
      <c r="P392" s="319" t="s">
        <v>66</v>
      </c>
      <c r="Q392" s="319">
        <v>8.0</v>
      </c>
    </row>
    <row r="393" ht="14.25" customHeight="1">
      <c r="A393" s="211">
        <v>4.0</v>
      </c>
      <c r="B393" s="349" t="s">
        <v>6148</v>
      </c>
      <c r="C393" s="349" t="s">
        <v>6149</v>
      </c>
      <c r="D393" s="348" t="s">
        <v>6143</v>
      </c>
      <c r="E393" s="348" t="s">
        <v>5724</v>
      </c>
      <c r="F393" s="350"/>
      <c r="G393" s="351">
        <v>225.0</v>
      </c>
      <c r="H393" s="348">
        <v>5.0</v>
      </c>
      <c r="I393" s="348">
        <v>25.0</v>
      </c>
      <c r="J393" s="348">
        <v>2.0</v>
      </c>
      <c r="K393" s="348">
        <v>1.0</v>
      </c>
      <c r="L393" s="348">
        <v>0.0</v>
      </c>
      <c r="M393" s="352" t="s">
        <v>1156</v>
      </c>
      <c r="N393" s="348" t="s">
        <v>46</v>
      </c>
      <c r="O393" s="348">
        <v>15.0</v>
      </c>
      <c r="P393" s="348" t="s">
        <v>29</v>
      </c>
      <c r="Q393" s="348">
        <v>0.0</v>
      </c>
    </row>
    <row r="394" ht="14.25" customHeight="1">
      <c r="A394" s="211">
        <v>5.0</v>
      </c>
      <c r="B394" s="317" t="s">
        <v>6150</v>
      </c>
      <c r="C394" s="317" t="s">
        <v>6145</v>
      </c>
      <c r="D394" s="319" t="s">
        <v>6143</v>
      </c>
      <c r="E394" s="348" t="s">
        <v>5724</v>
      </c>
      <c r="F394" s="323"/>
      <c r="G394" s="318">
        <v>100.0</v>
      </c>
      <c r="H394" s="319">
        <v>2.0</v>
      </c>
      <c r="I394" s="319">
        <v>10.0</v>
      </c>
      <c r="J394" s="319">
        <v>1.0</v>
      </c>
      <c r="K394" s="319">
        <v>1.0</v>
      </c>
      <c r="L394" s="319">
        <v>0.0</v>
      </c>
      <c r="M394" s="314" t="s">
        <v>1156</v>
      </c>
      <c r="N394" s="319" t="s">
        <v>46</v>
      </c>
      <c r="O394" s="319">
        <v>10.0</v>
      </c>
      <c r="P394" s="319" t="s">
        <v>29</v>
      </c>
      <c r="Q394" s="319">
        <v>0.0</v>
      </c>
    </row>
    <row r="395" ht="14.25" customHeight="1">
      <c r="A395" s="211">
        <v>6.0</v>
      </c>
      <c r="B395" s="349" t="s">
        <v>6151</v>
      </c>
      <c r="C395" s="349" t="s">
        <v>6152</v>
      </c>
      <c r="D395" s="348" t="s">
        <v>6143</v>
      </c>
      <c r="E395" s="348" t="s">
        <v>6146</v>
      </c>
      <c r="F395" s="350"/>
      <c r="G395" s="351">
        <v>200.0</v>
      </c>
      <c r="H395" s="348">
        <v>28.0</v>
      </c>
      <c r="I395" s="348">
        <v>100.0</v>
      </c>
      <c r="J395" s="348">
        <v>1.0</v>
      </c>
      <c r="K395" s="348">
        <v>1.0</v>
      </c>
      <c r="L395" s="348">
        <v>1.0</v>
      </c>
      <c r="M395" s="352" t="s">
        <v>1156</v>
      </c>
      <c r="N395" s="348" t="s">
        <v>46</v>
      </c>
      <c r="O395" s="348">
        <v>19.0</v>
      </c>
      <c r="P395" s="348" t="s">
        <v>29</v>
      </c>
      <c r="Q395" s="348">
        <v>0.0</v>
      </c>
    </row>
    <row r="396" ht="14.25" customHeight="1">
      <c r="A396" s="211">
        <v>7.0</v>
      </c>
      <c r="B396" s="317" t="s">
        <v>6153</v>
      </c>
      <c r="C396" s="317" t="s">
        <v>6154</v>
      </c>
      <c r="D396" s="319" t="s">
        <v>6143</v>
      </c>
      <c r="E396" s="348" t="s">
        <v>5894</v>
      </c>
      <c r="F396" s="323" t="s">
        <v>6146</v>
      </c>
      <c r="G396" s="318">
        <v>300.0</v>
      </c>
      <c r="H396" s="319">
        <v>10.0</v>
      </c>
      <c r="I396" s="319">
        <v>50.0</v>
      </c>
      <c r="J396" s="319">
        <v>1.0</v>
      </c>
      <c r="K396" s="319">
        <v>1.0</v>
      </c>
      <c r="L396" s="319">
        <v>0.0</v>
      </c>
      <c r="M396" s="314" t="s">
        <v>1156</v>
      </c>
      <c r="N396" s="319" t="s">
        <v>46</v>
      </c>
      <c r="O396" s="319">
        <v>28.0</v>
      </c>
      <c r="P396" s="319" t="s">
        <v>29</v>
      </c>
      <c r="Q396" s="319">
        <v>0.0</v>
      </c>
    </row>
    <row r="397" ht="14.25" customHeight="1">
      <c r="A397" s="211">
        <v>8.0</v>
      </c>
      <c r="B397" s="349" t="s">
        <v>6155</v>
      </c>
      <c r="C397" s="349" t="s">
        <v>6154</v>
      </c>
      <c r="D397" s="348" t="s">
        <v>6143</v>
      </c>
      <c r="E397" s="348" t="s">
        <v>5894</v>
      </c>
      <c r="F397" s="350" t="s">
        <v>6146</v>
      </c>
      <c r="G397" s="351">
        <v>100.0</v>
      </c>
      <c r="H397" s="348">
        <v>3.0</v>
      </c>
      <c r="I397" s="348">
        <v>15.0</v>
      </c>
      <c r="J397" s="348">
        <v>1.0</v>
      </c>
      <c r="K397" s="348">
        <v>1.0</v>
      </c>
      <c r="L397" s="348">
        <v>0.0</v>
      </c>
      <c r="M397" s="352" t="s">
        <v>1156</v>
      </c>
      <c r="N397" s="348" t="s">
        <v>46</v>
      </c>
      <c r="O397" s="348">
        <v>13.0</v>
      </c>
      <c r="P397" s="348" t="s">
        <v>29</v>
      </c>
      <c r="Q397" s="348">
        <v>0.0</v>
      </c>
    </row>
    <row r="398" ht="14.25" customHeight="1">
      <c r="A398" s="211">
        <v>9.0</v>
      </c>
      <c r="B398" s="317" t="s">
        <v>6156</v>
      </c>
      <c r="C398" s="317" t="s">
        <v>6157</v>
      </c>
      <c r="D398" s="319" t="s">
        <v>6143</v>
      </c>
      <c r="E398" s="319" t="s">
        <v>5724</v>
      </c>
      <c r="F398" s="323"/>
      <c r="G398" s="318">
        <v>100.0</v>
      </c>
      <c r="H398" s="319">
        <v>3.0</v>
      </c>
      <c r="I398" s="319">
        <v>15.0</v>
      </c>
      <c r="J398" s="319">
        <v>1.0</v>
      </c>
      <c r="K398" s="319">
        <v>1.0</v>
      </c>
      <c r="L398" s="319">
        <v>0.0</v>
      </c>
      <c r="M398" s="314" t="s">
        <v>1156</v>
      </c>
      <c r="N398" s="319" t="s">
        <v>46</v>
      </c>
      <c r="O398" s="319">
        <v>34.0</v>
      </c>
      <c r="P398" s="319" t="s">
        <v>29</v>
      </c>
      <c r="Q398" s="319">
        <v>0.0</v>
      </c>
    </row>
    <row r="399" ht="14.25" customHeight="1">
      <c r="A399" s="211">
        <v>10.0</v>
      </c>
      <c r="B399" s="349" t="s">
        <v>6158</v>
      </c>
      <c r="C399" s="349" t="s">
        <v>6159</v>
      </c>
      <c r="D399" s="348" t="s">
        <v>6143</v>
      </c>
      <c r="E399" s="319" t="s">
        <v>5724</v>
      </c>
      <c r="F399" s="350"/>
      <c r="G399" s="351">
        <v>50.0</v>
      </c>
      <c r="H399" s="348">
        <v>10.0</v>
      </c>
      <c r="I399" s="348">
        <v>50.0</v>
      </c>
      <c r="J399" s="348">
        <v>1.0</v>
      </c>
      <c r="K399" s="348">
        <v>1.0</v>
      </c>
      <c r="L399" s="348">
        <v>0.0</v>
      </c>
      <c r="M399" s="352" t="s">
        <v>1156</v>
      </c>
      <c r="N399" s="348" t="s">
        <v>46</v>
      </c>
      <c r="O399" s="348">
        <v>5.0</v>
      </c>
      <c r="P399" s="348" t="s">
        <v>29</v>
      </c>
      <c r="Q399" s="348">
        <v>0.0</v>
      </c>
    </row>
    <row r="400" ht="14.25" customHeight="1">
      <c r="A400" s="211">
        <v>11.0</v>
      </c>
      <c r="B400" s="317" t="s">
        <v>6160</v>
      </c>
      <c r="C400" s="317" t="s">
        <v>6159</v>
      </c>
      <c r="D400" s="319" t="s">
        <v>6143</v>
      </c>
      <c r="E400" s="319" t="s">
        <v>5724</v>
      </c>
      <c r="F400" s="323"/>
      <c r="G400" s="318">
        <v>60.0</v>
      </c>
      <c r="H400" s="319">
        <v>7.0</v>
      </c>
      <c r="I400" s="319">
        <v>30.0</v>
      </c>
      <c r="J400" s="319">
        <v>1.0</v>
      </c>
      <c r="K400" s="319">
        <v>1.0</v>
      </c>
      <c r="L400" s="319">
        <v>0.0</v>
      </c>
      <c r="M400" s="314" t="s">
        <v>1156</v>
      </c>
      <c r="N400" s="319" t="s">
        <v>46</v>
      </c>
      <c r="O400" s="319">
        <v>6.0</v>
      </c>
      <c r="P400" s="319" t="s">
        <v>29</v>
      </c>
      <c r="Q400" s="319">
        <v>0.0</v>
      </c>
    </row>
    <row r="401" ht="14.25" customHeight="1">
      <c r="A401" s="211">
        <v>12.0</v>
      </c>
      <c r="B401" s="349" t="s">
        <v>6161</v>
      </c>
      <c r="C401" s="349" t="s">
        <v>6162</v>
      </c>
      <c r="D401" s="348" t="s">
        <v>6143</v>
      </c>
      <c r="E401" s="348" t="s">
        <v>5724</v>
      </c>
      <c r="F401" s="350"/>
      <c r="G401" s="351">
        <v>200.0</v>
      </c>
      <c r="H401" s="348">
        <v>26.0</v>
      </c>
      <c r="I401" s="348">
        <v>100.0</v>
      </c>
      <c r="J401" s="348">
        <v>1.0</v>
      </c>
      <c r="K401" s="348">
        <v>1.0</v>
      </c>
      <c r="L401" s="348">
        <v>0.0</v>
      </c>
      <c r="M401" s="352" t="s">
        <v>1156</v>
      </c>
      <c r="N401" s="348" t="s">
        <v>46</v>
      </c>
      <c r="O401" s="348">
        <v>19.0</v>
      </c>
      <c r="P401" s="348" t="s">
        <v>29</v>
      </c>
      <c r="Q401" s="348">
        <v>0.0</v>
      </c>
    </row>
    <row r="402" ht="14.25" customHeight="1">
      <c r="A402" s="211">
        <v>13.0</v>
      </c>
      <c r="B402" s="317" t="s">
        <v>6163</v>
      </c>
      <c r="C402" s="317" t="s">
        <v>6164</v>
      </c>
      <c r="D402" s="319" t="s">
        <v>6143</v>
      </c>
      <c r="E402" s="319" t="s">
        <v>5724</v>
      </c>
      <c r="F402" s="323"/>
      <c r="G402" s="318">
        <v>300.0</v>
      </c>
      <c r="H402" s="319">
        <v>63.0</v>
      </c>
      <c r="I402" s="319">
        <v>200.0</v>
      </c>
      <c r="J402" s="319">
        <v>1.0</v>
      </c>
      <c r="K402" s="319">
        <v>1.0</v>
      </c>
      <c r="L402" s="319">
        <v>0.0</v>
      </c>
      <c r="M402" s="314" t="s">
        <v>1156</v>
      </c>
      <c r="N402" s="319" t="s">
        <v>46</v>
      </c>
      <c r="O402" s="319">
        <v>47.0</v>
      </c>
      <c r="P402" s="319" t="s">
        <v>29</v>
      </c>
      <c r="Q402" s="319">
        <v>0.0</v>
      </c>
    </row>
    <row r="403" ht="14.25" customHeight="1">
      <c r="A403" s="211">
        <v>14.0</v>
      </c>
      <c r="B403" s="349" t="s">
        <v>6165</v>
      </c>
      <c r="C403" s="349" t="s">
        <v>6166</v>
      </c>
      <c r="D403" s="348" t="s">
        <v>6143</v>
      </c>
      <c r="E403" s="348" t="s">
        <v>5724</v>
      </c>
      <c r="F403" s="350" t="s">
        <v>6167</v>
      </c>
      <c r="G403" s="351">
        <v>50.0</v>
      </c>
      <c r="H403" s="348">
        <v>10.0</v>
      </c>
      <c r="I403" s="348">
        <v>30.0</v>
      </c>
      <c r="J403" s="348">
        <v>1.0</v>
      </c>
      <c r="K403" s="348">
        <v>1.0</v>
      </c>
      <c r="L403" s="348">
        <v>0.0</v>
      </c>
      <c r="M403" s="352" t="s">
        <v>1156</v>
      </c>
      <c r="N403" s="348" t="s">
        <v>46</v>
      </c>
      <c r="O403" s="348">
        <v>5.0</v>
      </c>
      <c r="P403" s="348" t="s">
        <v>29</v>
      </c>
      <c r="Q403" s="348">
        <v>0.0</v>
      </c>
    </row>
    <row r="404" ht="14.25" customHeight="1">
      <c r="A404" s="211">
        <v>15.0</v>
      </c>
      <c r="B404" s="317" t="s">
        <v>6168</v>
      </c>
      <c r="C404" s="317" t="s">
        <v>6169</v>
      </c>
      <c r="D404" s="319" t="s">
        <v>6143</v>
      </c>
      <c r="E404" s="319" t="s">
        <v>5724</v>
      </c>
      <c r="F404" s="323"/>
      <c r="G404" s="318">
        <v>200.0</v>
      </c>
      <c r="H404" s="319">
        <v>30.0</v>
      </c>
      <c r="I404" s="319">
        <v>100.0</v>
      </c>
      <c r="J404" s="319">
        <v>1.0</v>
      </c>
      <c r="K404" s="319">
        <v>1.0</v>
      </c>
      <c r="L404" s="319">
        <v>0.0</v>
      </c>
      <c r="M404" s="314" t="s">
        <v>1156</v>
      </c>
      <c r="N404" s="319" t="s">
        <v>46</v>
      </c>
      <c r="O404" s="319">
        <v>21.0</v>
      </c>
      <c r="P404" s="319" t="s">
        <v>29</v>
      </c>
      <c r="Q404" s="319">
        <v>0.0</v>
      </c>
    </row>
    <row r="405" ht="14.25" customHeight="1">
      <c r="A405" s="211">
        <v>16.0</v>
      </c>
      <c r="B405" s="349" t="s">
        <v>6170</v>
      </c>
      <c r="C405" s="349" t="s">
        <v>6169</v>
      </c>
      <c r="D405" s="348" t="s">
        <v>6143</v>
      </c>
      <c r="E405" s="319" t="s">
        <v>5724</v>
      </c>
      <c r="F405" s="350"/>
      <c r="G405" s="351">
        <v>64.0</v>
      </c>
      <c r="H405" s="348">
        <v>3.0</v>
      </c>
      <c r="I405" s="348">
        <v>15.0</v>
      </c>
      <c r="J405" s="348">
        <v>0.0</v>
      </c>
      <c r="K405" s="348">
        <v>0.0</v>
      </c>
      <c r="L405" s="348">
        <v>1.0</v>
      </c>
      <c r="M405" s="352" t="s">
        <v>1156</v>
      </c>
      <c r="N405" s="348" t="s">
        <v>46</v>
      </c>
      <c r="O405" s="348">
        <v>2.0</v>
      </c>
      <c r="P405" s="348" t="s">
        <v>29</v>
      </c>
      <c r="Q405" s="348">
        <v>0.0</v>
      </c>
    </row>
    <row r="406" ht="14.25" customHeight="1">
      <c r="A406" s="211">
        <v>17.0</v>
      </c>
      <c r="B406" s="317" t="s">
        <v>6171</v>
      </c>
      <c r="C406" s="317" t="s">
        <v>6172</v>
      </c>
      <c r="D406" s="319" t="s">
        <v>6143</v>
      </c>
      <c r="E406" s="319" t="s">
        <v>5724</v>
      </c>
      <c r="F406" s="323" t="s">
        <v>6167</v>
      </c>
      <c r="G406" s="318">
        <v>500.0</v>
      </c>
      <c r="H406" s="319">
        <v>11.0</v>
      </c>
      <c r="I406" s="319">
        <v>50.0</v>
      </c>
      <c r="J406" s="319">
        <v>1.0</v>
      </c>
      <c r="K406" s="319">
        <v>1.0</v>
      </c>
      <c r="L406" s="319">
        <v>0.0</v>
      </c>
      <c r="M406" s="314" t="s">
        <v>1156</v>
      </c>
      <c r="N406" s="319" t="s">
        <v>46</v>
      </c>
      <c r="O406" s="319">
        <v>12.0</v>
      </c>
      <c r="P406" s="319" t="s">
        <v>29</v>
      </c>
      <c r="Q406" s="319">
        <v>0.0</v>
      </c>
    </row>
    <row r="407" ht="14.25" customHeight="1">
      <c r="A407" s="211">
        <v>18.0</v>
      </c>
      <c r="B407" s="349" t="s">
        <v>6173</v>
      </c>
      <c r="C407" s="349" t="s">
        <v>6174</v>
      </c>
      <c r="D407" s="348" t="s">
        <v>6143</v>
      </c>
      <c r="E407" s="348" t="s">
        <v>6175</v>
      </c>
      <c r="F407" s="350"/>
      <c r="G407" s="351">
        <v>30.0</v>
      </c>
      <c r="H407" s="348">
        <v>18.0</v>
      </c>
      <c r="I407" s="348">
        <v>70.0</v>
      </c>
      <c r="J407" s="348">
        <v>1.0</v>
      </c>
      <c r="K407" s="348">
        <v>1.0</v>
      </c>
      <c r="L407" s="348">
        <v>0.0</v>
      </c>
      <c r="M407" s="352" t="s">
        <v>1156</v>
      </c>
      <c r="N407" s="348" t="s">
        <v>46</v>
      </c>
      <c r="O407" s="348">
        <v>13.0</v>
      </c>
      <c r="P407" s="348" t="s">
        <v>29</v>
      </c>
      <c r="Q407" s="348">
        <v>0.0</v>
      </c>
    </row>
    <row r="408" ht="14.25" customHeight="1">
      <c r="A408" s="211">
        <v>19.0</v>
      </c>
      <c r="B408" s="317" t="s">
        <v>6176</v>
      </c>
      <c r="C408" s="317" t="s">
        <v>6177</v>
      </c>
      <c r="D408" s="319" t="s">
        <v>6143</v>
      </c>
      <c r="E408" s="319" t="s">
        <v>6175</v>
      </c>
      <c r="F408" s="323"/>
      <c r="G408" s="318">
        <v>600.0</v>
      </c>
      <c r="H408" s="319">
        <v>150.0</v>
      </c>
      <c r="I408" s="319">
        <v>700.0</v>
      </c>
      <c r="J408" s="319">
        <v>1.0</v>
      </c>
      <c r="K408" s="319">
        <v>1.0</v>
      </c>
      <c r="L408" s="319">
        <v>0.0</v>
      </c>
      <c r="M408" s="314" t="s">
        <v>1156</v>
      </c>
      <c r="N408" s="319" t="s">
        <v>46</v>
      </c>
      <c r="O408" s="319">
        <v>158.0</v>
      </c>
      <c r="P408" s="319" t="s">
        <v>29</v>
      </c>
      <c r="Q408" s="319">
        <v>0.0</v>
      </c>
    </row>
    <row r="409" ht="14.25" customHeight="1">
      <c r="A409" s="211">
        <v>20.0</v>
      </c>
      <c r="B409" s="349" t="s">
        <v>6178</v>
      </c>
      <c r="C409" s="349" t="s">
        <v>6179</v>
      </c>
      <c r="D409" s="348" t="s">
        <v>6143</v>
      </c>
      <c r="E409" s="348" t="s">
        <v>6175</v>
      </c>
      <c r="F409" s="350"/>
      <c r="G409" s="351">
        <v>500.0</v>
      </c>
      <c r="H409" s="348">
        <v>5.0</v>
      </c>
      <c r="I409" s="348">
        <v>15.0</v>
      </c>
      <c r="J409" s="348">
        <v>1.0</v>
      </c>
      <c r="K409" s="348">
        <v>1.0</v>
      </c>
      <c r="L409" s="348">
        <v>0.0</v>
      </c>
      <c r="M409" s="352" t="s">
        <v>1156</v>
      </c>
      <c r="N409" s="348" t="s">
        <v>46</v>
      </c>
      <c r="O409" s="348">
        <v>2.0</v>
      </c>
      <c r="P409" s="348" t="s">
        <v>29</v>
      </c>
      <c r="Q409" s="348">
        <v>0.0</v>
      </c>
    </row>
    <row r="410" ht="14.25" customHeight="1">
      <c r="A410" s="211">
        <v>21.0</v>
      </c>
      <c r="B410" s="317" t="s">
        <v>6180</v>
      </c>
      <c r="C410" s="317" t="s">
        <v>6181</v>
      </c>
      <c r="D410" s="319" t="s">
        <v>6143</v>
      </c>
      <c r="E410" s="319" t="s">
        <v>6175</v>
      </c>
      <c r="F410" s="323"/>
      <c r="G410" s="318">
        <v>70.0</v>
      </c>
      <c r="H410" s="319">
        <v>19.0</v>
      </c>
      <c r="I410" s="319">
        <v>70.0</v>
      </c>
      <c r="J410" s="319">
        <v>1.0</v>
      </c>
      <c r="K410" s="319">
        <v>1.0</v>
      </c>
      <c r="L410" s="319">
        <v>0.0</v>
      </c>
      <c r="M410" s="314" t="s">
        <v>1156</v>
      </c>
      <c r="N410" s="319" t="s">
        <v>46</v>
      </c>
      <c r="O410" s="319">
        <v>16.0</v>
      </c>
      <c r="P410" s="319" t="s">
        <v>29</v>
      </c>
      <c r="Q410" s="319">
        <v>0.0</v>
      </c>
    </row>
    <row r="411" ht="14.25" customHeight="1">
      <c r="A411" s="211">
        <v>22.0</v>
      </c>
      <c r="B411" s="349" t="s">
        <v>6182</v>
      </c>
      <c r="C411" s="349" t="s">
        <v>6183</v>
      </c>
      <c r="D411" s="348" t="s">
        <v>6143</v>
      </c>
      <c r="E411" s="348" t="s">
        <v>6175</v>
      </c>
      <c r="F411" s="350"/>
      <c r="G411" s="351">
        <v>40.0</v>
      </c>
      <c r="H411" s="348">
        <v>11.0</v>
      </c>
      <c r="I411" s="348">
        <v>40.0</v>
      </c>
      <c r="J411" s="348">
        <v>1.0</v>
      </c>
      <c r="K411" s="348">
        <v>1.0</v>
      </c>
      <c r="L411" s="348">
        <v>0.0</v>
      </c>
      <c r="M411" s="352" t="s">
        <v>1156</v>
      </c>
      <c r="N411" s="348" t="s">
        <v>46</v>
      </c>
      <c r="O411" s="348">
        <v>9.0</v>
      </c>
      <c r="P411" s="348" t="s">
        <v>29</v>
      </c>
      <c r="Q411" s="348">
        <v>0.0</v>
      </c>
    </row>
    <row r="412" ht="14.25" customHeight="1">
      <c r="A412" s="211">
        <v>23.0</v>
      </c>
      <c r="B412" s="317" t="s">
        <v>6184</v>
      </c>
      <c r="C412" s="317" t="s">
        <v>6185</v>
      </c>
      <c r="D412" s="319" t="s">
        <v>6143</v>
      </c>
      <c r="E412" s="319" t="s">
        <v>5724</v>
      </c>
      <c r="F412" s="323"/>
      <c r="G412" s="318">
        <v>54.0</v>
      </c>
      <c r="H412" s="319">
        <v>22.0</v>
      </c>
      <c r="I412" s="319">
        <v>80.0</v>
      </c>
      <c r="J412" s="319">
        <v>1.0</v>
      </c>
      <c r="K412" s="319">
        <v>1.0</v>
      </c>
      <c r="L412" s="319">
        <v>0.0</v>
      </c>
      <c r="M412" s="314" t="s">
        <v>1156</v>
      </c>
      <c r="N412" s="319" t="s">
        <v>46</v>
      </c>
      <c r="O412" s="319">
        <v>18.0</v>
      </c>
      <c r="P412" s="319" t="s">
        <v>29</v>
      </c>
      <c r="Q412" s="319">
        <v>0.0</v>
      </c>
    </row>
    <row r="413" ht="14.25" customHeight="1">
      <c r="A413" s="211">
        <v>24.0</v>
      </c>
      <c r="B413" s="349" t="s">
        <v>6186</v>
      </c>
      <c r="C413" s="349" t="s">
        <v>6187</v>
      </c>
      <c r="D413" s="348" t="s">
        <v>6143</v>
      </c>
      <c r="E413" s="319" t="s">
        <v>5724</v>
      </c>
      <c r="F413" s="350"/>
      <c r="G413" s="351">
        <v>55.0</v>
      </c>
      <c r="H413" s="348">
        <v>16.0</v>
      </c>
      <c r="I413" s="348">
        <v>50.0</v>
      </c>
      <c r="J413" s="348">
        <v>1.0</v>
      </c>
      <c r="K413" s="348">
        <v>1.0</v>
      </c>
      <c r="L413" s="348">
        <v>0.0</v>
      </c>
      <c r="M413" s="352" t="s">
        <v>1156</v>
      </c>
      <c r="N413" s="348" t="s">
        <v>46</v>
      </c>
      <c r="O413" s="348">
        <v>8.0</v>
      </c>
      <c r="P413" s="348" t="s">
        <v>29</v>
      </c>
      <c r="Q413" s="348">
        <v>0.0</v>
      </c>
    </row>
    <row r="414" ht="14.25" customHeight="1">
      <c r="A414" s="211">
        <v>25.0</v>
      </c>
      <c r="B414" s="317" t="s">
        <v>6188</v>
      </c>
      <c r="C414" s="317" t="s">
        <v>6189</v>
      </c>
      <c r="D414" s="319" t="s">
        <v>6143</v>
      </c>
      <c r="E414" s="319" t="s">
        <v>5724</v>
      </c>
      <c r="F414" s="323" t="s">
        <v>6167</v>
      </c>
      <c r="G414" s="318">
        <v>70.0</v>
      </c>
      <c r="H414" s="319">
        <v>17.0</v>
      </c>
      <c r="I414" s="319">
        <v>60.0</v>
      </c>
      <c r="J414" s="319">
        <v>1.0</v>
      </c>
      <c r="K414" s="319">
        <v>1.0</v>
      </c>
      <c r="L414" s="319">
        <v>0.0</v>
      </c>
      <c r="M414" s="314" t="s">
        <v>1156</v>
      </c>
      <c r="N414" s="319" t="s">
        <v>46</v>
      </c>
      <c r="O414" s="319">
        <v>15.0</v>
      </c>
      <c r="P414" s="319" t="s">
        <v>29</v>
      </c>
      <c r="Q414" s="319">
        <v>0.0</v>
      </c>
    </row>
    <row r="415" ht="14.25" customHeight="1">
      <c r="A415" s="211">
        <v>26.0</v>
      </c>
      <c r="B415" s="349" t="s">
        <v>6190</v>
      </c>
      <c r="C415" s="349" t="s">
        <v>6191</v>
      </c>
      <c r="D415" s="348" t="s">
        <v>6143</v>
      </c>
      <c r="E415" s="348" t="s">
        <v>57</v>
      </c>
      <c r="F415" s="350"/>
      <c r="G415" s="351">
        <v>500.0</v>
      </c>
      <c r="H415" s="348">
        <v>34.0</v>
      </c>
      <c r="I415" s="348">
        <v>150.0</v>
      </c>
      <c r="J415" s="348">
        <v>1.0</v>
      </c>
      <c r="K415" s="348">
        <v>1.0</v>
      </c>
      <c r="L415" s="348">
        <v>0.0</v>
      </c>
      <c r="M415" s="352" t="s">
        <v>1156</v>
      </c>
      <c r="N415" s="348" t="s">
        <v>46</v>
      </c>
      <c r="O415" s="348">
        <v>26.0</v>
      </c>
      <c r="P415" s="348" t="s">
        <v>29</v>
      </c>
      <c r="Q415" s="348">
        <v>0.0</v>
      </c>
    </row>
    <row r="416" ht="14.25" customHeight="1">
      <c r="A416" s="211">
        <v>27.0</v>
      </c>
      <c r="B416" s="317" t="s">
        <v>1134</v>
      </c>
      <c r="C416" s="317" t="s">
        <v>6192</v>
      </c>
      <c r="D416" s="319" t="s">
        <v>6143</v>
      </c>
      <c r="E416" s="319" t="s">
        <v>6175</v>
      </c>
      <c r="F416" s="323" t="s">
        <v>6167</v>
      </c>
      <c r="G416" s="318">
        <v>50.0</v>
      </c>
      <c r="H416" s="319">
        <v>10.0</v>
      </c>
      <c r="I416" s="319">
        <v>40.0</v>
      </c>
      <c r="J416" s="319">
        <v>1.0</v>
      </c>
      <c r="K416" s="319">
        <v>1.0</v>
      </c>
      <c r="L416" s="319">
        <v>0.0</v>
      </c>
      <c r="M416" s="314" t="s">
        <v>1156</v>
      </c>
      <c r="N416" s="319" t="s">
        <v>46</v>
      </c>
      <c r="O416" s="319">
        <v>9.0</v>
      </c>
      <c r="P416" s="319" t="s">
        <v>29</v>
      </c>
      <c r="Q416" s="319">
        <v>0.0</v>
      </c>
    </row>
    <row r="417" ht="14.25" customHeight="1">
      <c r="A417" s="211">
        <v>28.0</v>
      </c>
      <c r="B417" s="349" t="s">
        <v>6193</v>
      </c>
      <c r="C417" s="349" t="s">
        <v>6192</v>
      </c>
      <c r="D417" s="348" t="s">
        <v>6143</v>
      </c>
      <c r="E417" s="348" t="s">
        <v>6175</v>
      </c>
      <c r="F417" s="350" t="s">
        <v>6167</v>
      </c>
      <c r="G417" s="351">
        <v>70.0</v>
      </c>
      <c r="H417" s="348">
        <v>15.0</v>
      </c>
      <c r="I417" s="348">
        <v>50.0</v>
      </c>
      <c r="J417" s="348">
        <v>1.0</v>
      </c>
      <c r="K417" s="348">
        <v>1.0</v>
      </c>
      <c r="L417" s="348">
        <v>0.0</v>
      </c>
      <c r="M417" s="352" t="s">
        <v>1156</v>
      </c>
      <c r="N417" s="348" t="s">
        <v>46</v>
      </c>
      <c r="O417" s="348">
        <v>10.0</v>
      </c>
      <c r="P417" s="348" t="s">
        <v>29</v>
      </c>
      <c r="Q417" s="348">
        <v>0.0</v>
      </c>
    </row>
    <row r="418" ht="14.25" customHeight="1">
      <c r="A418" s="211">
        <v>29.0</v>
      </c>
      <c r="B418" s="317" t="s">
        <v>1171</v>
      </c>
      <c r="C418" s="317" t="s">
        <v>6194</v>
      </c>
      <c r="D418" s="319" t="s">
        <v>6143</v>
      </c>
      <c r="E418" s="319" t="s">
        <v>6195</v>
      </c>
      <c r="F418" s="323"/>
      <c r="G418" s="318">
        <v>50.0</v>
      </c>
      <c r="H418" s="319">
        <v>9.0</v>
      </c>
      <c r="I418" s="319">
        <v>40.0</v>
      </c>
      <c r="J418" s="319">
        <v>1.0</v>
      </c>
      <c r="K418" s="319">
        <v>1.0</v>
      </c>
      <c r="L418" s="319">
        <v>0.0</v>
      </c>
      <c r="M418" s="314" t="s">
        <v>1156</v>
      </c>
      <c r="N418" s="319" t="s">
        <v>46</v>
      </c>
      <c r="O418" s="319">
        <v>7.0</v>
      </c>
      <c r="P418" s="319" t="s">
        <v>29</v>
      </c>
      <c r="Q418" s="319">
        <v>0.0</v>
      </c>
    </row>
    <row r="419" ht="14.25" customHeight="1">
      <c r="A419" s="211">
        <v>30.0</v>
      </c>
      <c r="B419" s="349" t="s">
        <v>6196</v>
      </c>
      <c r="C419" s="349" t="s">
        <v>6197</v>
      </c>
      <c r="D419" s="348" t="s">
        <v>6143</v>
      </c>
      <c r="E419" s="348" t="s">
        <v>5724</v>
      </c>
      <c r="F419" s="350"/>
      <c r="G419" s="351">
        <v>25.0</v>
      </c>
      <c r="H419" s="348">
        <v>19.0</v>
      </c>
      <c r="I419" s="348">
        <v>60.0</v>
      </c>
      <c r="J419" s="348">
        <v>1.0</v>
      </c>
      <c r="K419" s="348">
        <v>1.0</v>
      </c>
      <c r="L419" s="348">
        <v>0.0</v>
      </c>
      <c r="M419" s="352" t="s">
        <v>1156</v>
      </c>
      <c r="N419" s="348" t="s">
        <v>46</v>
      </c>
      <c r="O419" s="348">
        <v>11.0</v>
      </c>
      <c r="P419" s="348" t="s">
        <v>29</v>
      </c>
      <c r="Q419" s="348">
        <v>0.0</v>
      </c>
    </row>
    <row r="420" ht="14.25" customHeight="1">
      <c r="A420" s="211">
        <v>31.0</v>
      </c>
      <c r="B420" s="317" t="s">
        <v>6198</v>
      </c>
      <c r="C420" s="317" t="s">
        <v>6197</v>
      </c>
      <c r="D420" s="319" t="s">
        <v>6143</v>
      </c>
      <c r="E420" s="348" t="s">
        <v>5724</v>
      </c>
      <c r="F420" s="323"/>
      <c r="G420" s="318">
        <v>20.0</v>
      </c>
      <c r="H420" s="319">
        <v>12.0</v>
      </c>
      <c r="I420" s="319">
        <v>50.0</v>
      </c>
      <c r="J420" s="319">
        <v>1.0</v>
      </c>
      <c r="K420" s="319">
        <v>1.0</v>
      </c>
      <c r="L420" s="319">
        <v>0.0</v>
      </c>
      <c r="M420" s="314" t="s">
        <v>1156</v>
      </c>
      <c r="N420" s="319" t="s">
        <v>46</v>
      </c>
      <c r="O420" s="319">
        <v>8.0</v>
      </c>
      <c r="P420" s="319" t="s">
        <v>29</v>
      </c>
      <c r="Q420" s="319">
        <v>0.0</v>
      </c>
    </row>
    <row r="421" ht="14.25" customHeight="1">
      <c r="A421" s="211">
        <v>32.0</v>
      </c>
      <c r="B421" s="349" t="s">
        <v>1171</v>
      </c>
      <c r="C421" s="349" t="s">
        <v>6199</v>
      </c>
      <c r="D421" s="348" t="s">
        <v>6143</v>
      </c>
      <c r="E421" s="348" t="s">
        <v>6175</v>
      </c>
      <c r="F421" s="350"/>
      <c r="G421" s="351">
        <v>90.02</v>
      </c>
      <c r="H421" s="348">
        <v>10.0</v>
      </c>
      <c r="I421" s="348">
        <v>50.0</v>
      </c>
      <c r="J421" s="348">
        <v>1.0</v>
      </c>
      <c r="K421" s="348">
        <v>1.0</v>
      </c>
      <c r="L421" s="348">
        <v>0.0</v>
      </c>
      <c r="M421" s="352" t="s">
        <v>1156</v>
      </c>
      <c r="N421" s="348" t="s">
        <v>46</v>
      </c>
      <c r="O421" s="348">
        <v>12.0</v>
      </c>
      <c r="P421" s="348" t="s">
        <v>29</v>
      </c>
      <c r="Q421" s="348">
        <v>0.0</v>
      </c>
    </row>
    <row r="422" ht="14.25" customHeight="1">
      <c r="A422" s="211">
        <v>33.0</v>
      </c>
      <c r="B422" s="317" t="s">
        <v>6200</v>
      </c>
      <c r="C422" s="317" t="s">
        <v>6201</v>
      </c>
      <c r="D422" s="319" t="s">
        <v>6143</v>
      </c>
      <c r="E422" s="319" t="s">
        <v>6175</v>
      </c>
      <c r="F422" s="323"/>
      <c r="G422" s="318">
        <v>604.0</v>
      </c>
      <c r="H422" s="319">
        <v>127.0</v>
      </c>
      <c r="I422" s="319">
        <v>500.0</v>
      </c>
      <c r="J422" s="319">
        <v>1.0</v>
      </c>
      <c r="K422" s="319">
        <v>1.0</v>
      </c>
      <c r="L422" s="319">
        <v>0.0</v>
      </c>
      <c r="M422" s="314" t="s">
        <v>1156</v>
      </c>
      <c r="N422" s="319" t="s">
        <v>46</v>
      </c>
      <c r="O422" s="319">
        <v>117.0</v>
      </c>
      <c r="P422" s="319" t="s">
        <v>29</v>
      </c>
      <c r="Q422" s="319">
        <v>0.0</v>
      </c>
    </row>
    <row r="423" ht="14.25" customHeight="1">
      <c r="A423" s="211">
        <v>34.0</v>
      </c>
      <c r="B423" s="349" t="s">
        <v>1171</v>
      </c>
      <c r="C423" s="349" t="s">
        <v>6201</v>
      </c>
      <c r="D423" s="348" t="s">
        <v>6143</v>
      </c>
      <c r="E423" s="348" t="s">
        <v>6175</v>
      </c>
      <c r="F423" s="350"/>
      <c r="G423" s="351">
        <v>50.0</v>
      </c>
      <c r="H423" s="348">
        <v>13.0</v>
      </c>
      <c r="I423" s="348">
        <v>40.0</v>
      </c>
      <c r="J423" s="348">
        <v>1.0</v>
      </c>
      <c r="K423" s="348">
        <v>1.0</v>
      </c>
      <c r="L423" s="348">
        <v>0.0</v>
      </c>
      <c r="M423" s="352" t="s">
        <v>1156</v>
      </c>
      <c r="N423" s="348" t="s">
        <v>46</v>
      </c>
      <c r="O423" s="348">
        <v>10.0</v>
      </c>
      <c r="P423" s="348" t="s">
        <v>29</v>
      </c>
      <c r="Q423" s="348">
        <v>0.0</v>
      </c>
    </row>
    <row r="424" ht="14.25" customHeight="1">
      <c r="A424" s="211">
        <v>35.0</v>
      </c>
      <c r="B424" s="317" t="s">
        <v>1171</v>
      </c>
      <c r="C424" s="317" t="s">
        <v>6202</v>
      </c>
      <c r="D424" s="319" t="s">
        <v>6143</v>
      </c>
      <c r="E424" s="319" t="s">
        <v>5724</v>
      </c>
      <c r="F424" s="323"/>
      <c r="G424" s="318">
        <v>96.0</v>
      </c>
      <c r="H424" s="319">
        <v>12.0</v>
      </c>
      <c r="I424" s="319">
        <v>50.0</v>
      </c>
      <c r="J424" s="319">
        <v>1.0</v>
      </c>
      <c r="K424" s="319">
        <v>1.0</v>
      </c>
      <c r="L424" s="319">
        <v>0.0</v>
      </c>
      <c r="M424" s="314" t="s">
        <v>1156</v>
      </c>
      <c r="N424" s="319" t="s">
        <v>46</v>
      </c>
      <c r="O424" s="319">
        <v>9.0</v>
      </c>
      <c r="P424" s="319" t="s">
        <v>29</v>
      </c>
      <c r="Q424" s="319">
        <v>0.0</v>
      </c>
    </row>
    <row r="425" ht="14.25" customHeight="1">
      <c r="A425" s="211">
        <v>36.0</v>
      </c>
      <c r="B425" s="349" t="s">
        <v>1134</v>
      </c>
      <c r="C425" s="349" t="s">
        <v>6203</v>
      </c>
      <c r="D425" s="348" t="s">
        <v>6143</v>
      </c>
      <c r="E425" s="348" t="s">
        <v>5724</v>
      </c>
      <c r="F425" s="350"/>
      <c r="G425" s="351">
        <v>30.0</v>
      </c>
      <c r="H425" s="348">
        <v>4.0</v>
      </c>
      <c r="I425" s="348">
        <v>15.0</v>
      </c>
      <c r="J425" s="348">
        <v>1.0</v>
      </c>
      <c r="K425" s="348">
        <v>1.0</v>
      </c>
      <c r="L425" s="348">
        <v>0.0</v>
      </c>
      <c r="M425" s="352" t="s">
        <v>1156</v>
      </c>
      <c r="N425" s="348" t="s">
        <v>46</v>
      </c>
      <c r="O425" s="348">
        <v>2.0</v>
      </c>
      <c r="P425" s="348" t="s">
        <v>29</v>
      </c>
      <c r="Q425" s="348">
        <v>0.0</v>
      </c>
    </row>
    <row r="426" ht="14.25" customHeight="1">
      <c r="A426" s="211">
        <v>37.0</v>
      </c>
      <c r="B426" s="317" t="s">
        <v>1319</v>
      </c>
      <c r="C426" s="317" t="s">
        <v>6204</v>
      </c>
      <c r="D426" s="319" t="s">
        <v>6143</v>
      </c>
      <c r="E426" s="319" t="s">
        <v>6175</v>
      </c>
      <c r="F426" s="323"/>
      <c r="G426" s="318">
        <v>140.0</v>
      </c>
      <c r="H426" s="319">
        <v>23.0</v>
      </c>
      <c r="I426" s="319">
        <v>70.0</v>
      </c>
      <c r="J426" s="319">
        <v>1.0</v>
      </c>
      <c r="K426" s="319">
        <v>1.0</v>
      </c>
      <c r="L426" s="319">
        <v>0.0</v>
      </c>
      <c r="M426" s="314" t="s">
        <v>1156</v>
      </c>
      <c r="N426" s="319" t="s">
        <v>46</v>
      </c>
      <c r="O426" s="319">
        <v>13.0</v>
      </c>
      <c r="P426" s="319" t="s">
        <v>29</v>
      </c>
      <c r="Q426" s="319">
        <v>0.0</v>
      </c>
    </row>
    <row r="427" ht="14.25" customHeight="1">
      <c r="A427" s="211">
        <v>38.0</v>
      </c>
      <c r="B427" s="349" t="s">
        <v>1171</v>
      </c>
      <c r="C427" s="349" t="s">
        <v>6205</v>
      </c>
      <c r="D427" s="348" t="s">
        <v>6143</v>
      </c>
      <c r="E427" s="348" t="s">
        <v>6175</v>
      </c>
      <c r="F427" s="350"/>
      <c r="G427" s="351">
        <v>120.0</v>
      </c>
      <c r="H427" s="348">
        <v>15.0</v>
      </c>
      <c r="I427" s="348">
        <v>50.0</v>
      </c>
      <c r="J427" s="348">
        <v>1.0</v>
      </c>
      <c r="K427" s="348">
        <v>1.0</v>
      </c>
      <c r="L427" s="348">
        <v>0.0</v>
      </c>
      <c r="M427" s="352" t="s">
        <v>1156</v>
      </c>
      <c r="N427" s="348" t="s">
        <v>46</v>
      </c>
      <c r="O427" s="348">
        <v>9.0</v>
      </c>
      <c r="P427" s="348" t="s">
        <v>29</v>
      </c>
      <c r="Q427" s="348">
        <v>0.0</v>
      </c>
    </row>
    <row r="428" ht="14.25" customHeight="1">
      <c r="A428" s="211">
        <v>39.0</v>
      </c>
      <c r="B428" s="317" t="s">
        <v>1171</v>
      </c>
      <c r="C428" s="317" t="s">
        <v>6206</v>
      </c>
      <c r="D428" s="319" t="s">
        <v>6143</v>
      </c>
      <c r="E428" s="319" t="s">
        <v>6175</v>
      </c>
      <c r="F428" s="323"/>
      <c r="G428" s="318">
        <v>57.14</v>
      </c>
      <c r="H428" s="319">
        <v>33.0</v>
      </c>
      <c r="I428" s="319">
        <v>150.0</v>
      </c>
      <c r="J428" s="319">
        <v>1.0</v>
      </c>
      <c r="K428" s="319">
        <v>1.0</v>
      </c>
      <c r="L428" s="319">
        <v>0.0</v>
      </c>
      <c r="M428" s="314" t="s">
        <v>1156</v>
      </c>
      <c r="N428" s="319" t="s">
        <v>46</v>
      </c>
      <c r="O428" s="319">
        <v>36.0</v>
      </c>
      <c r="P428" s="319" t="s">
        <v>29</v>
      </c>
      <c r="Q428" s="319">
        <v>0.0</v>
      </c>
    </row>
    <row r="429" ht="14.25" customHeight="1">
      <c r="A429" s="211">
        <v>40.0</v>
      </c>
      <c r="B429" s="349" t="s">
        <v>1174</v>
      </c>
      <c r="C429" s="349" t="s">
        <v>6206</v>
      </c>
      <c r="D429" s="348" t="s">
        <v>6143</v>
      </c>
      <c r="E429" s="348" t="s">
        <v>6175</v>
      </c>
      <c r="F429" s="350"/>
      <c r="G429" s="351">
        <v>30.8</v>
      </c>
      <c r="H429" s="348">
        <v>4.0</v>
      </c>
      <c r="I429" s="348">
        <v>15.0</v>
      </c>
      <c r="J429" s="348">
        <v>1.0</v>
      </c>
      <c r="K429" s="348">
        <v>1.0</v>
      </c>
      <c r="L429" s="348">
        <v>0.0</v>
      </c>
      <c r="M429" s="352" t="s">
        <v>1156</v>
      </c>
      <c r="N429" s="348" t="s">
        <v>46</v>
      </c>
      <c r="O429" s="348">
        <v>2.0</v>
      </c>
      <c r="P429" s="348" t="s">
        <v>29</v>
      </c>
      <c r="Q429" s="348">
        <v>0.0</v>
      </c>
    </row>
    <row r="430" ht="14.25" customHeight="1">
      <c r="A430" s="211">
        <v>41.0</v>
      </c>
      <c r="B430" s="317" t="s">
        <v>1171</v>
      </c>
      <c r="C430" s="317" t="s">
        <v>6207</v>
      </c>
      <c r="D430" s="319" t="s">
        <v>6143</v>
      </c>
      <c r="E430" s="319" t="s">
        <v>6175</v>
      </c>
      <c r="F430" s="323" t="s">
        <v>6167</v>
      </c>
      <c r="G430" s="318">
        <v>70.0</v>
      </c>
      <c r="H430" s="319">
        <v>11.0</v>
      </c>
      <c r="I430" s="319">
        <v>50.0</v>
      </c>
      <c r="J430" s="319">
        <v>1.0</v>
      </c>
      <c r="K430" s="319">
        <v>1.0</v>
      </c>
      <c r="L430" s="319">
        <v>0.0</v>
      </c>
      <c r="M430" s="314" t="s">
        <v>1156</v>
      </c>
      <c r="N430" s="319" t="s">
        <v>46</v>
      </c>
      <c r="O430" s="319">
        <v>8.0</v>
      </c>
      <c r="P430" s="319" t="s">
        <v>29</v>
      </c>
      <c r="Q430" s="319">
        <v>0.0</v>
      </c>
    </row>
    <row r="431" ht="14.25" customHeight="1">
      <c r="A431" s="211">
        <v>42.0</v>
      </c>
      <c r="B431" s="349" t="s">
        <v>6208</v>
      </c>
      <c r="C431" s="349" t="s">
        <v>6207</v>
      </c>
      <c r="D431" s="348" t="s">
        <v>6143</v>
      </c>
      <c r="E431" s="348" t="s">
        <v>6175</v>
      </c>
      <c r="F431" s="350" t="s">
        <v>6167</v>
      </c>
      <c r="G431" s="351">
        <v>465.0</v>
      </c>
      <c r="H431" s="348">
        <v>121.0</v>
      </c>
      <c r="I431" s="348">
        <v>565.0</v>
      </c>
      <c r="J431" s="348">
        <v>0.0</v>
      </c>
      <c r="K431" s="348">
        <v>0.0</v>
      </c>
      <c r="L431" s="348">
        <v>1.0</v>
      </c>
      <c r="M431" s="352" t="s">
        <v>1156</v>
      </c>
      <c r="N431" s="348" t="s">
        <v>46</v>
      </c>
      <c r="O431" s="348">
        <v>140.0</v>
      </c>
      <c r="P431" s="348" t="s">
        <v>29</v>
      </c>
      <c r="Q431" s="348">
        <v>0.0</v>
      </c>
    </row>
    <row r="432" ht="14.25" customHeight="1">
      <c r="A432" s="211">
        <v>43.0</v>
      </c>
      <c r="B432" s="317" t="s">
        <v>1134</v>
      </c>
      <c r="C432" s="317" t="s">
        <v>6209</v>
      </c>
      <c r="D432" s="319" t="s">
        <v>6143</v>
      </c>
      <c r="E432" s="319" t="s">
        <v>6175</v>
      </c>
      <c r="F432" s="323" t="s">
        <v>6167</v>
      </c>
      <c r="G432" s="318">
        <v>40.6</v>
      </c>
      <c r="H432" s="319">
        <v>9.0</v>
      </c>
      <c r="I432" s="319">
        <v>30.0</v>
      </c>
      <c r="J432" s="319">
        <v>1.0</v>
      </c>
      <c r="K432" s="319">
        <v>1.0</v>
      </c>
      <c r="L432" s="319">
        <v>0.0</v>
      </c>
      <c r="M432" s="314" t="s">
        <v>1156</v>
      </c>
      <c r="N432" s="319" t="s">
        <v>46</v>
      </c>
      <c r="O432" s="319">
        <v>5.0</v>
      </c>
      <c r="P432" s="319" t="s">
        <v>29</v>
      </c>
      <c r="Q432" s="319">
        <v>0.0</v>
      </c>
    </row>
    <row r="433" ht="14.25" customHeight="1">
      <c r="A433" s="211">
        <v>44.0</v>
      </c>
      <c r="B433" s="349" t="s">
        <v>1171</v>
      </c>
      <c r="C433" s="349" t="s">
        <v>6209</v>
      </c>
      <c r="D433" s="348" t="s">
        <v>6143</v>
      </c>
      <c r="E433" s="348" t="s">
        <v>6175</v>
      </c>
      <c r="F433" s="350" t="s">
        <v>6167</v>
      </c>
      <c r="G433" s="351">
        <v>94.65</v>
      </c>
      <c r="H433" s="348">
        <v>25.0</v>
      </c>
      <c r="I433" s="348">
        <v>80.0</v>
      </c>
      <c r="J433" s="348">
        <v>1.0</v>
      </c>
      <c r="K433" s="348">
        <v>1.0</v>
      </c>
      <c r="L433" s="348">
        <v>0.0</v>
      </c>
      <c r="M433" s="352" t="s">
        <v>1156</v>
      </c>
      <c r="N433" s="348" t="s">
        <v>46</v>
      </c>
      <c r="O433" s="348">
        <v>19.0</v>
      </c>
      <c r="P433" s="348" t="s">
        <v>29</v>
      </c>
      <c r="Q433" s="348">
        <v>0.0</v>
      </c>
    </row>
    <row r="434" ht="14.25" customHeight="1">
      <c r="A434" s="211">
        <v>45.0</v>
      </c>
      <c r="B434" s="317" t="s">
        <v>2300</v>
      </c>
      <c r="C434" s="317" t="s">
        <v>6210</v>
      </c>
      <c r="D434" s="319" t="s">
        <v>6143</v>
      </c>
      <c r="E434" s="319" t="s">
        <v>6175</v>
      </c>
      <c r="F434" s="323" t="s">
        <v>6167</v>
      </c>
      <c r="G434" s="318">
        <v>783.63</v>
      </c>
      <c r="H434" s="319">
        <v>108.0</v>
      </c>
      <c r="I434" s="319">
        <v>500.0</v>
      </c>
      <c r="J434" s="319">
        <v>1.0</v>
      </c>
      <c r="K434" s="319">
        <v>1.0</v>
      </c>
      <c r="L434" s="319">
        <v>0.0</v>
      </c>
      <c r="M434" s="314" t="s">
        <v>1156</v>
      </c>
      <c r="N434" s="319" t="s">
        <v>46</v>
      </c>
      <c r="O434" s="319">
        <v>77.0</v>
      </c>
      <c r="P434" s="319" t="s">
        <v>29</v>
      </c>
      <c r="Q434" s="319">
        <v>0.0</v>
      </c>
    </row>
    <row r="435" ht="14.25" customHeight="1">
      <c r="A435" s="211">
        <v>46.0</v>
      </c>
      <c r="B435" s="349" t="s">
        <v>6211</v>
      </c>
      <c r="C435" s="349" t="s">
        <v>6212</v>
      </c>
      <c r="D435" s="348" t="s">
        <v>6143</v>
      </c>
      <c r="E435" s="348" t="s">
        <v>5724</v>
      </c>
      <c r="F435" s="350" t="s">
        <v>6213</v>
      </c>
      <c r="G435" s="351">
        <v>30.0</v>
      </c>
      <c r="H435" s="348">
        <v>3.0</v>
      </c>
      <c r="I435" s="348">
        <v>15.0</v>
      </c>
      <c r="J435" s="348">
        <v>1.0</v>
      </c>
      <c r="K435" s="348">
        <v>1.0</v>
      </c>
      <c r="L435" s="348">
        <v>0.0</v>
      </c>
      <c r="M435" s="352" t="s">
        <v>1156</v>
      </c>
      <c r="N435" s="348" t="s">
        <v>46</v>
      </c>
      <c r="O435" s="348">
        <v>2.0</v>
      </c>
      <c r="P435" s="348" t="s">
        <v>29</v>
      </c>
      <c r="Q435" s="348">
        <v>0.0</v>
      </c>
    </row>
    <row r="436" ht="14.25" customHeight="1">
      <c r="A436" s="211">
        <v>47.0</v>
      </c>
      <c r="B436" s="317" t="s">
        <v>1171</v>
      </c>
      <c r="C436" s="317" t="s">
        <v>6214</v>
      </c>
      <c r="D436" s="319" t="s">
        <v>6143</v>
      </c>
      <c r="E436" s="348" t="s">
        <v>5724</v>
      </c>
      <c r="F436" s="323" t="s">
        <v>6213</v>
      </c>
      <c r="G436" s="318">
        <v>30.0</v>
      </c>
      <c r="H436" s="319">
        <v>4.0</v>
      </c>
      <c r="I436" s="319">
        <v>15.0</v>
      </c>
      <c r="J436" s="319">
        <v>1.0</v>
      </c>
      <c r="K436" s="319">
        <v>1.0</v>
      </c>
      <c r="L436" s="319">
        <v>0.0</v>
      </c>
      <c r="M436" s="314" t="s">
        <v>1156</v>
      </c>
      <c r="N436" s="319" t="s">
        <v>46</v>
      </c>
      <c r="O436" s="319">
        <v>2.0</v>
      </c>
      <c r="P436" s="319" t="s">
        <v>29</v>
      </c>
      <c r="Q436" s="319">
        <v>0.0</v>
      </c>
    </row>
    <row r="437" ht="14.25" customHeight="1">
      <c r="A437" s="211">
        <v>48.0</v>
      </c>
      <c r="B437" s="349" t="s">
        <v>1171</v>
      </c>
      <c r="C437" s="349" t="s">
        <v>6215</v>
      </c>
      <c r="D437" s="348" t="s">
        <v>6143</v>
      </c>
      <c r="E437" s="348" t="s">
        <v>5724</v>
      </c>
      <c r="F437" s="350" t="s">
        <v>6213</v>
      </c>
      <c r="G437" s="351">
        <v>50.0</v>
      </c>
      <c r="H437" s="348">
        <v>3.0</v>
      </c>
      <c r="I437" s="348">
        <v>10.0</v>
      </c>
      <c r="J437" s="348">
        <v>1.0</v>
      </c>
      <c r="K437" s="348">
        <v>1.0</v>
      </c>
      <c r="L437" s="348">
        <v>0.0</v>
      </c>
      <c r="M437" s="352" t="s">
        <v>1156</v>
      </c>
      <c r="N437" s="348" t="s">
        <v>46</v>
      </c>
      <c r="O437" s="348">
        <v>2.0</v>
      </c>
      <c r="P437" s="348" t="s">
        <v>29</v>
      </c>
      <c r="Q437" s="348">
        <v>0.0</v>
      </c>
    </row>
    <row r="438" ht="14.25" customHeight="1">
      <c r="A438" s="211">
        <v>49.0</v>
      </c>
      <c r="B438" s="317" t="s">
        <v>6216</v>
      </c>
      <c r="C438" s="317" t="s">
        <v>6217</v>
      </c>
      <c r="D438" s="319" t="s">
        <v>6143</v>
      </c>
      <c r="E438" s="348" t="s">
        <v>5724</v>
      </c>
      <c r="F438" s="323"/>
      <c r="G438" s="318">
        <v>50.0</v>
      </c>
      <c r="H438" s="319">
        <v>3.0</v>
      </c>
      <c r="I438" s="319">
        <v>15.0</v>
      </c>
      <c r="J438" s="319">
        <v>1.0</v>
      </c>
      <c r="K438" s="319">
        <v>1.0</v>
      </c>
      <c r="L438" s="319">
        <v>0.0</v>
      </c>
      <c r="M438" s="314" t="s">
        <v>1156</v>
      </c>
      <c r="N438" s="319" t="s">
        <v>46</v>
      </c>
      <c r="O438" s="319">
        <v>3.0</v>
      </c>
      <c r="P438" s="319" t="s">
        <v>29</v>
      </c>
      <c r="Q438" s="319">
        <v>0.0</v>
      </c>
    </row>
    <row r="439" ht="14.25" customHeight="1">
      <c r="A439" s="211">
        <v>50.0</v>
      </c>
      <c r="B439" s="349" t="s">
        <v>6218</v>
      </c>
      <c r="C439" s="349" t="s">
        <v>6219</v>
      </c>
      <c r="D439" s="348" t="s">
        <v>6143</v>
      </c>
      <c r="E439" s="348" t="s">
        <v>5724</v>
      </c>
      <c r="F439" s="350"/>
      <c r="G439" s="351">
        <v>700.0</v>
      </c>
      <c r="H439" s="348">
        <v>83.0</v>
      </c>
      <c r="I439" s="348">
        <v>300.0</v>
      </c>
      <c r="J439" s="348">
        <v>1.0</v>
      </c>
      <c r="K439" s="348">
        <v>1.0</v>
      </c>
      <c r="L439" s="348">
        <v>0.0</v>
      </c>
      <c r="M439" s="352" t="s">
        <v>1156</v>
      </c>
      <c r="N439" s="348" t="s">
        <v>46</v>
      </c>
      <c r="O439" s="348">
        <v>70.0</v>
      </c>
      <c r="P439" s="348" t="s">
        <v>29</v>
      </c>
      <c r="Q439" s="348">
        <v>0.0</v>
      </c>
    </row>
    <row r="440" ht="14.25" customHeight="1">
      <c r="A440" s="211">
        <v>51.0</v>
      </c>
      <c r="B440" s="317" t="s">
        <v>6220</v>
      </c>
      <c r="C440" s="317" t="s">
        <v>6221</v>
      </c>
      <c r="D440" s="319" t="s">
        <v>6143</v>
      </c>
      <c r="E440" s="319" t="s">
        <v>5724</v>
      </c>
      <c r="F440" s="323"/>
      <c r="G440" s="318">
        <v>165.0</v>
      </c>
      <c r="H440" s="319">
        <v>17.0</v>
      </c>
      <c r="I440" s="319">
        <v>75.0</v>
      </c>
      <c r="J440" s="319">
        <v>1.0</v>
      </c>
      <c r="K440" s="319">
        <v>1.0</v>
      </c>
      <c r="L440" s="319">
        <v>0.0</v>
      </c>
      <c r="M440" s="314" t="s">
        <v>1156</v>
      </c>
      <c r="N440" s="319" t="s">
        <v>46</v>
      </c>
      <c r="O440" s="319">
        <v>14.0</v>
      </c>
      <c r="P440" s="319" t="s">
        <v>29</v>
      </c>
      <c r="Q440" s="319">
        <v>0.0</v>
      </c>
    </row>
    <row r="441" ht="14.25" customHeight="1">
      <c r="A441" s="211">
        <v>52.0</v>
      </c>
      <c r="B441" s="349" t="s">
        <v>6222</v>
      </c>
      <c r="C441" s="349" t="s">
        <v>6223</v>
      </c>
      <c r="D441" s="348" t="s">
        <v>6143</v>
      </c>
      <c r="E441" s="348" t="s">
        <v>5724</v>
      </c>
      <c r="F441" s="350"/>
      <c r="G441" s="351">
        <v>20.0</v>
      </c>
      <c r="H441" s="348">
        <v>6.0</v>
      </c>
      <c r="I441" s="348">
        <v>30.0</v>
      </c>
      <c r="J441" s="348">
        <v>1.0</v>
      </c>
      <c r="K441" s="348">
        <v>1.0</v>
      </c>
      <c r="L441" s="348">
        <v>0.0</v>
      </c>
      <c r="M441" s="352" t="s">
        <v>1156</v>
      </c>
      <c r="N441" s="348" t="s">
        <v>46</v>
      </c>
      <c r="O441" s="348">
        <v>5.0</v>
      </c>
      <c r="P441" s="348" t="s">
        <v>29</v>
      </c>
      <c r="Q441" s="348">
        <v>0.0</v>
      </c>
    </row>
    <row r="442" ht="14.25" customHeight="1">
      <c r="A442" s="211">
        <v>53.0</v>
      </c>
      <c r="B442" s="317" t="s">
        <v>6224</v>
      </c>
      <c r="C442" s="317" t="s">
        <v>6225</v>
      </c>
      <c r="D442" s="319" t="s">
        <v>6143</v>
      </c>
      <c r="E442" s="348" t="s">
        <v>5724</v>
      </c>
      <c r="F442" s="323"/>
      <c r="G442" s="318">
        <v>1000.0</v>
      </c>
      <c r="H442" s="319">
        <v>20.0</v>
      </c>
      <c r="I442" s="319">
        <v>100.0</v>
      </c>
      <c r="J442" s="319">
        <v>1.0</v>
      </c>
      <c r="K442" s="319">
        <v>1.0</v>
      </c>
      <c r="L442" s="319">
        <v>0.0</v>
      </c>
      <c r="M442" s="314" t="s">
        <v>1156</v>
      </c>
      <c r="N442" s="319" t="s">
        <v>46</v>
      </c>
      <c r="O442" s="319">
        <v>20.0</v>
      </c>
      <c r="P442" s="319" t="s">
        <v>29</v>
      </c>
      <c r="Q442" s="319">
        <v>0.0</v>
      </c>
    </row>
    <row r="443" ht="14.25" customHeight="1">
      <c r="A443" s="211">
        <v>54.0</v>
      </c>
      <c r="B443" s="291" t="s">
        <v>6226</v>
      </c>
      <c r="C443" s="291" t="s">
        <v>6227</v>
      </c>
      <c r="D443" s="216" t="s">
        <v>6143</v>
      </c>
      <c r="E443" s="348" t="s">
        <v>57</v>
      </c>
      <c r="F443" s="335"/>
      <c r="G443" s="336" t="s">
        <v>6228</v>
      </c>
      <c r="H443" s="216">
        <v>5.0</v>
      </c>
      <c r="I443" s="216">
        <v>20.0</v>
      </c>
      <c r="J443" s="216">
        <v>1.0</v>
      </c>
      <c r="K443" s="216">
        <v>1.0</v>
      </c>
      <c r="L443" s="216">
        <v>0.0</v>
      </c>
      <c r="M443" s="133" t="s">
        <v>1156</v>
      </c>
      <c r="N443" s="216" t="s">
        <v>46</v>
      </c>
      <c r="O443" s="216">
        <v>20.0</v>
      </c>
      <c r="P443" s="216" t="s">
        <v>29</v>
      </c>
      <c r="Q443" s="216">
        <v>0.0</v>
      </c>
    </row>
    <row r="444" ht="14.25" customHeight="1">
      <c r="A444" s="211">
        <v>55.0</v>
      </c>
      <c r="B444" s="291" t="s">
        <v>6229</v>
      </c>
      <c r="C444" s="291" t="s">
        <v>6230</v>
      </c>
      <c r="D444" s="216" t="s">
        <v>6143</v>
      </c>
      <c r="E444" s="348" t="s">
        <v>57</v>
      </c>
      <c r="F444" s="335"/>
      <c r="G444" s="336">
        <v>50.0</v>
      </c>
      <c r="H444" s="216">
        <v>10.0</v>
      </c>
      <c r="I444" s="216">
        <v>30.0</v>
      </c>
      <c r="J444" s="216">
        <v>1.0</v>
      </c>
      <c r="K444" s="216">
        <v>1.0</v>
      </c>
      <c r="L444" s="216">
        <v>0.0</v>
      </c>
      <c r="M444" s="133" t="s">
        <v>1156</v>
      </c>
      <c r="N444" s="216" t="s">
        <v>6231</v>
      </c>
      <c r="O444" s="216">
        <v>5.0</v>
      </c>
      <c r="P444" s="216" t="s">
        <v>29</v>
      </c>
      <c r="Q444" s="216">
        <v>0.0</v>
      </c>
    </row>
    <row r="445" ht="14.25" customHeight="1">
      <c r="A445" s="211">
        <v>56.0</v>
      </c>
      <c r="B445" s="291" t="s">
        <v>1171</v>
      </c>
      <c r="C445" s="291" t="s">
        <v>6189</v>
      </c>
      <c r="D445" s="216" t="s">
        <v>6143</v>
      </c>
      <c r="E445" s="216" t="s">
        <v>6175</v>
      </c>
      <c r="F445" s="335" t="s">
        <v>6167</v>
      </c>
      <c r="G445" s="369"/>
      <c r="H445" s="216">
        <v>25.0</v>
      </c>
      <c r="I445" s="216">
        <v>100.0</v>
      </c>
      <c r="J445" s="216">
        <v>1.0</v>
      </c>
      <c r="K445" s="216">
        <v>1.0</v>
      </c>
      <c r="L445" s="216">
        <v>0.0</v>
      </c>
      <c r="M445" s="133" t="s">
        <v>1156</v>
      </c>
      <c r="N445" s="216" t="s">
        <v>46</v>
      </c>
      <c r="O445" s="216">
        <v>8.0</v>
      </c>
      <c r="P445" s="216" t="s">
        <v>29</v>
      </c>
      <c r="Q445" s="216">
        <v>0.0</v>
      </c>
    </row>
    <row r="446" ht="14.25" customHeight="1">
      <c r="A446" s="211">
        <v>57.0</v>
      </c>
      <c r="B446" s="291" t="s">
        <v>1171</v>
      </c>
      <c r="C446" s="291" t="s">
        <v>6232</v>
      </c>
      <c r="D446" s="216" t="s">
        <v>6143</v>
      </c>
      <c r="E446" s="216" t="s">
        <v>6233</v>
      </c>
      <c r="F446" s="335"/>
      <c r="G446" s="369"/>
      <c r="H446" s="216">
        <v>3.0</v>
      </c>
      <c r="I446" s="216">
        <v>15.0</v>
      </c>
      <c r="J446" s="216">
        <v>1.0</v>
      </c>
      <c r="K446" s="216">
        <v>1.0</v>
      </c>
      <c r="L446" s="216">
        <v>0.0</v>
      </c>
      <c r="M446" s="133" t="s">
        <v>1156</v>
      </c>
      <c r="N446" s="216" t="s">
        <v>46</v>
      </c>
      <c r="O446" s="216">
        <v>5.0</v>
      </c>
      <c r="P446" s="216" t="s">
        <v>29</v>
      </c>
      <c r="Q446" s="216">
        <v>0.0</v>
      </c>
    </row>
    <row r="447" ht="14.25" customHeight="1">
      <c r="A447" s="211">
        <v>58.0</v>
      </c>
      <c r="B447" s="291" t="s">
        <v>6234</v>
      </c>
      <c r="C447" s="291" t="s">
        <v>6235</v>
      </c>
      <c r="D447" s="216" t="s">
        <v>6143</v>
      </c>
      <c r="E447" s="216" t="s">
        <v>6175</v>
      </c>
      <c r="F447" s="335"/>
      <c r="G447" s="336" t="s">
        <v>6236</v>
      </c>
      <c r="H447" s="216">
        <v>5.0</v>
      </c>
      <c r="I447" s="216">
        <v>20.0</v>
      </c>
      <c r="J447" s="216">
        <v>1.0</v>
      </c>
      <c r="K447" s="216">
        <v>1.0</v>
      </c>
      <c r="L447" s="216">
        <v>0.0</v>
      </c>
      <c r="M447" s="133" t="s">
        <v>1156</v>
      </c>
      <c r="N447" s="216" t="s">
        <v>46</v>
      </c>
      <c r="O447" s="216">
        <v>10.0</v>
      </c>
      <c r="P447" s="216" t="s">
        <v>29</v>
      </c>
      <c r="Q447" s="216">
        <v>0.0</v>
      </c>
    </row>
    <row r="448" ht="14.25" customHeight="1">
      <c r="A448" s="211">
        <v>59.0</v>
      </c>
      <c r="B448" s="291" t="s">
        <v>6237</v>
      </c>
      <c r="C448" s="291" t="s">
        <v>6238</v>
      </c>
      <c r="D448" s="216" t="s">
        <v>6143</v>
      </c>
      <c r="E448" s="216" t="s">
        <v>6175</v>
      </c>
      <c r="F448" s="335"/>
      <c r="G448" s="336" t="s">
        <v>6239</v>
      </c>
      <c r="H448" s="216">
        <v>3.0</v>
      </c>
      <c r="I448" s="216">
        <v>15.0</v>
      </c>
      <c r="J448" s="216">
        <v>1.0</v>
      </c>
      <c r="K448" s="216">
        <v>1.0</v>
      </c>
      <c r="L448" s="216">
        <v>0.0</v>
      </c>
      <c r="M448" s="133" t="s">
        <v>1156</v>
      </c>
      <c r="N448" s="216" t="s">
        <v>46</v>
      </c>
      <c r="O448" s="216">
        <v>2.0</v>
      </c>
      <c r="P448" s="216" t="s">
        <v>29</v>
      </c>
      <c r="Q448" s="216">
        <v>0.0</v>
      </c>
    </row>
    <row r="449" ht="14.25" customHeight="1">
      <c r="A449" s="211">
        <v>60.0</v>
      </c>
      <c r="B449" s="291" t="s">
        <v>6240</v>
      </c>
      <c r="C449" s="291" t="s">
        <v>6241</v>
      </c>
      <c r="D449" s="216" t="s">
        <v>6143</v>
      </c>
      <c r="E449" s="216" t="s">
        <v>6175</v>
      </c>
      <c r="F449" s="335" t="s">
        <v>6167</v>
      </c>
      <c r="G449" s="336" t="s">
        <v>6242</v>
      </c>
      <c r="H449" s="216">
        <v>2.0</v>
      </c>
      <c r="I449" s="216">
        <v>10.0</v>
      </c>
      <c r="J449" s="216">
        <v>1.0</v>
      </c>
      <c r="K449" s="216">
        <v>1.0</v>
      </c>
      <c r="L449" s="216">
        <v>0.0</v>
      </c>
      <c r="M449" s="133" t="s">
        <v>1156</v>
      </c>
      <c r="N449" s="216" t="s">
        <v>46</v>
      </c>
      <c r="O449" s="216">
        <v>3.0</v>
      </c>
      <c r="P449" s="216" t="s">
        <v>29</v>
      </c>
      <c r="Q449" s="216">
        <v>0.0</v>
      </c>
    </row>
    <row r="450" ht="14.25" customHeight="1">
      <c r="A450" s="211">
        <v>61.0</v>
      </c>
      <c r="B450" s="291" t="s">
        <v>6243</v>
      </c>
      <c r="C450" s="291" t="s">
        <v>6244</v>
      </c>
      <c r="D450" s="216" t="s">
        <v>6143</v>
      </c>
      <c r="E450" s="216" t="s">
        <v>6175</v>
      </c>
      <c r="F450" s="335"/>
      <c r="G450" s="336" t="s">
        <v>6245</v>
      </c>
      <c r="H450" s="216">
        <v>2.0</v>
      </c>
      <c r="I450" s="216">
        <v>10.0</v>
      </c>
      <c r="J450" s="216">
        <v>1.0</v>
      </c>
      <c r="K450" s="216">
        <v>1.0</v>
      </c>
      <c r="L450" s="216">
        <v>0.0</v>
      </c>
      <c r="M450" s="133" t="s">
        <v>1156</v>
      </c>
      <c r="N450" s="216" t="s">
        <v>46</v>
      </c>
      <c r="O450" s="216">
        <v>4.0</v>
      </c>
      <c r="P450" s="216" t="s">
        <v>29</v>
      </c>
      <c r="Q450" s="216">
        <v>0.0</v>
      </c>
    </row>
    <row r="451" ht="14.25" customHeight="1">
      <c r="A451" s="211">
        <v>62.0</v>
      </c>
      <c r="B451" s="291" t="s">
        <v>6246</v>
      </c>
      <c r="C451" s="291" t="s">
        <v>6247</v>
      </c>
      <c r="D451" s="216" t="s">
        <v>6143</v>
      </c>
      <c r="E451" s="216" t="s">
        <v>6175</v>
      </c>
      <c r="F451" s="335"/>
      <c r="G451" s="336" t="s">
        <v>6248</v>
      </c>
      <c r="H451" s="216">
        <v>2.0</v>
      </c>
      <c r="I451" s="216">
        <v>10.0</v>
      </c>
      <c r="J451" s="216">
        <v>1.0</v>
      </c>
      <c r="K451" s="216">
        <v>1.0</v>
      </c>
      <c r="L451" s="216">
        <v>0.0</v>
      </c>
      <c r="M451" s="133" t="s">
        <v>1156</v>
      </c>
      <c r="N451" s="216" t="s">
        <v>46</v>
      </c>
      <c r="O451" s="216">
        <v>3.0</v>
      </c>
      <c r="P451" s="216" t="s">
        <v>29</v>
      </c>
      <c r="Q451" s="216">
        <v>0.0</v>
      </c>
    </row>
    <row r="452" ht="14.25" customHeight="1">
      <c r="A452" s="211">
        <v>63.0</v>
      </c>
      <c r="B452" s="291" t="s">
        <v>6249</v>
      </c>
      <c r="C452" s="291" t="s">
        <v>6250</v>
      </c>
      <c r="D452" s="216" t="s">
        <v>6143</v>
      </c>
      <c r="E452" s="216" t="s">
        <v>5724</v>
      </c>
      <c r="F452" s="335"/>
      <c r="G452" s="336" t="s">
        <v>6251</v>
      </c>
      <c r="H452" s="216">
        <v>2.0</v>
      </c>
      <c r="I452" s="216">
        <v>10.0</v>
      </c>
      <c r="J452" s="216">
        <v>1.0</v>
      </c>
      <c r="K452" s="216">
        <v>1.0</v>
      </c>
      <c r="L452" s="216">
        <v>0.0</v>
      </c>
      <c r="M452" s="133" t="s">
        <v>1156</v>
      </c>
      <c r="N452" s="216" t="s">
        <v>46</v>
      </c>
      <c r="O452" s="216">
        <v>0.0</v>
      </c>
      <c r="P452" s="216" t="s">
        <v>29</v>
      </c>
      <c r="Q452" s="216">
        <v>0.0</v>
      </c>
    </row>
    <row r="453" ht="14.25" customHeight="1">
      <c r="A453" s="211">
        <v>64.0</v>
      </c>
      <c r="B453" s="291" t="s">
        <v>6252</v>
      </c>
      <c r="C453" s="291" t="s">
        <v>6253</v>
      </c>
      <c r="D453" s="216" t="s">
        <v>6143</v>
      </c>
      <c r="E453" s="216" t="s">
        <v>6175</v>
      </c>
      <c r="F453" s="335" t="s">
        <v>6167</v>
      </c>
      <c r="G453" s="336" t="s">
        <v>6254</v>
      </c>
      <c r="H453" s="216">
        <v>3.0</v>
      </c>
      <c r="I453" s="216">
        <v>15.0</v>
      </c>
      <c r="J453" s="216">
        <v>1.0</v>
      </c>
      <c r="K453" s="216">
        <v>1.0</v>
      </c>
      <c r="L453" s="216">
        <v>0.0</v>
      </c>
      <c r="M453" s="133" t="s">
        <v>1156</v>
      </c>
      <c r="N453" s="216" t="s">
        <v>46</v>
      </c>
      <c r="O453" s="216">
        <v>5.0</v>
      </c>
      <c r="P453" s="216" t="s">
        <v>29</v>
      </c>
      <c r="Q453" s="216">
        <v>0.0</v>
      </c>
    </row>
    <row r="454" ht="14.25" customHeight="1">
      <c r="A454" s="211">
        <v>65.0</v>
      </c>
      <c r="B454" s="291" t="s">
        <v>6255</v>
      </c>
      <c r="C454" s="291" t="s">
        <v>6256</v>
      </c>
      <c r="D454" s="216" t="s">
        <v>6143</v>
      </c>
      <c r="E454" s="216" t="s">
        <v>6175</v>
      </c>
      <c r="F454" s="335" t="s">
        <v>6257</v>
      </c>
      <c r="G454" s="369" t="s">
        <v>6258</v>
      </c>
      <c r="H454" s="216">
        <v>2.0</v>
      </c>
      <c r="I454" s="216">
        <v>10.0</v>
      </c>
      <c r="J454" s="216">
        <v>1.0</v>
      </c>
      <c r="K454" s="216">
        <v>1.0</v>
      </c>
      <c r="L454" s="216">
        <v>0.0</v>
      </c>
      <c r="M454" s="133" t="s">
        <v>1156</v>
      </c>
      <c r="N454" s="216" t="s">
        <v>46</v>
      </c>
      <c r="O454" s="216">
        <v>5.0</v>
      </c>
      <c r="P454" s="216" t="s">
        <v>29</v>
      </c>
      <c r="Q454" s="216">
        <v>0.0</v>
      </c>
    </row>
    <row r="455" ht="14.25" customHeight="1">
      <c r="A455" s="211">
        <v>66.0</v>
      </c>
      <c r="B455" s="291" t="s">
        <v>6259</v>
      </c>
      <c r="C455" s="291" t="s">
        <v>6256</v>
      </c>
      <c r="D455" s="216" t="s">
        <v>6143</v>
      </c>
      <c r="E455" s="216" t="s">
        <v>6175</v>
      </c>
      <c r="F455" s="335" t="s">
        <v>6260</v>
      </c>
      <c r="G455" s="369" t="s">
        <v>6261</v>
      </c>
      <c r="H455" s="216">
        <v>2.0</v>
      </c>
      <c r="I455" s="216">
        <v>10.0</v>
      </c>
      <c r="J455" s="216">
        <v>1.0</v>
      </c>
      <c r="K455" s="216">
        <v>1.0</v>
      </c>
      <c r="L455" s="216">
        <v>0.0</v>
      </c>
      <c r="M455" s="133" t="s">
        <v>1156</v>
      </c>
      <c r="N455" s="216" t="s">
        <v>46</v>
      </c>
      <c r="O455" s="216">
        <v>5.0</v>
      </c>
      <c r="P455" s="216" t="s">
        <v>29</v>
      </c>
      <c r="Q455" s="216">
        <v>0.0</v>
      </c>
    </row>
    <row r="456" ht="14.25" customHeight="1">
      <c r="A456" s="211">
        <v>67.0</v>
      </c>
      <c r="B456" s="291" t="s">
        <v>6262</v>
      </c>
      <c r="C456" s="291" t="s">
        <v>6263</v>
      </c>
      <c r="D456" s="216" t="s">
        <v>6143</v>
      </c>
      <c r="E456" s="216" t="s">
        <v>6175</v>
      </c>
      <c r="F456" s="335"/>
      <c r="G456" s="369" t="s">
        <v>6264</v>
      </c>
      <c r="H456" s="216">
        <v>2.0</v>
      </c>
      <c r="I456" s="216">
        <v>10.0</v>
      </c>
      <c r="J456" s="216">
        <v>1.0</v>
      </c>
      <c r="K456" s="216">
        <v>1.0</v>
      </c>
      <c r="L456" s="216">
        <v>0.0</v>
      </c>
      <c r="M456" s="133" t="s">
        <v>1156</v>
      </c>
      <c r="N456" s="216" t="s">
        <v>46</v>
      </c>
      <c r="O456" s="216">
        <v>5.0</v>
      </c>
      <c r="P456" s="216" t="s">
        <v>29</v>
      </c>
      <c r="Q456" s="216">
        <v>0.0</v>
      </c>
    </row>
    <row r="457" ht="14.25" customHeight="1">
      <c r="A457" s="211">
        <v>68.0</v>
      </c>
      <c r="B457" s="291" t="s">
        <v>6265</v>
      </c>
      <c r="C457" s="291" t="s">
        <v>6266</v>
      </c>
      <c r="D457" s="216" t="s">
        <v>6143</v>
      </c>
      <c r="E457" s="216" t="s">
        <v>6175</v>
      </c>
      <c r="F457" s="335"/>
      <c r="G457" s="336" t="s">
        <v>6267</v>
      </c>
      <c r="H457" s="216">
        <v>3.0</v>
      </c>
      <c r="I457" s="216">
        <v>15.0</v>
      </c>
      <c r="J457" s="216">
        <v>1.0</v>
      </c>
      <c r="K457" s="216">
        <v>1.0</v>
      </c>
      <c r="L457" s="216">
        <v>0.0</v>
      </c>
      <c r="M457" s="133" t="s">
        <v>1156</v>
      </c>
      <c r="N457" s="216" t="s">
        <v>46</v>
      </c>
      <c r="O457" s="216">
        <v>6.0</v>
      </c>
      <c r="P457" s="216" t="s">
        <v>29</v>
      </c>
      <c r="Q457" s="216">
        <v>0.0</v>
      </c>
    </row>
    <row r="458" ht="14.25" customHeight="1">
      <c r="A458" s="211">
        <v>69.0</v>
      </c>
      <c r="B458" s="291" t="s">
        <v>6268</v>
      </c>
      <c r="C458" s="291" t="s">
        <v>6269</v>
      </c>
      <c r="D458" s="216" t="s">
        <v>6143</v>
      </c>
      <c r="E458" s="216" t="s">
        <v>5724</v>
      </c>
      <c r="F458" s="335"/>
      <c r="G458" s="336" t="s">
        <v>6270</v>
      </c>
      <c r="H458" s="216">
        <v>2.0</v>
      </c>
      <c r="I458" s="216">
        <v>10.0</v>
      </c>
      <c r="J458" s="216">
        <v>1.0</v>
      </c>
      <c r="K458" s="216">
        <v>1.0</v>
      </c>
      <c r="L458" s="216">
        <v>0.0</v>
      </c>
      <c r="M458" s="133" t="s">
        <v>1156</v>
      </c>
      <c r="N458" s="216" t="s">
        <v>46</v>
      </c>
      <c r="O458" s="216">
        <v>5.0</v>
      </c>
      <c r="P458" s="216" t="s">
        <v>29</v>
      </c>
      <c r="Q458" s="216">
        <v>0.0</v>
      </c>
    </row>
    <row r="459" ht="14.25" customHeight="1">
      <c r="A459" s="211">
        <v>70.0</v>
      </c>
      <c r="B459" s="291" t="s">
        <v>6271</v>
      </c>
      <c r="C459" s="291" t="s">
        <v>6272</v>
      </c>
      <c r="D459" s="216" t="s">
        <v>6143</v>
      </c>
      <c r="E459" s="216" t="s">
        <v>5724</v>
      </c>
      <c r="F459" s="335"/>
      <c r="G459" s="336" t="s">
        <v>6273</v>
      </c>
      <c r="H459" s="216">
        <v>3.0</v>
      </c>
      <c r="I459" s="216">
        <v>15.0</v>
      </c>
      <c r="J459" s="216">
        <v>1.0</v>
      </c>
      <c r="K459" s="216">
        <v>1.0</v>
      </c>
      <c r="L459" s="216">
        <v>0.0</v>
      </c>
      <c r="M459" s="133" t="s">
        <v>1156</v>
      </c>
      <c r="N459" s="216" t="s">
        <v>46</v>
      </c>
      <c r="O459" s="216">
        <v>5.0</v>
      </c>
      <c r="P459" s="216" t="s">
        <v>29</v>
      </c>
      <c r="Q459" s="216">
        <v>0.0</v>
      </c>
    </row>
    <row r="460" ht="14.25" customHeight="1">
      <c r="A460" s="211">
        <v>71.0</v>
      </c>
      <c r="B460" s="291" t="s">
        <v>6274</v>
      </c>
      <c r="C460" s="291" t="s">
        <v>6275</v>
      </c>
      <c r="D460" s="216" t="s">
        <v>6143</v>
      </c>
      <c r="E460" s="216" t="s">
        <v>5724</v>
      </c>
      <c r="F460" s="335"/>
      <c r="G460" s="369" t="s">
        <v>6276</v>
      </c>
      <c r="H460" s="216">
        <v>5.0</v>
      </c>
      <c r="I460" s="216">
        <v>20.0</v>
      </c>
      <c r="J460" s="216">
        <v>1.0</v>
      </c>
      <c r="K460" s="216">
        <v>1.0</v>
      </c>
      <c r="L460" s="216">
        <v>0.0</v>
      </c>
      <c r="M460" s="133" t="s">
        <v>1156</v>
      </c>
      <c r="N460" s="216" t="s">
        <v>46</v>
      </c>
      <c r="O460" s="216">
        <v>20.0</v>
      </c>
      <c r="P460" s="216" t="s">
        <v>29</v>
      </c>
      <c r="Q460" s="216">
        <v>0.0</v>
      </c>
    </row>
    <row r="461" ht="14.25" customHeight="1">
      <c r="A461" s="211">
        <v>72.0</v>
      </c>
      <c r="B461" s="291" t="s">
        <v>6277</v>
      </c>
      <c r="C461" s="291" t="s">
        <v>6278</v>
      </c>
      <c r="D461" s="216" t="s">
        <v>6143</v>
      </c>
      <c r="E461" s="216" t="s">
        <v>6175</v>
      </c>
      <c r="F461" s="335" t="s">
        <v>6167</v>
      </c>
      <c r="G461" s="369" t="s">
        <v>6279</v>
      </c>
      <c r="H461" s="216">
        <v>1.0</v>
      </c>
      <c r="I461" s="216">
        <v>5.0</v>
      </c>
      <c r="J461" s="216">
        <v>0.0</v>
      </c>
      <c r="K461" s="216">
        <v>0.0</v>
      </c>
      <c r="L461" s="216">
        <v>1.0</v>
      </c>
      <c r="M461" s="133" t="s">
        <v>1156</v>
      </c>
      <c r="N461" s="216" t="s">
        <v>46</v>
      </c>
      <c r="O461" s="216">
        <v>5.0</v>
      </c>
      <c r="P461" s="216" t="s">
        <v>29</v>
      </c>
      <c r="Q461" s="216">
        <v>0.0</v>
      </c>
    </row>
    <row r="462" ht="14.25" customHeight="1">
      <c r="A462" s="211">
        <v>73.0</v>
      </c>
      <c r="B462" s="291" t="s">
        <v>6280</v>
      </c>
      <c r="C462" s="291" t="s">
        <v>6281</v>
      </c>
      <c r="D462" s="216" t="s">
        <v>6143</v>
      </c>
      <c r="E462" s="216" t="s">
        <v>5724</v>
      </c>
      <c r="F462" s="335" t="s">
        <v>6213</v>
      </c>
      <c r="G462" s="336" t="s">
        <v>6282</v>
      </c>
      <c r="H462" s="216">
        <v>1.0</v>
      </c>
      <c r="I462" s="216">
        <v>5.0</v>
      </c>
      <c r="J462" s="216">
        <v>1.0</v>
      </c>
      <c r="K462" s="216">
        <v>1.0</v>
      </c>
      <c r="L462" s="216">
        <v>0.0</v>
      </c>
      <c r="M462" s="133" t="s">
        <v>1156</v>
      </c>
      <c r="N462" s="216" t="s">
        <v>46</v>
      </c>
      <c r="O462" s="216">
        <v>5.0</v>
      </c>
      <c r="P462" s="216" t="s">
        <v>29</v>
      </c>
      <c r="Q462" s="216">
        <v>0.0</v>
      </c>
    </row>
    <row r="463" ht="14.25" customHeight="1">
      <c r="A463" s="211">
        <v>74.0</v>
      </c>
      <c r="B463" s="154" t="s">
        <v>6283</v>
      </c>
      <c r="C463" s="291" t="s">
        <v>6281</v>
      </c>
      <c r="D463" s="216" t="s">
        <v>6143</v>
      </c>
      <c r="E463" s="216" t="s">
        <v>5724</v>
      </c>
      <c r="F463" s="335" t="s">
        <v>6213</v>
      </c>
      <c r="G463" s="336" t="s">
        <v>6284</v>
      </c>
      <c r="H463" s="216">
        <v>1.0</v>
      </c>
      <c r="I463" s="216">
        <v>5.0</v>
      </c>
      <c r="J463" s="216">
        <v>1.0</v>
      </c>
      <c r="K463" s="216">
        <v>1.0</v>
      </c>
      <c r="L463" s="216">
        <v>0.0</v>
      </c>
      <c r="M463" s="133" t="s">
        <v>1156</v>
      </c>
      <c r="N463" s="216" t="s">
        <v>46</v>
      </c>
      <c r="O463" s="216">
        <v>3.0</v>
      </c>
      <c r="P463" s="216" t="s">
        <v>29</v>
      </c>
      <c r="Q463" s="216">
        <v>0.0</v>
      </c>
    </row>
    <row r="464" ht="14.25" customHeight="1">
      <c r="A464" s="211">
        <v>75.0</v>
      </c>
      <c r="B464" s="291" t="s">
        <v>6285</v>
      </c>
      <c r="C464" s="291" t="s">
        <v>6286</v>
      </c>
      <c r="D464" s="216" t="s">
        <v>6143</v>
      </c>
      <c r="E464" s="216" t="s">
        <v>5724</v>
      </c>
      <c r="F464" s="335" t="s">
        <v>6213</v>
      </c>
      <c r="G464" s="336" t="s">
        <v>6287</v>
      </c>
      <c r="H464" s="216">
        <v>2.0</v>
      </c>
      <c r="I464" s="216">
        <v>10.0</v>
      </c>
      <c r="J464" s="216">
        <v>1.0</v>
      </c>
      <c r="K464" s="216">
        <v>1.0</v>
      </c>
      <c r="L464" s="216">
        <v>0.0</v>
      </c>
      <c r="M464" s="133" t="s">
        <v>1156</v>
      </c>
      <c r="N464" s="216" t="s">
        <v>46</v>
      </c>
      <c r="O464" s="216">
        <v>5.0</v>
      </c>
      <c r="P464" s="216" t="s">
        <v>29</v>
      </c>
      <c r="Q464" s="216">
        <v>0.0</v>
      </c>
    </row>
    <row r="465" ht="14.25" customHeight="1">
      <c r="A465" s="211">
        <v>76.0</v>
      </c>
      <c r="B465" s="291" t="s">
        <v>6288</v>
      </c>
      <c r="C465" s="154" t="s">
        <v>6289</v>
      </c>
      <c r="D465" s="216" t="s">
        <v>6143</v>
      </c>
      <c r="E465" s="216" t="s">
        <v>5724</v>
      </c>
      <c r="F465" s="335" t="s">
        <v>6213</v>
      </c>
      <c r="G465" s="369" t="s">
        <v>6290</v>
      </c>
      <c r="H465" s="216">
        <v>2.0</v>
      </c>
      <c r="I465" s="216">
        <v>10.0</v>
      </c>
      <c r="J465" s="216">
        <v>0.0</v>
      </c>
      <c r="K465" s="216">
        <v>0.0</v>
      </c>
      <c r="L465" s="216">
        <v>1.0</v>
      </c>
      <c r="M465" s="133" t="s">
        <v>1156</v>
      </c>
      <c r="N465" s="216" t="s">
        <v>46</v>
      </c>
      <c r="O465" s="216">
        <v>3.0</v>
      </c>
      <c r="P465" s="216" t="s">
        <v>29</v>
      </c>
      <c r="Q465" s="216">
        <v>0.0</v>
      </c>
    </row>
    <row r="466" ht="14.25" customHeight="1">
      <c r="A466" s="211">
        <v>77.0</v>
      </c>
      <c r="B466" s="291" t="s">
        <v>6291</v>
      </c>
      <c r="C466" s="291" t="s">
        <v>6292</v>
      </c>
      <c r="D466" s="216" t="s">
        <v>6143</v>
      </c>
      <c r="E466" s="216" t="s">
        <v>6175</v>
      </c>
      <c r="F466" s="335" t="s">
        <v>6213</v>
      </c>
      <c r="G466" s="369" t="s">
        <v>6293</v>
      </c>
      <c r="H466" s="216">
        <v>2.0</v>
      </c>
      <c r="I466" s="216">
        <v>10.0</v>
      </c>
      <c r="J466" s="216">
        <v>1.0</v>
      </c>
      <c r="K466" s="216">
        <v>1.0</v>
      </c>
      <c r="L466" s="216">
        <v>0.0</v>
      </c>
      <c r="M466" s="133" t="s">
        <v>1156</v>
      </c>
      <c r="N466" s="216" t="s">
        <v>46</v>
      </c>
      <c r="O466" s="216">
        <v>5.0</v>
      </c>
      <c r="P466" s="216" t="s">
        <v>29</v>
      </c>
      <c r="Q466" s="216">
        <v>0.0</v>
      </c>
    </row>
    <row r="467" ht="14.25" customHeight="1">
      <c r="A467" s="211">
        <v>78.0</v>
      </c>
      <c r="B467" s="291" t="s">
        <v>6294</v>
      </c>
      <c r="C467" s="291" t="s">
        <v>6292</v>
      </c>
      <c r="D467" s="216" t="s">
        <v>6143</v>
      </c>
      <c r="E467" s="216" t="s">
        <v>6175</v>
      </c>
      <c r="F467" s="335" t="s">
        <v>6213</v>
      </c>
      <c r="G467" s="370" t="s">
        <v>6295</v>
      </c>
      <c r="H467" s="216">
        <v>2.0</v>
      </c>
      <c r="I467" s="216">
        <v>10.0</v>
      </c>
      <c r="J467" s="216">
        <v>1.0</v>
      </c>
      <c r="K467" s="216">
        <v>1.0</v>
      </c>
      <c r="L467" s="216">
        <v>0.0</v>
      </c>
      <c r="M467" s="133" t="s">
        <v>1156</v>
      </c>
      <c r="N467" s="216" t="s">
        <v>46</v>
      </c>
      <c r="O467" s="216">
        <v>5.0</v>
      </c>
      <c r="P467" s="216" t="s">
        <v>29</v>
      </c>
      <c r="Q467" s="216">
        <v>0.0</v>
      </c>
    </row>
    <row r="468" ht="14.25" customHeight="1">
      <c r="A468" s="211">
        <v>79.0</v>
      </c>
      <c r="B468" s="291" t="s">
        <v>6296</v>
      </c>
      <c r="C468" s="291" t="s">
        <v>6297</v>
      </c>
      <c r="D468" s="216" t="s">
        <v>6143</v>
      </c>
      <c r="E468" s="216" t="s">
        <v>6175</v>
      </c>
      <c r="F468" s="335"/>
      <c r="G468" s="336" t="s">
        <v>6298</v>
      </c>
      <c r="H468" s="216">
        <v>2.0</v>
      </c>
      <c r="I468" s="216">
        <v>10.0</v>
      </c>
      <c r="J468" s="216">
        <v>0.0</v>
      </c>
      <c r="K468" s="216">
        <v>0.0</v>
      </c>
      <c r="L468" s="216">
        <v>1.0</v>
      </c>
      <c r="M468" s="133" t="s">
        <v>1156</v>
      </c>
      <c r="N468" s="216" t="s">
        <v>46</v>
      </c>
      <c r="O468" s="216">
        <v>5.0</v>
      </c>
      <c r="P468" s="216" t="s">
        <v>29</v>
      </c>
      <c r="Q468" s="216">
        <v>0.0</v>
      </c>
    </row>
    <row r="469" ht="14.25" customHeight="1">
      <c r="A469" s="211">
        <v>80.0</v>
      </c>
      <c r="B469" s="291" t="s">
        <v>6299</v>
      </c>
      <c r="C469" s="291" t="s">
        <v>6300</v>
      </c>
      <c r="D469" s="216" t="s">
        <v>6143</v>
      </c>
      <c r="E469" s="216" t="s">
        <v>6175</v>
      </c>
      <c r="F469" s="335"/>
      <c r="G469" s="336" t="s">
        <v>6301</v>
      </c>
      <c r="H469" s="216">
        <v>2.0</v>
      </c>
      <c r="I469" s="216">
        <v>10.0</v>
      </c>
      <c r="J469" s="216">
        <v>1.0</v>
      </c>
      <c r="K469" s="216">
        <v>1.0</v>
      </c>
      <c r="L469" s="216">
        <v>0.0</v>
      </c>
      <c r="M469" s="133" t="s">
        <v>1156</v>
      </c>
      <c r="N469" s="216" t="s">
        <v>46</v>
      </c>
      <c r="O469" s="216">
        <v>3.0</v>
      </c>
      <c r="P469" s="216" t="s">
        <v>29</v>
      </c>
      <c r="Q469" s="216">
        <v>0.0</v>
      </c>
    </row>
    <row r="470" ht="14.25" customHeight="1">
      <c r="A470" s="211">
        <v>81.0</v>
      </c>
      <c r="B470" s="291" t="s">
        <v>6302</v>
      </c>
      <c r="C470" s="291" t="s">
        <v>6303</v>
      </c>
      <c r="D470" s="216" t="s">
        <v>6143</v>
      </c>
      <c r="E470" s="216" t="s">
        <v>5724</v>
      </c>
      <c r="F470" s="335"/>
      <c r="G470" s="336" t="s">
        <v>4837</v>
      </c>
      <c r="H470" s="216">
        <v>2.0</v>
      </c>
      <c r="I470" s="216">
        <v>10.0</v>
      </c>
      <c r="J470" s="216">
        <v>1.0</v>
      </c>
      <c r="K470" s="216">
        <v>1.0</v>
      </c>
      <c r="L470" s="216">
        <v>0.0</v>
      </c>
      <c r="M470" s="133" t="s">
        <v>1156</v>
      </c>
      <c r="N470" s="216" t="s">
        <v>46</v>
      </c>
      <c r="O470" s="216">
        <v>3.0</v>
      </c>
      <c r="P470" s="216" t="s">
        <v>29</v>
      </c>
      <c r="Q470" s="216">
        <v>0.0</v>
      </c>
    </row>
    <row r="471" ht="14.25" customHeight="1">
      <c r="A471" s="211">
        <v>82.0</v>
      </c>
      <c r="B471" s="291" t="s">
        <v>6304</v>
      </c>
      <c r="C471" s="291" t="s">
        <v>6305</v>
      </c>
      <c r="D471" s="216" t="s">
        <v>6143</v>
      </c>
      <c r="E471" s="216" t="s">
        <v>5724</v>
      </c>
      <c r="F471" s="335"/>
      <c r="G471" s="336">
        <v>68.0</v>
      </c>
      <c r="H471" s="216">
        <v>2.0</v>
      </c>
      <c r="I471" s="216">
        <v>10.0</v>
      </c>
      <c r="J471" s="216">
        <v>1.0</v>
      </c>
      <c r="K471" s="216">
        <v>1.0</v>
      </c>
      <c r="L471" s="216">
        <v>0.0</v>
      </c>
      <c r="M471" s="133" t="s">
        <v>1156</v>
      </c>
      <c r="N471" s="216" t="s">
        <v>46</v>
      </c>
      <c r="O471" s="216">
        <v>5.0</v>
      </c>
      <c r="P471" s="216" t="s">
        <v>29</v>
      </c>
      <c r="Q471" s="216">
        <v>0.0</v>
      </c>
    </row>
    <row r="472" ht="14.25" customHeight="1">
      <c r="A472" s="211">
        <v>83.0</v>
      </c>
      <c r="B472" s="291" t="s">
        <v>6306</v>
      </c>
      <c r="C472" s="291" t="s">
        <v>6305</v>
      </c>
      <c r="D472" s="216" t="s">
        <v>6143</v>
      </c>
      <c r="E472" s="216" t="s">
        <v>5724</v>
      </c>
      <c r="F472" s="335"/>
      <c r="G472" s="336">
        <v>55.0</v>
      </c>
      <c r="H472" s="216">
        <v>2.0</v>
      </c>
      <c r="I472" s="216">
        <v>10.0</v>
      </c>
      <c r="J472" s="216">
        <v>1.0</v>
      </c>
      <c r="K472" s="216">
        <v>1.0</v>
      </c>
      <c r="L472" s="216">
        <v>0.0</v>
      </c>
      <c r="M472" s="133" t="s">
        <v>1156</v>
      </c>
      <c r="N472" s="216" t="s">
        <v>46</v>
      </c>
      <c r="O472" s="216">
        <v>2.0</v>
      </c>
      <c r="P472" s="216" t="s">
        <v>29</v>
      </c>
      <c r="Q472" s="216">
        <v>0.0</v>
      </c>
    </row>
    <row r="473" ht="14.25" customHeight="1">
      <c r="A473" s="211">
        <v>84.0</v>
      </c>
      <c r="B473" s="291" t="s">
        <v>6307</v>
      </c>
      <c r="C473" s="291" t="s">
        <v>6308</v>
      </c>
      <c r="D473" s="216" t="s">
        <v>6143</v>
      </c>
      <c r="E473" s="216" t="s">
        <v>5724</v>
      </c>
      <c r="F473" s="335"/>
      <c r="G473" s="336">
        <v>20.0</v>
      </c>
      <c r="H473" s="216">
        <v>2.0</v>
      </c>
      <c r="I473" s="216">
        <v>10.0</v>
      </c>
      <c r="J473" s="216">
        <v>1.0</v>
      </c>
      <c r="K473" s="216">
        <v>1.0</v>
      </c>
      <c r="L473" s="216">
        <v>0.0</v>
      </c>
      <c r="M473" s="133" t="s">
        <v>1156</v>
      </c>
      <c r="N473" s="216" t="s">
        <v>46</v>
      </c>
      <c r="O473" s="216">
        <v>3.0</v>
      </c>
      <c r="P473" s="216" t="s">
        <v>29</v>
      </c>
      <c r="Q473" s="216">
        <v>0.0</v>
      </c>
    </row>
    <row r="474" ht="14.25" customHeight="1">
      <c r="A474" s="211">
        <v>85.0</v>
      </c>
      <c r="B474" s="291" t="s">
        <v>6309</v>
      </c>
      <c r="C474" s="291" t="s">
        <v>6310</v>
      </c>
      <c r="D474" s="216" t="s">
        <v>6143</v>
      </c>
      <c r="E474" s="216" t="s">
        <v>6175</v>
      </c>
      <c r="F474" s="335"/>
      <c r="G474" s="336" t="s">
        <v>6311</v>
      </c>
      <c r="H474" s="216">
        <v>2.0</v>
      </c>
      <c r="I474" s="216">
        <v>10.0</v>
      </c>
      <c r="J474" s="216">
        <v>1.0</v>
      </c>
      <c r="K474" s="216">
        <v>1.0</v>
      </c>
      <c r="L474" s="216">
        <v>0.0</v>
      </c>
      <c r="M474" s="133" t="s">
        <v>1156</v>
      </c>
      <c r="N474" s="216" t="s">
        <v>46</v>
      </c>
      <c r="O474" s="216">
        <v>3.0</v>
      </c>
      <c r="P474" s="216" t="s">
        <v>29</v>
      </c>
      <c r="Q474" s="216">
        <v>0.0</v>
      </c>
    </row>
    <row r="475" ht="14.25" customHeight="1">
      <c r="A475" s="211">
        <v>86.0</v>
      </c>
      <c r="B475" s="291" t="s">
        <v>6312</v>
      </c>
      <c r="C475" s="291" t="s">
        <v>6313</v>
      </c>
      <c r="D475" s="216" t="s">
        <v>6143</v>
      </c>
      <c r="E475" s="216" t="s">
        <v>5724</v>
      </c>
      <c r="F475" s="335"/>
      <c r="G475" s="336" t="s">
        <v>6314</v>
      </c>
      <c r="H475" s="216">
        <v>2.0</v>
      </c>
      <c r="I475" s="216">
        <v>10.0</v>
      </c>
      <c r="J475" s="216">
        <v>1.0</v>
      </c>
      <c r="K475" s="216">
        <v>1.0</v>
      </c>
      <c r="L475" s="216">
        <v>0.0</v>
      </c>
      <c r="M475" s="133" t="s">
        <v>1156</v>
      </c>
      <c r="N475" s="216" t="s">
        <v>46</v>
      </c>
      <c r="O475" s="216">
        <v>5.0</v>
      </c>
      <c r="P475" s="216" t="s">
        <v>29</v>
      </c>
      <c r="Q475" s="216">
        <v>0.0</v>
      </c>
    </row>
    <row r="476" ht="14.25" customHeight="1">
      <c r="A476" s="211">
        <v>87.0</v>
      </c>
      <c r="B476" s="291" t="s">
        <v>6315</v>
      </c>
      <c r="C476" s="291" t="s">
        <v>6313</v>
      </c>
      <c r="D476" s="216" t="s">
        <v>6143</v>
      </c>
      <c r="E476" s="216" t="s">
        <v>5724</v>
      </c>
      <c r="F476" s="335"/>
      <c r="G476" s="336" t="s">
        <v>6314</v>
      </c>
      <c r="H476" s="216">
        <v>2.0</v>
      </c>
      <c r="I476" s="216">
        <v>10.0</v>
      </c>
      <c r="J476" s="216">
        <v>0.0</v>
      </c>
      <c r="K476" s="216">
        <v>0.0</v>
      </c>
      <c r="L476" s="216">
        <v>1.0</v>
      </c>
      <c r="M476" s="133" t="s">
        <v>1156</v>
      </c>
      <c r="N476" s="216" t="s">
        <v>46</v>
      </c>
      <c r="O476" s="216">
        <v>5.0</v>
      </c>
      <c r="P476" s="216" t="s">
        <v>29</v>
      </c>
      <c r="Q476" s="216">
        <v>0.0</v>
      </c>
    </row>
    <row r="477" ht="14.25" customHeight="1">
      <c r="A477" s="211">
        <v>88.0</v>
      </c>
      <c r="B477" s="291" t="s">
        <v>6316</v>
      </c>
      <c r="C477" s="291" t="s">
        <v>6317</v>
      </c>
      <c r="D477" s="216" t="s">
        <v>6143</v>
      </c>
      <c r="E477" s="216" t="s">
        <v>6175</v>
      </c>
      <c r="F477" s="335" t="s">
        <v>6167</v>
      </c>
      <c r="G477" s="336" t="s">
        <v>6318</v>
      </c>
      <c r="H477" s="216">
        <v>2.0</v>
      </c>
      <c r="I477" s="216">
        <v>10.0</v>
      </c>
      <c r="J477" s="216">
        <v>0.0</v>
      </c>
      <c r="K477" s="216">
        <v>0.0</v>
      </c>
      <c r="L477" s="216">
        <v>1.0</v>
      </c>
      <c r="M477" s="133" t="s">
        <v>1156</v>
      </c>
      <c r="N477" s="216" t="s">
        <v>46</v>
      </c>
      <c r="O477" s="216">
        <v>5.0</v>
      </c>
      <c r="P477" s="216" t="s">
        <v>29</v>
      </c>
      <c r="Q477" s="216">
        <v>0.0</v>
      </c>
    </row>
    <row r="478" ht="14.25" customHeight="1">
      <c r="A478" s="211">
        <v>89.0</v>
      </c>
      <c r="B478" s="291" t="s">
        <v>6319</v>
      </c>
      <c r="C478" s="291" t="s">
        <v>6317</v>
      </c>
      <c r="D478" s="216" t="s">
        <v>6143</v>
      </c>
      <c r="E478" s="216" t="s">
        <v>6175</v>
      </c>
      <c r="F478" s="335" t="s">
        <v>6167</v>
      </c>
      <c r="G478" s="336" t="s">
        <v>6320</v>
      </c>
      <c r="H478" s="216">
        <v>2.0</v>
      </c>
      <c r="I478" s="216">
        <v>10.0</v>
      </c>
      <c r="J478" s="216">
        <v>1.0</v>
      </c>
      <c r="K478" s="216">
        <v>1.0</v>
      </c>
      <c r="L478" s="216">
        <v>0.0</v>
      </c>
      <c r="M478" s="133" t="s">
        <v>1156</v>
      </c>
      <c r="N478" s="216" t="s">
        <v>46</v>
      </c>
      <c r="O478" s="216">
        <v>5.0</v>
      </c>
      <c r="P478" s="216" t="s">
        <v>29</v>
      </c>
      <c r="Q478" s="216">
        <v>0.0</v>
      </c>
    </row>
    <row r="479" ht="14.25" customHeight="1">
      <c r="A479" s="211">
        <v>90.0</v>
      </c>
      <c r="B479" s="291" t="s">
        <v>6321</v>
      </c>
      <c r="C479" s="291" t="s">
        <v>6322</v>
      </c>
      <c r="D479" s="216" t="s">
        <v>6143</v>
      </c>
      <c r="E479" s="348" t="s">
        <v>57</v>
      </c>
      <c r="F479" s="335"/>
      <c r="G479" s="336">
        <v>300.0</v>
      </c>
      <c r="H479" s="216">
        <v>10.0</v>
      </c>
      <c r="I479" s="216">
        <v>50.0</v>
      </c>
      <c r="J479" s="216">
        <v>0.0</v>
      </c>
      <c r="K479" s="216">
        <v>0.0</v>
      </c>
      <c r="L479" s="216">
        <v>1.0</v>
      </c>
      <c r="M479" s="133" t="s">
        <v>1156</v>
      </c>
      <c r="N479" s="216" t="s">
        <v>46</v>
      </c>
      <c r="O479" s="216">
        <v>5.0</v>
      </c>
      <c r="P479" s="216" t="s">
        <v>29</v>
      </c>
      <c r="Q479" s="216">
        <v>0.0</v>
      </c>
    </row>
    <row r="480" ht="14.25" customHeight="1">
      <c r="A480" s="181"/>
      <c r="B480" s="339" t="s">
        <v>6323</v>
      </c>
      <c r="C480" s="311"/>
      <c r="D480" s="312"/>
      <c r="E480" s="312"/>
      <c r="F480" s="312"/>
      <c r="G480" s="312"/>
      <c r="H480" s="312"/>
      <c r="I480" s="312"/>
      <c r="J480" s="312"/>
      <c r="K480" s="312"/>
      <c r="L480" s="312"/>
      <c r="M480" s="313"/>
      <c r="N480" s="312"/>
      <c r="O480" s="312"/>
      <c r="P480" s="312"/>
      <c r="Q480" s="312"/>
    </row>
    <row r="481" ht="15.75" customHeight="1">
      <c r="A481" s="211">
        <v>1.0</v>
      </c>
      <c r="B481" s="371" t="s">
        <v>5604</v>
      </c>
      <c r="C481" s="371" t="s">
        <v>6324</v>
      </c>
      <c r="D481" s="216" t="s">
        <v>6143</v>
      </c>
      <c r="E481" s="372" t="s">
        <v>6325</v>
      </c>
      <c r="F481" s="373"/>
      <c r="G481" s="374">
        <v>132.0</v>
      </c>
      <c r="H481" s="295">
        <v>1.0</v>
      </c>
      <c r="I481" s="295">
        <v>6.0</v>
      </c>
      <c r="J481" s="295">
        <v>1.0</v>
      </c>
      <c r="K481" s="295">
        <v>1.0</v>
      </c>
      <c r="L481" s="295">
        <v>0.0</v>
      </c>
      <c r="M481" s="372" t="s">
        <v>6326</v>
      </c>
      <c r="N481" s="295" t="s">
        <v>6326</v>
      </c>
      <c r="O481" s="295">
        <v>0.0</v>
      </c>
      <c r="P481" s="295" t="s">
        <v>29</v>
      </c>
      <c r="Q481" s="295" t="s">
        <v>401</v>
      </c>
    </row>
    <row r="482" ht="15.75" customHeight="1">
      <c r="A482" s="211">
        <v>2.0</v>
      </c>
      <c r="B482" s="371" t="s">
        <v>5604</v>
      </c>
      <c r="C482" s="371" t="s">
        <v>6327</v>
      </c>
      <c r="D482" s="216" t="s">
        <v>6143</v>
      </c>
      <c r="E482" s="372" t="s">
        <v>6328</v>
      </c>
      <c r="F482" s="373"/>
      <c r="G482" s="374">
        <v>180.0</v>
      </c>
      <c r="H482" s="295">
        <v>3.0</v>
      </c>
      <c r="I482" s="295">
        <v>15.0</v>
      </c>
      <c r="J482" s="295">
        <v>1.0</v>
      </c>
      <c r="K482" s="295">
        <v>1.0</v>
      </c>
      <c r="L482" s="295">
        <v>0.0</v>
      </c>
      <c r="M482" s="372" t="s">
        <v>6329</v>
      </c>
      <c r="N482" s="295" t="s">
        <v>6329</v>
      </c>
      <c r="O482" s="295">
        <v>0.0</v>
      </c>
      <c r="P482" s="295" t="s">
        <v>29</v>
      </c>
      <c r="Q482" s="295" t="s">
        <v>401</v>
      </c>
    </row>
    <row r="483" ht="15.75" customHeight="1">
      <c r="A483" s="211">
        <v>3.0</v>
      </c>
      <c r="B483" s="371" t="s">
        <v>6330</v>
      </c>
      <c r="C483" s="371" t="s">
        <v>6327</v>
      </c>
      <c r="D483" s="216" t="s">
        <v>6143</v>
      </c>
      <c r="E483" s="372" t="s">
        <v>6115</v>
      </c>
      <c r="F483" s="373"/>
      <c r="G483" s="374">
        <v>578.2</v>
      </c>
      <c r="H483" s="295">
        <v>5.0</v>
      </c>
      <c r="I483" s="295">
        <v>22.0</v>
      </c>
      <c r="J483" s="295">
        <v>6.0</v>
      </c>
      <c r="K483" s="295">
        <v>6.0</v>
      </c>
      <c r="L483" s="295">
        <v>0.0</v>
      </c>
      <c r="M483" s="372" t="s">
        <v>6329</v>
      </c>
      <c r="N483" s="295" t="s">
        <v>6329</v>
      </c>
      <c r="O483" s="295">
        <v>0.0</v>
      </c>
      <c r="P483" s="295" t="s">
        <v>29</v>
      </c>
      <c r="Q483" s="295" t="s">
        <v>401</v>
      </c>
    </row>
    <row r="484" ht="15.75" customHeight="1">
      <c r="A484" s="211">
        <v>4.0</v>
      </c>
      <c r="B484" s="371" t="s">
        <v>6331</v>
      </c>
      <c r="C484" s="371" t="s">
        <v>6327</v>
      </c>
      <c r="D484" s="216" t="s">
        <v>6143</v>
      </c>
      <c r="E484" s="372" t="s">
        <v>6328</v>
      </c>
      <c r="F484" s="373"/>
      <c r="G484" s="374">
        <v>360.0</v>
      </c>
      <c r="H484" s="295">
        <v>10.0</v>
      </c>
      <c r="I484" s="295">
        <v>50.0</v>
      </c>
      <c r="J484" s="295">
        <v>0.0</v>
      </c>
      <c r="K484" s="295">
        <v>0.0</v>
      </c>
      <c r="L484" s="295">
        <v>0.0</v>
      </c>
      <c r="M484" s="372" t="s">
        <v>6329</v>
      </c>
      <c r="N484" s="295" t="s">
        <v>6329</v>
      </c>
      <c r="O484" s="295">
        <v>0.0</v>
      </c>
      <c r="P484" s="295" t="s">
        <v>29</v>
      </c>
      <c r="Q484" s="295" t="s">
        <v>401</v>
      </c>
    </row>
    <row r="485" ht="15.75" customHeight="1">
      <c r="A485" s="211">
        <v>5.0</v>
      </c>
      <c r="B485" s="371" t="s">
        <v>5604</v>
      </c>
      <c r="C485" s="371" t="s">
        <v>6332</v>
      </c>
      <c r="D485" s="216" t="s">
        <v>6143</v>
      </c>
      <c r="E485" s="372" t="s">
        <v>6115</v>
      </c>
      <c r="F485" s="373"/>
      <c r="G485" s="374">
        <v>192.0</v>
      </c>
      <c r="H485" s="295">
        <v>3.0</v>
      </c>
      <c r="I485" s="295">
        <v>15.0</v>
      </c>
      <c r="J485" s="295">
        <v>1.0</v>
      </c>
      <c r="K485" s="295">
        <v>1.0</v>
      </c>
      <c r="L485" s="295">
        <v>0.0</v>
      </c>
      <c r="M485" s="372" t="s">
        <v>323</v>
      </c>
      <c r="N485" s="295" t="s">
        <v>323</v>
      </c>
      <c r="O485" s="295">
        <v>0.0</v>
      </c>
      <c r="P485" s="295" t="s">
        <v>29</v>
      </c>
      <c r="Q485" s="295" t="s">
        <v>401</v>
      </c>
    </row>
    <row r="486" ht="15.75" customHeight="1">
      <c r="A486" s="211">
        <v>6.0</v>
      </c>
      <c r="B486" s="371" t="s">
        <v>6333</v>
      </c>
      <c r="C486" s="371" t="s">
        <v>6332</v>
      </c>
      <c r="D486" s="216" t="s">
        <v>6143</v>
      </c>
      <c r="E486" s="372" t="s">
        <v>6115</v>
      </c>
      <c r="F486" s="373"/>
      <c r="G486" s="374">
        <v>700.0</v>
      </c>
      <c r="H486" s="295">
        <v>5.0</v>
      </c>
      <c r="I486" s="295">
        <v>22.0</v>
      </c>
      <c r="J486" s="295">
        <v>3.0</v>
      </c>
      <c r="K486" s="295">
        <v>3.0</v>
      </c>
      <c r="L486" s="295">
        <v>0.0</v>
      </c>
      <c r="M486" s="372" t="s">
        <v>323</v>
      </c>
      <c r="N486" s="295" t="s">
        <v>323</v>
      </c>
      <c r="O486" s="295">
        <v>0.0</v>
      </c>
      <c r="P486" s="295" t="s">
        <v>29</v>
      </c>
      <c r="Q486" s="295" t="s">
        <v>401</v>
      </c>
    </row>
    <row r="487" ht="15.75" customHeight="1">
      <c r="A487" s="211">
        <v>7.0</v>
      </c>
      <c r="B487" s="371" t="s">
        <v>6331</v>
      </c>
      <c r="C487" s="371" t="s">
        <v>6332</v>
      </c>
      <c r="D487" s="216" t="s">
        <v>6143</v>
      </c>
      <c r="E487" s="372" t="s">
        <v>6115</v>
      </c>
      <c r="F487" s="373"/>
      <c r="G487" s="374">
        <v>570.0</v>
      </c>
      <c r="H487" s="295">
        <v>20.0</v>
      </c>
      <c r="I487" s="295">
        <v>100.0</v>
      </c>
      <c r="J487" s="295">
        <v>0.0</v>
      </c>
      <c r="K487" s="295">
        <v>0.0</v>
      </c>
      <c r="L487" s="295">
        <v>0.0</v>
      </c>
      <c r="M487" s="372" t="s">
        <v>6329</v>
      </c>
      <c r="N487" s="295" t="s">
        <v>6329</v>
      </c>
      <c r="O487" s="295">
        <v>0.0</v>
      </c>
      <c r="P487" s="295" t="s">
        <v>29</v>
      </c>
      <c r="Q487" s="295" t="s">
        <v>401</v>
      </c>
    </row>
    <row r="488" ht="15.75" customHeight="1">
      <c r="A488" s="211">
        <v>8.0</v>
      </c>
      <c r="B488" s="371" t="s">
        <v>5604</v>
      </c>
      <c r="C488" s="371" t="s">
        <v>6334</v>
      </c>
      <c r="D488" s="216" t="s">
        <v>6143</v>
      </c>
      <c r="E488" s="372" t="s">
        <v>6328</v>
      </c>
      <c r="F488" s="373"/>
      <c r="G488" s="374">
        <v>120.0</v>
      </c>
      <c r="H488" s="295">
        <v>3.0</v>
      </c>
      <c r="I488" s="295">
        <v>15.0</v>
      </c>
      <c r="J488" s="295">
        <v>1.0</v>
      </c>
      <c r="K488" s="295">
        <v>1.0</v>
      </c>
      <c r="L488" s="295">
        <v>0.0</v>
      </c>
      <c r="M488" s="372" t="s">
        <v>323</v>
      </c>
      <c r="N488" s="295" t="s">
        <v>323</v>
      </c>
      <c r="O488" s="295">
        <v>0.0</v>
      </c>
      <c r="P488" s="295" t="s">
        <v>29</v>
      </c>
      <c r="Q488" s="295" t="s">
        <v>401</v>
      </c>
    </row>
    <row r="489" ht="15.75" customHeight="1">
      <c r="A489" s="211">
        <v>9.0</v>
      </c>
      <c r="B489" s="371" t="s">
        <v>6335</v>
      </c>
      <c r="C489" s="371" t="s">
        <v>6334</v>
      </c>
      <c r="D489" s="216" t="s">
        <v>6143</v>
      </c>
      <c r="E489" s="372" t="s">
        <v>6328</v>
      </c>
      <c r="F489" s="373"/>
      <c r="G489" s="374">
        <v>175.0</v>
      </c>
      <c r="H489" s="295">
        <v>8.0</v>
      </c>
      <c r="I489" s="295">
        <v>40.0</v>
      </c>
      <c r="J489" s="295">
        <v>2.0</v>
      </c>
      <c r="K489" s="295">
        <v>2.0</v>
      </c>
      <c r="L489" s="295">
        <v>0.0</v>
      </c>
      <c r="M489" s="372" t="s">
        <v>6329</v>
      </c>
      <c r="N489" s="295" t="s">
        <v>6329</v>
      </c>
      <c r="O489" s="295">
        <v>0.0</v>
      </c>
      <c r="P489" s="295" t="s">
        <v>29</v>
      </c>
      <c r="Q489" s="295" t="s">
        <v>401</v>
      </c>
    </row>
    <row r="490" ht="15.75" customHeight="1">
      <c r="A490" s="211">
        <v>10.0</v>
      </c>
      <c r="B490" s="371" t="s">
        <v>6331</v>
      </c>
      <c r="C490" s="371" t="s">
        <v>6334</v>
      </c>
      <c r="D490" s="216" t="s">
        <v>6143</v>
      </c>
      <c r="E490" s="372" t="s">
        <v>6328</v>
      </c>
      <c r="F490" s="373"/>
      <c r="G490" s="374">
        <v>500.0</v>
      </c>
      <c r="H490" s="295">
        <v>20.0</v>
      </c>
      <c r="I490" s="295">
        <v>100.0</v>
      </c>
      <c r="J490" s="295">
        <v>0.0</v>
      </c>
      <c r="K490" s="295">
        <v>0.0</v>
      </c>
      <c r="L490" s="295">
        <v>0.0</v>
      </c>
      <c r="M490" s="372" t="s">
        <v>6329</v>
      </c>
      <c r="N490" s="295" t="s">
        <v>6329</v>
      </c>
      <c r="O490" s="295">
        <v>0.0</v>
      </c>
      <c r="P490" s="295" t="s">
        <v>29</v>
      </c>
      <c r="Q490" s="295" t="s">
        <v>401</v>
      </c>
    </row>
    <row r="491" ht="15.75" customHeight="1">
      <c r="A491" s="211">
        <v>11.0</v>
      </c>
      <c r="B491" s="371" t="s">
        <v>6336</v>
      </c>
      <c r="C491" s="371" t="s">
        <v>6337</v>
      </c>
      <c r="D491" s="216" t="s">
        <v>6143</v>
      </c>
      <c r="E491" s="372" t="s">
        <v>6115</v>
      </c>
      <c r="F491" s="373"/>
      <c r="G491" s="374">
        <v>160.0</v>
      </c>
      <c r="H491" s="295">
        <v>3.0</v>
      </c>
      <c r="I491" s="295">
        <v>15.0</v>
      </c>
      <c r="J491" s="295">
        <v>2.0</v>
      </c>
      <c r="K491" s="295">
        <v>2.0</v>
      </c>
      <c r="L491" s="295">
        <v>0.0</v>
      </c>
      <c r="M491" s="372" t="s">
        <v>6329</v>
      </c>
      <c r="N491" s="295" t="s">
        <v>6329</v>
      </c>
      <c r="O491" s="295">
        <v>0.0</v>
      </c>
      <c r="P491" s="295" t="s">
        <v>29</v>
      </c>
      <c r="Q491" s="295" t="s">
        <v>401</v>
      </c>
    </row>
    <row r="492" ht="15.75" customHeight="1">
      <c r="A492" s="211">
        <v>12.0</v>
      </c>
      <c r="B492" s="371" t="s">
        <v>5604</v>
      </c>
      <c r="C492" s="371" t="s">
        <v>6337</v>
      </c>
      <c r="D492" s="216" t="s">
        <v>6143</v>
      </c>
      <c r="E492" s="372" t="s">
        <v>6325</v>
      </c>
      <c r="F492" s="373"/>
      <c r="G492" s="374">
        <v>108.0</v>
      </c>
      <c r="H492" s="295">
        <v>2.0</v>
      </c>
      <c r="I492" s="295">
        <v>10.0</v>
      </c>
      <c r="J492" s="295">
        <v>2.0</v>
      </c>
      <c r="K492" s="295">
        <v>2.0</v>
      </c>
      <c r="L492" s="295">
        <v>0.0</v>
      </c>
      <c r="M492" s="372" t="s">
        <v>6329</v>
      </c>
      <c r="N492" s="295" t="s">
        <v>6329</v>
      </c>
      <c r="O492" s="295">
        <v>0.0</v>
      </c>
      <c r="P492" s="295" t="s">
        <v>29</v>
      </c>
      <c r="Q492" s="295" t="s">
        <v>401</v>
      </c>
    </row>
    <row r="493" ht="15.75" customHeight="1">
      <c r="A493" s="211">
        <v>13.0</v>
      </c>
      <c r="B493" s="371" t="s">
        <v>6331</v>
      </c>
      <c r="C493" s="371" t="s">
        <v>6337</v>
      </c>
      <c r="D493" s="216" t="s">
        <v>6143</v>
      </c>
      <c r="E493" s="372" t="s">
        <v>6325</v>
      </c>
      <c r="F493" s="373"/>
      <c r="G493" s="374">
        <v>510.0</v>
      </c>
      <c r="H493" s="295">
        <v>20.0</v>
      </c>
      <c r="I493" s="295">
        <v>100.0</v>
      </c>
      <c r="J493" s="295">
        <v>0.0</v>
      </c>
      <c r="K493" s="295">
        <v>0.0</v>
      </c>
      <c r="L493" s="295">
        <v>0.0</v>
      </c>
      <c r="M493" s="372" t="s">
        <v>6329</v>
      </c>
      <c r="N493" s="295" t="s">
        <v>6329</v>
      </c>
      <c r="O493" s="295">
        <v>0.0</v>
      </c>
      <c r="P493" s="295" t="s">
        <v>29</v>
      </c>
      <c r="Q493" s="295" t="s">
        <v>401</v>
      </c>
    </row>
    <row r="494" ht="15.75" customHeight="1">
      <c r="A494" s="211">
        <v>14.0</v>
      </c>
      <c r="B494" s="371" t="s">
        <v>5604</v>
      </c>
      <c r="C494" s="371" t="s">
        <v>6338</v>
      </c>
      <c r="D494" s="216" t="s">
        <v>6143</v>
      </c>
      <c r="E494" s="372" t="s">
        <v>6339</v>
      </c>
      <c r="F494" s="373"/>
      <c r="G494" s="374">
        <v>192.0</v>
      </c>
      <c r="H494" s="295">
        <v>2.0</v>
      </c>
      <c r="I494" s="295">
        <v>10.0</v>
      </c>
      <c r="J494" s="295">
        <v>2.0</v>
      </c>
      <c r="K494" s="295">
        <v>1.0</v>
      </c>
      <c r="L494" s="295">
        <v>0.0</v>
      </c>
      <c r="M494" s="372" t="s">
        <v>6329</v>
      </c>
      <c r="N494" s="295" t="s">
        <v>6329</v>
      </c>
      <c r="O494" s="295">
        <v>0.0</v>
      </c>
      <c r="P494" s="295" t="s">
        <v>29</v>
      </c>
      <c r="Q494" s="295" t="s">
        <v>401</v>
      </c>
    </row>
    <row r="495" ht="15.75" customHeight="1">
      <c r="A495" s="211">
        <v>15.0</v>
      </c>
      <c r="B495" s="371" t="s">
        <v>6340</v>
      </c>
      <c r="C495" s="371" t="s">
        <v>6341</v>
      </c>
      <c r="D495" s="216" t="s">
        <v>6143</v>
      </c>
      <c r="E495" s="372" t="s">
        <v>6115</v>
      </c>
      <c r="F495" s="373"/>
      <c r="G495" s="374">
        <v>175.0</v>
      </c>
      <c r="H495" s="295">
        <v>10.0</v>
      </c>
      <c r="I495" s="295">
        <v>50.0</v>
      </c>
      <c r="J495" s="295">
        <v>3.0</v>
      </c>
      <c r="K495" s="295">
        <v>3.0</v>
      </c>
      <c r="L495" s="295">
        <v>0.0</v>
      </c>
      <c r="M495" s="372" t="s">
        <v>323</v>
      </c>
      <c r="N495" s="295" t="s">
        <v>323</v>
      </c>
      <c r="O495" s="295">
        <v>0.0</v>
      </c>
      <c r="P495" s="295" t="s">
        <v>29</v>
      </c>
      <c r="Q495" s="295" t="s">
        <v>401</v>
      </c>
    </row>
    <row r="496" ht="15.75" customHeight="1">
      <c r="A496" s="211">
        <v>16.0</v>
      </c>
      <c r="B496" s="371" t="s">
        <v>5604</v>
      </c>
      <c r="C496" s="371" t="s">
        <v>6342</v>
      </c>
      <c r="D496" s="216" t="s">
        <v>6143</v>
      </c>
      <c r="E496" s="372" t="s">
        <v>6325</v>
      </c>
      <c r="F496" s="373"/>
      <c r="G496" s="374">
        <v>144.0</v>
      </c>
      <c r="H496" s="295">
        <v>2.0</v>
      </c>
      <c r="I496" s="295">
        <v>11.0</v>
      </c>
      <c r="J496" s="295">
        <v>2.0</v>
      </c>
      <c r="K496" s="295">
        <v>1.0</v>
      </c>
      <c r="L496" s="295">
        <v>0.0</v>
      </c>
      <c r="M496" s="372" t="s">
        <v>6329</v>
      </c>
      <c r="N496" s="295" t="s">
        <v>6329</v>
      </c>
      <c r="O496" s="295">
        <v>0.0</v>
      </c>
      <c r="P496" s="295" t="s">
        <v>29</v>
      </c>
      <c r="Q496" s="295" t="s">
        <v>401</v>
      </c>
    </row>
    <row r="497" ht="15.75" customHeight="1">
      <c r="A497" s="211">
        <v>17.0</v>
      </c>
      <c r="B497" s="371" t="s">
        <v>6331</v>
      </c>
      <c r="C497" s="371" t="s">
        <v>6342</v>
      </c>
      <c r="D497" s="216" t="s">
        <v>6143</v>
      </c>
      <c r="E497" s="372" t="s">
        <v>6325</v>
      </c>
      <c r="F497" s="373"/>
      <c r="G497" s="374">
        <v>580.0</v>
      </c>
      <c r="H497" s="295">
        <v>10.0</v>
      </c>
      <c r="I497" s="295">
        <v>50.0</v>
      </c>
      <c r="J497" s="295">
        <v>3.0</v>
      </c>
      <c r="K497" s="295">
        <v>3.0</v>
      </c>
      <c r="L497" s="295">
        <v>0.0</v>
      </c>
      <c r="M497" s="372" t="s">
        <v>323</v>
      </c>
      <c r="N497" s="295" t="s">
        <v>323</v>
      </c>
      <c r="O497" s="295">
        <v>0.0</v>
      </c>
      <c r="P497" s="295" t="s">
        <v>29</v>
      </c>
      <c r="Q497" s="295" t="s">
        <v>401</v>
      </c>
    </row>
    <row r="498" ht="15.75" customHeight="1">
      <c r="A498" s="211">
        <v>18.0</v>
      </c>
      <c r="B498" s="371" t="s">
        <v>6343</v>
      </c>
      <c r="C498" s="371" t="s">
        <v>6344</v>
      </c>
      <c r="D498" s="216" t="s">
        <v>6143</v>
      </c>
      <c r="E498" s="372" t="s">
        <v>6325</v>
      </c>
      <c r="F498" s="373"/>
      <c r="G498" s="374">
        <v>810.0</v>
      </c>
      <c r="H498" s="295">
        <v>10.0</v>
      </c>
      <c r="I498" s="295">
        <v>50.0</v>
      </c>
      <c r="J498" s="295">
        <v>1.0</v>
      </c>
      <c r="K498" s="295">
        <v>1.0</v>
      </c>
      <c r="L498" s="295">
        <v>0.0</v>
      </c>
      <c r="M498" s="372" t="s">
        <v>323</v>
      </c>
      <c r="N498" s="295" t="s">
        <v>323</v>
      </c>
      <c r="O498" s="295">
        <v>0.0</v>
      </c>
      <c r="P498" s="295" t="s">
        <v>29</v>
      </c>
      <c r="Q498" s="295" t="s">
        <v>401</v>
      </c>
    </row>
    <row r="499" ht="15.75" customHeight="1">
      <c r="A499" s="211">
        <v>19.0</v>
      </c>
      <c r="B499" s="371" t="s">
        <v>5604</v>
      </c>
      <c r="C499" s="371" t="s">
        <v>6345</v>
      </c>
      <c r="D499" s="216" t="s">
        <v>6143</v>
      </c>
      <c r="E499" s="372" t="s">
        <v>6328</v>
      </c>
      <c r="F499" s="373"/>
      <c r="G499" s="374">
        <v>150.0</v>
      </c>
      <c r="H499" s="295">
        <v>5.0</v>
      </c>
      <c r="I499" s="295">
        <v>25.0</v>
      </c>
      <c r="J499" s="295">
        <v>2.0</v>
      </c>
      <c r="K499" s="295">
        <v>2.0</v>
      </c>
      <c r="L499" s="295">
        <v>0.0</v>
      </c>
      <c r="M499" s="372" t="s">
        <v>6329</v>
      </c>
      <c r="N499" s="295" t="s">
        <v>6329</v>
      </c>
      <c r="O499" s="295">
        <v>0.0</v>
      </c>
      <c r="P499" s="295" t="s">
        <v>29</v>
      </c>
      <c r="Q499" s="295" t="s">
        <v>401</v>
      </c>
    </row>
    <row r="500" ht="15.75" customHeight="1">
      <c r="A500" s="211">
        <v>20.0</v>
      </c>
      <c r="B500" s="371" t="s">
        <v>6346</v>
      </c>
      <c r="C500" s="371" t="s">
        <v>6345</v>
      </c>
      <c r="D500" s="216" t="s">
        <v>6143</v>
      </c>
      <c r="E500" s="372" t="s">
        <v>6328</v>
      </c>
      <c r="F500" s="373"/>
      <c r="G500" s="374">
        <v>260.0</v>
      </c>
      <c r="H500" s="295">
        <v>5.0</v>
      </c>
      <c r="I500" s="295">
        <v>25.0</v>
      </c>
      <c r="J500" s="295">
        <v>2.0</v>
      </c>
      <c r="K500" s="295">
        <v>2.0</v>
      </c>
      <c r="L500" s="295">
        <v>0.0</v>
      </c>
      <c r="M500" s="372" t="s">
        <v>6329</v>
      </c>
      <c r="N500" s="295" t="s">
        <v>6329</v>
      </c>
      <c r="O500" s="295">
        <v>0.0</v>
      </c>
      <c r="P500" s="295" t="s">
        <v>29</v>
      </c>
      <c r="Q500" s="295" t="s">
        <v>401</v>
      </c>
    </row>
    <row r="501" ht="15.75" customHeight="1">
      <c r="A501" s="211">
        <v>21.0</v>
      </c>
      <c r="B501" s="371" t="s">
        <v>5604</v>
      </c>
      <c r="C501" s="371" t="s">
        <v>6347</v>
      </c>
      <c r="D501" s="216" t="s">
        <v>6143</v>
      </c>
      <c r="E501" s="372" t="s">
        <v>6328</v>
      </c>
      <c r="F501" s="373"/>
      <c r="G501" s="374">
        <v>220.0</v>
      </c>
      <c r="H501" s="295">
        <v>5.0</v>
      </c>
      <c r="I501" s="295">
        <v>25.0</v>
      </c>
      <c r="J501" s="295">
        <v>2.0</v>
      </c>
      <c r="K501" s="295">
        <v>2.0</v>
      </c>
      <c r="L501" s="295">
        <v>0.0</v>
      </c>
      <c r="M501" s="372" t="s">
        <v>4870</v>
      </c>
      <c r="N501" s="295" t="s">
        <v>4870</v>
      </c>
      <c r="O501" s="295">
        <v>0.0</v>
      </c>
      <c r="P501" s="295" t="s">
        <v>29</v>
      </c>
      <c r="Q501" s="295" t="s">
        <v>401</v>
      </c>
    </row>
    <row r="502" ht="15.75" customHeight="1">
      <c r="A502" s="211">
        <v>22.0</v>
      </c>
      <c r="B502" s="371" t="s">
        <v>6331</v>
      </c>
      <c r="C502" s="371" t="s">
        <v>6347</v>
      </c>
      <c r="D502" s="216" t="s">
        <v>6143</v>
      </c>
      <c r="E502" s="372" t="s">
        <v>6328</v>
      </c>
      <c r="F502" s="373"/>
      <c r="G502" s="374">
        <v>630.0</v>
      </c>
      <c r="H502" s="295">
        <v>10.0</v>
      </c>
      <c r="I502" s="295">
        <v>50.0</v>
      </c>
      <c r="J502" s="295">
        <v>3.0</v>
      </c>
      <c r="K502" s="295">
        <v>3.0</v>
      </c>
      <c r="L502" s="295">
        <v>0.0</v>
      </c>
      <c r="M502" s="372" t="s">
        <v>323</v>
      </c>
      <c r="N502" s="295" t="s">
        <v>323</v>
      </c>
      <c r="O502" s="295">
        <v>0.0</v>
      </c>
      <c r="P502" s="295" t="s">
        <v>29</v>
      </c>
      <c r="Q502" s="295" t="s">
        <v>401</v>
      </c>
    </row>
    <row r="503" ht="15.75" customHeight="1">
      <c r="A503" s="211">
        <v>23.0</v>
      </c>
      <c r="B503" s="371" t="s">
        <v>6348</v>
      </c>
      <c r="C503" s="371" t="s">
        <v>6349</v>
      </c>
      <c r="D503" s="216" t="s">
        <v>6143</v>
      </c>
      <c r="E503" s="372" t="s">
        <v>6328</v>
      </c>
      <c r="F503" s="373"/>
      <c r="G503" s="374">
        <v>920.0</v>
      </c>
      <c r="H503" s="295">
        <v>10.0</v>
      </c>
      <c r="I503" s="295">
        <v>50.0</v>
      </c>
      <c r="J503" s="295">
        <v>1.0</v>
      </c>
      <c r="K503" s="295">
        <v>1.0</v>
      </c>
      <c r="L503" s="295">
        <v>0.0</v>
      </c>
      <c r="M503" s="372" t="s">
        <v>4870</v>
      </c>
      <c r="N503" s="295" t="s">
        <v>4870</v>
      </c>
      <c r="O503" s="295">
        <v>0.0</v>
      </c>
      <c r="P503" s="295" t="s">
        <v>29</v>
      </c>
      <c r="Q503" s="295" t="s">
        <v>401</v>
      </c>
    </row>
    <row r="504" ht="15.75" customHeight="1">
      <c r="A504" s="211">
        <v>24.0</v>
      </c>
      <c r="B504" s="371" t="s">
        <v>5604</v>
      </c>
      <c r="C504" s="371" t="s">
        <v>6350</v>
      </c>
      <c r="D504" s="216" t="s">
        <v>6143</v>
      </c>
      <c r="E504" s="372" t="s">
        <v>6328</v>
      </c>
      <c r="F504" s="373"/>
      <c r="G504" s="374">
        <v>136.0</v>
      </c>
      <c r="H504" s="295">
        <v>4.0</v>
      </c>
      <c r="I504" s="295">
        <v>20.0</v>
      </c>
      <c r="J504" s="295">
        <v>2.0</v>
      </c>
      <c r="K504" s="295">
        <v>2.0</v>
      </c>
      <c r="L504" s="295">
        <v>0.0</v>
      </c>
      <c r="M504" s="372" t="s">
        <v>4870</v>
      </c>
      <c r="N504" s="295" t="s">
        <v>4870</v>
      </c>
      <c r="O504" s="295">
        <v>0.0</v>
      </c>
      <c r="P504" s="295" t="s">
        <v>29</v>
      </c>
      <c r="Q504" s="295" t="s">
        <v>401</v>
      </c>
    </row>
    <row r="505" ht="15.75" customHeight="1">
      <c r="A505" s="211">
        <v>25.0</v>
      </c>
      <c r="B505" s="371" t="s">
        <v>6351</v>
      </c>
      <c r="C505" s="371" t="s">
        <v>6352</v>
      </c>
      <c r="D505" s="216" t="s">
        <v>6143</v>
      </c>
      <c r="E505" s="372" t="s">
        <v>6328</v>
      </c>
      <c r="F505" s="373"/>
      <c r="G505" s="374">
        <v>100.0</v>
      </c>
      <c r="H505" s="295">
        <v>4.0</v>
      </c>
      <c r="I505" s="295">
        <v>20.0</v>
      </c>
      <c r="J505" s="295">
        <v>1.0</v>
      </c>
      <c r="K505" s="295">
        <v>1.0</v>
      </c>
      <c r="L505" s="295">
        <v>0.0</v>
      </c>
      <c r="M505" s="372" t="s">
        <v>6329</v>
      </c>
      <c r="N505" s="295" t="s">
        <v>6329</v>
      </c>
      <c r="O505" s="295">
        <v>0.0</v>
      </c>
      <c r="P505" s="295" t="s">
        <v>29</v>
      </c>
      <c r="Q505" s="295" t="s">
        <v>401</v>
      </c>
    </row>
    <row r="506" ht="15.75" customHeight="1">
      <c r="A506" s="211">
        <v>26.0</v>
      </c>
      <c r="B506" s="291" t="s">
        <v>43</v>
      </c>
      <c r="C506" s="291" t="s">
        <v>6353</v>
      </c>
      <c r="D506" s="216" t="s">
        <v>6143</v>
      </c>
      <c r="E506" s="372" t="s">
        <v>6325</v>
      </c>
      <c r="F506" s="335"/>
      <c r="G506" s="336">
        <v>2983.54</v>
      </c>
      <c r="H506" s="216">
        <v>150.0</v>
      </c>
      <c r="I506" s="216">
        <v>2000.0</v>
      </c>
      <c r="J506" s="216">
        <v>7.0</v>
      </c>
      <c r="K506" s="216">
        <v>7.0</v>
      </c>
      <c r="L506" s="216">
        <v>3.0</v>
      </c>
      <c r="M506" s="372" t="s">
        <v>4870</v>
      </c>
      <c r="N506" s="295" t="s">
        <v>4870</v>
      </c>
      <c r="O506" s="295">
        <v>0.0</v>
      </c>
      <c r="P506" s="216" t="s">
        <v>29</v>
      </c>
      <c r="Q506" s="216" t="s">
        <v>401</v>
      </c>
    </row>
    <row r="507" ht="15.75" customHeight="1">
      <c r="A507" s="211">
        <v>27.0</v>
      </c>
      <c r="B507" s="371" t="s">
        <v>6354</v>
      </c>
      <c r="C507" s="291" t="s">
        <v>6353</v>
      </c>
      <c r="D507" s="216" t="s">
        <v>6143</v>
      </c>
      <c r="E507" s="372" t="s">
        <v>6328</v>
      </c>
      <c r="F507" s="373"/>
      <c r="G507" s="374">
        <v>850.0</v>
      </c>
      <c r="H507" s="295">
        <v>10.0</v>
      </c>
      <c r="I507" s="295">
        <v>50.0</v>
      </c>
      <c r="J507" s="295">
        <v>1.0</v>
      </c>
      <c r="K507" s="295">
        <v>1.0</v>
      </c>
      <c r="L507" s="295">
        <v>0.0</v>
      </c>
      <c r="M507" s="372" t="s">
        <v>4870</v>
      </c>
      <c r="N507" s="295" t="s">
        <v>4870</v>
      </c>
      <c r="O507" s="295">
        <v>0.0</v>
      </c>
      <c r="P507" s="295" t="s">
        <v>29</v>
      </c>
      <c r="Q507" s="295" t="s">
        <v>401</v>
      </c>
    </row>
    <row r="508" ht="15.75" customHeight="1">
      <c r="A508" s="211">
        <v>28.0</v>
      </c>
      <c r="B508" s="371" t="s">
        <v>6331</v>
      </c>
      <c r="C508" s="371" t="s">
        <v>6350</v>
      </c>
      <c r="D508" s="216" t="s">
        <v>6143</v>
      </c>
      <c r="E508" s="372" t="s">
        <v>6328</v>
      </c>
      <c r="F508" s="373"/>
      <c r="G508" s="374">
        <v>420.0</v>
      </c>
      <c r="H508" s="295">
        <v>10.0</v>
      </c>
      <c r="I508" s="295">
        <v>50.0</v>
      </c>
      <c r="J508" s="295">
        <v>0.0</v>
      </c>
      <c r="K508" s="295">
        <v>0.0</v>
      </c>
      <c r="L508" s="295">
        <v>0.0</v>
      </c>
      <c r="M508" s="372" t="s">
        <v>4870</v>
      </c>
      <c r="N508" s="295" t="s">
        <v>4870</v>
      </c>
      <c r="O508" s="295">
        <v>0.0</v>
      </c>
      <c r="P508" s="216" t="s">
        <v>29</v>
      </c>
      <c r="Q508" s="216" t="s">
        <v>401</v>
      </c>
    </row>
    <row r="509" ht="15.75" customHeight="1">
      <c r="A509" s="211">
        <v>29.0</v>
      </c>
      <c r="B509" s="371" t="s">
        <v>5604</v>
      </c>
      <c r="C509" s="371" t="s">
        <v>6355</v>
      </c>
      <c r="D509" s="216" t="s">
        <v>6143</v>
      </c>
      <c r="E509" s="372" t="s">
        <v>6115</v>
      </c>
      <c r="F509" s="373"/>
      <c r="G509" s="374">
        <v>64.0</v>
      </c>
      <c r="H509" s="295">
        <v>5.0</v>
      </c>
      <c r="I509" s="295">
        <v>25.0</v>
      </c>
      <c r="J509" s="295">
        <v>2.0</v>
      </c>
      <c r="K509" s="295">
        <v>2.0</v>
      </c>
      <c r="L509" s="295">
        <v>0.0</v>
      </c>
      <c r="M509" s="372" t="s">
        <v>323</v>
      </c>
      <c r="N509" s="295" t="s">
        <v>323</v>
      </c>
      <c r="O509" s="295">
        <v>0.0</v>
      </c>
      <c r="P509" s="295" t="s">
        <v>29</v>
      </c>
      <c r="Q509" s="295" t="s">
        <v>401</v>
      </c>
    </row>
    <row r="510" ht="15.75" customHeight="1">
      <c r="A510" s="211">
        <v>30.0</v>
      </c>
      <c r="B510" s="371" t="s">
        <v>6356</v>
      </c>
      <c r="C510" s="371" t="s">
        <v>6355</v>
      </c>
      <c r="D510" s="216" t="s">
        <v>6143</v>
      </c>
      <c r="E510" s="372" t="s">
        <v>6115</v>
      </c>
      <c r="F510" s="373"/>
      <c r="G510" s="374">
        <v>140.0</v>
      </c>
      <c r="H510" s="295">
        <v>28.0</v>
      </c>
      <c r="I510" s="295">
        <v>140.0</v>
      </c>
      <c r="J510" s="295">
        <v>6.0</v>
      </c>
      <c r="K510" s="295">
        <v>6.0</v>
      </c>
      <c r="L510" s="295">
        <v>0.0</v>
      </c>
      <c r="M510" s="372" t="s">
        <v>323</v>
      </c>
      <c r="N510" s="295" t="s">
        <v>323</v>
      </c>
      <c r="O510" s="295">
        <v>0.0</v>
      </c>
      <c r="P510" s="295" t="s">
        <v>29</v>
      </c>
      <c r="Q510" s="295" t="s">
        <v>401</v>
      </c>
    </row>
    <row r="511" ht="15.75" customHeight="1">
      <c r="A511" s="211">
        <v>31.0</v>
      </c>
      <c r="B511" s="371" t="s">
        <v>5604</v>
      </c>
      <c r="C511" s="371" t="s">
        <v>6357</v>
      </c>
      <c r="D511" s="216" t="s">
        <v>6143</v>
      </c>
      <c r="E511" s="372" t="s">
        <v>6115</v>
      </c>
      <c r="F511" s="373"/>
      <c r="G511" s="374">
        <v>110.0</v>
      </c>
      <c r="H511" s="295">
        <v>5.0</v>
      </c>
      <c r="I511" s="295">
        <v>25.0</v>
      </c>
      <c r="J511" s="295">
        <v>2.0</v>
      </c>
      <c r="K511" s="295">
        <v>2.0</v>
      </c>
      <c r="L511" s="295">
        <v>0.0</v>
      </c>
      <c r="M511" s="372" t="s">
        <v>323</v>
      </c>
      <c r="N511" s="295" t="s">
        <v>323</v>
      </c>
      <c r="O511" s="295">
        <v>0.0</v>
      </c>
      <c r="P511" s="295" t="s">
        <v>29</v>
      </c>
      <c r="Q511" s="295" t="s">
        <v>401</v>
      </c>
    </row>
    <row r="512" ht="15.75" customHeight="1">
      <c r="A512" s="211">
        <v>32.0</v>
      </c>
      <c r="B512" s="371" t="s">
        <v>6358</v>
      </c>
      <c r="C512" s="371" t="s">
        <v>6357</v>
      </c>
      <c r="D512" s="216" t="s">
        <v>6143</v>
      </c>
      <c r="E512" s="372" t="s">
        <v>6115</v>
      </c>
      <c r="F512" s="373"/>
      <c r="G512" s="374">
        <v>250.0</v>
      </c>
      <c r="H512" s="295">
        <v>6.0</v>
      </c>
      <c r="I512" s="295">
        <v>30.0</v>
      </c>
      <c r="J512" s="295">
        <v>1.0</v>
      </c>
      <c r="K512" s="295">
        <v>1.0</v>
      </c>
      <c r="L512" s="295">
        <v>0.0</v>
      </c>
      <c r="M512" s="372" t="s">
        <v>323</v>
      </c>
      <c r="N512" s="295" t="s">
        <v>323</v>
      </c>
      <c r="O512" s="295">
        <v>0.0</v>
      </c>
      <c r="P512" s="295" t="s">
        <v>29</v>
      </c>
      <c r="Q512" s="295" t="s">
        <v>401</v>
      </c>
    </row>
    <row r="513" ht="15.75" customHeight="1">
      <c r="A513" s="211">
        <v>33.0</v>
      </c>
      <c r="B513" s="371" t="s">
        <v>6359</v>
      </c>
      <c r="C513" s="371" t="s">
        <v>6360</v>
      </c>
      <c r="D513" s="216" t="s">
        <v>6143</v>
      </c>
      <c r="E513" s="372" t="s">
        <v>6325</v>
      </c>
      <c r="F513" s="373"/>
      <c r="G513" s="374">
        <v>400.0</v>
      </c>
      <c r="H513" s="295">
        <v>4.0</v>
      </c>
      <c r="I513" s="295">
        <v>20.0</v>
      </c>
      <c r="J513" s="295">
        <v>1.0</v>
      </c>
      <c r="K513" s="295">
        <v>1.0</v>
      </c>
      <c r="L513" s="295">
        <v>0.0</v>
      </c>
      <c r="M513" s="372" t="s">
        <v>323</v>
      </c>
      <c r="N513" s="295" t="s">
        <v>323</v>
      </c>
      <c r="O513" s="295">
        <v>0.0</v>
      </c>
      <c r="P513" s="295" t="s">
        <v>29</v>
      </c>
      <c r="Q513" s="295" t="s">
        <v>401</v>
      </c>
    </row>
    <row r="514" ht="15.75" customHeight="1">
      <c r="A514" s="211">
        <v>34.0</v>
      </c>
      <c r="B514" s="371" t="s">
        <v>5604</v>
      </c>
      <c r="C514" s="371" t="s">
        <v>6361</v>
      </c>
      <c r="D514" s="216" t="s">
        <v>6143</v>
      </c>
      <c r="E514" s="372" t="s">
        <v>6115</v>
      </c>
      <c r="F514" s="373"/>
      <c r="G514" s="374">
        <v>25.0</v>
      </c>
      <c r="H514" s="295">
        <v>3.0</v>
      </c>
      <c r="I514" s="295">
        <v>15.0</v>
      </c>
      <c r="J514" s="295">
        <v>1.0</v>
      </c>
      <c r="K514" s="295">
        <v>1.0</v>
      </c>
      <c r="L514" s="295">
        <v>0.0</v>
      </c>
      <c r="M514" s="372" t="s">
        <v>4870</v>
      </c>
      <c r="N514" s="295" t="s">
        <v>4870</v>
      </c>
      <c r="O514" s="295">
        <v>0.0</v>
      </c>
      <c r="P514" s="295" t="s">
        <v>29</v>
      </c>
      <c r="Q514" s="295" t="s">
        <v>401</v>
      </c>
    </row>
    <row r="515" ht="15.75" customHeight="1">
      <c r="A515" s="211">
        <v>35.0</v>
      </c>
      <c r="B515" s="371" t="s">
        <v>5604</v>
      </c>
      <c r="C515" s="371" t="s">
        <v>6362</v>
      </c>
      <c r="D515" s="216" t="s">
        <v>6143</v>
      </c>
      <c r="E515" s="372" t="s">
        <v>6328</v>
      </c>
      <c r="F515" s="373"/>
      <c r="G515" s="374">
        <v>230.0</v>
      </c>
      <c r="H515" s="295">
        <v>5.0</v>
      </c>
      <c r="I515" s="295">
        <v>25.0</v>
      </c>
      <c r="J515" s="295">
        <v>1.0</v>
      </c>
      <c r="K515" s="295">
        <v>1.0</v>
      </c>
      <c r="L515" s="295">
        <v>0.0</v>
      </c>
      <c r="M515" s="372" t="s">
        <v>4870</v>
      </c>
      <c r="N515" s="295" t="s">
        <v>4870</v>
      </c>
      <c r="O515" s="295">
        <v>0.0</v>
      </c>
      <c r="P515" s="295" t="s">
        <v>29</v>
      </c>
      <c r="Q515" s="295" t="s">
        <v>401</v>
      </c>
    </row>
    <row r="516" ht="15.75" customHeight="1">
      <c r="A516" s="211">
        <v>36.0</v>
      </c>
      <c r="B516" s="371" t="s">
        <v>6363</v>
      </c>
      <c r="C516" s="371" t="s">
        <v>6362</v>
      </c>
      <c r="D516" s="216" t="s">
        <v>6143</v>
      </c>
      <c r="E516" s="372" t="s">
        <v>6328</v>
      </c>
      <c r="F516" s="373"/>
      <c r="G516" s="374">
        <v>310.0</v>
      </c>
      <c r="H516" s="295">
        <v>28.0</v>
      </c>
      <c r="I516" s="295">
        <v>140.0</v>
      </c>
      <c r="J516" s="295">
        <v>6.0</v>
      </c>
      <c r="K516" s="295">
        <v>6.0</v>
      </c>
      <c r="L516" s="295">
        <v>0.0</v>
      </c>
      <c r="M516" s="372" t="s">
        <v>4870</v>
      </c>
      <c r="N516" s="295" t="s">
        <v>4870</v>
      </c>
      <c r="O516" s="295">
        <v>0.0</v>
      </c>
      <c r="P516" s="295" t="s">
        <v>29</v>
      </c>
      <c r="Q516" s="295" t="s">
        <v>401</v>
      </c>
    </row>
    <row r="517" ht="15.75" customHeight="1">
      <c r="A517" s="211">
        <v>37.0</v>
      </c>
      <c r="B517" s="371" t="s">
        <v>6331</v>
      </c>
      <c r="C517" s="371" t="s">
        <v>6362</v>
      </c>
      <c r="D517" s="216" t="s">
        <v>6143</v>
      </c>
      <c r="E517" s="372" t="s">
        <v>6328</v>
      </c>
      <c r="F517" s="373"/>
      <c r="G517" s="374">
        <v>620.0</v>
      </c>
      <c r="H517" s="295">
        <v>10.0</v>
      </c>
      <c r="I517" s="295">
        <v>50.0</v>
      </c>
      <c r="J517" s="295">
        <v>0.0</v>
      </c>
      <c r="K517" s="295">
        <v>0.0</v>
      </c>
      <c r="L517" s="295">
        <v>0.0</v>
      </c>
      <c r="M517" s="372" t="s">
        <v>4870</v>
      </c>
      <c r="N517" s="295" t="s">
        <v>4870</v>
      </c>
      <c r="O517" s="295">
        <v>0.0</v>
      </c>
      <c r="P517" s="216" t="s">
        <v>29</v>
      </c>
      <c r="Q517" s="216" t="s">
        <v>401</v>
      </c>
    </row>
    <row r="518" ht="15.75" customHeight="1">
      <c r="A518" s="211">
        <v>38.0</v>
      </c>
      <c r="B518" s="371" t="s">
        <v>5604</v>
      </c>
      <c r="C518" s="371" t="s">
        <v>6364</v>
      </c>
      <c r="D518" s="216" t="s">
        <v>6143</v>
      </c>
      <c r="E518" s="372" t="s">
        <v>6328</v>
      </c>
      <c r="F518" s="373"/>
      <c r="G518" s="374">
        <v>84.0</v>
      </c>
      <c r="H518" s="295">
        <v>5.0</v>
      </c>
      <c r="I518" s="295">
        <v>25.0</v>
      </c>
      <c r="J518" s="295">
        <v>2.0</v>
      </c>
      <c r="K518" s="295">
        <v>2.0</v>
      </c>
      <c r="L518" s="295">
        <v>0.0</v>
      </c>
      <c r="M518" s="372" t="s">
        <v>6365</v>
      </c>
      <c r="N518" s="295" t="s">
        <v>4870</v>
      </c>
      <c r="O518" s="295">
        <v>0.0</v>
      </c>
      <c r="P518" s="295" t="s">
        <v>29</v>
      </c>
      <c r="Q518" s="295" t="s">
        <v>401</v>
      </c>
    </row>
    <row r="519" ht="15.75" customHeight="1">
      <c r="A519" s="211">
        <v>39.0</v>
      </c>
      <c r="B519" s="371" t="s">
        <v>1105</v>
      </c>
      <c r="C519" s="371" t="s">
        <v>6364</v>
      </c>
      <c r="D519" s="216" t="s">
        <v>6143</v>
      </c>
      <c r="E519" s="372" t="s">
        <v>6328</v>
      </c>
      <c r="F519" s="373"/>
      <c r="G519" s="374">
        <v>300.0</v>
      </c>
      <c r="H519" s="295">
        <v>40.0</v>
      </c>
      <c r="I519" s="295">
        <v>200.0</v>
      </c>
      <c r="J519" s="295">
        <v>4.0</v>
      </c>
      <c r="K519" s="295">
        <v>4.0</v>
      </c>
      <c r="L519" s="295">
        <v>0.0</v>
      </c>
      <c r="M519" s="372" t="s">
        <v>323</v>
      </c>
      <c r="N519" s="295" t="s">
        <v>323</v>
      </c>
      <c r="O519" s="295">
        <v>0.0</v>
      </c>
      <c r="P519" s="295" t="s">
        <v>29</v>
      </c>
      <c r="Q519" s="295" t="s">
        <v>401</v>
      </c>
    </row>
    <row r="520" ht="15.75" customHeight="1">
      <c r="A520" s="211">
        <v>40.0</v>
      </c>
      <c r="B520" s="371" t="s">
        <v>5604</v>
      </c>
      <c r="C520" s="371" t="s">
        <v>6366</v>
      </c>
      <c r="D520" s="216" t="s">
        <v>6143</v>
      </c>
      <c r="E520" s="372" t="s">
        <v>6328</v>
      </c>
      <c r="F520" s="373"/>
      <c r="G520" s="374">
        <v>144.0</v>
      </c>
      <c r="H520" s="295">
        <v>3.0</v>
      </c>
      <c r="I520" s="295">
        <v>15.0</v>
      </c>
      <c r="J520" s="295">
        <v>2.0</v>
      </c>
      <c r="K520" s="295">
        <v>2.0</v>
      </c>
      <c r="L520" s="295">
        <v>0.0</v>
      </c>
      <c r="M520" s="372" t="s">
        <v>323</v>
      </c>
      <c r="N520" s="295" t="s">
        <v>323</v>
      </c>
      <c r="O520" s="295">
        <v>0.0</v>
      </c>
      <c r="P520" s="295" t="s">
        <v>29</v>
      </c>
      <c r="Q520" s="295" t="s">
        <v>401</v>
      </c>
    </row>
    <row r="521" ht="15.75" customHeight="1">
      <c r="A521" s="211">
        <v>41.0</v>
      </c>
      <c r="B521" s="371" t="s">
        <v>6367</v>
      </c>
      <c r="C521" s="371" t="s">
        <v>6368</v>
      </c>
      <c r="D521" s="216" t="s">
        <v>6143</v>
      </c>
      <c r="E521" s="372" t="s">
        <v>6328</v>
      </c>
      <c r="F521" s="373"/>
      <c r="G521" s="374">
        <v>120.0</v>
      </c>
      <c r="H521" s="295">
        <v>5.0</v>
      </c>
      <c r="I521" s="295">
        <v>25.0</v>
      </c>
      <c r="J521" s="295">
        <v>2.0</v>
      </c>
      <c r="K521" s="295">
        <v>2.0</v>
      </c>
      <c r="L521" s="295">
        <v>0.0</v>
      </c>
      <c r="M521" s="372" t="s">
        <v>323</v>
      </c>
      <c r="N521" s="295" t="s">
        <v>323</v>
      </c>
      <c r="O521" s="295">
        <v>0.0</v>
      </c>
      <c r="P521" s="295" t="s">
        <v>29</v>
      </c>
      <c r="Q521" s="295" t="s">
        <v>401</v>
      </c>
    </row>
    <row r="522" ht="15.75" customHeight="1">
      <c r="A522" s="211">
        <v>42.0</v>
      </c>
      <c r="B522" s="371" t="s">
        <v>6331</v>
      </c>
      <c r="C522" s="371" t="s">
        <v>6368</v>
      </c>
      <c r="D522" s="216" t="s">
        <v>6143</v>
      </c>
      <c r="E522" s="372" t="s">
        <v>6328</v>
      </c>
      <c r="F522" s="373"/>
      <c r="G522" s="374">
        <v>500.0</v>
      </c>
      <c r="H522" s="295">
        <v>10.0</v>
      </c>
      <c r="I522" s="295">
        <v>50.0</v>
      </c>
      <c r="J522" s="295">
        <v>0.0</v>
      </c>
      <c r="K522" s="295">
        <v>0.0</v>
      </c>
      <c r="L522" s="295">
        <v>0.0</v>
      </c>
      <c r="M522" s="372" t="s">
        <v>323</v>
      </c>
      <c r="N522" s="295" t="s">
        <v>323</v>
      </c>
      <c r="O522" s="295">
        <v>0.0</v>
      </c>
      <c r="P522" s="295" t="s">
        <v>29</v>
      </c>
      <c r="Q522" s="295" t="s">
        <v>401</v>
      </c>
    </row>
    <row r="523" ht="15.75" customHeight="1">
      <c r="A523" s="211">
        <v>43.0</v>
      </c>
      <c r="B523" s="371" t="s">
        <v>6369</v>
      </c>
      <c r="C523" s="371" t="s">
        <v>6370</v>
      </c>
      <c r="D523" s="216" t="s">
        <v>6143</v>
      </c>
      <c r="E523" s="372" t="s">
        <v>6325</v>
      </c>
      <c r="F523" s="373"/>
      <c r="G523" s="374">
        <v>700.0</v>
      </c>
      <c r="H523" s="295">
        <v>10.0</v>
      </c>
      <c r="I523" s="295">
        <v>50.0</v>
      </c>
      <c r="J523" s="295">
        <v>3.0</v>
      </c>
      <c r="K523" s="295">
        <v>3.0</v>
      </c>
      <c r="L523" s="295">
        <v>0.0</v>
      </c>
      <c r="M523" s="372" t="s">
        <v>6329</v>
      </c>
      <c r="N523" s="295" t="s">
        <v>6329</v>
      </c>
      <c r="O523" s="295">
        <v>0.0</v>
      </c>
      <c r="P523" s="295" t="s">
        <v>29</v>
      </c>
      <c r="Q523" s="295" t="s">
        <v>401</v>
      </c>
    </row>
    <row r="524" ht="15.75" customHeight="1">
      <c r="A524" s="211">
        <v>44.0</v>
      </c>
      <c r="B524" s="371" t="s">
        <v>5604</v>
      </c>
      <c r="C524" s="371" t="s">
        <v>6370</v>
      </c>
      <c r="D524" s="216" t="s">
        <v>6143</v>
      </c>
      <c r="E524" s="372" t="s">
        <v>6325</v>
      </c>
      <c r="F524" s="373"/>
      <c r="G524" s="374">
        <v>144.0</v>
      </c>
      <c r="H524" s="295">
        <v>2.0</v>
      </c>
      <c r="I524" s="295">
        <v>10.0</v>
      </c>
      <c r="J524" s="295">
        <v>1.0</v>
      </c>
      <c r="K524" s="295">
        <v>1.0</v>
      </c>
      <c r="L524" s="295">
        <v>0.0</v>
      </c>
      <c r="M524" s="372" t="s">
        <v>6329</v>
      </c>
      <c r="N524" s="295" t="s">
        <v>6329</v>
      </c>
      <c r="O524" s="295">
        <v>0.0</v>
      </c>
      <c r="P524" s="295" t="s">
        <v>29</v>
      </c>
      <c r="Q524" s="295" t="s">
        <v>401</v>
      </c>
    </row>
    <row r="525" ht="15.75" customHeight="1">
      <c r="A525" s="211">
        <v>45.0</v>
      </c>
      <c r="B525" s="371" t="s">
        <v>6371</v>
      </c>
      <c r="C525" s="371" t="s">
        <v>6372</v>
      </c>
      <c r="D525" s="216" t="s">
        <v>6143</v>
      </c>
      <c r="E525" s="372" t="s">
        <v>6325</v>
      </c>
      <c r="F525" s="373"/>
      <c r="G525" s="374">
        <v>145.0</v>
      </c>
      <c r="H525" s="295">
        <v>5.0</v>
      </c>
      <c r="I525" s="295">
        <v>25.0</v>
      </c>
      <c r="J525" s="295">
        <v>6.0</v>
      </c>
      <c r="K525" s="295">
        <v>6.0</v>
      </c>
      <c r="L525" s="295">
        <v>0.0</v>
      </c>
      <c r="M525" s="372" t="s">
        <v>4870</v>
      </c>
      <c r="N525" s="295" t="s">
        <v>4870</v>
      </c>
      <c r="O525" s="295">
        <v>0.0</v>
      </c>
      <c r="P525" s="295" t="s">
        <v>29</v>
      </c>
      <c r="Q525" s="295" t="s">
        <v>401</v>
      </c>
    </row>
    <row r="526" ht="15.75" customHeight="1">
      <c r="A526" s="211">
        <v>46.0</v>
      </c>
      <c r="B526" s="371" t="s">
        <v>5604</v>
      </c>
      <c r="C526" s="371" t="s">
        <v>6372</v>
      </c>
      <c r="D526" s="216" t="s">
        <v>6143</v>
      </c>
      <c r="E526" s="372" t="s">
        <v>6325</v>
      </c>
      <c r="F526" s="373"/>
      <c r="G526" s="374">
        <v>108.0</v>
      </c>
      <c r="H526" s="295">
        <v>2.0</v>
      </c>
      <c r="I526" s="295">
        <v>10.0</v>
      </c>
      <c r="J526" s="295">
        <v>1.0</v>
      </c>
      <c r="K526" s="295">
        <v>1.0</v>
      </c>
      <c r="L526" s="295">
        <v>0.0</v>
      </c>
      <c r="M526" s="372" t="s">
        <v>4870</v>
      </c>
      <c r="N526" s="295" t="s">
        <v>4870</v>
      </c>
      <c r="O526" s="295">
        <v>0.0</v>
      </c>
      <c r="P526" s="295" t="s">
        <v>29</v>
      </c>
      <c r="Q526" s="295" t="s">
        <v>401</v>
      </c>
    </row>
    <row r="527" ht="15.75" customHeight="1">
      <c r="A527" s="211">
        <v>47.0</v>
      </c>
      <c r="B527" s="371" t="s">
        <v>6373</v>
      </c>
      <c r="C527" s="371" t="s">
        <v>6372</v>
      </c>
      <c r="D527" s="216" t="s">
        <v>6143</v>
      </c>
      <c r="E527" s="372" t="s">
        <v>6325</v>
      </c>
      <c r="F527" s="373"/>
      <c r="G527" s="374">
        <v>400.0</v>
      </c>
      <c r="H527" s="295">
        <v>5.0</v>
      </c>
      <c r="I527" s="295">
        <v>25.0</v>
      </c>
      <c r="J527" s="295">
        <v>2.0</v>
      </c>
      <c r="K527" s="295">
        <v>2.0</v>
      </c>
      <c r="L527" s="295">
        <v>0.0</v>
      </c>
      <c r="M527" s="372" t="s">
        <v>4870</v>
      </c>
      <c r="N527" s="295" t="s">
        <v>4870</v>
      </c>
      <c r="O527" s="295">
        <v>0.0</v>
      </c>
      <c r="P527" s="295" t="s">
        <v>29</v>
      </c>
      <c r="Q527" s="295" t="s">
        <v>401</v>
      </c>
    </row>
    <row r="528" ht="15.75" customHeight="1">
      <c r="A528" s="211">
        <v>48.0</v>
      </c>
      <c r="B528" s="371" t="s">
        <v>5604</v>
      </c>
      <c r="C528" s="371" t="s">
        <v>6374</v>
      </c>
      <c r="D528" s="216" t="s">
        <v>6143</v>
      </c>
      <c r="E528" s="372" t="s">
        <v>6328</v>
      </c>
      <c r="F528" s="373"/>
      <c r="G528" s="374">
        <v>112.0</v>
      </c>
      <c r="H528" s="295">
        <v>2.0</v>
      </c>
      <c r="I528" s="295">
        <v>10.0</v>
      </c>
      <c r="J528" s="295">
        <v>2.0</v>
      </c>
      <c r="K528" s="295">
        <v>2.0</v>
      </c>
      <c r="L528" s="295">
        <v>0.0</v>
      </c>
      <c r="M528" s="372" t="s">
        <v>6329</v>
      </c>
      <c r="N528" s="295" t="s">
        <v>6329</v>
      </c>
      <c r="O528" s="295">
        <v>0.0</v>
      </c>
      <c r="P528" s="295" t="s">
        <v>29</v>
      </c>
      <c r="Q528" s="295" t="s">
        <v>401</v>
      </c>
    </row>
    <row r="529" ht="15.75" customHeight="1">
      <c r="A529" s="211">
        <v>49.0</v>
      </c>
      <c r="B529" s="371" t="s">
        <v>6375</v>
      </c>
      <c r="C529" s="371" t="s">
        <v>6374</v>
      </c>
      <c r="D529" s="216" t="s">
        <v>6143</v>
      </c>
      <c r="E529" s="372" t="s">
        <v>6328</v>
      </c>
      <c r="F529" s="373"/>
      <c r="G529" s="374">
        <v>320.0</v>
      </c>
      <c r="H529" s="295">
        <v>5.0</v>
      </c>
      <c r="I529" s="295">
        <v>25.0</v>
      </c>
      <c r="J529" s="295">
        <v>1.0</v>
      </c>
      <c r="K529" s="295">
        <v>1.0</v>
      </c>
      <c r="L529" s="295">
        <v>0.0</v>
      </c>
      <c r="M529" s="372" t="s">
        <v>6329</v>
      </c>
      <c r="N529" s="295" t="s">
        <v>6329</v>
      </c>
      <c r="O529" s="295">
        <v>0.0</v>
      </c>
      <c r="P529" s="295" t="s">
        <v>29</v>
      </c>
      <c r="Q529" s="295" t="s">
        <v>401</v>
      </c>
    </row>
    <row r="530" ht="15.75" customHeight="1">
      <c r="A530" s="211">
        <v>50.0</v>
      </c>
      <c r="B530" s="371" t="s">
        <v>6376</v>
      </c>
      <c r="C530" s="371" t="s">
        <v>6374</v>
      </c>
      <c r="D530" s="216" t="s">
        <v>6143</v>
      </c>
      <c r="E530" s="372" t="s">
        <v>6328</v>
      </c>
      <c r="F530" s="373"/>
      <c r="G530" s="374">
        <v>575.0</v>
      </c>
      <c r="H530" s="295">
        <v>10.0</v>
      </c>
      <c r="I530" s="295">
        <v>50.0</v>
      </c>
      <c r="J530" s="295">
        <v>5.0</v>
      </c>
      <c r="K530" s="295">
        <v>5.0</v>
      </c>
      <c r="L530" s="295">
        <v>0.0</v>
      </c>
      <c r="M530" s="372" t="s">
        <v>6329</v>
      </c>
      <c r="N530" s="295" t="s">
        <v>6329</v>
      </c>
      <c r="O530" s="295">
        <v>0.0</v>
      </c>
      <c r="P530" s="295" t="s">
        <v>29</v>
      </c>
      <c r="Q530" s="295" t="s">
        <v>401</v>
      </c>
    </row>
    <row r="531" ht="15.75" customHeight="1">
      <c r="A531" s="211">
        <v>51.0</v>
      </c>
      <c r="B531" s="371" t="s">
        <v>5604</v>
      </c>
      <c r="C531" s="371" t="s">
        <v>6377</v>
      </c>
      <c r="D531" s="216" t="s">
        <v>6143</v>
      </c>
      <c r="E531" s="372" t="s">
        <v>6328</v>
      </c>
      <c r="F531" s="373"/>
      <c r="G531" s="374">
        <v>192.0</v>
      </c>
      <c r="H531" s="295">
        <v>6.0</v>
      </c>
      <c r="I531" s="295">
        <v>30.0</v>
      </c>
      <c r="J531" s="295">
        <v>2.0</v>
      </c>
      <c r="K531" s="295">
        <v>2.0</v>
      </c>
      <c r="L531" s="295">
        <v>0.0</v>
      </c>
      <c r="M531" s="372" t="s">
        <v>323</v>
      </c>
      <c r="N531" s="295" t="s">
        <v>323</v>
      </c>
      <c r="O531" s="295">
        <v>0.0</v>
      </c>
      <c r="P531" s="295" t="s">
        <v>29</v>
      </c>
      <c r="Q531" s="295" t="s">
        <v>401</v>
      </c>
    </row>
    <row r="532" ht="15.75" customHeight="1">
      <c r="A532" s="211">
        <v>52.0</v>
      </c>
      <c r="B532" s="371" t="s">
        <v>6378</v>
      </c>
      <c r="C532" s="371" t="s">
        <v>6377</v>
      </c>
      <c r="D532" s="216" t="s">
        <v>6143</v>
      </c>
      <c r="E532" s="372" t="s">
        <v>6328</v>
      </c>
      <c r="F532" s="373"/>
      <c r="G532" s="374">
        <v>385.0</v>
      </c>
      <c r="H532" s="295">
        <v>5.0</v>
      </c>
      <c r="I532" s="295">
        <v>25.0</v>
      </c>
      <c r="J532" s="295">
        <v>1.0</v>
      </c>
      <c r="K532" s="295">
        <v>1.0</v>
      </c>
      <c r="L532" s="295">
        <v>0.0</v>
      </c>
      <c r="M532" s="372" t="s">
        <v>6329</v>
      </c>
      <c r="N532" s="295" t="s">
        <v>6329</v>
      </c>
      <c r="O532" s="295">
        <v>0.0</v>
      </c>
      <c r="P532" s="295" t="s">
        <v>29</v>
      </c>
      <c r="Q532" s="295" t="s">
        <v>401</v>
      </c>
    </row>
    <row r="533" ht="15.75" customHeight="1">
      <c r="A533" s="211">
        <v>53.0</v>
      </c>
      <c r="B533" s="371" t="s">
        <v>5604</v>
      </c>
      <c r="C533" s="371" t="s">
        <v>6379</v>
      </c>
      <c r="D533" s="216" t="s">
        <v>6143</v>
      </c>
      <c r="E533" s="372" t="s">
        <v>6328</v>
      </c>
      <c r="F533" s="373"/>
      <c r="G533" s="374">
        <v>27.0</v>
      </c>
      <c r="H533" s="295">
        <v>2.0</v>
      </c>
      <c r="I533" s="295">
        <v>10.0</v>
      </c>
      <c r="J533" s="295">
        <v>1.0</v>
      </c>
      <c r="K533" s="295">
        <v>1.0</v>
      </c>
      <c r="L533" s="295">
        <v>0.0</v>
      </c>
      <c r="M533" s="372" t="s">
        <v>4870</v>
      </c>
      <c r="N533" s="295" t="s">
        <v>4870</v>
      </c>
      <c r="O533" s="295">
        <v>0.0</v>
      </c>
      <c r="P533" s="295" t="s">
        <v>29</v>
      </c>
      <c r="Q533" s="295" t="s">
        <v>401</v>
      </c>
    </row>
    <row r="534" ht="15.75" customHeight="1">
      <c r="A534" s="211">
        <v>54.0</v>
      </c>
      <c r="B534" s="291" t="s">
        <v>6380</v>
      </c>
      <c r="C534" s="291" t="s">
        <v>6381</v>
      </c>
      <c r="D534" s="216" t="s">
        <v>6143</v>
      </c>
      <c r="E534" s="372" t="s">
        <v>6328</v>
      </c>
      <c r="F534" s="335"/>
      <c r="G534" s="375">
        <v>4467.76</v>
      </c>
      <c r="H534" s="216">
        <v>100.0</v>
      </c>
      <c r="I534" s="216">
        <v>500.0</v>
      </c>
      <c r="J534" s="216">
        <v>3.0</v>
      </c>
      <c r="K534" s="216">
        <v>4.0</v>
      </c>
      <c r="L534" s="216">
        <v>0.0</v>
      </c>
      <c r="M534" s="372" t="s">
        <v>4870</v>
      </c>
      <c r="N534" s="295" t="s">
        <v>4870</v>
      </c>
      <c r="O534" s="216">
        <v>100.0</v>
      </c>
      <c r="P534" s="216" t="s">
        <v>29</v>
      </c>
      <c r="Q534" s="295" t="s">
        <v>401</v>
      </c>
    </row>
    <row r="535" ht="15.75" customHeight="1">
      <c r="A535" s="211">
        <v>55.0</v>
      </c>
      <c r="B535" s="371" t="s">
        <v>5604</v>
      </c>
      <c r="C535" s="371" t="s">
        <v>6382</v>
      </c>
      <c r="D535" s="216" t="s">
        <v>6143</v>
      </c>
      <c r="E535" s="372" t="s">
        <v>6328</v>
      </c>
      <c r="F535" s="373"/>
      <c r="G535" s="374">
        <v>144.0</v>
      </c>
      <c r="H535" s="295">
        <v>1.0</v>
      </c>
      <c r="I535" s="295">
        <v>6.0</v>
      </c>
      <c r="J535" s="295">
        <v>2.0</v>
      </c>
      <c r="K535" s="295">
        <v>2.0</v>
      </c>
      <c r="L535" s="295">
        <v>0.0</v>
      </c>
      <c r="M535" s="372" t="s">
        <v>4870</v>
      </c>
      <c r="N535" s="295" t="s">
        <v>4870</v>
      </c>
      <c r="O535" s="295">
        <v>0.0</v>
      </c>
      <c r="P535" s="295" t="s">
        <v>29</v>
      </c>
      <c r="Q535" s="295" t="s">
        <v>401</v>
      </c>
    </row>
    <row r="536" ht="15.75" customHeight="1">
      <c r="A536" s="211">
        <v>56.0</v>
      </c>
      <c r="B536" s="371" t="s">
        <v>5604</v>
      </c>
      <c r="C536" s="371" t="s">
        <v>6383</v>
      </c>
      <c r="D536" s="216" t="s">
        <v>6143</v>
      </c>
      <c r="E536" s="372" t="s">
        <v>6328</v>
      </c>
      <c r="F536" s="373"/>
      <c r="G536" s="374">
        <v>134.0</v>
      </c>
      <c r="H536" s="295">
        <v>3.0</v>
      </c>
      <c r="I536" s="295">
        <v>15.0</v>
      </c>
      <c r="J536" s="295">
        <v>2.0</v>
      </c>
      <c r="K536" s="295">
        <v>2.0</v>
      </c>
      <c r="L536" s="295">
        <v>0.0</v>
      </c>
      <c r="M536" s="372" t="s">
        <v>4870</v>
      </c>
      <c r="N536" s="295" t="s">
        <v>4870</v>
      </c>
      <c r="O536" s="295">
        <v>0.0</v>
      </c>
      <c r="P536" s="295" t="s">
        <v>29</v>
      </c>
      <c r="Q536" s="295" t="s">
        <v>401</v>
      </c>
    </row>
    <row r="537" ht="15.75" customHeight="1">
      <c r="A537" s="211">
        <v>57.0</v>
      </c>
      <c r="B537" s="371" t="s">
        <v>6384</v>
      </c>
      <c r="C537" s="371" t="s">
        <v>6385</v>
      </c>
      <c r="D537" s="216" t="s">
        <v>6143</v>
      </c>
      <c r="E537" s="372" t="s">
        <v>6328</v>
      </c>
      <c r="F537" s="373"/>
      <c r="G537" s="374">
        <v>1495.0</v>
      </c>
      <c r="H537" s="295">
        <v>68.0</v>
      </c>
      <c r="I537" s="295">
        <v>340.0</v>
      </c>
      <c r="J537" s="295">
        <v>3.0</v>
      </c>
      <c r="K537" s="295">
        <v>3.0</v>
      </c>
      <c r="L537" s="295">
        <v>0.0</v>
      </c>
      <c r="M537" s="372" t="s">
        <v>4870</v>
      </c>
      <c r="N537" s="295" t="s">
        <v>4870</v>
      </c>
      <c r="O537" s="295">
        <v>0.0</v>
      </c>
      <c r="P537" s="295" t="s">
        <v>29</v>
      </c>
      <c r="Q537" s="295" t="s">
        <v>401</v>
      </c>
    </row>
    <row r="538" ht="15.75" customHeight="1">
      <c r="A538" s="211">
        <v>58.0</v>
      </c>
      <c r="B538" s="371" t="s">
        <v>6331</v>
      </c>
      <c r="C538" s="371" t="s">
        <v>6383</v>
      </c>
      <c r="D538" s="216" t="s">
        <v>6143</v>
      </c>
      <c r="E538" s="372" t="s">
        <v>6328</v>
      </c>
      <c r="F538" s="373"/>
      <c r="G538" s="374">
        <v>520.0</v>
      </c>
      <c r="H538" s="295">
        <v>10.0</v>
      </c>
      <c r="I538" s="295">
        <v>50.0</v>
      </c>
      <c r="J538" s="295">
        <v>0.0</v>
      </c>
      <c r="K538" s="295">
        <v>0.0</v>
      </c>
      <c r="L538" s="295">
        <v>0.0</v>
      </c>
      <c r="M538" s="372" t="s">
        <v>4870</v>
      </c>
      <c r="N538" s="295" t="s">
        <v>4870</v>
      </c>
      <c r="O538" s="295">
        <v>0.0</v>
      </c>
      <c r="P538" s="216" t="s">
        <v>29</v>
      </c>
      <c r="Q538" s="216" t="s">
        <v>401</v>
      </c>
    </row>
    <row r="539" ht="15.75" customHeight="1">
      <c r="A539" s="211">
        <v>59.0</v>
      </c>
      <c r="B539" s="371" t="s">
        <v>6386</v>
      </c>
      <c r="C539" s="371" t="s">
        <v>6387</v>
      </c>
      <c r="D539" s="216" t="s">
        <v>6143</v>
      </c>
      <c r="E539" s="372" t="s">
        <v>6325</v>
      </c>
      <c r="F539" s="373"/>
      <c r="G539" s="374">
        <v>210.0</v>
      </c>
      <c r="H539" s="295">
        <v>5.0</v>
      </c>
      <c r="I539" s="295">
        <v>25.0</v>
      </c>
      <c r="J539" s="295">
        <v>2.0</v>
      </c>
      <c r="K539" s="295">
        <v>2.0</v>
      </c>
      <c r="L539" s="295">
        <v>0.0</v>
      </c>
      <c r="M539" s="372" t="s">
        <v>323</v>
      </c>
      <c r="N539" s="295" t="s">
        <v>323</v>
      </c>
      <c r="O539" s="295">
        <v>0.0</v>
      </c>
      <c r="P539" s="295" t="s">
        <v>29</v>
      </c>
      <c r="Q539" s="295" t="s">
        <v>401</v>
      </c>
    </row>
    <row r="540" ht="15.75" customHeight="1">
      <c r="A540" s="211">
        <v>60.0</v>
      </c>
      <c r="B540" s="371" t="s">
        <v>5604</v>
      </c>
      <c r="C540" s="371" t="s">
        <v>6388</v>
      </c>
      <c r="D540" s="216" t="s">
        <v>6143</v>
      </c>
      <c r="E540" s="372" t="s">
        <v>6325</v>
      </c>
      <c r="F540" s="373"/>
      <c r="G540" s="374">
        <v>85.0</v>
      </c>
      <c r="H540" s="295">
        <v>2.0</v>
      </c>
      <c r="I540" s="295">
        <v>10.0</v>
      </c>
      <c r="J540" s="295">
        <v>2.0</v>
      </c>
      <c r="K540" s="295">
        <v>2.0</v>
      </c>
      <c r="L540" s="295">
        <v>0.0</v>
      </c>
      <c r="M540" s="372" t="s">
        <v>323</v>
      </c>
      <c r="N540" s="295" t="s">
        <v>323</v>
      </c>
      <c r="O540" s="295">
        <v>0.0</v>
      </c>
      <c r="P540" s="295" t="s">
        <v>29</v>
      </c>
      <c r="Q540" s="295" t="s">
        <v>401</v>
      </c>
    </row>
    <row r="541" ht="15.75" customHeight="1">
      <c r="A541" s="211">
        <v>61.0</v>
      </c>
      <c r="B541" s="371" t="s">
        <v>5604</v>
      </c>
      <c r="C541" s="371" t="s">
        <v>6389</v>
      </c>
      <c r="D541" s="216" t="s">
        <v>6143</v>
      </c>
      <c r="E541" s="372" t="s">
        <v>6115</v>
      </c>
      <c r="F541" s="373"/>
      <c r="G541" s="374">
        <v>108.0</v>
      </c>
      <c r="H541" s="295">
        <v>3.0</v>
      </c>
      <c r="I541" s="295">
        <v>15.0</v>
      </c>
      <c r="J541" s="295">
        <v>1.0</v>
      </c>
      <c r="K541" s="295">
        <v>1.0</v>
      </c>
      <c r="L541" s="295">
        <v>0.0</v>
      </c>
      <c r="M541" s="372" t="s">
        <v>323</v>
      </c>
      <c r="N541" s="295" t="s">
        <v>323</v>
      </c>
      <c r="O541" s="295">
        <v>0.0</v>
      </c>
      <c r="P541" s="295" t="s">
        <v>29</v>
      </c>
      <c r="Q541" s="295" t="s">
        <v>401</v>
      </c>
    </row>
    <row r="542" ht="15.75" customHeight="1">
      <c r="A542" s="211">
        <v>62.0</v>
      </c>
      <c r="B542" s="371" t="s">
        <v>6390</v>
      </c>
      <c r="C542" s="371" t="s">
        <v>6389</v>
      </c>
      <c r="D542" s="216" t="s">
        <v>6143</v>
      </c>
      <c r="E542" s="372" t="s">
        <v>6115</v>
      </c>
      <c r="F542" s="373"/>
      <c r="G542" s="374">
        <v>180.0</v>
      </c>
      <c r="H542" s="295">
        <v>6.0</v>
      </c>
      <c r="I542" s="295">
        <v>30.0</v>
      </c>
      <c r="J542" s="295">
        <v>3.0</v>
      </c>
      <c r="K542" s="295">
        <v>3.0</v>
      </c>
      <c r="L542" s="295">
        <v>0.0</v>
      </c>
      <c r="M542" s="372" t="s">
        <v>323</v>
      </c>
      <c r="N542" s="295" t="s">
        <v>323</v>
      </c>
      <c r="O542" s="295">
        <v>0.0</v>
      </c>
      <c r="P542" s="295" t="s">
        <v>29</v>
      </c>
      <c r="Q542" s="295" t="s">
        <v>401</v>
      </c>
    </row>
    <row r="543" ht="15.75" customHeight="1">
      <c r="A543" s="211">
        <v>63.0</v>
      </c>
      <c r="B543" s="371" t="s">
        <v>6391</v>
      </c>
      <c r="C543" s="371" t="s">
        <v>6392</v>
      </c>
      <c r="D543" s="216" t="s">
        <v>6143</v>
      </c>
      <c r="E543" s="372" t="s">
        <v>6328</v>
      </c>
      <c r="F543" s="373"/>
      <c r="G543" s="374">
        <v>1600.0</v>
      </c>
      <c r="H543" s="295">
        <v>100.0</v>
      </c>
      <c r="I543" s="295">
        <v>500.0</v>
      </c>
      <c r="J543" s="295">
        <v>6.0</v>
      </c>
      <c r="K543" s="295">
        <v>6.0</v>
      </c>
      <c r="L543" s="295">
        <v>0.0</v>
      </c>
      <c r="M543" s="372" t="s">
        <v>6329</v>
      </c>
      <c r="N543" s="295" t="s">
        <v>6329</v>
      </c>
      <c r="O543" s="295">
        <v>0.0</v>
      </c>
      <c r="P543" s="295" t="s">
        <v>29</v>
      </c>
      <c r="Q543" s="295" t="s">
        <v>401</v>
      </c>
    </row>
    <row r="544" ht="15.75" customHeight="1">
      <c r="A544" s="211">
        <v>64.0</v>
      </c>
      <c r="B544" s="371" t="s">
        <v>5604</v>
      </c>
      <c r="C544" s="371" t="s">
        <v>6393</v>
      </c>
      <c r="D544" s="216" t="s">
        <v>6143</v>
      </c>
      <c r="E544" s="372" t="s">
        <v>6328</v>
      </c>
      <c r="F544" s="373"/>
      <c r="G544" s="374">
        <v>140.0</v>
      </c>
      <c r="H544" s="295">
        <v>3.0</v>
      </c>
      <c r="I544" s="295">
        <v>15.0</v>
      </c>
      <c r="J544" s="295">
        <v>1.0</v>
      </c>
      <c r="K544" s="295">
        <v>1.0</v>
      </c>
      <c r="L544" s="295">
        <v>0.0</v>
      </c>
      <c r="M544" s="372" t="s">
        <v>6329</v>
      </c>
      <c r="N544" s="295" t="s">
        <v>6329</v>
      </c>
      <c r="O544" s="295">
        <v>0.0</v>
      </c>
      <c r="P544" s="295" t="s">
        <v>29</v>
      </c>
      <c r="Q544" s="295" t="s">
        <v>401</v>
      </c>
    </row>
    <row r="545" ht="15.75" customHeight="1">
      <c r="A545" s="211">
        <v>65.0</v>
      </c>
      <c r="B545" s="371" t="s">
        <v>5604</v>
      </c>
      <c r="C545" s="371" t="s">
        <v>6394</v>
      </c>
      <c r="D545" s="216" t="s">
        <v>6143</v>
      </c>
      <c r="E545" s="372" t="s">
        <v>6325</v>
      </c>
      <c r="F545" s="373"/>
      <c r="G545" s="374">
        <v>200.0</v>
      </c>
      <c r="H545" s="295">
        <v>3.0</v>
      </c>
      <c r="I545" s="295">
        <v>15.0</v>
      </c>
      <c r="J545" s="295">
        <v>2.0</v>
      </c>
      <c r="K545" s="295">
        <v>2.0</v>
      </c>
      <c r="L545" s="295">
        <v>0.0</v>
      </c>
      <c r="M545" s="372" t="s">
        <v>6329</v>
      </c>
      <c r="N545" s="295" t="s">
        <v>6329</v>
      </c>
      <c r="O545" s="295">
        <v>0.0</v>
      </c>
      <c r="P545" s="295" t="s">
        <v>29</v>
      </c>
      <c r="Q545" s="295" t="s">
        <v>401</v>
      </c>
    </row>
    <row r="546" ht="15.75" customHeight="1">
      <c r="A546" s="211">
        <v>66.0</v>
      </c>
      <c r="B546" s="371" t="s">
        <v>6395</v>
      </c>
      <c r="C546" s="371" t="s">
        <v>6396</v>
      </c>
      <c r="D546" s="216" t="s">
        <v>6143</v>
      </c>
      <c r="E546" s="372" t="s">
        <v>6328</v>
      </c>
      <c r="F546" s="373"/>
      <c r="G546" s="374">
        <v>160.0</v>
      </c>
      <c r="H546" s="295">
        <v>20.0</v>
      </c>
      <c r="I546" s="295">
        <v>100.0</v>
      </c>
      <c r="J546" s="295">
        <v>3.0</v>
      </c>
      <c r="K546" s="295">
        <v>3.0</v>
      </c>
      <c r="L546" s="295">
        <v>0.0</v>
      </c>
      <c r="M546" s="372" t="s">
        <v>6329</v>
      </c>
      <c r="N546" s="295" t="s">
        <v>6329</v>
      </c>
      <c r="O546" s="295">
        <v>0.0</v>
      </c>
      <c r="P546" s="295" t="s">
        <v>29</v>
      </c>
      <c r="Q546" s="295" t="s">
        <v>401</v>
      </c>
    </row>
    <row r="547" ht="15.75" customHeight="1">
      <c r="A547" s="211">
        <v>67.0</v>
      </c>
      <c r="B547" s="371" t="s">
        <v>6331</v>
      </c>
      <c r="C547" s="371" t="s">
        <v>6394</v>
      </c>
      <c r="D547" s="216" t="s">
        <v>6143</v>
      </c>
      <c r="E547" s="372" t="s">
        <v>6325</v>
      </c>
      <c r="F547" s="373"/>
      <c r="G547" s="374">
        <v>530.0</v>
      </c>
      <c r="H547" s="295">
        <v>10.0</v>
      </c>
      <c r="I547" s="295">
        <v>50.0</v>
      </c>
      <c r="J547" s="295">
        <v>0.0</v>
      </c>
      <c r="K547" s="295">
        <v>0.0</v>
      </c>
      <c r="L547" s="295">
        <v>0.0</v>
      </c>
      <c r="M547" s="372" t="s">
        <v>6329</v>
      </c>
      <c r="N547" s="295" t="s">
        <v>6329</v>
      </c>
      <c r="O547" s="295">
        <v>0.0</v>
      </c>
      <c r="P547" s="295" t="s">
        <v>29</v>
      </c>
      <c r="Q547" s="295" t="s">
        <v>401</v>
      </c>
    </row>
    <row r="548" ht="15.75" customHeight="1">
      <c r="A548" s="211">
        <v>68.0</v>
      </c>
      <c r="B548" s="371" t="s">
        <v>5604</v>
      </c>
      <c r="C548" s="371" t="s">
        <v>6397</v>
      </c>
      <c r="D548" s="216" t="s">
        <v>6143</v>
      </c>
      <c r="E548" s="372" t="s">
        <v>6328</v>
      </c>
      <c r="F548" s="373"/>
      <c r="G548" s="374">
        <v>112.0</v>
      </c>
      <c r="H548" s="295">
        <v>2.0</v>
      </c>
      <c r="I548" s="295">
        <v>8.0</v>
      </c>
      <c r="J548" s="295">
        <v>2.0</v>
      </c>
      <c r="K548" s="295">
        <v>2.0</v>
      </c>
      <c r="L548" s="295">
        <v>0.0</v>
      </c>
      <c r="M548" s="372" t="s">
        <v>6329</v>
      </c>
      <c r="N548" s="295" t="s">
        <v>6329</v>
      </c>
      <c r="O548" s="295">
        <v>0.0</v>
      </c>
      <c r="P548" s="295" t="s">
        <v>29</v>
      </c>
      <c r="Q548" s="295" t="s">
        <v>401</v>
      </c>
    </row>
    <row r="549" ht="15.75" customHeight="1">
      <c r="A549" s="211">
        <v>69.0</v>
      </c>
      <c r="B549" s="371" t="s">
        <v>6398</v>
      </c>
      <c r="C549" s="371" t="s">
        <v>6399</v>
      </c>
      <c r="D549" s="216" t="s">
        <v>6143</v>
      </c>
      <c r="E549" s="372" t="s">
        <v>6328</v>
      </c>
      <c r="F549" s="373"/>
      <c r="G549" s="374">
        <v>540.0</v>
      </c>
      <c r="H549" s="295">
        <v>10.0</v>
      </c>
      <c r="I549" s="295">
        <v>50.0</v>
      </c>
      <c r="J549" s="295">
        <v>2.0</v>
      </c>
      <c r="K549" s="295">
        <v>2.0</v>
      </c>
      <c r="L549" s="295">
        <v>0.0</v>
      </c>
      <c r="M549" s="372" t="s">
        <v>4870</v>
      </c>
      <c r="N549" s="295" t="s">
        <v>4870</v>
      </c>
      <c r="O549" s="295">
        <v>0.0</v>
      </c>
      <c r="P549" s="295" t="s">
        <v>29</v>
      </c>
      <c r="Q549" s="295" t="s">
        <v>401</v>
      </c>
    </row>
    <row r="550" ht="15.75" customHeight="1">
      <c r="A550" s="211">
        <v>70.0</v>
      </c>
      <c r="B550" s="376" t="s">
        <v>6400</v>
      </c>
      <c r="C550" s="371" t="s">
        <v>4433</v>
      </c>
      <c r="D550" s="216" t="s">
        <v>6143</v>
      </c>
      <c r="E550" s="372" t="s">
        <v>6328</v>
      </c>
      <c r="F550" s="373"/>
      <c r="G550" s="374">
        <v>800.0</v>
      </c>
      <c r="H550" s="295">
        <v>24.0</v>
      </c>
      <c r="I550" s="295">
        <v>120.0</v>
      </c>
      <c r="J550" s="295">
        <v>3.0</v>
      </c>
      <c r="K550" s="295">
        <v>3.0</v>
      </c>
      <c r="L550" s="295">
        <v>0.0</v>
      </c>
      <c r="M550" s="372" t="s">
        <v>4870</v>
      </c>
      <c r="N550" s="295" t="s">
        <v>4870</v>
      </c>
      <c r="O550" s="295">
        <v>0.0</v>
      </c>
      <c r="P550" s="295" t="s">
        <v>66</v>
      </c>
      <c r="Q550" s="295">
        <v>53.0</v>
      </c>
    </row>
    <row r="551" ht="15.75" customHeight="1">
      <c r="A551" s="211">
        <v>71.0</v>
      </c>
      <c r="B551" s="371" t="s">
        <v>6401</v>
      </c>
      <c r="C551" s="371" t="s">
        <v>4433</v>
      </c>
      <c r="D551" s="216" t="s">
        <v>6143</v>
      </c>
      <c r="E551" s="372" t="s">
        <v>6328</v>
      </c>
      <c r="F551" s="373"/>
      <c r="G551" s="374">
        <v>210.0</v>
      </c>
      <c r="H551" s="295">
        <v>4.0</v>
      </c>
      <c r="I551" s="295">
        <v>20.0</v>
      </c>
      <c r="J551" s="295">
        <v>1.0</v>
      </c>
      <c r="K551" s="295">
        <v>1.0</v>
      </c>
      <c r="L551" s="295">
        <v>0.0</v>
      </c>
      <c r="M551" s="372" t="s">
        <v>4870</v>
      </c>
      <c r="N551" s="295" t="s">
        <v>4870</v>
      </c>
      <c r="O551" s="295">
        <v>0.0</v>
      </c>
      <c r="P551" s="295" t="s">
        <v>29</v>
      </c>
      <c r="Q551" s="295" t="s">
        <v>401</v>
      </c>
    </row>
    <row r="552" ht="15.75" customHeight="1">
      <c r="A552" s="211">
        <v>72.0</v>
      </c>
      <c r="B552" s="371" t="s">
        <v>5604</v>
      </c>
      <c r="C552" s="371" t="s">
        <v>6402</v>
      </c>
      <c r="D552" s="216" t="s">
        <v>6143</v>
      </c>
      <c r="E552" s="372" t="s">
        <v>6328</v>
      </c>
      <c r="F552" s="373"/>
      <c r="G552" s="374">
        <v>162.0</v>
      </c>
      <c r="H552" s="295">
        <v>20.0</v>
      </c>
      <c r="I552" s="295">
        <v>100.0</v>
      </c>
      <c r="J552" s="295">
        <v>2.0</v>
      </c>
      <c r="K552" s="295">
        <v>2.0</v>
      </c>
      <c r="L552" s="295">
        <v>0.0</v>
      </c>
      <c r="M552" s="372" t="s">
        <v>4870</v>
      </c>
      <c r="N552" s="295" t="s">
        <v>4870</v>
      </c>
      <c r="O552" s="295">
        <v>0.0</v>
      </c>
      <c r="P552" s="295" t="s">
        <v>29</v>
      </c>
      <c r="Q552" s="295" t="s">
        <v>401</v>
      </c>
    </row>
    <row r="553" ht="15.75" customHeight="1">
      <c r="A553" s="211">
        <v>73.0</v>
      </c>
      <c r="B553" s="371" t="s">
        <v>6403</v>
      </c>
      <c r="C553" s="371" t="s">
        <v>6402</v>
      </c>
      <c r="D553" s="216" t="s">
        <v>6143</v>
      </c>
      <c r="E553" s="372" t="s">
        <v>6328</v>
      </c>
      <c r="F553" s="373"/>
      <c r="G553" s="374">
        <v>3620.0</v>
      </c>
      <c r="H553" s="295">
        <v>50.0</v>
      </c>
      <c r="I553" s="295">
        <v>250.0</v>
      </c>
      <c r="J553" s="295">
        <v>3.0</v>
      </c>
      <c r="K553" s="295">
        <v>3.0</v>
      </c>
      <c r="L553" s="295">
        <v>0.0</v>
      </c>
      <c r="M553" s="372" t="s">
        <v>4870</v>
      </c>
      <c r="N553" s="295" t="s">
        <v>4870</v>
      </c>
      <c r="O553" s="295">
        <v>0.0</v>
      </c>
      <c r="P553" s="295" t="s">
        <v>29</v>
      </c>
      <c r="Q553" s="295" t="s">
        <v>401</v>
      </c>
    </row>
    <row r="554" ht="15.75" customHeight="1">
      <c r="A554" s="211">
        <v>74.0</v>
      </c>
      <c r="B554" s="371" t="s">
        <v>6404</v>
      </c>
      <c r="C554" s="371" t="s">
        <v>6402</v>
      </c>
      <c r="D554" s="216" t="s">
        <v>6143</v>
      </c>
      <c r="E554" s="372" t="s">
        <v>6328</v>
      </c>
      <c r="F554" s="373"/>
      <c r="G554" s="374">
        <v>440.0</v>
      </c>
      <c r="H554" s="295">
        <v>10.0</v>
      </c>
      <c r="I554" s="295">
        <v>50.0</v>
      </c>
      <c r="J554" s="295">
        <v>2.0</v>
      </c>
      <c r="K554" s="295">
        <v>2.0</v>
      </c>
      <c r="L554" s="295">
        <v>0.0</v>
      </c>
      <c r="M554" s="372" t="s">
        <v>4870</v>
      </c>
      <c r="N554" s="295" t="s">
        <v>4870</v>
      </c>
      <c r="O554" s="295">
        <v>0.0</v>
      </c>
      <c r="P554" s="295" t="s">
        <v>29</v>
      </c>
      <c r="Q554" s="295" t="s">
        <v>401</v>
      </c>
    </row>
    <row r="555" ht="15.75" customHeight="1">
      <c r="A555" s="211">
        <v>75.0</v>
      </c>
      <c r="B555" s="371" t="s">
        <v>6331</v>
      </c>
      <c r="C555" s="371" t="s">
        <v>6402</v>
      </c>
      <c r="D555" s="216" t="s">
        <v>6143</v>
      </c>
      <c r="E555" s="372" t="s">
        <v>6328</v>
      </c>
      <c r="F555" s="373"/>
      <c r="G555" s="374">
        <v>730.0</v>
      </c>
      <c r="H555" s="295">
        <v>20.0</v>
      </c>
      <c r="I555" s="295">
        <v>100.0</v>
      </c>
      <c r="J555" s="295">
        <v>3.0</v>
      </c>
      <c r="K555" s="295">
        <v>3.0</v>
      </c>
      <c r="L555" s="295">
        <v>0.0</v>
      </c>
      <c r="M555" s="372" t="s">
        <v>4870</v>
      </c>
      <c r="N555" s="295" t="s">
        <v>4870</v>
      </c>
      <c r="O555" s="295">
        <v>0.0</v>
      </c>
      <c r="P555" s="295" t="s">
        <v>29</v>
      </c>
      <c r="Q555" s="295" t="s">
        <v>401</v>
      </c>
    </row>
    <row r="556" ht="15.75" customHeight="1">
      <c r="A556" s="211">
        <v>76.0</v>
      </c>
      <c r="B556" s="371" t="s">
        <v>5604</v>
      </c>
      <c r="C556" s="371" t="s">
        <v>6405</v>
      </c>
      <c r="D556" s="216" t="s">
        <v>6143</v>
      </c>
      <c r="E556" s="372" t="s">
        <v>6325</v>
      </c>
      <c r="F556" s="373"/>
      <c r="G556" s="374">
        <v>144.0</v>
      </c>
      <c r="H556" s="295">
        <v>2.0</v>
      </c>
      <c r="I556" s="295">
        <v>8.0</v>
      </c>
      <c r="J556" s="295">
        <v>2.0</v>
      </c>
      <c r="K556" s="295">
        <v>2.0</v>
      </c>
      <c r="L556" s="295">
        <v>0.0</v>
      </c>
      <c r="M556" s="372" t="s">
        <v>323</v>
      </c>
      <c r="N556" s="295" t="s">
        <v>323</v>
      </c>
      <c r="O556" s="295">
        <v>0.0</v>
      </c>
      <c r="P556" s="295" t="s">
        <v>29</v>
      </c>
      <c r="Q556" s="295" t="s">
        <v>401</v>
      </c>
    </row>
    <row r="557" ht="15.75" customHeight="1">
      <c r="A557" s="211">
        <v>77.0</v>
      </c>
      <c r="B557" s="371" t="s">
        <v>5604</v>
      </c>
      <c r="C557" s="371" t="s">
        <v>6406</v>
      </c>
      <c r="D557" s="216" t="s">
        <v>6143</v>
      </c>
      <c r="E557" s="372" t="s">
        <v>6115</v>
      </c>
      <c r="F557" s="373"/>
      <c r="G557" s="374">
        <v>108.0</v>
      </c>
      <c r="H557" s="295">
        <v>1.0</v>
      </c>
      <c r="I557" s="295">
        <v>4.0</v>
      </c>
      <c r="J557" s="295">
        <v>2.0</v>
      </c>
      <c r="K557" s="295">
        <v>2.0</v>
      </c>
      <c r="L557" s="295">
        <v>0.0</v>
      </c>
      <c r="M557" s="372" t="s">
        <v>323</v>
      </c>
      <c r="N557" s="295" t="s">
        <v>323</v>
      </c>
      <c r="O557" s="295">
        <v>0.0</v>
      </c>
      <c r="P557" s="295" t="s">
        <v>29</v>
      </c>
      <c r="Q557" s="295" t="s">
        <v>401</v>
      </c>
    </row>
    <row r="558" ht="15.75" customHeight="1">
      <c r="A558" s="211">
        <v>78.0</v>
      </c>
      <c r="B558" s="371" t="s">
        <v>6407</v>
      </c>
      <c r="C558" s="371" t="s">
        <v>6406</v>
      </c>
      <c r="D558" s="216" t="s">
        <v>6143</v>
      </c>
      <c r="E558" s="372" t="s">
        <v>6115</v>
      </c>
      <c r="F558" s="373"/>
      <c r="G558" s="374">
        <v>230.0</v>
      </c>
      <c r="H558" s="295">
        <v>4.0</v>
      </c>
      <c r="I558" s="295">
        <v>20.0</v>
      </c>
      <c r="J558" s="295">
        <v>2.0</v>
      </c>
      <c r="K558" s="295">
        <v>2.0</v>
      </c>
      <c r="L558" s="295">
        <v>0.0</v>
      </c>
      <c r="M558" s="372" t="s">
        <v>323</v>
      </c>
      <c r="N558" s="295" t="s">
        <v>323</v>
      </c>
      <c r="O558" s="295">
        <v>0.0</v>
      </c>
      <c r="P558" s="295" t="s">
        <v>29</v>
      </c>
      <c r="Q558" s="295" t="s">
        <v>401</v>
      </c>
    </row>
    <row r="559" ht="15.75" customHeight="1">
      <c r="A559" s="211">
        <v>79.0</v>
      </c>
      <c r="B559" s="371" t="s">
        <v>5604</v>
      </c>
      <c r="C559" s="371" t="s">
        <v>6408</v>
      </c>
      <c r="D559" s="216" t="s">
        <v>6143</v>
      </c>
      <c r="E559" s="372" t="s">
        <v>6325</v>
      </c>
      <c r="F559" s="373"/>
      <c r="G559" s="374">
        <v>108.0</v>
      </c>
      <c r="H559" s="295">
        <v>2.0</v>
      </c>
      <c r="I559" s="295">
        <v>10.0</v>
      </c>
      <c r="J559" s="295">
        <v>2.0</v>
      </c>
      <c r="K559" s="295">
        <v>2.0</v>
      </c>
      <c r="L559" s="295">
        <v>0.0</v>
      </c>
      <c r="M559" s="372" t="s">
        <v>323</v>
      </c>
      <c r="N559" s="295" t="s">
        <v>323</v>
      </c>
      <c r="O559" s="295">
        <v>0.0</v>
      </c>
      <c r="P559" s="295" t="s">
        <v>29</v>
      </c>
      <c r="Q559" s="295" t="s">
        <v>401</v>
      </c>
    </row>
    <row r="560" ht="15.75" customHeight="1">
      <c r="A560" s="211">
        <v>80.0</v>
      </c>
      <c r="B560" s="371" t="s">
        <v>6409</v>
      </c>
      <c r="C560" s="371" t="s">
        <v>5607</v>
      </c>
      <c r="D560" s="216" t="s">
        <v>6143</v>
      </c>
      <c r="E560" s="372" t="s">
        <v>6325</v>
      </c>
      <c r="F560" s="373"/>
      <c r="G560" s="374">
        <v>670.0</v>
      </c>
      <c r="H560" s="295">
        <v>10.0</v>
      </c>
      <c r="I560" s="295">
        <v>50.0</v>
      </c>
      <c r="J560" s="295">
        <v>1.0</v>
      </c>
      <c r="K560" s="295">
        <v>1.0</v>
      </c>
      <c r="L560" s="295">
        <v>0.0</v>
      </c>
      <c r="M560" s="372" t="s">
        <v>323</v>
      </c>
      <c r="N560" s="295" t="s">
        <v>323</v>
      </c>
      <c r="O560" s="295">
        <v>0.0</v>
      </c>
      <c r="P560" s="295" t="s">
        <v>29</v>
      </c>
      <c r="Q560" s="295" t="s">
        <v>401</v>
      </c>
    </row>
    <row r="561" ht="15.75" customHeight="1">
      <c r="A561" s="211">
        <v>81.0</v>
      </c>
      <c r="B561" s="371" t="s">
        <v>5604</v>
      </c>
      <c r="C561" s="371" t="s">
        <v>6410</v>
      </c>
      <c r="D561" s="216" t="s">
        <v>6143</v>
      </c>
      <c r="E561" s="372" t="s">
        <v>6325</v>
      </c>
      <c r="F561" s="373"/>
      <c r="G561" s="374">
        <v>96.0</v>
      </c>
      <c r="H561" s="295">
        <v>2.0</v>
      </c>
      <c r="I561" s="295">
        <v>10.0</v>
      </c>
      <c r="J561" s="295">
        <v>1.0</v>
      </c>
      <c r="K561" s="295">
        <v>1.0</v>
      </c>
      <c r="L561" s="295">
        <v>0.0</v>
      </c>
      <c r="M561" s="372" t="s">
        <v>6329</v>
      </c>
      <c r="N561" s="295" t="s">
        <v>6329</v>
      </c>
      <c r="O561" s="295">
        <v>0.0</v>
      </c>
      <c r="P561" s="295" t="s">
        <v>29</v>
      </c>
      <c r="Q561" s="295" t="s">
        <v>401</v>
      </c>
    </row>
    <row r="562" ht="15.75" customHeight="1">
      <c r="A562" s="211">
        <v>82.0</v>
      </c>
      <c r="B562" s="371" t="s">
        <v>6411</v>
      </c>
      <c r="C562" s="371" t="s">
        <v>6412</v>
      </c>
      <c r="D562" s="216" t="s">
        <v>6143</v>
      </c>
      <c r="E562" s="372" t="s">
        <v>6115</v>
      </c>
      <c r="F562" s="373"/>
      <c r="G562" s="374">
        <v>320.0</v>
      </c>
      <c r="H562" s="295">
        <v>5.0</v>
      </c>
      <c r="I562" s="295">
        <v>25.0</v>
      </c>
      <c r="J562" s="295">
        <v>2.0</v>
      </c>
      <c r="K562" s="295">
        <v>2.0</v>
      </c>
      <c r="L562" s="295">
        <v>0.0</v>
      </c>
      <c r="M562" s="372" t="s">
        <v>323</v>
      </c>
      <c r="N562" s="295" t="s">
        <v>323</v>
      </c>
      <c r="O562" s="295">
        <v>0.0</v>
      </c>
      <c r="P562" s="295" t="s">
        <v>29</v>
      </c>
      <c r="Q562" s="295" t="s">
        <v>401</v>
      </c>
    </row>
    <row r="563" ht="15.75" customHeight="1">
      <c r="A563" s="211">
        <v>83.0</v>
      </c>
      <c r="B563" s="371" t="s">
        <v>5604</v>
      </c>
      <c r="C563" s="371" t="s">
        <v>6413</v>
      </c>
      <c r="D563" s="216" t="s">
        <v>6143</v>
      </c>
      <c r="E563" s="372" t="s">
        <v>6328</v>
      </c>
      <c r="F563" s="373"/>
      <c r="G563" s="374">
        <v>112.0</v>
      </c>
      <c r="H563" s="295">
        <v>1.0</v>
      </c>
      <c r="I563" s="295">
        <v>5.0</v>
      </c>
      <c r="J563" s="295">
        <v>2.0</v>
      </c>
      <c r="K563" s="295">
        <v>2.0</v>
      </c>
      <c r="L563" s="295">
        <v>0.0</v>
      </c>
      <c r="M563" s="372" t="s">
        <v>4870</v>
      </c>
      <c r="N563" s="295" t="s">
        <v>4870</v>
      </c>
      <c r="O563" s="295">
        <v>0.0</v>
      </c>
      <c r="P563" s="295" t="s">
        <v>29</v>
      </c>
      <c r="Q563" s="295" t="s">
        <v>401</v>
      </c>
    </row>
    <row r="564" ht="15.75" customHeight="1">
      <c r="A564" s="211">
        <v>84.0</v>
      </c>
      <c r="B564" s="371" t="s">
        <v>6331</v>
      </c>
      <c r="C564" s="371" t="s">
        <v>6413</v>
      </c>
      <c r="D564" s="216" t="s">
        <v>6143</v>
      </c>
      <c r="E564" s="372" t="s">
        <v>6328</v>
      </c>
      <c r="F564" s="373"/>
      <c r="G564" s="374">
        <v>420.0</v>
      </c>
      <c r="H564" s="295">
        <v>10.0</v>
      </c>
      <c r="I564" s="295">
        <v>50.0</v>
      </c>
      <c r="J564" s="295">
        <v>0.0</v>
      </c>
      <c r="K564" s="295">
        <v>0.0</v>
      </c>
      <c r="L564" s="295">
        <v>0.0</v>
      </c>
      <c r="M564" s="372" t="s">
        <v>4870</v>
      </c>
      <c r="N564" s="295" t="s">
        <v>4870</v>
      </c>
      <c r="O564" s="295">
        <v>0.0</v>
      </c>
      <c r="P564" s="295" t="s">
        <v>29</v>
      </c>
      <c r="Q564" s="295" t="s">
        <v>401</v>
      </c>
    </row>
    <row r="565" ht="15.75" customHeight="1">
      <c r="A565" s="211">
        <v>85.0</v>
      </c>
      <c r="B565" s="371" t="s">
        <v>5604</v>
      </c>
      <c r="C565" s="371" t="s">
        <v>6414</v>
      </c>
      <c r="D565" s="216" t="s">
        <v>6143</v>
      </c>
      <c r="E565" s="372" t="s">
        <v>6328</v>
      </c>
      <c r="F565" s="373"/>
      <c r="G565" s="374">
        <v>200.0</v>
      </c>
      <c r="H565" s="295">
        <v>5.0</v>
      </c>
      <c r="I565" s="295">
        <v>25.0</v>
      </c>
      <c r="J565" s="295">
        <v>1.0</v>
      </c>
      <c r="K565" s="295">
        <v>1.0</v>
      </c>
      <c r="L565" s="295">
        <v>0.0</v>
      </c>
      <c r="M565" s="372" t="s">
        <v>6329</v>
      </c>
      <c r="N565" s="295" t="s">
        <v>6329</v>
      </c>
      <c r="O565" s="295">
        <v>0.0</v>
      </c>
      <c r="P565" s="295" t="s">
        <v>29</v>
      </c>
      <c r="Q565" s="295" t="s">
        <v>401</v>
      </c>
    </row>
    <row r="566" ht="15.75" customHeight="1">
      <c r="A566" s="211">
        <v>86.0</v>
      </c>
      <c r="B566" s="371" t="s">
        <v>6331</v>
      </c>
      <c r="C566" s="371" t="s">
        <v>6414</v>
      </c>
      <c r="D566" s="216" t="s">
        <v>6143</v>
      </c>
      <c r="E566" s="372" t="s">
        <v>6328</v>
      </c>
      <c r="F566" s="373"/>
      <c r="G566" s="374">
        <v>700.0</v>
      </c>
      <c r="H566" s="295">
        <v>20.0</v>
      </c>
      <c r="I566" s="295">
        <v>100.0</v>
      </c>
      <c r="J566" s="295">
        <v>0.0</v>
      </c>
      <c r="K566" s="295">
        <v>0.0</v>
      </c>
      <c r="L566" s="295">
        <v>0.0</v>
      </c>
      <c r="M566" s="372" t="s">
        <v>6329</v>
      </c>
      <c r="N566" s="295" t="s">
        <v>6329</v>
      </c>
      <c r="O566" s="295">
        <v>0.0</v>
      </c>
      <c r="P566" s="295" t="s">
        <v>29</v>
      </c>
      <c r="Q566" s="295" t="s">
        <v>401</v>
      </c>
    </row>
    <row r="567" ht="15.75" customHeight="1">
      <c r="A567" s="211">
        <v>87.0</v>
      </c>
      <c r="B567" s="371" t="s">
        <v>6415</v>
      </c>
      <c r="C567" s="371" t="s">
        <v>6414</v>
      </c>
      <c r="D567" s="216" t="s">
        <v>6143</v>
      </c>
      <c r="E567" s="372" t="s">
        <v>6328</v>
      </c>
      <c r="F567" s="373"/>
      <c r="G567" s="374">
        <v>230.0</v>
      </c>
      <c r="H567" s="295">
        <v>3.0</v>
      </c>
      <c r="I567" s="295">
        <v>15.0</v>
      </c>
      <c r="J567" s="295">
        <v>2.0</v>
      </c>
      <c r="K567" s="295">
        <v>2.0</v>
      </c>
      <c r="L567" s="295">
        <v>0.0</v>
      </c>
      <c r="M567" s="372" t="s">
        <v>6329</v>
      </c>
      <c r="N567" s="295" t="s">
        <v>6329</v>
      </c>
      <c r="O567" s="295">
        <v>0.0</v>
      </c>
      <c r="P567" s="295" t="s">
        <v>29</v>
      </c>
      <c r="Q567" s="295" t="s">
        <v>401</v>
      </c>
    </row>
    <row r="568" ht="15.75" customHeight="1">
      <c r="A568" s="211">
        <v>88.0</v>
      </c>
      <c r="B568" s="371" t="s">
        <v>5604</v>
      </c>
      <c r="C568" s="371" t="s">
        <v>6416</v>
      </c>
      <c r="D568" s="216" t="s">
        <v>6143</v>
      </c>
      <c r="E568" s="372" t="s">
        <v>6325</v>
      </c>
      <c r="F568" s="373"/>
      <c r="G568" s="374">
        <v>108.0</v>
      </c>
      <c r="H568" s="295">
        <v>4.0</v>
      </c>
      <c r="I568" s="295">
        <v>20.0</v>
      </c>
      <c r="J568" s="295">
        <v>2.0</v>
      </c>
      <c r="K568" s="295">
        <v>2.0</v>
      </c>
      <c r="L568" s="295">
        <v>0.0</v>
      </c>
      <c r="M568" s="372" t="s">
        <v>6329</v>
      </c>
      <c r="N568" s="295" t="s">
        <v>6329</v>
      </c>
      <c r="O568" s="295">
        <v>0.0</v>
      </c>
      <c r="P568" s="295" t="s">
        <v>29</v>
      </c>
      <c r="Q568" s="295" t="s">
        <v>401</v>
      </c>
    </row>
    <row r="569" ht="15.75" customHeight="1">
      <c r="A569" s="211">
        <v>89.0</v>
      </c>
      <c r="B569" s="371" t="s">
        <v>6331</v>
      </c>
      <c r="C569" s="371" t="s">
        <v>6416</v>
      </c>
      <c r="D569" s="216" t="s">
        <v>6143</v>
      </c>
      <c r="E569" s="372" t="s">
        <v>6325</v>
      </c>
      <c r="F569" s="373"/>
      <c r="G569" s="374">
        <v>480.0</v>
      </c>
      <c r="H569" s="295">
        <v>10.0</v>
      </c>
      <c r="I569" s="295">
        <v>50.0</v>
      </c>
      <c r="J569" s="295">
        <v>0.0</v>
      </c>
      <c r="K569" s="295">
        <v>0.0</v>
      </c>
      <c r="L569" s="295">
        <v>0.0</v>
      </c>
      <c r="M569" s="372" t="s">
        <v>6329</v>
      </c>
      <c r="N569" s="295" t="s">
        <v>6329</v>
      </c>
      <c r="O569" s="295">
        <v>0.0</v>
      </c>
      <c r="P569" s="295" t="s">
        <v>29</v>
      </c>
      <c r="Q569" s="295" t="s">
        <v>401</v>
      </c>
    </row>
    <row r="570" ht="15.75" customHeight="1">
      <c r="A570" s="211">
        <v>90.0</v>
      </c>
      <c r="B570" s="371" t="s">
        <v>6417</v>
      </c>
      <c r="C570" s="371" t="s">
        <v>6416</v>
      </c>
      <c r="D570" s="216" t="s">
        <v>6143</v>
      </c>
      <c r="E570" s="372" t="s">
        <v>6325</v>
      </c>
      <c r="F570" s="373"/>
      <c r="G570" s="374">
        <v>320.0</v>
      </c>
      <c r="H570" s="295">
        <v>3.0</v>
      </c>
      <c r="I570" s="295">
        <v>15.0</v>
      </c>
      <c r="J570" s="295">
        <v>4.0</v>
      </c>
      <c r="K570" s="295">
        <v>4.0</v>
      </c>
      <c r="L570" s="295">
        <v>0.0</v>
      </c>
      <c r="M570" s="372" t="s">
        <v>6329</v>
      </c>
      <c r="N570" s="295" t="s">
        <v>6329</v>
      </c>
      <c r="O570" s="295">
        <v>0.0</v>
      </c>
      <c r="P570" s="295" t="s">
        <v>29</v>
      </c>
      <c r="Q570" s="295" t="s">
        <v>401</v>
      </c>
    </row>
    <row r="571" ht="14.25" customHeight="1">
      <c r="A571" s="181"/>
      <c r="B571" s="339" t="s">
        <v>6082</v>
      </c>
      <c r="C571" s="311"/>
      <c r="D571" s="312"/>
      <c r="E571" s="312"/>
      <c r="F571" s="312"/>
      <c r="G571" s="312"/>
      <c r="H571" s="312"/>
      <c r="I571" s="312"/>
      <c r="J571" s="312"/>
      <c r="K571" s="312"/>
      <c r="L571" s="312"/>
      <c r="M571" s="313"/>
      <c r="N571" s="312"/>
      <c r="O571" s="312"/>
      <c r="P571" s="312"/>
      <c r="Q571" s="312"/>
    </row>
    <row r="572" ht="14.25" customHeight="1">
      <c r="A572" s="211">
        <v>1.0</v>
      </c>
      <c r="B572" s="340" t="s">
        <v>6418</v>
      </c>
      <c r="C572" s="317" t="s">
        <v>6419</v>
      </c>
      <c r="D572" s="319" t="s">
        <v>6143</v>
      </c>
      <c r="E572" s="348" t="s">
        <v>45</v>
      </c>
      <c r="F572" s="323"/>
      <c r="G572" s="318">
        <v>240.0</v>
      </c>
      <c r="H572" s="319">
        <v>38.0</v>
      </c>
      <c r="I572" s="319">
        <v>150.0</v>
      </c>
      <c r="J572" s="319">
        <v>2.0</v>
      </c>
      <c r="K572" s="319">
        <v>2.0</v>
      </c>
      <c r="L572" s="319">
        <v>1.0</v>
      </c>
      <c r="M572" s="314">
        <v>1.0</v>
      </c>
      <c r="N572" s="319">
        <v>0.0</v>
      </c>
      <c r="O572" s="319">
        <v>100.0</v>
      </c>
      <c r="P572" s="319" t="s">
        <v>66</v>
      </c>
      <c r="Q572" s="319">
        <v>20.0</v>
      </c>
    </row>
    <row r="573" ht="14.25" customHeight="1">
      <c r="A573" s="211">
        <v>2.0</v>
      </c>
      <c r="B573" s="349" t="s">
        <v>6420</v>
      </c>
      <c r="C573" s="349" t="s">
        <v>6421</v>
      </c>
      <c r="D573" s="319" t="s">
        <v>6143</v>
      </c>
      <c r="E573" s="348" t="s">
        <v>5724</v>
      </c>
      <c r="F573" s="350"/>
      <c r="G573" s="351">
        <v>2000.0</v>
      </c>
      <c r="H573" s="348">
        <v>12.0</v>
      </c>
      <c r="I573" s="348">
        <v>50.0</v>
      </c>
      <c r="J573" s="348">
        <v>1.0</v>
      </c>
      <c r="K573" s="348">
        <v>1.0</v>
      </c>
      <c r="L573" s="348">
        <v>0.0</v>
      </c>
      <c r="M573" s="352">
        <v>1.0</v>
      </c>
      <c r="N573" s="348">
        <v>0.0</v>
      </c>
      <c r="O573" s="348">
        <v>0.0</v>
      </c>
      <c r="P573" s="319" t="s">
        <v>66</v>
      </c>
      <c r="Q573" s="348">
        <v>2.0</v>
      </c>
    </row>
    <row r="574" ht="14.25" customHeight="1">
      <c r="A574" s="211">
        <v>3.0</v>
      </c>
      <c r="B574" s="317" t="s">
        <v>6422</v>
      </c>
      <c r="C574" s="317" t="s">
        <v>6423</v>
      </c>
      <c r="D574" s="319" t="s">
        <v>6143</v>
      </c>
      <c r="E574" s="348" t="s">
        <v>26</v>
      </c>
      <c r="F574" s="323"/>
      <c r="G574" s="318">
        <v>50.0</v>
      </c>
      <c r="H574" s="319">
        <v>12.0</v>
      </c>
      <c r="I574" s="319">
        <v>50.0</v>
      </c>
      <c r="J574" s="319">
        <v>1.0</v>
      </c>
      <c r="K574" s="319">
        <v>1.0</v>
      </c>
      <c r="L574" s="319">
        <v>0.0</v>
      </c>
      <c r="M574" s="314">
        <v>1.0</v>
      </c>
      <c r="N574" s="319">
        <v>0.0</v>
      </c>
      <c r="O574" s="319">
        <v>0.0</v>
      </c>
      <c r="P574" s="319" t="s">
        <v>66</v>
      </c>
      <c r="Q574" s="348">
        <v>2.0</v>
      </c>
    </row>
    <row r="575" ht="14.25" customHeight="1">
      <c r="A575" s="211">
        <v>4.0</v>
      </c>
      <c r="B575" s="349" t="s">
        <v>6424</v>
      </c>
      <c r="C575" s="349" t="s">
        <v>6425</v>
      </c>
      <c r="D575" s="319" t="s">
        <v>6143</v>
      </c>
      <c r="E575" s="348" t="s">
        <v>45</v>
      </c>
      <c r="F575" s="350"/>
      <c r="G575" s="351">
        <v>100.0</v>
      </c>
      <c r="H575" s="348">
        <v>25.0</v>
      </c>
      <c r="I575" s="348">
        <v>100.0</v>
      </c>
      <c r="J575" s="348">
        <v>1.0</v>
      </c>
      <c r="K575" s="348">
        <v>1.0</v>
      </c>
      <c r="L575" s="348">
        <v>0.0</v>
      </c>
      <c r="M575" s="352">
        <v>1.0</v>
      </c>
      <c r="N575" s="348">
        <v>0.0</v>
      </c>
      <c r="O575" s="348">
        <v>0.0</v>
      </c>
      <c r="P575" s="319" t="s">
        <v>66</v>
      </c>
      <c r="Q575" s="348">
        <v>2.0</v>
      </c>
    </row>
    <row r="576" ht="14.25" customHeight="1">
      <c r="A576" s="211">
        <v>5.0</v>
      </c>
      <c r="B576" s="317" t="s">
        <v>6426</v>
      </c>
      <c r="C576" s="317" t="s">
        <v>6427</v>
      </c>
      <c r="D576" s="319" t="s">
        <v>6143</v>
      </c>
      <c r="E576" s="348" t="s">
        <v>45</v>
      </c>
      <c r="F576" s="323"/>
      <c r="G576" s="318">
        <v>80.0</v>
      </c>
      <c r="H576" s="319">
        <v>25.0</v>
      </c>
      <c r="I576" s="319">
        <v>100.0</v>
      </c>
      <c r="J576" s="319">
        <v>1.0</v>
      </c>
      <c r="K576" s="319">
        <v>1.0</v>
      </c>
      <c r="L576" s="319">
        <v>0.0</v>
      </c>
      <c r="M576" s="314">
        <v>1.0</v>
      </c>
      <c r="N576" s="319">
        <v>0.0</v>
      </c>
      <c r="O576" s="319">
        <v>0.0</v>
      </c>
      <c r="P576" s="319" t="s">
        <v>66</v>
      </c>
      <c r="Q576" s="348">
        <v>2.0</v>
      </c>
    </row>
    <row r="577" ht="14.25" customHeight="1">
      <c r="A577" s="211">
        <v>6.0</v>
      </c>
      <c r="B577" s="349" t="s">
        <v>6428</v>
      </c>
      <c r="C577" s="349" t="s">
        <v>6429</v>
      </c>
      <c r="D577" s="319" t="s">
        <v>6143</v>
      </c>
      <c r="E577" s="348" t="s">
        <v>45</v>
      </c>
      <c r="F577" s="350"/>
      <c r="G577" s="351">
        <v>50.0</v>
      </c>
      <c r="H577" s="348">
        <v>12.0</v>
      </c>
      <c r="I577" s="348">
        <v>50.0</v>
      </c>
      <c r="J577" s="348">
        <v>1.0</v>
      </c>
      <c r="K577" s="348">
        <v>1.0</v>
      </c>
      <c r="L577" s="348">
        <v>0.0</v>
      </c>
      <c r="M577" s="352">
        <v>1.0</v>
      </c>
      <c r="N577" s="348">
        <v>0.0</v>
      </c>
      <c r="O577" s="348">
        <v>0.0</v>
      </c>
      <c r="P577" s="319" t="s">
        <v>66</v>
      </c>
      <c r="Q577" s="348">
        <v>2.0</v>
      </c>
    </row>
    <row r="578" ht="14.25" customHeight="1">
      <c r="A578" s="211">
        <v>7.0</v>
      </c>
      <c r="B578" s="317" t="s">
        <v>6430</v>
      </c>
      <c r="C578" s="317" t="s">
        <v>6431</v>
      </c>
      <c r="D578" s="319" t="s">
        <v>6143</v>
      </c>
      <c r="E578" s="348" t="s">
        <v>45</v>
      </c>
      <c r="F578" s="323"/>
      <c r="G578" s="318">
        <v>50.0</v>
      </c>
      <c r="H578" s="319">
        <v>12.0</v>
      </c>
      <c r="I578" s="319">
        <v>50.0</v>
      </c>
      <c r="J578" s="319">
        <v>1.0</v>
      </c>
      <c r="K578" s="319">
        <v>1.0</v>
      </c>
      <c r="L578" s="319">
        <v>0.0</v>
      </c>
      <c r="M578" s="314">
        <v>1.0</v>
      </c>
      <c r="N578" s="319">
        <v>0.0</v>
      </c>
      <c r="O578" s="319">
        <v>0.0</v>
      </c>
      <c r="P578" s="319" t="s">
        <v>66</v>
      </c>
      <c r="Q578" s="348">
        <v>2.0</v>
      </c>
    </row>
    <row r="579" ht="14.25" customHeight="1">
      <c r="A579" s="211">
        <v>8.0</v>
      </c>
      <c r="B579" s="349" t="s">
        <v>6432</v>
      </c>
      <c r="C579" s="349" t="s">
        <v>6433</v>
      </c>
      <c r="D579" s="319" t="s">
        <v>6143</v>
      </c>
      <c r="E579" s="348" t="s">
        <v>45</v>
      </c>
      <c r="F579" s="350"/>
      <c r="G579" s="351">
        <v>50.0</v>
      </c>
      <c r="H579" s="348">
        <v>12.0</v>
      </c>
      <c r="I579" s="348">
        <v>50.0</v>
      </c>
      <c r="J579" s="348">
        <v>1.0</v>
      </c>
      <c r="K579" s="348">
        <v>1.0</v>
      </c>
      <c r="L579" s="348">
        <v>0.0</v>
      </c>
      <c r="M579" s="352">
        <v>1.0</v>
      </c>
      <c r="N579" s="348">
        <v>0.0</v>
      </c>
      <c r="O579" s="348">
        <v>0.0</v>
      </c>
      <c r="P579" s="319" t="s">
        <v>66</v>
      </c>
      <c r="Q579" s="348">
        <v>2.0</v>
      </c>
    </row>
    <row r="580" ht="14.25" customHeight="1">
      <c r="A580" s="211">
        <v>9.0</v>
      </c>
      <c r="B580" s="317" t="s">
        <v>6434</v>
      </c>
      <c r="C580" s="317" t="s">
        <v>6435</v>
      </c>
      <c r="D580" s="319" t="s">
        <v>6143</v>
      </c>
      <c r="E580" s="348" t="s">
        <v>45</v>
      </c>
      <c r="F580" s="323"/>
      <c r="G580" s="318">
        <v>40.0</v>
      </c>
      <c r="H580" s="319">
        <v>10.0</v>
      </c>
      <c r="I580" s="319">
        <v>40.0</v>
      </c>
      <c r="J580" s="319">
        <v>1.0</v>
      </c>
      <c r="K580" s="319">
        <v>1.0</v>
      </c>
      <c r="L580" s="319">
        <v>0.0</v>
      </c>
      <c r="M580" s="314">
        <v>1.0</v>
      </c>
      <c r="N580" s="319">
        <v>0.0</v>
      </c>
      <c r="O580" s="319">
        <v>0.0</v>
      </c>
      <c r="P580" s="319" t="s">
        <v>66</v>
      </c>
      <c r="Q580" s="348">
        <v>2.0</v>
      </c>
    </row>
    <row r="581" ht="14.25" customHeight="1">
      <c r="A581" s="211">
        <v>10.0</v>
      </c>
      <c r="B581" s="349" t="s">
        <v>6436</v>
      </c>
      <c r="C581" s="349" t="s">
        <v>6437</v>
      </c>
      <c r="D581" s="319" t="s">
        <v>6143</v>
      </c>
      <c r="E581" s="348" t="s">
        <v>45</v>
      </c>
      <c r="F581" s="350"/>
      <c r="G581" s="351">
        <v>60.0</v>
      </c>
      <c r="H581" s="348">
        <v>20.0</v>
      </c>
      <c r="I581" s="348">
        <v>80.0</v>
      </c>
      <c r="J581" s="348">
        <v>1.0</v>
      </c>
      <c r="K581" s="348">
        <v>1.0</v>
      </c>
      <c r="L581" s="348">
        <v>0.0</v>
      </c>
      <c r="M581" s="352">
        <v>1.0</v>
      </c>
      <c r="N581" s="348">
        <v>0.0</v>
      </c>
      <c r="O581" s="348">
        <v>0.0</v>
      </c>
      <c r="P581" s="319" t="s">
        <v>66</v>
      </c>
      <c r="Q581" s="348">
        <v>2.0</v>
      </c>
    </row>
    <row r="582" ht="14.25" customHeight="1">
      <c r="A582" s="211">
        <v>11.0</v>
      </c>
      <c r="B582" s="317" t="s">
        <v>6438</v>
      </c>
      <c r="C582" s="317" t="s">
        <v>6439</v>
      </c>
      <c r="D582" s="319" t="s">
        <v>6143</v>
      </c>
      <c r="E582" s="348" t="s">
        <v>45</v>
      </c>
      <c r="F582" s="323"/>
      <c r="G582" s="318">
        <v>70.0</v>
      </c>
      <c r="H582" s="319">
        <v>20.0</v>
      </c>
      <c r="I582" s="319">
        <v>80.0</v>
      </c>
      <c r="J582" s="319">
        <v>1.0</v>
      </c>
      <c r="K582" s="319">
        <v>1.0</v>
      </c>
      <c r="L582" s="319">
        <v>0.0</v>
      </c>
      <c r="M582" s="314">
        <v>1.0</v>
      </c>
      <c r="N582" s="319">
        <v>0.0</v>
      </c>
      <c r="O582" s="319">
        <v>0.0</v>
      </c>
      <c r="P582" s="319" t="s">
        <v>66</v>
      </c>
      <c r="Q582" s="348">
        <v>2.0</v>
      </c>
    </row>
    <row r="583" ht="14.25" customHeight="1">
      <c r="A583" s="211">
        <v>12.0</v>
      </c>
      <c r="B583" s="349" t="s">
        <v>6440</v>
      </c>
      <c r="C583" s="349" t="s">
        <v>6441</v>
      </c>
      <c r="D583" s="319" t="s">
        <v>6143</v>
      </c>
      <c r="E583" s="348" t="s">
        <v>45</v>
      </c>
      <c r="F583" s="350"/>
      <c r="G583" s="351">
        <v>0.0</v>
      </c>
      <c r="H583" s="348">
        <v>10.0</v>
      </c>
      <c r="I583" s="348">
        <v>40.0</v>
      </c>
      <c r="J583" s="348">
        <v>1.0</v>
      </c>
      <c r="K583" s="348">
        <v>1.0</v>
      </c>
      <c r="L583" s="348">
        <v>0.0</v>
      </c>
      <c r="M583" s="352">
        <v>1.0</v>
      </c>
      <c r="N583" s="348">
        <v>0.0</v>
      </c>
      <c r="O583" s="348">
        <v>0.0</v>
      </c>
      <c r="P583" s="319" t="s">
        <v>29</v>
      </c>
      <c r="Q583" s="348">
        <v>2.0</v>
      </c>
    </row>
    <row r="584" ht="14.25" customHeight="1">
      <c r="A584" s="211">
        <v>13.0</v>
      </c>
      <c r="B584" s="317" t="s">
        <v>6442</v>
      </c>
      <c r="C584" s="317" t="s">
        <v>6443</v>
      </c>
      <c r="D584" s="319" t="s">
        <v>6143</v>
      </c>
      <c r="E584" s="348" t="s">
        <v>45</v>
      </c>
      <c r="F584" s="323"/>
      <c r="G584" s="318">
        <v>50.0</v>
      </c>
      <c r="H584" s="319">
        <v>12.0</v>
      </c>
      <c r="I584" s="319">
        <v>50.0</v>
      </c>
      <c r="J584" s="319">
        <v>1.0</v>
      </c>
      <c r="K584" s="319">
        <v>1.0</v>
      </c>
      <c r="L584" s="319">
        <v>0.0</v>
      </c>
      <c r="M584" s="314">
        <v>1.0</v>
      </c>
      <c r="N584" s="319">
        <v>0.0</v>
      </c>
      <c r="O584" s="319">
        <v>0.0</v>
      </c>
      <c r="P584" s="319" t="s">
        <v>29</v>
      </c>
      <c r="Q584" s="348">
        <v>0.0</v>
      </c>
    </row>
    <row r="585" ht="14.25" customHeight="1">
      <c r="A585" s="211">
        <v>14.0</v>
      </c>
      <c r="B585" s="349" t="s">
        <v>6444</v>
      </c>
      <c r="C585" s="349" t="s">
        <v>6445</v>
      </c>
      <c r="D585" s="319" t="s">
        <v>6143</v>
      </c>
      <c r="E585" s="348" t="s">
        <v>45</v>
      </c>
      <c r="F585" s="350"/>
      <c r="G585" s="351">
        <v>40.0</v>
      </c>
      <c r="H585" s="348">
        <v>12.0</v>
      </c>
      <c r="I585" s="348">
        <v>50.0</v>
      </c>
      <c r="J585" s="348">
        <v>1.0</v>
      </c>
      <c r="K585" s="348">
        <v>1.0</v>
      </c>
      <c r="L585" s="348">
        <v>0.0</v>
      </c>
      <c r="M585" s="352">
        <v>1.0</v>
      </c>
      <c r="N585" s="348">
        <v>0.0</v>
      </c>
      <c r="O585" s="348">
        <v>0.0</v>
      </c>
      <c r="P585" s="319" t="s">
        <v>29</v>
      </c>
      <c r="Q585" s="348">
        <v>0.0</v>
      </c>
    </row>
    <row r="586" ht="14.25" customHeight="1">
      <c r="A586" s="211">
        <v>15.0</v>
      </c>
      <c r="B586" s="317" t="s">
        <v>6446</v>
      </c>
      <c r="C586" s="317" t="s">
        <v>6447</v>
      </c>
      <c r="D586" s="319" t="s">
        <v>6143</v>
      </c>
      <c r="E586" s="348" t="s">
        <v>45</v>
      </c>
      <c r="F586" s="323"/>
      <c r="G586" s="318">
        <v>40.0</v>
      </c>
      <c r="H586" s="319">
        <v>12.0</v>
      </c>
      <c r="I586" s="319">
        <v>50.0</v>
      </c>
      <c r="J586" s="319">
        <v>1.0</v>
      </c>
      <c r="K586" s="319">
        <v>1.0</v>
      </c>
      <c r="L586" s="319">
        <v>0.0</v>
      </c>
      <c r="M586" s="314">
        <v>1.0</v>
      </c>
      <c r="N586" s="319">
        <v>0.0</v>
      </c>
      <c r="O586" s="319">
        <v>0.0</v>
      </c>
      <c r="P586" s="319" t="s">
        <v>29</v>
      </c>
      <c r="Q586" s="348">
        <v>0.0</v>
      </c>
    </row>
    <row r="587" ht="14.25" customHeight="1">
      <c r="A587" s="211">
        <v>16.0</v>
      </c>
      <c r="B587" s="349" t="s">
        <v>6448</v>
      </c>
      <c r="C587" s="349" t="s">
        <v>6449</v>
      </c>
      <c r="D587" s="319" t="s">
        <v>6143</v>
      </c>
      <c r="E587" s="348" t="s">
        <v>45</v>
      </c>
      <c r="F587" s="350"/>
      <c r="G587" s="351">
        <v>40.0</v>
      </c>
      <c r="H587" s="348">
        <v>12.0</v>
      </c>
      <c r="I587" s="348">
        <v>50.0</v>
      </c>
      <c r="J587" s="348">
        <v>1.0</v>
      </c>
      <c r="K587" s="348">
        <v>1.0</v>
      </c>
      <c r="L587" s="348">
        <v>0.0</v>
      </c>
      <c r="M587" s="352">
        <v>1.0</v>
      </c>
      <c r="N587" s="348">
        <v>0.0</v>
      </c>
      <c r="O587" s="348">
        <v>0.0</v>
      </c>
      <c r="P587" s="319" t="s">
        <v>29</v>
      </c>
      <c r="Q587" s="348">
        <v>0.0</v>
      </c>
    </row>
    <row r="588" ht="14.25" customHeight="1">
      <c r="A588" s="211">
        <v>17.0</v>
      </c>
      <c r="B588" s="317" t="s">
        <v>6450</v>
      </c>
      <c r="C588" s="317" t="s">
        <v>6451</v>
      </c>
      <c r="D588" s="319" t="s">
        <v>6143</v>
      </c>
      <c r="E588" s="348" t="s">
        <v>45</v>
      </c>
      <c r="F588" s="323"/>
      <c r="G588" s="318">
        <v>40.0</v>
      </c>
      <c r="H588" s="319">
        <v>12.0</v>
      </c>
      <c r="I588" s="319">
        <v>50.0</v>
      </c>
      <c r="J588" s="319">
        <v>1.0</v>
      </c>
      <c r="K588" s="319">
        <v>1.0</v>
      </c>
      <c r="L588" s="319">
        <v>0.0</v>
      </c>
      <c r="M588" s="314">
        <v>1.0</v>
      </c>
      <c r="N588" s="319">
        <v>0.0</v>
      </c>
      <c r="O588" s="319">
        <v>0.0</v>
      </c>
      <c r="P588" s="319" t="s">
        <v>29</v>
      </c>
      <c r="Q588" s="348">
        <v>0.0</v>
      </c>
    </row>
    <row r="589" ht="14.25" customHeight="1">
      <c r="A589" s="211">
        <v>18.0</v>
      </c>
      <c r="B589" s="349" t="s">
        <v>6452</v>
      </c>
      <c r="C589" s="349" t="s">
        <v>6453</v>
      </c>
      <c r="D589" s="319" t="s">
        <v>6143</v>
      </c>
      <c r="E589" s="348" t="s">
        <v>45</v>
      </c>
      <c r="F589" s="350"/>
      <c r="G589" s="351">
        <v>40.0</v>
      </c>
      <c r="H589" s="348">
        <v>12.0</v>
      </c>
      <c r="I589" s="348">
        <v>50.0</v>
      </c>
      <c r="J589" s="348">
        <v>1.0</v>
      </c>
      <c r="K589" s="348">
        <v>1.0</v>
      </c>
      <c r="L589" s="348">
        <v>0.0</v>
      </c>
      <c r="M589" s="352">
        <v>1.0</v>
      </c>
      <c r="N589" s="348">
        <v>0.0</v>
      </c>
      <c r="O589" s="348">
        <v>0.0</v>
      </c>
      <c r="P589" s="319" t="s">
        <v>29</v>
      </c>
      <c r="Q589" s="348">
        <v>0.0</v>
      </c>
    </row>
    <row r="590" ht="14.25" customHeight="1">
      <c r="A590" s="211">
        <v>19.0</v>
      </c>
      <c r="B590" s="317" t="s">
        <v>6454</v>
      </c>
      <c r="C590" s="317" t="s">
        <v>6455</v>
      </c>
      <c r="D590" s="319" t="s">
        <v>6143</v>
      </c>
      <c r="E590" s="348" t="s">
        <v>45</v>
      </c>
      <c r="F590" s="323"/>
      <c r="G590" s="318">
        <v>40.0</v>
      </c>
      <c r="H590" s="319">
        <v>12.0</v>
      </c>
      <c r="I590" s="319">
        <v>50.0</v>
      </c>
      <c r="J590" s="319">
        <v>1.0</v>
      </c>
      <c r="K590" s="319">
        <v>1.0</v>
      </c>
      <c r="L590" s="319">
        <v>0.0</v>
      </c>
      <c r="M590" s="314">
        <v>1.0</v>
      </c>
      <c r="N590" s="319">
        <v>0.0</v>
      </c>
      <c r="O590" s="319">
        <v>0.0</v>
      </c>
      <c r="P590" s="319" t="s">
        <v>29</v>
      </c>
      <c r="Q590" s="348">
        <v>0.0</v>
      </c>
    </row>
    <row r="591" ht="14.25" customHeight="1">
      <c r="A591" s="211">
        <v>20.0</v>
      </c>
      <c r="B591" s="349" t="s">
        <v>6456</v>
      </c>
      <c r="C591" s="349" t="s">
        <v>6457</v>
      </c>
      <c r="D591" s="319" t="s">
        <v>6143</v>
      </c>
      <c r="E591" s="348" t="s">
        <v>45</v>
      </c>
      <c r="F591" s="350"/>
      <c r="G591" s="351">
        <v>40.0</v>
      </c>
      <c r="H591" s="348">
        <v>12.0</v>
      </c>
      <c r="I591" s="348">
        <v>50.0</v>
      </c>
      <c r="J591" s="348">
        <v>1.0</v>
      </c>
      <c r="K591" s="348">
        <v>1.0</v>
      </c>
      <c r="L591" s="348">
        <v>0.0</v>
      </c>
      <c r="M591" s="352">
        <v>1.0</v>
      </c>
      <c r="N591" s="348">
        <v>0.0</v>
      </c>
      <c r="O591" s="348">
        <v>0.0</v>
      </c>
      <c r="P591" s="319" t="s">
        <v>29</v>
      </c>
      <c r="Q591" s="348">
        <v>0.0</v>
      </c>
    </row>
    <row r="592" ht="14.25" customHeight="1">
      <c r="A592" s="211">
        <v>21.0</v>
      </c>
      <c r="B592" s="317" t="s">
        <v>6458</v>
      </c>
      <c r="C592" s="317" t="s">
        <v>6459</v>
      </c>
      <c r="D592" s="319" t="s">
        <v>6143</v>
      </c>
      <c r="E592" s="348" t="s">
        <v>45</v>
      </c>
      <c r="F592" s="323"/>
      <c r="G592" s="318">
        <v>40.0</v>
      </c>
      <c r="H592" s="319">
        <v>12.0</v>
      </c>
      <c r="I592" s="319">
        <v>50.0</v>
      </c>
      <c r="J592" s="319">
        <v>1.0</v>
      </c>
      <c r="K592" s="319">
        <v>1.0</v>
      </c>
      <c r="L592" s="319">
        <v>0.0</v>
      </c>
      <c r="M592" s="314">
        <v>1.0</v>
      </c>
      <c r="N592" s="319">
        <v>0.0</v>
      </c>
      <c r="O592" s="319">
        <v>0.0</v>
      </c>
      <c r="P592" s="319" t="s">
        <v>29</v>
      </c>
      <c r="Q592" s="348">
        <v>0.0</v>
      </c>
    </row>
    <row r="593" ht="14.25" customHeight="1">
      <c r="A593" s="211">
        <v>22.0</v>
      </c>
      <c r="B593" s="349" t="s">
        <v>6460</v>
      </c>
      <c r="C593" s="349" t="s">
        <v>6461</v>
      </c>
      <c r="D593" s="319" t="s">
        <v>6143</v>
      </c>
      <c r="E593" s="348" t="s">
        <v>45</v>
      </c>
      <c r="F593" s="350"/>
      <c r="G593" s="351">
        <v>40.0</v>
      </c>
      <c r="H593" s="348">
        <v>12.0</v>
      </c>
      <c r="I593" s="348">
        <v>50.0</v>
      </c>
      <c r="J593" s="348">
        <v>1.0</v>
      </c>
      <c r="K593" s="348">
        <v>1.0</v>
      </c>
      <c r="L593" s="348">
        <v>0.0</v>
      </c>
      <c r="M593" s="352">
        <v>1.0</v>
      </c>
      <c r="N593" s="348">
        <v>0.0</v>
      </c>
      <c r="O593" s="348">
        <v>0.0</v>
      </c>
      <c r="P593" s="319" t="s">
        <v>29</v>
      </c>
      <c r="Q593" s="348">
        <v>0.0</v>
      </c>
    </row>
    <row r="594" ht="14.25" customHeight="1">
      <c r="A594" s="211">
        <v>23.0</v>
      </c>
      <c r="B594" s="317" t="s">
        <v>6462</v>
      </c>
      <c r="C594" s="317" t="s">
        <v>6463</v>
      </c>
      <c r="D594" s="319" t="s">
        <v>6143</v>
      </c>
      <c r="E594" s="348" t="s">
        <v>45</v>
      </c>
      <c r="F594" s="323"/>
      <c r="G594" s="318">
        <v>40.0</v>
      </c>
      <c r="H594" s="319">
        <v>12.0</v>
      </c>
      <c r="I594" s="319">
        <v>50.0</v>
      </c>
      <c r="J594" s="319">
        <v>1.0</v>
      </c>
      <c r="K594" s="319">
        <v>1.0</v>
      </c>
      <c r="L594" s="319">
        <v>0.0</v>
      </c>
      <c r="M594" s="314">
        <v>1.0</v>
      </c>
      <c r="N594" s="319">
        <v>0.0</v>
      </c>
      <c r="O594" s="319">
        <v>0.0</v>
      </c>
      <c r="P594" s="319" t="s">
        <v>29</v>
      </c>
      <c r="Q594" s="348">
        <v>0.0</v>
      </c>
    </row>
    <row r="595" ht="14.25" customHeight="1">
      <c r="A595" s="211">
        <v>24.0</v>
      </c>
      <c r="B595" s="349" t="s">
        <v>6464</v>
      </c>
      <c r="C595" s="349" t="s">
        <v>6465</v>
      </c>
      <c r="D595" s="319" t="s">
        <v>6143</v>
      </c>
      <c r="E595" s="348" t="s">
        <v>45</v>
      </c>
      <c r="F595" s="350"/>
      <c r="G595" s="351">
        <v>40.0</v>
      </c>
      <c r="H595" s="348">
        <v>12.0</v>
      </c>
      <c r="I595" s="348">
        <v>50.0</v>
      </c>
      <c r="J595" s="348">
        <v>1.0</v>
      </c>
      <c r="K595" s="348">
        <v>1.0</v>
      </c>
      <c r="L595" s="348">
        <v>0.0</v>
      </c>
      <c r="M595" s="352">
        <v>1.0</v>
      </c>
      <c r="N595" s="348">
        <v>0.0</v>
      </c>
      <c r="O595" s="348">
        <v>0.0</v>
      </c>
      <c r="P595" s="319" t="s">
        <v>29</v>
      </c>
      <c r="Q595" s="348">
        <v>0.0</v>
      </c>
    </row>
    <row r="596" ht="14.25" customHeight="1">
      <c r="A596" s="181"/>
      <c r="B596" s="339" t="s">
        <v>3944</v>
      </c>
      <c r="C596" s="311"/>
      <c r="D596" s="312"/>
      <c r="E596" s="312"/>
      <c r="F596" s="312"/>
      <c r="G596" s="312"/>
      <c r="H596" s="312"/>
      <c r="I596" s="312"/>
      <c r="J596" s="312"/>
      <c r="K596" s="312"/>
      <c r="L596" s="312"/>
      <c r="M596" s="313"/>
      <c r="N596" s="312"/>
      <c r="O596" s="312"/>
      <c r="P596" s="312"/>
      <c r="Q596" s="312"/>
    </row>
    <row r="597" ht="14.25" customHeight="1">
      <c r="A597" s="211">
        <v>1.0</v>
      </c>
      <c r="B597" s="340" t="s">
        <v>6466</v>
      </c>
      <c r="C597" s="322" t="s">
        <v>6467</v>
      </c>
      <c r="D597" s="314" t="s">
        <v>25</v>
      </c>
      <c r="E597" s="314" t="s">
        <v>1303</v>
      </c>
      <c r="F597" s="367"/>
      <c r="G597" s="318">
        <v>2295.0</v>
      </c>
      <c r="H597" s="216">
        <v>183.0</v>
      </c>
      <c r="I597" s="319">
        <v>918.0</v>
      </c>
      <c r="J597" s="319">
        <v>2.0</v>
      </c>
      <c r="K597" s="319">
        <v>2.0</v>
      </c>
      <c r="L597" s="319" t="s">
        <v>39</v>
      </c>
      <c r="M597" s="314" t="s">
        <v>82</v>
      </c>
      <c r="N597" s="319" t="s">
        <v>39</v>
      </c>
      <c r="O597" s="319" t="s">
        <v>39</v>
      </c>
      <c r="P597" s="319" t="s">
        <v>29</v>
      </c>
      <c r="Q597" s="319" t="s">
        <v>39</v>
      </c>
    </row>
    <row r="598" ht="14.25" customHeight="1">
      <c r="A598" s="211">
        <v>2.0</v>
      </c>
      <c r="B598" s="349" t="s">
        <v>6468</v>
      </c>
      <c r="C598" s="377" t="s">
        <v>6467</v>
      </c>
      <c r="D598" s="314" t="s">
        <v>25</v>
      </c>
      <c r="E598" s="314" t="s">
        <v>1303</v>
      </c>
      <c r="F598" s="378"/>
      <c r="G598" s="351">
        <v>500.0</v>
      </c>
      <c r="H598" s="365">
        <v>40.0</v>
      </c>
      <c r="I598" s="348">
        <v>200.0</v>
      </c>
      <c r="J598" s="348">
        <v>1.0</v>
      </c>
      <c r="K598" s="348">
        <v>1.0</v>
      </c>
      <c r="L598" s="348" t="s">
        <v>39</v>
      </c>
      <c r="M598" s="352" t="s">
        <v>82</v>
      </c>
      <c r="N598" s="348" t="s">
        <v>39</v>
      </c>
      <c r="O598" s="348" t="s">
        <v>39</v>
      </c>
      <c r="P598" s="348" t="s">
        <v>29</v>
      </c>
      <c r="Q598" s="348" t="s">
        <v>39</v>
      </c>
    </row>
    <row r="599" ht="14.25" customHeight="1">
      <c r="A599" s="211">
        <v>3.0</v>
      </c>
      <c r="B599" s="317" t="s">
        <v>6469</v>
      </c>
      <c r="C599" s="322" t="s">
        <v>6470</v>
      </c>
      <c r="D599" s="314" t="s">
        <v>25</v>
      </c>
      <c r="E599" s="314" t="s">
        <v>1303</v>
      </c>
      <c r="F599" s="367"/>
      <c r="G599" s="318">
        <v>2353.0</v>
      </c>
      <c r="H599" s="365">
        <v>182.0</v>
      </c>
      <c r="I599" s="319">
        <v>914.0</v>
      </c>
      <c r="J599" s="319">
        <v>4.0</v>
      </c>
      <c r="K599" s="319">
        <v>4.0</v>
      </c>
      <c r="L599" s="319" t="s">
        <v>39</v>
      </c>
      <c r="M599" s="314" t="s">
        <v>82</v>
      </c>
      <c r="N599" s="319" t="s">
        <v>39</v>
      </c>
      <c r="O599" s="319" t="s">
        <v>39</v>
      </c>
      <c r="P599" s="319" t="s">
        <v>29</v>
      </c>
      <c r="Q599" s="319" t="s">
        <v>39</v>
      </c>
    </row>
    <row r="600" ht="14.25" customHeight="1">
      <c r="A600" s="211">
        <v>4.0</v>
      </c>
      <c r="B600" s="349" t="s">
        <v>6471</v>
      </c>
      <c r="C600" s="377" t="s">
        <v>6472</v>
      </c>
      <c r="D600" s="314" t="s">
        <v>25</v>
      </c>
      <c r="E600" s="314" t="s">
        <v>6473</v>
      </c>
      <c r="F600" s="378"/>
      <c r="G600" s="351">
        <v>1374.6</v>
      </c>
      <c r="H600" s="365">
        <v>109.0</v>
      </c>
      <c r="I600" s="348">
        <v>549.0</v>
      </c>
      <c r="J600" s="348">
        <v>4.0</v>
      </c>
      <c r="K600" s="348">
        <v>4.0</v>
      </c>
      <c r="L600" s="348" t="s">
        <v>39</v>
      </c>
      <c r="M600" s="352" t="s">
        <v>82</v>
      </c>
      <c r="N600" s="348" t="s">
        <v>39</v>
      </c>
      <c r="O600" s="348" t="s">
        <v>39</v>
      </c>
      <c r="P600" s="348" t="s">
        <v>29</v>
      </c>
      <c r="Q600" s="348" t="s">
        <v>39</v>
      </c>
    </row>
    <row r="601" ht="14.25" customHeight="1">
      <c r="A601" s="211">
        <v>5.0</v>
      </c>
      <c r="B601" s="322" t="s">
        <v>6474</v>
      </c>
      <c r="C601" s="322" t="s">
        <v>6475</v>
      </c>
      <c r="D601" s="314" t="s">
        <v>25</v>
      </c>
      <c r="E601" s="314" t="s">
        <v>1303</v>
      </c>
      <c r="F601" s="367"/>
      <c r="G601" s="318">
        <v>631.6</v>
      </c>
      <c r="H601" s="365">
        <v>50.0</v>
      </c>
      <c r="I601" s="319">
        <v>252.0</v>
      </c>
      <c r="J601" s="319">
        <v>2.0</v>
      </c>
      <c r="K601" s="319">
        <v>2.0</v>
      </c>
      <c r="L601" s="319" t="s">
        <v>39</v>
      </c>
      <c r="M601" s="314" t="s">
        <v>82</v>
      </c>
      <c r="N601" s="319" t="s">
        <v>39</v>
      </c>
      <c r="O601" s="319" t="s">
        <v>39</v>
      </c>
      <c r="P601" s="319" t="s">
        <v>29</v>
      </c>
      <c r="Q601" s="319" t="s">
        <v>39</v>
      </c>
    </row>
    <row r="602" ht="14.25" customHeight="1">
      <c r="A602" s="211">
        <v>6.0</v>
      </c>
      <c r="B602" s="377" t="s">
        <v>6476</v>
      </c>
      <c r="C602" s="377" t="s">
        <v>6477</v>
      </c>
      <c r="D602" s="314" t="s">
        <v>25</v>
      </c>
      <c r="E602" s="314" t="s">
        <v>1303</v>
      </c>
      <c r="F602" s="378"/>
      <c r="G602" s="351">
        <v>780.0</v>
      </c>
      <c r="H602" s="365">
        <v>62.0</v>
      </c>
      <c r="I602" s="348">
        <v>312.0</v>
      </c>
      <c r="J602" s="348">
        <v>2.0</v>
      </c>
      <c r="K602" s="348">
        <v>2.0</v>
      </c>
      <c r="L602" s="348" t="s">
        <v>39</v>
      </c>
      <c r="M602" s="352" t="s">
        <v>82</v>
      </c>
      <c r="N602" s="348" t="s">
        <v>39</v>
      </c>
      <c r="O602" s="348" t="s">
        <v>39</v>
      </c>
      <c r="P602" s="348" t="s">
        <v>29</v>
      </c>
      <c r="Q602" s="348" t="s">
        <v>39</v>
      </c>
    </row>
    <row r="603" ht="14.25" customHeight="1">
      <c r="A603" s="211">
        <v>7.0</v>
      </c>
      <c r="B603" s="322" t="s">
        <v>6478</v>
      </c>
      <c r="C603" s="322" t="s">
        <v>6479</v>
      </c>
      <c r="D603" s="314" t="s">
        <v>25</v>
      </c>
      <c r="E603" s="314" t="s">
        <v>1303</v>
      </c>
      <c r="F603" s="367"/>
      <c r="G603" s="318">
        <v>734.6</v>
      </c>
      <c r="H603" s="365">
        <v>58.0</v>
      </c>
      <c r="I603" s="319">
        <v>293.0</v>
      </c>
      <c r="J603" s="319">
        <v>1.0</v>
      </c>
      <c r="K603" s="319">
        <v>1.0</v>
      </c>
      <c r="L603" s="319" t="s">
        <v>39</v>
      </c>
      <c r="M603" s="314" t="s">
        <v>82</v>
      </c>
      <c r="N603" s="319" t="s">
        <v>39</v>
      </c>
      <c r="O603" s="319" t="s">
        <v>39</v>
      </c>
      <c r="P603" s="319" t="s">
        <v>29</v>
      </c>
      <c r="Q603" s="319" t="s">
        <v>39</v>
      </c>
    </row>
    <row r="604" ht="14.25" customHeight="1">
      <c r="A604" s="211">
        <v>8.0</v>
      </c>
      <c r="B604" s="349" t="s">
        <v>1105</v>
      </c>
      <c r="C604" s="377" t="s">
        <v>6480</v>
      </c>
      <c r="D604" s="314" t="s">
        <v>25</v>
      </c>
      <c r="E604" s="314" t="s">
        <v>1303</v>
      </c>
      <c r="F604" s="378"/>
      <c r="G604" s="351">
        <v>485.0</v>
      </c>
      <c r="H604" s="365">
        <v>38.0</v>
      </c>
      <c r="I604" s="348">
        <v>194.0</v>
      </c>
      <c r="J604" s="348">
        <v>1.0</v>
      </c>
      <c r="K604" s="348">
        <v>1.0</v>
      </c>
      <c r="L604" s="348" t="s">
        <v>39</v>
      </c>
      <c r="M604" s="352" t="s">
        <v>82</v>
      </c>
      <c r="N604" s="348" t="s">
        <v>39</v>
      </c>
      <c r="O604" s="348" t="s">
        <v>39</v>
      </c>
      <c r="P604" s="348" t="s">
        <v>29</v>
      </c>
      <c r="Q604" s="348" t="s">
        <v>39</v>
      </c>
    </row>
    <row r="605" ht="14.25" customHeight="1">
      <c r="A605" s="211">
        <v>9.0</v>
      </c>
      <c r="B605" s="322" t="s">
        <v>6481</v>
      </c>
      <c r="C605" s="322" t="s">
        <v>6482</v>
      </c>
      <c r="D605" s="314" t="s">
        <v>25</v>
      </c>
      <c r="E605" s="314" t="s">
        <v>1303</v>
      </c>
      <c r="F605" s="367"/>
      <c r="G605" s="318">
        <v>270.0</v>
      </c>
      <c r="H605" s="365">
        <v>10.0</v>
      </c>
      <c r="I605" s="319">
        <v>50.0</v>
      </c>
      <c r="J605" s="319">
        <v>2.0</v>
      </c>
      <c r="K605" s="319">
        <v>2.0</v>
      </c>
      <c r="L605" s="319" t="s">
        <v>39</v>
      </c>
      <c r="M605" s="314" t="s">
        <v>82</v>
      </c>
      <c r="N605" s="319" t="s">
        <v>39</v>
      </c>
      <c r="O605" s="319" t="s">
        <v>39</v>
      </c>
      <c r="P605" s="319" t="s">
        <v>29</v>
      </c>
      <c r="Q605" s="319" t="s">
        <v>39</v>
      </c>
    </row>
    <row r="606" ht="14.25" customHeight="1">
      <c r="A606" s="211">
        <v>10.0</v>
      </c>
      <c r="B606" s="349" t="s">
        <v>6483</v>
      </c>
      <c r="C606" s="377" t="s">
        <v>6484</v>
      </c>
      <c r="D606" s="314" t="s">
        <v>25</v>
      </c>
      <c r="E606" s="314" t="s">
        <v>1303</v>
      </c>
      <c r="F606" s="378"/>
      <c r="G606" s="351">
        <v>2182.0</v>
      </c>
      <c r="H606" s="365">
        <v>72.0</v>
      </c>
      <c r="I606" s="348">
        <v>360.0</v>
      </c>
      <c r="J606" s="348">
        <v>4.0</v>
      </c>
      <c r="K606" s="348">
        <v>4.0</v>
      </c>
      <c r="L606" s="348" t="s">
        <v>39</v>
      </c>
      <c r="M606" s="352" t="s">
        <v>82</v>
      </c>
      <c r="N606" s="348" t="s">
        <v>39</v>
      </c>
      <c r="O606" s="348" t="s">
        <v>39</v>
      </c>
      <c r="P606" s="348" t="s">
        <v>29</v>
      </c>
      <c r="Q606" s="348" t="s">
        <v>39</v>
      </c>
    </row>
    <row r="607" ht="14.25" customHeight="1">
      <c r="A607" s="211">
        <v>11.0</v>
      </c>
      <c r="B607" s="317" t="s">
        <v>6485</v>
      </c>
      <c r="C607" s="322" t="s">
        <v>6486</v>
      </c>
      <c r="D607" s="314" t="s">
        <v>25</v>
      </c>
      <c r="E607" s="314" t="s">
        <v>1303</v>
      </c>
      <c r="F607" s="367"/>
      <c r="G607" s="318">
        <v>94.0</v>
      </c>
      <c r="H607" s="365">
        <v>7.0</v>
      </c>
      <c r="I607" s="319">
        <v>37.0</v>
      </c>
      <c r="J607" s="319">
        <v>1.0</v>
      </c>
      <c r="K607" s="319">
        <v>1.0</v>
      </c>
      <c r="L607" s="319" t="s">
        <v>39</v>
      </c>
      <c r="M607" s="314" t="s">
        <v>6487</v>
      </c>
      <c r="N607" s="319" t="s">
        <v>39</v>
      </c>
      <c r="O607" s="319" t="s">
        <v>39</v>
      </c>
      <c r="P607" s="319" t="s">
        <v>29</v>
      </c>
      <c r="Q607" s="319" t="s">
        <v>39</v>
      </c>
    </row>
    <row r="608" ht="14.25" customHeight="1">
      <c r="A608" s="211">
        <v>12.0</v>
      </c>
      <c r="B608" s="377" t="s">
        <v>6488</v>
      </c>
      <c r="C608" s="377" t="s">
        <v>6489</v>
      </c>
      <c r="D608" s="314" t="s">
        <v>25</v>
      </c>
      <c r="E608" s="314" t="s">
        <v>1303</v>
      </c>
      <c r="F608" s="378"/>
      <c r="G608" s="351">
        <v>2250.0</v>
      </c>
      <c r="H608" s="365">
        <v>180.0</v>
      </c>
      <c r="I608" s="348">
        <v>900.0</v>
      </c>
      <c r="J608" s="348">
        <v>6.0</v>
      </c>
      <c r="K608" s="348">
        <v>6.0</v>
      </c>
      <c r="L608" s="348" t="s">
        <v>39</v>
      </c>
      <c r="M608" s="352" t="s">
        <v>82</v>
      </c>
      <c r="N608" s="348" t="s">
        <v>39</v>
      </c>
      <c r="O608" s="348" t="s">
        <v>39</v>
      </c>
      <c r="P608" s="348" t="s">
        <v>29</v>
      </c>
      <c r="Q608" s="348" t="s">
        <v>39</v>
      </c>
    </row>
    <row r="609" ht="14.25" customHeight="1">
      <c r="A609" s="211">
        <v>13.0</v>
      </c>
      <c r="B609" s="322" t="s">
        <v>6490</v>
      </c>
      <c r="C609" s="322" t="s">
        <v>6491</v>
      </c>
      <c r="D609" s="314" t="s">
        <v>25</v>
      </c>
      <c r="E609" s="314" t="s">
        <v>1303</v>
      </c>
      <c r="F609" s="367"/>
      <c r="G609" s="318">
        <v>1570.5</v>
      </c>
      <c r="H609" s="365">
        <v>125.0</v>
      </c>
      <c r="I609" s="319">
        <v>628.0</v>
      </c>
      <c r="J609" s="319">
        <v>2.0</v>
      </c>
      <c r="K609" s="319">
        <v>2.0</v>
      </c>
      <c r="L609" s="319" t="s">
        <v>39</v>
      </c>
      <c r="M609" s="314" t="s">
        <v>82</v>
      </c>
      <c r="N609" s="319" t="s">
        <v>39</v>
      </c>
      <c r="O609" s="319" t="s">
        <v>39</v>
      </c>
      <c r="P609" s="319" t="s">
        <v>29</v>
      </c>
      <c r="Q609" s="319" t="s">
        <v>39</v>
      </c>
    </row>
    <row r="610" ht="14.25" customHeight="1">
      <c r="A610" s="211">
        <v>14.0</v>
      </c>
      <c r="B610" s="349" t="s">
        <v>6492</v>
      </c>
      <c r="C610" s="377" t="s">
        <v>6493</v>
      </c>
      <c r="D610" s="314" t="s">
        <v>25</v>
      </c>
      <c r="E610" s="314" t="s">
        <v>1303</v>
      </c>
      <c r="F610" s="378"/>
      <c r="G610" s="351">
        <v>270.26</v>
      </c>
      <c r="H610" s="365">
        <v>10.0</v>
      </c>
      <c r="I610" s="348">
        <v>50.0</v>
      </c>
      <c r="J610" s="348">
        <v>1.0</v>
      </c>
      <c r="K610" s="348">
        <v>1.0</v>
      </c>
      <c r="L610" s="348" t="s">
        <v>39</v>
      </c>
      <c r="M610" s="352" t="s">
        <v>82</v>
      </c>
      <c r="N610" s="348" t="s">
        <v>39</v>
      </c>
      <c r="O610" s="348" t="s">
        <v>39</v>
      </c>
      <c r="P610" s="348" t="s">
        <v>29</v>
      </c>
      <c r="Q610" s="348" t="s">
        <v>39</v>
      </c>
    </row>
    <row r="611" ht="14.25" customHeight="1">
      <c r="A611" s="211">
        <v>15.0</v>
      </c>
      <c r="B611" s="322" t="s">
        <v>6494</v>
      </c>
      <c r="C611" s="322" t="s">
        <v>6495</v>
      </c>
      <c r="D611" s="314" t="s">
        <v>25</v>
      </c>
      <c r="E611" s="314" t="s">
        <v>1303</v>
      </c>
      <c r="F611" s="367"/>
      <c r="G611" s="318">
        <v>678.0</v>
      </c>
      <c r="H611" s="365">
        <v>54.0</v>
      </c>
      <c r="I611" s="319">
        <v>271.0</v>
      </c>
      <c r="J611" s="319">
        <v>2.0</v>
      </c>
      <c r="K611" s="319">
        <v>2.0</v>
      </c>
      <c r="L611" s="319" t="s">
        <v>39</v>
      </c>
      <c r="M611" s="314" t="s">
        <v>82</v>
      </c>
      <c r="N611" s="319" t="s">
        <v>39</v>
      </c>
      <c r="O611" s="319" t="s">
        <v>39</v>
      </c>
      <c r="P611" s="319" t="s">
        <v>29</v>
      </c>
      <c r="Q611" s="319" t="s">
        <v>39</v>
      </c>
    </row>
    <row r="612" ht="14.25" customHeight="1">
      <c r="A612" s="211">
        <v>16.0</v>
      </c>
      <c r="B612" s="377" t="s">
        <v>6496</v>
      </c>
      <c r="C612" s="377" t="s">
        <v>6497</v>
      </c>
      <c r="D612" s="314" t="s">
        <v>25</v>
      </c>
      <c r="E612" s="314" t="s">
        <v>1303</v>
      </c>
      <c r="F612" s="378"/>
      <c r="G612" s="351">
        <v>400.0</v>
      </c>
      <c r="H612" s="365">
        <v>29.0</v>
      </c>
      <c r="I612" s="348">
        <v>145.0</v>
      </c>
      <c r="J612" s="348">
        <v>2.0</v>
      </c>
      <c r="K612" s="348">
        <v>2.0</v>
      </c>
      <c r="L612" s="348" t="s">
        <v>39</v>
      </c>
      <c r="M612" s="352" t="s">
        <v>82</v>
      </c>
      <c r="N612" s="348" t="s">
        <v>39</v>
      </c>
      <c r="O612" s="348" t="s">
        <v>39</v>
      </c>
      <c r="P612" s="348" t="s">
        <v>29</v>
      </c>
      <c r="Q612" s="348" t="s">
        <v>39</v>
      </c>
    </row>
    <row r="613" ht="14.25" customHeight="1">
      <c r="A613" s="211">
        <v>17.0</v>
      </c>
      <c r="B613" s="317" t="s">
        <v>6498</v>
      </c>
      <c r="C613" s="322" t="s">
        <v>6499</v>
      </c>
      <c r="D613" s="314" t="s">
        <v>25</v>
      </c>
      <c r="E613" s="314" t="s">
        <v>1303</v>
      </c>
      <c r="F613" s="367"/>
      <c r="G613" s="318">
        <v>553.0</v>
      </c>
      <c r="H613" s="365">
        <v>44.0</v>
      </c>
      <c r="I613" s="319">
        <v>221.0</v>
      </c>
      <c r="J613" s="319">
        <v>2.0</v>
      </c>
      <c r="K613" s="319">
        <v>2.0</v>
      </c>
      <c r="L613" s="319" t="s">
        <v>39</v>
      </c>
      <c r="M613" s="314" t="s">
        <v>82</v>
      </c>
      <c r="N613" s="319" t="s">
        <v>39</v>
      </c>
      <c r="O613" s="319" t="s">
        <v>39</v>
      </c>
      <c r="P613" s="319" t="s">
        <v>29</v>
      </c>
      <c r="Q613" s="319" t="s">
        <v>39</v>
      </c>
    </row>
    <row r="614" ht="14.25" customHeight="1">
      <c r="A614" s="211">
        <v>18.0</v>
      </c>
      <c r="B614" s="377" t="s">
        <v>6500</v>
      </c>
      <c r="C614" s="377" t="s">
        <v>6501</v>
      </c>
      <c r="D614" s="314" t="s">
        <v>25</v>
      </c>
      <c r="E614" s="314" t="s">
        <v>1303</v>
      </c>
      <c r="F614" s="378"/>
      <c r="G614" s="351">
        <v>1567.0</v>
      </c>
      <c r="H614" s="365">
        <v>124.0</v>
      </c>
      <c r="I614" s="348">
        <v>624.0</v>
      </c>
      <c r="J614" s="348">
        <v>3.0</v>
      </c>
      <c r="K614" s="348">
        <v>3.0</v>
      </c>
      <c r="L614" s="348" t="s">
        <v>39</v>
      </c>
      <c r="M614" s="352" t="s">
        <v>82</v>
      </c>
      <c r="N614" s="348" t="s">
        <v>39</v>
      </c>
      <c r="O614" s="348" t="s">
        <v>39</v>
      </c>
      <c r="P614" s="348" t="s">
        <v>29</v>
      </c>
      <c r="Q614" s="348" t="s">
        <v>39</v>
      </c>
    </row>
    <row r="615" ht="14.25" customHeight="1">
      <c r="A615" s="211">
        <v>19.0</v>
      </c>
      <c r="B615" s="322" t="s">
        <v>6502</v>
      </c>
      <c r="C615" s="322" t="s">
        <v>6503</v>
      </c>
      <c r="D615" s="314" t="s">
        <v>25</v>
      </c>
      <c r="E615" s="314" t="s">
        <v>1303</v>
      </c>
      <c r="F615" s="367"/>
      <c r="G615" s="318">
        <v>167.0</v>
      </c>
      <c r="H615" s="365">
        <v>13.0</v>
      </c>
      <c r="I615" s="319">
        <v>66.0</v>
      </c>
      <c r="J615" s="319">
        <v>1.0</v>
      </c>
      <c r="K615" s="319">
        <v>1.0</v>
      </c>
      <c r="L615" s="319" t="s">
        <v>39</v>
      </c>
      <c r="M615" s="314" t="s">
        <v>82</v>
      </c>
      <c r="N615" s="319" t="s">
        <v>39</v>
      </c>
      <c r="O615" s="319" t="s">
        <v>39</v>
      </c>
      <c r="P615" s="319" t="s">
        <v>29</v>
      </c>
      <c r="Q615" s="319" t="s">
        <v>39</v>
      </c>
    </row>
    <row r="616" ht="14.25" customHeight="1">
      <c r="A616" s="211">
        <v>20.0</v>
      </c>
      <c r="B616" s="349" t="s">
        <v>6504</v>
      </c>
      <c r="C616" s="377" t="s">
        <v>6505</v>
      </c>
      <c r="D616" s="314" t="s">
        <v>25</v>
      </c>
      <c r="E616" s="314" t="s">
        <v>1303</v>
      </c>
      <c r="F616" s="378"/>
      <c r="G616" s="351">
        <v>164.0</v>
      </c>
      <c r="H616" s="365">
        <v>12.0</v>
      </c>
      <c r="I616" s="348">
        <v>65.0</v>
      </c>
      <c r="J616" s="348">
        <v>2.0</v>
      </c>
      <c r="K616" s="348">
        <v>2.0</v>
      </c>
      <c r="L616" s="348" t="s">
        <v>39</v>
      </c>
      <c r="M616" s="352" t="s">
        <v>82</v>
      </c>
      <c r="N616" s="348" t="s">
        <v>39</v>
      </c>
      <c r="O616" s="348" t="s">
        <v>39</v>
      </c>
      <c r="P616" s="379" t="s">
        <v>66</v>
      </c>
      <c r="Q616" s="379" t="s">
        <v>39</v>
      </c>
    </row>
    <row r="617" ht="14.25" customHeight="1">
      <c r="A617" s="211">
        <v>21.0</v>
      </c>
      <c r="B617" s="322" t="s">
        <v>6506</v>
      </c>
      <c r="C617" s="322" t="s">
        <v>6505</v>
      </c>
      <c r="D617" s="314" t="s">
        <v>25</v>
      </c>
      <c r="E617" s="314" t="s">
        <v>1303</v>
      </c>
      <c r="F617" s="367"/>
      <c r="G617" s="318">
        <v>8919.0</v>
      </c>
      <c r="H617" s="365">
        <v>200.0</v>
      </c>
      <c r="I617" s="319">
        <v>1000.0</v>
      </c>
      <c r="J617" s="319">
        <v>29.0</v>
      </c>
      <c r="K617" s="319">
        <v>29.0</v>
      </c>
      <c r="L617" s="319" t="s">
        <v>39</v>
      </c>
      <c r="M617" s="314" t="s">
        <v>82</v>
      </c>
      <c r="N617" s="319" t="s">
        <v>39</v>
      </c>
      <c r="O617" s="319" t="s">
        <v>39</v>
      </c>
      <c r="P617" s="319" t="s">
        <v>29</v>
      </c>
      <c r="Q617" s="319" t="s">
        <v>39</v>
      </c>
    </row>
    <row r="618" ht="14.25" customHeight="1">
      <c r="A618" s="211">
        <v>22.0</v>
      </c>
      <c r="B618" s="377" t="s">
        <v>6507</v>
      </c>
      <c r="C618" s="377" t="s">
        <v>6505</v>
      </c>
      <c r="D618" s="314" t="s">
        <v>25</v>
      </c>
      <c r="E618" s="314" t="s">
        <v>1303</v>
      </c>
      <c r="F618" s="378"/>
      <c r="G618" s="351">
        <v>2400.0</v>
      </c>
      <c r="H618" s="365">
        <v>192.0</v>
      </c>
      <c r="I618" s="348">
        <v>960.0</v>
      </c>
      <c r="J618" s="348">
        <v>4.0</v>
      </c>
      <c r="K618" s="348">
        <v>4.0</v>
      </c>
      <c r="L618" s="348" t="s">
        <v>39</v>
      </c>
      <c r="M618" s="352" t="s">
        <v>82</v>
      </c>
      <c r="N618" s="348" t="s">
        <v>39</v>
      </c>
      <c r="O618" s="348" t="s">
        <v>39</v>
      </c>
      <c r="P618" s="348" t="s">
        <v>29</v>
      </c>
      <c r="Q618" s="348" t="s">
        <v>39</v>
      </c>
    </row>
    <row r="619" ht="14.25" customHeight="1">
      <c r="A619" s="211">
        <v>23.0</v>
      </c>
      <c r="B619" s="322" t="s">
        <v>6508</v>
      </c>
      <c r="C619" s="322" t="s">
        <v>6505</v>
      </c>
      <c r="D619" s="314" t="s">
        <v>25</v>
      </c>
      <c r="E619" s="314" t="s">
        <v>1303</v>
      </c>
      <c r="F619" s="367"/>
      <c r="G619" s="318">
        <v>823.0</v>
      </c>
      <c r="H619" s="365">
        <v>65.0</v>
      </c>
      <c r="I619" s="319">
        <v>329.0</v>
      </c>
      <c r="J619" s="319">
        <v>1.0</v>
      </c>
      <c r="K619" s="319">
        <v>1.0</v>
      </c>
      <c r="L619" s="319" t="s">
        <v>39</v>
      </c>
      <c r="M619" s="314" t="s">
        <v>82</v>
      </c>
      <c r="N619" s="319" t="s">
        <v>39</v>
      </c>
      <c r="O619" s="319" t="s">
        <v>39</v>
      </c>
      <c r="P619" s="319" t="s">
        <v>29</v>
      </c>
      <c r="Q619" s="319" t="s">
        <v>39</v>
      </c>
    </row>
    <row r="620" ht="14.25" customHeight="1">
      <c r="A620" s="211">
        <v>24.0</v>
      </c>
      <c r="B620" s="349" t="s">
        <v>6509</v>
      </c>
      <c r="C620" s="377" t="s">
        <v>6510</v>
      </c>
      <c r="D620" s="314" t="s">
        <v>25</v>
      </c>
      <c r="E620" s="314" t="s">
        <v>1303</v>
      </c>
      <c r="F620" s="378"/>
      <c r="G620" s="351">
        <v>40.0</v>
      </c>
      <c r="H620" s="365">
        <v>4.0</v>
      </c>
      <c r="I620" s="348">
        <v>20.0</v>
      </c>
      <c r="J620" s="348">
        <v>2.0</v>
      </c>
      <c r="K620" s="348">
        <v>2.0</v>
      </c>
      <c r="L620" s="348" t="s">
        <v>39</v>
      </c>
      <c r="M620" s="352" t="s">
        <v>82</v>
      </c>
      <c r="N620" s="348" t="s">
        <v>39</v>
      </c>
      <c r="O620" s="348" t="s">
        <v>39</v>
      </c>
      <c r="P620" s="348" t="s">
        <v>29</v>
      </c>
      <c r="Q620" s="348" t="s">
        <v>39</v>
      </c>
    </row>
    <row r="621" ht="14.25" customHeight="1">
      <c r="A621" s="211">
        <v>25.0</v>
      </c>
      <c r="B621" s="317" t="s">
        <v>6511</v>
      </c>
      <c r="C621" s="322" t="s">
        <v>6512</v>
      </c>
      <c r="D621" s="314" t="s">
        <v>25</v>
      </c>
      <c r="E621" s="314" t="s">
        <v>1303</v>
      </c>
      <c r="F621" s="367"/>
      <c r="G621" s="318">
        <v>712.0</v>
      </c>
      <c r="H621" s="365">
        <v>56.0</v>
      </c>
      <c r="I621" s="319">
        <v>284.0</v>
      </c>
      <c r="J621" s="319">
        <v>2.0</v>
      </c>
      <c r="K621" s="319">
        <v>2.0</v>
      </c>
      <c r="L621" s="319" t="s">
        <v>39</v>
      </c>
      <c r="M621" s="314" t="s">
        <v>82</v>
      </c>
      <c r="N621" s="319" t="s">
        <v>39</v>
      </c>
      <c r="O621" s="319" t="s">
        <v>39</v>
      </c>
      <c r="P621" s="319" t="s">
        <v>29</v>
      </c>
      <c r="Q621" s="319" t="s">
        <v>39</v>
      </c>
    </row>
    <row r="622" ht="14.25" customHeight="1">
      <c r="A622" s="211">
        <v>26.0</v>
      </c>
      <c r="B622" s="349" t="s">
        <v>6513</v>
      </c>
      <c r="C622" s="377" t="s">
        <v>6467</v>
      </c>
      <c r="D622" s="314" t="s">
        <v>25</v>
      </c>
      <c r="E622" s="314" t="s">
        <v>1303</v>
      </c>
      <c r="F622" s="378"/>
      <c r="G622" s="351">
        <v>30.0</v>
      </c>
      <c r="H622" s="365">
        <v>2.0</v>
      </c>
      <c r="I622" s="348">
        <v>12.0</v>
      </c>
      <c r="J622" s="348">
        <v>1.0</v>
      </c>
      <c r="K622" s="348">
        <v>1.0</v>
      </c>
      <c r="L622" s="348" t="s">
        <v>39</v>
      </c>
      <c r="M622" s="352" t="s">
        <v>82</v>
      </c>
      <c r="N622" s="348" t="s">
        <v>39</v>
      </c>
      <c r="O622" s="348" t="s">
        <v>39</v>
      </c>
      <c r="P622" s="348" t="s">
        <v>29</v>
      </c>
      <c r="Q622" s="348" t="s">
        <v>39</v>
      </c>
    </row>
    <row r="623" ht="14.25" customHeight="1">
      <c r="A623" s="211">
        <v>27.0</v>
      </c>
      <c r="B623" s="317" t="s">
        <v>6514</v>
      </c>
      <c r="C623" s="322" t="s">
        <v>6515</v>
      </c>
      <c r="D623" s="314" t="s">
        <v>25</v>
      </c>
      <c r="E623" s="314" t="s">
        <v>1303</v>
      </c>
      <c r="F623" s="367"/>
      <c r="G623" s="318">
        <v>157.0</v>
      </c>
      <c r="H623" s="365">
        <v>12.0</v>
      </c>
      <c r="I623" s="319">
        <v>62.0</v>
      </c>
      <c r="J623" s="319">
        <v>1.0</v>
      </c>
      <c r="K623" s="319">
        <v>1.0</v>
      </c>
      <c r="L623" s="319" t="s">
        <v>39</v>
      </c>
      <c r="M623" s="314" t="s">
        <v>82</v>
      </c>
      <c r="N623" s="319" t="s">
        <v>39</v>
      </c>
      <c r="O623" s="319" t="s">
        <v>39</v>
      </c>
      <c r="P623" s="319" t="s">
        <v>29</v>
      </c>
      <c r="Q623" s="319" t="s">
        <v>39</v>
      </c>
    </row>
    <row r="624" ht="14.25" customHeight="1">
      <c r="A624" s="211">
        <v>28.0</v>
      </c>
      <c r="B624" s="349" t="s">
        <v>6516</v>
      </c>
      <c r="C624" s="377" t="s">
        <v>6470</v>
      </c>
      <c r="D624" s="314" t="s">
        <v>25</v>
      </c>
      <c r="E624" s="314" t="s">
        <v>1303</v>
      </c>
      <c r="F624" s="378"/>
      <c r="G624" s="351">
        <v>240.0</v>
      </c>
      <c r="H624" s="365">
        <v>19.0</v>
      </c>
      <c r="I624" s="348">
        <v>96.0</v>
      </c>
      <c r="J624" s="348">
        <v>1.0</v>
      </c>
      <c r="K624" s="348">
        <v>1.0</v>
      </c>
      <c r="L624" s="348" t="s">
        <v>39</v>
      </c>
      <c r="M624" s="352" t="s">
        <v>6517</v>
      </c>
      <c r="N624" s="348" t="s">
        <v>39</v>
      </c>
      <c r="O624" s="348" t="s">
        <v>39</v>
      </c>
      <c r="P624" s="348" t="s">
        <v>29</v>
      </c>
      <c r="Q624" s="348" t="s">
        <v>39</v>
      </c>
    </row>
    <row r="625" ht="14.25" customHeight="1">
      <c r="A625" s="211">
        <v>29.0</v>
      </c>
      <c r="B625" s="317" t="s">
        <v>6518</v>
      </c>
      <c r="C625" s="322" t="s">
        <v>6519</v>
      </c>
      <c r="D625" s="314" t="s">
        <v>25</v>
      </c>
      <c r="E625" s="314" t="s">
        <v>1303</v>
      </c>
      <c r="F625" s="367"/>
      <c r="G625" s="318">
        <v>30.0</v>
      </c>
      <c r="H625" s="365">
        <v>4.0</v>
      </c>
      <c r="I625" s="319">
        <v>20.0</v>
      </c>
      <c r="J625" s="319">
        <v>1.0</v>
      </c>
      <c r="K625" s="319">
        <v>1.0</v>
      </c>
      <c r="L625" s="319" t="s">
        <v>39</v>
      </c>
      <c r="M625" s="314" t="s">
        <v>6520</v>
      </c>
      <c r="N625" s="319" t="s">
        <v>39</v>
      </c>
      <c r="O625" s="319" t="s">
        <v>39</v>
      </c>
      <c r="P625" s="319" t="s">
        <v>29</v>
      </c>
      <c r="Q625" s="319" t="s">
        <v>39</v>
      </c>
    </row>
    <row r="626" ht="14.25" customHeight="1">
      <c r="A626" s="211">
        <v>30.0</v>
      </c>
      <c r="B626" s="349" t="s">
        <v>6521</v>
      </c>
      <c r="C626" s="377" t="s">
        <v>6522</v>
      </c>
      <c r="D626" s="314" t="s">
        <v>25</v>
      </c>
      <c r="E626" s="314" t="s">
        <v>1303</v>
      </c>
      <c r="F626" s="378"/>
      <c r="G626" s="351">
        <v>40.0</v>
      </c>
      <c r="H626" s="365">
        <v>3.0</v>
      </c>
      <c r="I626" s="348">
        <v>15.0</v>
      </c>
      <c r="J626" s="348">
        <v>1.0</v>
      </c>
      <c r="K626" s="348">
        <v>1.0</v>
      </c>
      <c r="L626" s="348" t="s">
        <v>39</v>
      </c>
      <c r="M626" s="352" t="s">
        <v>6523</v>
      </c>
      <c r="N626" s="348" t="s">
        <v>39</v>
      </c>
      <c r="O626" s="348" t="s">
        <v>39</v>
      </c>
      <c r="P626" s="348" t="s">
        <v>29</v>
      </c>
      <c r="Q626" s="348" t="s">
        <v>39</v>
      </c>
    </row>
    <row r="627" ht="14.25" customHeight="1">
      <c r="A627" s="211">
        <v>31.0</v>
      </c>
      <c r="B627" s="317" t="s">
        <v>6524</v>
      </c>
      <c r="C627" s="322" t="s">
        <v>6472</v>
      </c>
      <c r="D627" s="314" t="s">
        <v>25</v>
      </c>
      <c r="E627" s="314" t="s">
        <v>6473</v>
      </c>
      <c r="F627" s="367"/>
      <c r="G627" s="318">
        <v>240.0</v>
      </c>
      <c r="H627" s="365">
        <v>19.0</v>
      </c>
      <c r="I627" s="319">
        <v>96.0</v>
      </c>
      <c r="J627" s="319">
        <v>1.0</v>
      </c>
      <c r="K627" s="319">
        <v>1.0</v>
      </c>
      <c r="L627" s="319" t="s">
        <v>39</v>
      </c>
      <c r="M627" s="314" t="s">
        <v>6525</v>
      </c>
      <c r="N627" s="319" t="s">
        <v>39</v>
      </c>
      <c r="O627" s="319" t="s">
        <v>39</v>
      </c>
      <c r="P627" s="319" t="s">
        <v>29</v>
      </c>
      <c r="Q627" s="319" t="s">
        <v>39</v>
      </c>
    </row>
    <row r="628" ht="14.25" customHeight="1">
      <c r="A628" s="211">
        <v>32.0</v>
      </c>
      <c r="B628" s="377" t="s">
        <v>6526</v>
      </c>
      <c r="C628" s="377" t="s">
        <v>6475</v>
      </c>
      <c r="D628" s="314" t="s">
        <v>25</v>
      </c>
      <c r="E628" s="314" t="s">
        <v>1303</v>
      </c>
      <c r="F628" s="378"/>
      <c r="G628" s="351">
        <v>96.2</v>
      </c>
      <c r="H628" s="365">
        <v>7.0</v>
      </c>
      <c r="I628" s="348">
        <v>38.0</v>
      </c>
      <c r="J628" s="348">
        <v>1.0</v>
      </c>
      <c r="K628" s="348">
        <v>1.0</v>
      </c>
      <c r="L628" s="348" t="s">
        <v>39</v>
      </c>
      <c r="M628" s="352" t="s">
        <v>6527</v>
      </c>
      <c r="N628" s="348" t="s">
        <v>39</v>
      </c>
      <c r="O628" s="348" t="s">
        <v>39</v>
      </c>
      <c r="P628" s="348" t="s">
        <v>29</v>
      </c>
      <c r="Q628" s="348" t="s">
        <v>39</v>
      </c>
    </row>
    <row r="629" ht="14.25" customHeight="1">
      <c r="A629" s="211">
        <v>33.0</v>
      </c>
      <c r="B629" s="322" t="s">
        <v>6528</v>
      </c>
      <c r="C629" s="322" t="s">
        <v>6477</v>
      </c>
      <c r="D629" s="314" t="s">
        <v>25</v>
      </c>
      <c r="E629" s="314" t="s">
        <v>1303</v>
      </c>
      <c r="F629" s="367"/>
      <c r="G629" s="318">
        <v>180.0</v>
      </c>
      <c r="H629" s="365">
        <v>14.0</v>
      </c>
      <c r="I629" s="319">
        <v>72.0</v>
      </c>
      <c r="J629" s="319">
        <v>1.0</v>
      </c>
      <c r="K629" s="319">
        <v>1.0</v>
      </c>
      <c r="L629" s="319" t="s">
        <v>39</v>
      </c>
      <c r="M629" s="314" t="s">
        <v>82</v>
      </c>
      <c r="N629" s="319" t="s">
        <v>39</v>
      </c>
      <c r="O629" s="319" t="s">
        <v>39</v>
      </c>
      <c r="P629" s="319" t="s">
        <v>29</v>
      </c>
      <c r="Q629" s="319" t="s">
        <v>39</v>
      </c>
    </row>
    <row r="630" ht="14.25" customHeight="1">
      <c r="A630" s="211">
        <v>34.0</v>
      </c>
      <c r="B630" s="377" t="s">
        <v>6529</v>
      </c>
      <c r="C630" s="377" t="s">
        <v>6530</v>
      </c>
      <c r="D630" s="314" t="s">
        <v>25</v>
      </c>
      <c r="E630" s="314" t="s">
        <v>1303</v>
      </c>
      <c r="F630" s="378"/>
      <c r="G630" s="351">
        <v>100.0</v>
      </c>
      <c r="H630" s="365">
        <v>15.0</v>
      </c>
      <c r="I630" s="348">
        <v>75.0</v>
      </c>
      <c r="J630" s="348">
        <v>1.0</v>
      </c>
      <c r="K630" s="348">
        <v>1.0</v>
      </c>
      <c r="L630" s="348" t="s">
        <v>39</v>
      </c>
      <c r="M630" s="352" t="s">
        <v>6531</v>
      </c>
      <c r="N630" s="348" t="s">
        <v>39</v>
      </c>
      <c r="O630" s="348" t="s">
        <v>39</v>
      </c>
      <c r="P630" s="348" t="s">
        <v>29</v>
      </c>
      <c r="Q630" s="348" t="s">
        <v>39</v>
      </c>
    </row>
    <row r="631" ht="14.25" customHeight="1">
      <c r="A631" s="211">
        <v>35.0</v>
      </c>
      <c r="B631" s="322" t="s">
        <v>6532</v>
      </c>
      <c r="C631" s="322" t="s">
        <v>6479</v>
      </c>
      <c r="D631" s="314" t="s">
        <v>25</v>
      </c>
      <c r="E631" s="314" t="s">
        <v>1303</v>
      </c>
      <c r="F631" s="367"/>
      <c r="G631" s="318">
        <v>94.8</v>
      </c>
      <c r="H631" s="365">
        <v>7.0</v>
      </c>
      <c r="I631" s="319">
        <v>37.0</v>
      </c>
      <c r="J631" s="319">
        <v>1.0</v>
      </c>
      <c r="K631" s="319">
        <v>1.0</v>
      </c>
      <c r="L631" s="319" t="s">
        <v>39</v>
      </c>
      <c r="M631" s="314" t="s">
        <v>82</v>
      </c>
      <c r="N631" s="319" t="s">
        <v>39</v>
      </c>
      <c r="O631" s="319" t="s">
        <v>39</v>
      </c>
      <c r="P631" s="319" t="s">
        <v>29</v>
      </c>
      <c r="Q631" s="319" t="s">
        <v>39</v>
      </c>
    </row>
    <row r="632" ht="14.25" customHeight="1">
      <c r="A632" s="211">
        <v>36.0</v>
      </c>
      <c r="B632" s="377" t="s">
        <v>6533</v>
      </c>
      <c r="C632" s="377" t="s">
        <v>6534</v>
      </c>
      <c r="D632" s="314" t="s">
        <v>25</v>
      </c>
      <c r="E632" s="314" t="s">
        <v>1303</v>
      </c>
      <c r="F632" s="378"/>
      <c r="G632" s="351">
        <v>205.0</v>
      </c>
      <c r="H632" s="365">
        <v>16.0</v>
      </c>
      <c r="I632" s="348">
        <v>82.0</v>
      </c>
      <c r="J632" s="348">
        <v>1.0</v>
      </c>
      <c r="K632" s="348">
        <v>1.0</v>
      </c>
      <c r="L632" s="348" t="s">
        <v>39</v>
      </c>
      <c r="M632" s="352" t="s">
        <v>6535</v>
      </c>
      <c r="N632" s="348" t="s">
        <v>39</v>
      </c>
      <c r="O632" s="348" t="s">
        <v>39</v>
      </c>
      <c r="P632" s="348" t="s">
        <v>29</v>
      </c>
      <c r="Q632" s="348" t="s">
        <v>39</v>
      </c>
    </row>
    <row r="633" ht="14.25" customHeight="1">
      <c r="A633" s="211">
        <v>37.0</v>
      </c>
      <c r="B633" s="322" t="s">
        <v>1777</v>
      </c>
      <c r="C633" s="322" t="s">
        <v>6480</v>
      </c>
      <c r="D633" s="314" t="s">
        <v>25</v>
      </c>
      <c r="E633" s="314" t="s">
        <v>1303</v>
      </c>
      <c r="F633" s="367"/>
      <c r="G633" s="318">
        <v>220.0</v>
      </c>
      <c r="H633" s="365">
        <v>17.0</v>
      </c>
      <c r="I633" s="319">
        <v>88.0</v>
      </c>
      <c r="J633" s="319">
        <v>1.0</v>
      </c>
      <c r="K633" s="319">
        <v>1.0</v>
      </c>
      <c r="L633" s="319" t="s">
        <v>39</v>
      </c>
      <c r="M633" s="314" t="s">
        <v>82</v>
      </c>
      <c r="N633" s="319" t="s">
        <v>39</v>
      </c>
      <c r="O633" s="319" t="s">
        <v>39</v>
      </c>
      <c r="P633" s="319" t="s">
        <v>29</v>
      </c>
      <c r="Q633" s="319" t="s">
        <v>39</v>
      </c>
    </row>
    <row r="634" ht="14.25" customHeight="1">
      <c r="A634" s="211">
        <v>38.0</v>
      </c>
      <c r="B634" s="377" t="s">
        <v>6536</v>
      </c>
      <c r="C634" s="377" t="s">
        <v>6482</v>
      </c>
      <c r="D634" s="314" t="s">
        <v>25</v>
      </c>
      <c r="E634" s="314" t="s">
        <v>1303</v>
      </c>
      <c r="F634" s="378"/>
      <c r="G634" s="351">
        <v>154.0</v>
      </c>
      <c r="H634" s="365">
        <v>12.0</v>
      </c>
      <c r="I634" s="348">
        <v>61.0</v>
      </c>
      <c r="J634" s="348">
        <v>1.0</v>
      </c>
      <c r="K634" s="348">
        <v>1.0</v>
      </c>
      <c r="L634" s="348" t="s">
        <v>39</v>
      </c>
      <c r="M634" s="352" t="s">
        <v>6520</v>
      </c>
      <c r="N634" s="348" t="s">
        <v>39</v>
      </c>
      <c r="O634" s="348" t="s">
        <v>39</v>
      </c>
      <c r="P634" s="348" t="s">
        <v>29</v>
      </c>
      <c r="Q634" s="348" t="s">
        <v>39</v>
      </c>
    </row>
    <row r="635" ht="14.25" customHeight="1">
      <c r="A635" s="211">
        <v>39.0</v>
      </c>
      <c r="B635" s="322" t="s">
        <v>1582</v>
      </c>
      <c r="C635" s="322" t="s">
        <v>6491</v>
      </c>
      <c r="D635" s="314" t="s">
        <v>25</v>
      </c>
      <c r="E635" s="314" t="s">
        <v>1303</v>
      </c>
      <c r="F635" s="367"/>
      <c r="G635" s="318">
        <v>157.0</v>
      </c>
      <c r="H635" s="365">
        <v>12.0</v>
      </c>
      <c r="I635" s="319">
        <v>62.0</v>
      </c>
      <c r="J635" s="319">
        <v>1.0</v>
      </c>
      <c r="K635" s="319">
        <v>1.0</v>
      </c>
      <c r="L635" s="319" t="s">
        <v>39</v>
      </c>
      <c r="M635" s="314" t="s">
        <v>82</v>
      </c>
      <c r="N635" s="319" t="s">
        <v>39</v>
      </c>
      <c r="O635" s="319" t="s">
        <v>39</v>
      </c>
      <c r="P635" s="319" t="s">
        <v>29</v>
      </c>
      <c r="Q635" s="319" t="s">
        <v>39</v>
      </c>
    </row>
    <row r="636" ht="14.25" customHeight="1">
      <c r="A636" s="211">
        <v>40.0</v>
      </c>
      <c r="B636" s="377" t="s">
        <v>6537</v>
      </c>
      <c r="C636" s="377" t="s">
        <v>6486</v>
      </c>
      <c r="D636" s="314" t="s">
        <v>25</v>
      </c>
      <c r="E636" s="314" t="s">
        <v>6473</v>
      </c>
      <c r="F636" s="378"/>
      <c r="G636" s="351">
        <v>40.0</v>
      </c>
      <c r="H636" s="365">
        <v>3.0</v>
      </c>
      <c r="I636" s="348">
        <v>15.0</v>
      </c>
      <c r="J636" s="348">
        <v>1.0</v>
      </c>
      <c r="K636" s="348">
        <v>1.0</v>
      </c>
      <c r="L636" s="348" t="s">
        <v>39</v>
      </c>
      <c r="M636" s="352" t="s">
        <v>6538</v>
      </c>
      <c r="N636" s="348" t="s">
        <v>39</v>
      </c>
      <c r="O636" s="348" t="s">
        <v>39</v>
      </c>
      <c r="P636" s="348" t="s">
        <v>29</v>
      </c>
      <c r="Q636" s="348" t="s">
        <v>39</v>
      </c>
    </row>
    <row r="637" ht="14.25" customHeight="1">
      <c r="A637" s="211">
        <v>41.0</v>
      </c>
      <c r="B637" s="322" t="s">
        <v>6539</v>
      </c>
      <c r="C637" s="322" t="s">
        <v>6495</v>
      </c>
      <c r="D637" s="314" t="s">
        <v>25</v>
      </c>
      <c r="E637" s="314" t="s">
        <v>1303</v>
      </c>
      <c r="F637" s="367"/>
      <c r="G637" s="318">
        <v>149.0</v>
      </c>
      <c r="H637" s="365">
        <v>11.0</v>
      </c>
      <c r="I637" s="319">
        <v>59.0</v>
      </c>
      <c r="J637" s="319">
        <v>1.0</v>
      </c>
      <c r="K637" s="319">
        <v>1.0</v>
      </c>
      <c r="L637" s="319" t="s">
        <v>39</v>
      </c>
      <c r="M637" s="314" t="s">
        <v>82</v>
      </c>
      <c r="N637" s="319" t="s">
        <v>39</v>
      </c>
      <c r="O637" s="319" t="s">
        <v>39</v>
      </c>
      <c r="P637" s="319" t="s">
        <v>29</v>
      </c>
      <c r="Q637" s="319" t="s">
        <v>39</v>
      </c>
    </row>
    <row r="638" ht="14.25" customHeight="1">
      <c r="A638" s="211">
        <v>42.0</v>
      </c>
      <c r="B638" s="377" t="s">
        <v>6540</v>
      </c>
      <c r="C638" s="377" t="s">
        <v>6497</v>
      </c>
      <c r="D638" s="314" t="s">
        <v>25</v>
      </c>
      <c r="E638" s="314" t="s">
        <v>1303</v>
      </c>
      <c r="F638" s="378"/>
      <c r="G638" s="351">
        <v>30.0</v>
      </c>
      <c r="H638" s="365">
        <v>3.0</v>
      </c>
      <c r="I638" s="348">
        <v>15.0</v>
      </c>
      <c r="J638" s="348">
        <v>1.0</v>
      </c>
      <c r="K638" s="348">
        <v>1.0</v>
      </c>
      <c r="L638" s="348" t="s">
        <v>39</v>
      </c>
      <c r="M638" s="352" t="s">
        <v>6541</v>
      </c>
      <c r="N638" s="348" t="s">
        <v>39</v>
      </c>
      <c r="O638" s="348" t="s">
        <v>39</v>
      </c>
      <c r="P638" s="348" t="s">
        <v>29</v>
      </c>
      <c r="Q638" s="348" t="s">
        <v>39</v>
      </c>
    </row>
    <row r="639" ht="14.25" customHeight="1">
      <c r="A639" s="211">
        <v>43.0</v>
      </c>
      <c r="B639" s="322" t="s">
        <v>6542</v>
      </c>
      <c r="C639" s="322" t="s">
        <v>6543</v>
      </c>
      <c r="D639" s="314" t="s">
        <v>25</v>
      </c>
      <c r="E639" s="314" t="s">
        <v>1303</v>
      </c>
      <c r="F639" s="367"/>
      <c r="G639" s="318">
        <v>30.0</v>
      </c>
      <c r="H639" s="365">
        <v>3.0</v>
      </c>
      <c r="I639" s="319">
        <v>15.0</v>
      </c>
      <c r="J639" s="319">
        <v>1.0</v>
      </c>
      <c r="K639" s="319">
        <v>1.0</v>
      </c>
      <c r="L639" s="319" t="s">
        <v>39</v>
      </c>
      <c r="M639" s="314" t="s">
        <v>82</v>
      </c>
      <c r="N639" s="319" t="s">
        <v>39</v>
      </c>
      <c r="O639" s="319" t="s">
        <v>39</v>
      </c>
      <c r="P639" s="319" t="s">
        <v>29</v>
      </c>
      <c r="Q639" s="319" t="s">
        <v>39</v>
      </c>
    </row>
    <row r="640" ht="14.25" customHeight="1">
      <c r="A640" s="211">
        <v>44.0</v>
      </c>
      <c r="B640" s="377" t="s">
        <v>6544</v>
      </c>
      <c r="C640" s="377" t="s">
        <v>6499</v>
      </c>
      <c r="D640" s="314" t="s">
        <v>25</v>
      </c>
      <c r="E640" s="314" t="s">
        <v>1303</v>
      </c>
      <c r="F640" s="378"/>
      <c r="G640" s="351">
        <v>250.0</v>
      </c>
      <c r="H640" s="365">
        <v>20.0</v>
      </c>
      <c r="I640" s="348">
        <v>100.0</v>
      </c>
      <c r="J640" s="348">
        <v>1.0</v>
      </c>
      <c r="K640" s="348">
        <v>1.0</v>
      </c>
      <c r="L640" s="348" t="s">
        <v>39</v>
      </c>
      <c r="M640" s="352" t="s">
        <v>82</v>
      </c>
      <c r="N640" s="348" t="s">
        <v>39</v>
      </c>
      <c r="O640" s="348" t="s">
        <v>39</v>
      </c>
      <c r="P640" s="348" t="s">
        <v>29</v>
      </c>
      <c r="Q640" s="348" t="s">
        <v>39</v>
      </c>
    </row>
    <row r="641" ht="14.25" customHeight="1">
      <c r="A641" s="211">
        <v>45.0</v>
      </c>
      <c r="B641" s="322" t="s">
        <v>6545</v>
      </c>
      <c r="C641" s="322" t="s">
        <v>6489</v>
      </c>
      <c r="D641" s="314" t="s">
        <v>25</v>
      </c>
      <c r="E641" s="314" t="s">
        <v>1303</v>
      </c>
      <c r="F641" s="367"/>
      <c r="G641" s="318">
        <v>67.9</v>
      </c>
      <c r="H641" s="365">
        <v>5.0</v>
      </c>
      <c r="I641" s="319">
        <v>26.0</v>
      </c>
      <c r="J641" s="319">
        <v>1.0</v>
      </c>
      <c r="K641" s="319">
        <v>1.0</v>
      </c>
      <c r="L641" s="319" t="s">
        <v>39</v>
      </c>
      <c r="M641" s="314" t="s">
        <v>82</v>
      </c>
      <c r="N641" s="319" t="s">
        <v>39</v>
      </c>
      <c r="O641" s="319" t="s">
        <v>39</v>
      </c>
      <c r="P641" s="319" t="s">
        <v>29</v>
      </c>
      <c r="Q641" s="319" t="s">
        <v>39</v>
      </c>
    </row>
    <row r="642" ht="14.25" customHeight="1">
      <c r="A642" s="211">
        <v>46.0</v>
      </c>
      <c r="B642" s="377" t="s">
        <v>6546</v>
      </c>
      <c r="C642" s="377" t="s">
        <v>6547</v>
      </c>
      <c r="D642" s="314" t="s">
        <v>25</v>
      </c>
      <c r="E642" s="314" t="s">
        <v>1303</v>
      </c>
      <c r="F642" s="378"/>
      <c r="G642" s="351">
        <v>104.0</v>
      </c>
      <c r="H642" s="365">
        <v>8.0</v>
      </c>
      <c r="I642" s="348">
        <v>41.0</v>
      </c>
      <c r="J642" s="348">
        <v>1.0</v>
      </c>
      <c r="K642" s="348">
        <v>1.0</v>
      </c>
      <c r="L642" s="348" t="s">
        <v>39</v>
      </c>
      <c r="M642" s="352" t="s">
        <v>6531</v>
      </c>
      <c r="N642" s="348" t="s">
        <v>39</v>
      </c>
      <c r="O642" s="348" t="s">
        <v>39</v>
      </c>
      <c r="P642" s="348" t="s">
        <v>29</v>
      </c>
      <c r="Q642" s="348" t="s">
        <v>39</v>
      </c>
    </row>
    <row r="643" ht="14.25" customHeight="1">
      <c r="A643" s="211">
        <v>47.0</v>
      </c>
      <c r="B643" s="322" t="s">
        <v>6548</v>
      </c>
      <c r="C643" s="322" t="s">
        <v>6501</v>
      </c>
      <c r="D643" s="314" t="s">
        <v>25</v>
      </c>
      <c r="E643" s="314" t="s">
        <v>1303</v>
      </c>
      <c r="F643" s="367"/>
      <c r="G643" s="318">
        <v>276.0</v>
      </c>
      <c r="H643" s="365">
        <v>22.0</v>
      </c>
      <c r="I643" s="319">
        <v>110.0</v>
      </c>
      <c r="J643" s="319">
        <v>1.0</v>
      </c>
      <c r="K643" s="319">
        <v>1.0</v>
      </c>
      <c r="L643" s="319" t="s">
        <v>39</v>
      </c>
      <c r="M643" s="314" t="s">
        <v>6549</v>
      </c>
      <c r="N643" s="319" t="s">
        <v>39</v>
      </c>
      <c r="O643" s="319" t="s">
        <v>39</v>
      </c>
      <c r="P643" s="319" t="s">
        <v>29</v>
      </c>
      <c r="Q643" s="319" t="s">
        <v>39</v>
      </c>
    </row>
    <row r="644" ht="14.25" customHeight="1">
      <c r="A644" s="211">
        <v>48.0</v>
      </c>
      <c r="B644" s="377" t="s">
        <v>6550</v>
      </c>
      <c r="C644" s="377" t="s">
        <v>6505</v>
      </c>
      <c r="D644" s="314" t="s">
        <v>25</v>
      </c>
      <c r="E644" s="314" t="s">
        <v>1303</v>
      </c>
      <c r="F644" s="378"/>
      <c r="G644" s="351">
        <v>20.0</v>
      </c>
      <c r="H644" s="365">
        <v>4.0</v>
      </c>
      <c r="I644" s="348">
        <v>20.0</v>
      </c>
      <c r="J644" s="348">
        <v>1.0</v>
      </c>
      <c r="K644" s="348">
        <v>1.0</v>
      </c>
      <c r="L644" s="348" t="s">
        <v>39</v>
      </c>
      <c r="M644" s="352" t="s">
        <v>6551</v>
      </c>
      <c r="N644" s="348" t="s">
        <v>39</v>
      </c>
      <c r="O644" s="348" t="s">
        <v>39</v>
      </c>
      <c r="P644" s="348" t="s">
        <v>29</v>
      </c>
      <c r="Q644" s="348" t="s">
        <v>39</v>
      </c>
    </row>
    <row r="645" ht="14.25" customHeight="1">
      <c r="A645" s="211">
        <v>49.0</v>
      </c>
      <c r="B645" s="322" t="s">
        <v>6552</v>
      </c>
      <c r="C645" s="322" t="s">
        <v>6553</v>
      </c>
      <c r="D645" s="314" t="s">
        <v>25</v>
      </c>
      <c r="E645" s="314" t="s">
        <v>1303</v>
      </c>
      <c r="F645" s="367"/>
      <c r="G645" s="318">
        <v>420.0</v>
      </c>
      <c r="H645" s="365">
        <v>4.0</v>
      </c>
      <c r="I645" s="319">
        <v>20.0</v>
      </c>
      <c r="J645" s="319">
        <v>1.0</v>
      </c>
      <c r="K645" s="319">
        <v>1.0</v>
      </c>
      <c r="L645" s="319" t="s">
        <v>39</v>
      </c>
      <c r="M645" s="314" t="s">
        <v>6554</v>
      </c>
      <c r="N645" s="319" t="s">
        <v>39</v>
      </c>
      <c r="O645" s="319" t="s">
        <v>39</v>
      </c>
      <c r="P645" s="319" t="s">
        <v>29</v>
      </c>
      <c r="Q645" s="319" t="s">
        <v>39</v>
      </c>
    </row>
    <row r="646" ht="14.25" customHeight="1">
      <c r="A646" s="211">
        <v>50.0</v>
      </c>
      <c r="B646" s="377" t="s">
        <v>6555</v>
      </c>
      <c r="C646" s="377" t="s">
        <v>6503</v>
      </c>
      <c r="D646" s="314" t="s">
        <v>25</v>
      </c>
      <c r="E646" s="314" t="s">
        <v>1303</v>
      </c>
      <c r="F646" s="378"/>
      <c r="G646" s="351">
        <v>92.0</v>
      </c>
      <c r="H646" s="365">
        <v>7.0</v>
      </c>
      <c r="I646" s="348">
        <v>36.0</v>
      </c>
      <c r="J646" s="348">
        <v>1.0</v>
      </c>
      <c r="K646" s="348">
        <v>1.0</v>
      </c>
      <c r="L646" s="348" t="s">
        <v>39</v>
      </c>
      <c r="M646" s="352" t="s">
        <v>6556</v>
      </c>
      <c r="N646" s="348" t="s">
        <v>39</v>
      </c>
      <c r="O646" s="348" t="s">
        <v>39</v>
      </c>
      <c r="P646" s="348" t="s">
        <v>29</v>
      </c>
      <c r="Q646" s="348" t="s">
        <v>39</v>
      </c>
    </row>
    <row r="647" ht="14.25" customHeight="1">
      <c r="A647" s="211">
        <v>51.0</v>
      </c>
      <c r="B647" s="322" t="s">
        <v>6557</v>
      </c>
      <c r="C647" s="322" t="s">
        <v>6558</v>
      </c>
      <c r="D647" s="314" t="s">
        <v>25</v>
      </c>
      <c r="E647" s="314" t="s">
        <v>6473</v>
      </c>
      <c r="F647" s="367"/>
      <c r="G647" s="318">
        <v>40.0</v>
      </c>
      <c r="H647" s="365">
        <v>4.0</v>
      </c>
      <c r="I647" s="319">
        <v>20.0</v>
      </c>
      <c r="J647" s="319">
        <v>1.0</v>
      </c>
      <c r="K647" s="319">
        <v>1.0</v>
      </c>
      <c r="L647" s="319" t="s">
        <v>39</v>
      </c>
      <c r="M647" s="314" t="s">
        <v>6559</v>
      </c>
      <c r="N647" s="319" t="s">
        <v>39</v>
      </c>
      <c r="O647" s="319" t="s">
        <v>39</v>
      </c>
      <c r="P647" s="319" t="s">
        <v>29</v>
      </c>
      <c r="Q647" s="319" t="s">
        <v>39</v>
      </c>
    </row>
    <row r="648" ht="14.25" customHeight="1">
      <c r="A648" s="211">
        <v>52.0</v>
      </c>
      <c r="B648" s="377" t="s">
        <v>1814</v>
      </c>
      <c r="C648" s="377" t="s">
        <v>6560</v>
      </c>
      <c r="D648" s="314" t="s">
        <v>25</v>
      </c>
      <c r="E648" s="314" t="s">
        <v>1303</v>
      </c>
      <c r="F648" s="378"/>
      <c r="G648" s="351">
        <v>180.0</v>
      </c>
      <c r="H648" s="365">
        <v>14.0</v>
      </c>
      <c r="I648" s="348">
        <v>72.0</v>
      </c>
      <c r="J648" s="348">
        <v>1.0</v>
      </c>
      <c r="K648" s="348">
        <v>1.0</v>
      </c>
      <c r="L648" s="348" t="s">
        <v>39</v>
      </c>
      <c r="M648" s="352" t="s">
        <v>6561</v>
      </c>
      <c r="N648" s="348" t="s">
        <v>39</v>
      </c>
      <c r="O648" s="348" t="s">
        <v>39</v>
      </c>
      <c r="P648" s="348" t="s">
        <v>29</v>
      </c>
      <c r="Q648" s="348" t="s">
        <v>39</v>
      </c>
    </row>
    <row r="649" ht="14.25" customHeight="1">
      <c r="A649" s="211">
        <v>53.0</v>
      </c>
      <c r="B649" s="322" t="s">
        <v>6562</v>
      </c>
      <c r="C649" s="322" t="s">
        <v>6563</v>
      </c>
      <c r="D649" s="314" t="s">
        <v>25</v>
      </c>
      <c r="E649" s="314" t="s">
        <v>1303</v>
      </c>
      <c r="F649" s="367"/>
      <c r="G649" s="318">
        <v>50.0</v>
      </c>
      <c r="H649" s="365">
        <v>3.0</v>
      </c>
      <c r="I649" s="319">
        <v>15.0</v>
      </c>
      <c r="J649" s="319">
        <v>1.0</v>
      </c>
      <c r="K649" s="319">
        <v>1.0</v>
      </c>
      <c r="L649" s="319" t="s">
        <v>39</v>
      </c>
      <c r="M649" s="314" t="s">
        <v>6564</v>
      </c>
      <c r="N649" s="319" t="s">
        <v>39</v>
      </c>
      <c r="O649" s="319" t="s">
        <v>39</v>
      </c>
      <c r="P649" s="319" t="s">
        <v>29</v>
      </c>
      <c r="Q649" s="319" t="s">
        <v>39</v>
      </c>
    </row>
    <row r="650" ht="14.25" customHeight="1">
      <c r="A650" s="211">
        <v>54.0</v>
      </c>
      <c r="B650" s="377" t="s">
        <v>6565</v>
      </c>
      <c r="C650" s="377" t="s">
        <v>6566</v>
      </c>
      <c r="D650" s="314" t="s">
        <v>25</v>
      </c>
      <c r="E650" s="314" t="s">
        <v>1303</v>
      </c>
      <c r="F650" s="378"/>
      <c r="G650" s="351">
        <v>140.0</v>
      </c>
      <c r="H650" s="365">
        <v>11.0</v>
      </c>
      <c r="I650" s="348">
        <v>56.0</v>
      </c>
      <c r="J650" s="348">
        <v>1.0</v>
      </c>
      <c r="K650" s="348">
        <v>1.0</v>
      </c>
      <c r="L650" s="348" t="s">
        <v>39</v>
      </c>
      <c r="M650" s="352" t="s">
        <v>6567</v>
      </c>
      <c r="N650" s="348" t="s">
        <v>39</v>
      </c>
      <c r="O650" s="348" t="s">
        <v>39</v>
      </c>
      <c r="P650" s="348" t="s">
        <v>29</v>
      </c>
      <c r="Q650" s="348" t="s">
        <v>39</v>
      </c>
    </row>
    <row r="651" ht="14.25" customHeight="1">
      <c r="A651" s="211">
        <v>55.0</v>
      </c>
      <c r="B651" s="322" t="s">
        <v>6568</v>
      </c>
      <c r="C651" s="322" t="s">
        <v>6569</v>
      </c>
      <c r="D651" s="314" t="s">
        <v>25</v>
      </c>
      <c r="E651" s="314" t="s">
        <v>1303</v>
      </c>
      <c r="F651" s="367"/>
      <c r="G651" s="318">
        <v>97.5</v>
      </c>
      <c r="H651" s="365">
        <v>7.0</v>
      </c>
      <c r="I651" s="319">
        <v>38.0</v>
      </c>
      <c r="J651" s="319">
        <v>1.0</v>
      </c>
      <c r="K651" s="319">
        <v>1.0</v>
      </c>
      <c r="L651" s="319" t="s">
        <v>39</v>
      </c>
      <c r="M651" s="314" t="s">
        <v>6570</v>
      </c>
      <c r="N651" s="319" t="s">
        <v>39</v>
      </c>
      <c r="O651" s="319" t="s">
        <v>39</v>
      </c>
      <c r="P651" s="319" t="s">
        <v>29</v>
      </c>
      <c r="Q651" s="319" t="s">
        <v>39</v>
      </c>
    </row>
    <row r="652" ht="14.25" customHeight="1">
      <c r="A652" s="211">
        <v>56.0</v>
      </c>
      <c r="B652" s="377" t="s">
        <v>6571</v>
      </c>
      <c r="C652" s="377" t="s">
        <v>6572</v>
      </c>
      <c r="D652" s="314" t="s">
        <v>25</v>
      </c>
      <c r="E652" s="314" t="s">
        <v>1303</v>
      </c>
      <c r="F652" s="378"/>
      <c r="G652" s="351">
        <v>100.0</v>
      </c>
      <c r="H652" s="365">
        <v>12.0</v>
      </c>
      <c r="I652" s="348">
        <v>60.0</v>
      </c>
      <c r="J652" s="348">
        <v>1.0</v>
      </c>
      <c r="K652" s="348">
        <v>1.0</v>
      </c>
      <c r="L652" s="348" t="s">
        <v>39</v>
      </c>
      <c r="M652" s="352" t="s">
        <v>6573</v>
      </c>
      <c r="N652" s="348" t="s">
        <v>39</v>
      </c>
      <c r="O652" s="348" t="s">
        <v>39</v>
      </c>
      <c r="P652" s="348" t="s">
        <v>29</v>
      </c>
      <c r="Q652" s="348" t="s">
        <v>39</v>
      </c>
    </row>
    <row r="653" ht="14.25" customHeight="1">
      <c r="A653" s="211">
        <v>57.0</v>
      </c>
      <c r="B653" s="322" t="s">
        <v>6574</v>
      </c>
      <c r="C653" s="322" t="s">
        <v>6510</v>
      </c>
      <c r="D653" s="314" t="s">
        <v>25</v>
      </c>
      <c r="E653" s="314" t="s">
        <v>1303</v>
      </c>
      <c r="F653" s="367"/>
      <c r="G653" s="318">
        <v>135.0</v>
      </c>
      <c r="H653" s="365">
        <v>10.0</v>
      </c>
      <c r="I653" s="319">
        <v>54.0</v>
      </c>
      <c r="J653" s="319">
        <v>1.0</v>
      </c>
      <c r="K653" s="319">
        <v>1.0</v>
      </c>
      <c r="L653" s="319" t="s">
        <v>39</v>
      </c>
      <c r="M653" s="314" t="s">
        <v>6531</v>
      </c>
      <c r="N653" s="319" t="s">
        <v>39</v>
      </c>
      <c r="O653" s="319" t="s">
        <v>39</v>
      </c>
      <c r="P653" s="319" t="s">
        <v>29</v>
      </c>
      <c r="Q653" s="319" t="s">
        <v>39</v>
      </c>
    </row>
    <row r="654" ht="14.25" customHeight="1">
      <c r="A654" s="211">
        <v>58.0</v>
      </c>
      <c r="B654" s="377" t="s">
        <v>6575</v>
      </c>
      <c r="C654" s="377" t="s">
        <v>6512</v>
      </c>
      <c r="D654" s="314" t="s">
        <v>25</v>
      </c>
      <c r="E654" s="314" t="s">
        <v>1303</v>
      </c>
      <c r="F654" s="378"/>
      <c r="G654" s="351">
        <v>114.0</v>
      </c>
      <c r="H654" s="365">
        <v>9.0</v>
      </c>
      <c r="I654" s="348">
        <v>45.0</v>
      </c>
      <c r="J654" s="348">
        <v>1.0</v>
      </c>
      <c r="K654" s="348">
        <v>1.0</v>
      </c>
      <c r="L654" s="348" t="s">
        <v>39</v>
      </c>
      <c r="M654" s="352" t="s">
        <v>6576</v>
      </c>
      <c r="N654" s="348" t="s">
        <v>39</v>
      </c>
      <c r="O654" s="348" t="s">
        <v>39</v>
      </c>
      <c r="P654" s="348" t="s">
        <v>29</v>
      </c>
      <c r="Q654" s="348" t="s">
        <v>39</v>
      </c>
    </row>
    <row r="655" ht="14.25" customHeight="1">
      <c r="A655" s="181"/>
      <c r="B655" s="339" t="s">
        <v>6577</v>
      </c>
      <c r="C655" s="311"/>
      <c r="D655" s="312"/>
      <c r="E655" s="312"/>
      <c r="F655" s="312"/>
      <c r="G655" s="312"/>
      <c r="H655" s="312"/>
      <c r="I655" s="312"/>
      <c r="J655" s="312"/>
      <c r="K655" s="312"/>
      <c r="L655" s="312"/>
      <c r="M655" s="313"/>
      <c r="N655" s="312"/>
      <c r="O655" s="312"/>
      <c r="P655" s="312"/>
      <c r="Q655" s="312"/>
    </row>
    <row r="656" ht="14.25" customHeight="1">
      <c r="A656" s="211">
        <v>1.0</v>
      </c>
      <c r="B656" s="377" t="s">
        <v>6578</v>
      </c>
      <c r="C656" s="377" t="s">
        <v>6579</v>
      </c>
      <c r="D656" s="380" t="s">
        <v>25</v>
      </c>
      <c r="E656" s="348" t="s">
        <v>57</v>
      </c>
      <c r="F656" s="378"/>
      <c r="G656" s="351">
        <v>300.0</v>
      </c>
      <c r="H656" s="365">
        <v>20.0</v>
      </c>
      <c r="I656" s="348">
        <v>100.0</v>
      </c>
      <c r="J656" s="348">
        <v>1.0</v>
      </c>
      <c r="K656" s="348">
        <v>1.0</v>
      </c>
      <c r="L656" s="348" t="s">
        <v>39</v>
      </c>
      <c r="M656" s="352" t="s">
        <v>6580</v>
      </c>
      <c r="N656" s="348" t="s">
        <v>4215</v>
      </c>
      <c r="O656" s="348" t="s">
        <v>39</v>
      </c>
      <c r="P656" s="348" t="s">
        <v>29</v>
      </c>
      <c r="Q656" s="348" t="s">
        <v>39</v>
      </c>
    </row>
    <row r="657" ht="14.25" customHeight="1">
      <c r="A657" s="211">
        <v>2.0</v>
      </c>
      <c r="B657" s="377" t="s">
        <v>6581</v>
      </c>
      <c r="C657" s="377" t="s">
        <v>6582</v>
      </c>
      <c r="D657" s="380" t="s">
        <v>25</v>
      </c>
      <c r="E657" s="348" t="s">
        <v>57</v>
      </c>
      <c r="F657" s="378"/>
      <c r="G657" s="351">
        <v>300.0</v>
      </c>
      <c r="H657" s="365">
        <v>20.0</v>
      </c>
      <c r="I657" s="348">
        <v>100.0</v>
      </c>
      <c r="J657" s="348">
        <v>1.0</v>
      </c>
      <c r="K657" s="348">
        <v>1.0</v>
      </c>
      <c r="L657" s="348" t="s">
        <v>39</v>
      </c>
      <c r="M657" s="352" t="s">
        <v>6580</v>
      </c>
      <c r="N657" s="348" t="s">
        <v>4215</v>
      </c>
      <c r="O657" s="348" t="s">
        <v>39</v>
      </c>
      <c r="P657" s="348" t="s">
        <v>29</v>
      </c>
      <c r="Q657" s="348" t="s">
        <v>39</v>
      </c>
    </row>
    <row r="658" ht="14.25" customHeight="1">
      <c r="A658" s="211">
        <v>3.0</v>
      </c>
      <c r="B658" s="377" t="s">
        <v>6583</v>
      </c>
      <c r="C658" s="377" t="s">
        <v>6584</v>
      </c>
      <c r="D658" s="380" t="s">
        <v>25</v>
      </c>
      <c r="E658" s="348" t="s">
        <v>57</v>
      </c>
      <c r="F658" s="378"/>
      <c r="G658" s="351">
        <v>90.0</v>
      </c>
      <c r="H658" s="365">
        <v>4.0</v>
      </c>
      <c r="I658" s="348">
        <v>24.0</v>
      </c>
      <c r="J658" s="348" t="s">
        <v>39</v>
      </c>
      <c r="K658" s="348" t="s">
        <v>39</v>
      </c>
      <c r="L658" s="348">
        <v>1.0</v>
      </c>
      <c r="M658" s="352" t="s">
        <v>6580</v>
      </c>
      <c r="N658" s="348" t="s">
        <v>4215</v>
      </c>
      <c r="O658" s="348" t="s">
        <v>39</v>
      </c>
      <c r="P658" s="348" t="s">
        <v>29</v>
      </c>
      <c r="Q658" s="348" t="s">
        <v>39</v>
      </c>
    </row>
    <row r="659" ht="14.25" customHeight="1">
      <c r="A659" s="211">
        <v>4.0</v>
      </c>
      <c r="B659" s="377" t="s">
        <v>6585</v>
      </c>
      <c r="C659" s="377" t="s">
        <v>6586</v>
      </c>
      <c r="D659" s="380" t="s">
        <v>25</v>
      </c>
      <c r="E659" s="348" t="s">
        <v>57</v>
      </c>
      <c r="F659" s="378"/>
      <c r="G659" s="351">
        <v>350.0</v>
      </c>
      <c r="H659" s="365">
        <v>20.0</v>
      </c>
      <c r="I659" s="348">
        <v>100.0</v>
      </c>
      <c r="J659" s="348" t="s">
        <v>39</v>
      </c>
      <c r="K659" s="348" t="s">
        <v>39</v>
      </c>
      <c r="L659" s="348">
        <v>1.0</v>
      </c>
      <c r="M659" s="352" t="s">
        <v>6580</v>
      </c>
      <c r="N659" s="348" t="s">
        <v>4215</v>
      </c>
      <c r="O659" s="348" t="s">
        <v>39</v>
      </c>
      <c r="P659" s="348" t="s">
        <v>29</v>
      </c>
      <c r="Q659" s="348" t="s">
        <v>39</v>
      </c>
    </row>
    <row r="660" ht="14.25" customHeight="1">
      <c r="A660" s="211">
        <v>5.0</v>
      </c>
      <c r="B660" s="377" t="s">
        <v>6587</v>
      </c>
      <c r="C660" s="377" t="s">
        <v>6586</v>
      </c>
      <c r="D660" s="380" t="s">
        <v>25</v>
      </c>
      <c r="E660" s="348" t="s">
        <v>57</v>
      </c>
      <c r="F660" s="378"/>
      <c r="G660" s="351">
        <v>875.0</v>
      </c>
      <c r="H660" s="365">
        <v>50.0</v>
      </c>
      <c r="I660" s="348">
        <v>250.0</v>
      </c>
      <c r="J660" s="348">
        <v>1.0</v>
      </c>
      <c r="K660" s="348">
        <v>1.0</v>
      </c>
      <c r="L660" s="348" t="s">
        <v>39</v>
      </c>
      <c r="M660" s="352" t="s">
        <v>6580</v>
      </c>
      <c r="N660" s="348" t="s">
        <v>4215</v>
      </c>
      <c r="O660" s="348" t="s">
        <v>39</v>
      </c>
      <c r="P660" s="348" t="s">
        <v>29</v>
      </c>
      <c r="Q660" s="348" t="s">
        <v>39</v>
      </c>
    </row>
    <row r="661" ht="14.25" customHeight="1">
      <c r="A661" s="211">
        <v>6.0</v>
      </c>
      <c r="B661" s="377" t="s">
        <v>6588</v>
      </c>
      <c r="C661" s="377" t="s">
        <v>6589</v>
      </c>
      <c r="D661" s="380" t="s">
        <v>25</v>
      </c>
      <c r="E661" s="348" t="s">
        <v>57</v>
      </c>
      <c r="F661" s="378"/>
      <c r="G661" s="351">
        <v>263.0</v>
      </c>
      <c r="H661" s="365">
        <v>15.0</v>
      </c>
      <c r="I661" s="348">
        <v>75.0</v>
      </c>
      <c r="J661" s="348">
        <v>2.0</v>
      </c>
      <c r="K661" s="348">
        <v>1.0</v>
      </c>
      <c r="L661" s="348" t="s">
        <v>39</v>
      </c>
      <c r="M661" s="352" t="s">
        <v>6580</v>
      </c>
      <c r="N661" s="348" t="s">
        <v>4215</v>
      </c>
      <c r="O661" s="348" t="s">
        <v>39</v>
      </c>
      <c r="P661" s="348" t="s">
        <v>29</v>
      </c>
      <c r="Q661" s="348" t="s">
        <v>39</v>
      </c>
    </row>
    <row r="662" ht="14.25" customHeight="1">
      <c r="A662" s="211">
        <v>7.0</v>
      </c>
      <c r="B662" s="377" t="s">
        <v>6590</v>
      </c>
      <c r="C662" s="377" t="s">
        <v>6591</v>
      </c>
      <c r="D662" s="380" t="s">
        <v>25</v>
      </c>
      <c r="E662" s="348" t="s">
        <v>57</v>
      </c>
      <c r="F662" s="378"/>
      <c r="G662" s="351">
        <v>329.0</v>
      </c>
      <c r="H662" s="365">
        <v>23.0</v>
      </c>
      <c r="I662" s="348">
        <v>94.0</v>
      </c>
      <c r="J662" s="348" t="s">
        <v>39</v>
      </c>
      <c r="K662" s="348" t="s">
        <v>39</v>
      </c>
      <c r="L662" s="348">
        <v>1.0</v>
      </c>
      <c r="M662" s="352" t="s">
        <v>6580</v>
      </c>
      <c r="N662" s="348" t="s">
        <v>4215</v>
      </c>
      <c r="O662" s="348" t="s">
        <v>39</v>
      </c>
      <c r="P662" s="348" t="s">
        <v>29</v>
      </c>
      <c r="Q662" s="348" t="s">
        <v>39</v>
      </c>
    </row>
    <row r="663" ht="14.25" customHeight="1">
      <c r="A663" s="211">
        <v>8.0</v>
      </c>
      <c r="B663" s="377" t="s">
        <v>6592</v>
      </c>
      <c r="C663" s="377" t="s">
        <v>6593</v>
      </c>
      <c r="D663" s="380" t="s">
        <v>25</v>
      </c>
      <c r="E663" s="348" t="s">
        <v>57</v>
      </c>
      <c r="F663" s="378"/>
      <c r="G663" s="351">
        <v>200.0</v>
      </c>
      <c r="H663" s="365">
        <v>15.0</v>
      </c>
      <c r="I663" s="348">
        <v>46.0</v>
      </c>
      <c r="J663" s="348" t="s">
        <v>39</v>
      </c>
      <c r="K663" s="348" t="s">
        <v>39</v>
      </c>
      <c r="L663" s="348">
        <v>1.0</v>
      </c>
      <c r="M663" s="352" t="s">
        <v>6580</v>
      </c>
      <c r="N663" s="348" t="s">
        <v>4215</v>
      </c>
      <c r="O663" s="348" t="s">
        <v>39</v>
      </c>
      <c r="P663" s="348" t="s">
        <v>29</v>
      </c>
      <c r="Q663" s="348" t="s">
        <v>39</v>
      </c>
    </row>
    <row r="664" ht="14.25" customHeight="1">
      <c r="A664" s="211">
        <v>9.0</v>
      </c>
      <c r="B664" s="377" t="s">
        <v>6594</v>
      </c>
      <c r="C664" s="377" t="s">
        <v>6595</v>
      </c>
      <c r="D664" s="380" t="s">
        <v>25</v>
      </c>
      <c r="E664" s="348" t="s">
        <v>57</v>
      </c>
      <c r="F664" s="378"/>
      <c r="G664" s="351">
        <v>300.0</v>
      </c>
      <c r="H664" s="365">
        <v>20.0</v>
      </c>
      <c r="I664" s="348">
        <v>67.0</v>
      </c>
      <c r="J664" s="348">
        <v>1.0</v>
      </c>
      <c r="K664" s="348">
        <v>1.0</v>
      </c>
      <c r="L664" s="348" t="s">
        <v>39</v>
      </c>
      <c r="M664" s="352" t="s">
        <v>6580</v>
      </c>
      <c r="N664" s="348" t="s">
        <v>4215</v>
      </c>
      <c r="O664" s="348" t="s">
        <v>39</v>
      </c>
      <c r="P664" s="348" t="s">
        <v>29</v>
      </c>
      <c r="Q664" s="348" t="s">
        <v>39</v>
      </c>
    </row>
    <row r="665" ht="14.25" customHeight="1">
      <c r="A665" s="211">
        <v>10.0</v>
      </c>
      <c r="B665" s="377" t="s">
        <v>6596</v>
      </c>
      <c r="C665" s="377" t="s">
        <v>6597</v>
      </c>
      <c r="D665" s="380" t="s">
        <v>25</v>
      </c>
      <c r="E665" s="348" t="s">
        <v>57</v>
      </c>
      <c r="F665" s="378"/>
      <c r="G665" s="351">
        <v>525.0</v>
      </c>
      <c r="H665" s="365">
        <v>30.0</v>
      </c>
      <c r="I665" s="348">
        <v>150.0</v>
      </c>
      <c r="J665" s="348" t="s">
        <v>39</v>
      </c>
      <c r="K665" s="348" t="s">
        <v>39</v>
      </c>
      <c r="L665" s="348">
        <v>2.0</v>
      </c>
      <c r="M665" s="352" t="s">
        <v>6580</v>
      </c>
      <c r="N665" s="348" t="s">
        <v>4215</v>
      </c>
      <c r="O665" s="348" t="s">
        <v>39</v>
      </c>
      <c r="P665" s="348" t="s">
        <v>29</v>
      </c>
      <c r="Q665" s="348" t="s">
        <v>39</v>
      </c>
    </row>
    <row r="666" ht="14.25" customHeight="1">
      <c r="A666" s="211">
        <v>11.0</v>
      </c>
      <c r="B666" s="377" t="s">
        <v>6598</v>
      </c>
      <c r="C666" s="377" t="s">
        <v>6599</v>
      </c>
      <c r="D666" s="380" t="s">
        <v>25</v>
      </c>
      <c r="E666" s="348" t="s">
        <v>57</v>
      </c>
      <c r="F666" s="378"/>
      <c r="G666" s="351">
        <v>700.0</v>
      </c>
      <c r="H666" s="365">
        <v>40.0</v>
      </c>
      <c r="I666" s="348">
        <v>200.0</v>
      </c>
      <c r="J666" s="348">
        <v>2.0</v>
      </c>
      <c r="K666" s="348">
        <v>1.0</v>
      </c>
      <c r="L666" s="348" t="s">
        <v>39</v>
      </c>
      <c r="M666" s="352" t="s">
        <v>6580</v>
      </c>
      <c r="N666" s="348" t="s">
        <v>4215</v>
      </c>
      <c r="O666" s="348" t="s">
        <v>39</v>
      </c>
      <c r="P666" s="348" t="s">
        <v>29</v>
      </c>
      <c r="Q666" s="348" t="s">
        <v>39</v>
      </c>
    </row>
    <row r="667" ht="14.25" customHeight="1">
      <c r="A667" s="211">
        <v>12.0</v>
      </c>
      <c r="B667" s="377" t="s">
        <v>6600</v>
      </c>
      <c r="C667" s="377" t="s">
        <v>6601</v>
      </c>
      <c r="D667" s="380" t="s">
        <v>25</v>
      </c>
      <c r="E667" s="348" t="s">
        <v>57</v>
      </c>
      <c r="F667" s="378"/>
      <c r="G667" s="351">
        <v>100.0</v>
      </c>
      <c r="H667" s="365">
        <v>4.0</v>
      </c>
      <c r="I667" s="348">
        <v>20.0</v>
      </c>
      <c r="J667" s="348" t="s">
        <v>39</v>
      </c>
      <c r="K667" s="348" t="s">
        <v>39</v>
      </c>
      <c r="L667" s="348">
        <v>1.0</v>
      </c>
      <c r="M667" s="352" t="s">
        <v>6580</v>
      </c>
      <c r="N667" s="348" t="s">
        <v>4215</v>
      </c>
      <c r="O667" s="348" t="s">
        <v>39</v>
      </c>
      <c r="P667" s="348" t="s">
        <v>29</v>
      </c>
      <c r="Q667" s="348" t="s">
        <v>39</v>
      </c>
    </row>
    <row r="668" ht="14.25" customHeight="1">
      <c r="A668" s="211">
        <v>13.0</v>
      </c>
      <c r="B668" s="377" t="s">
        <v>6602</v>
      </c>
      <c r="C668" s="377" t="s">
        <v>6603</v>
      </c>
      <c r="D668" s="380" t="s">
        <v>25</v>
      </c>
      <c r="E668" s="348" t="s">
        <v>57</v>
      </c>
      <c r="F668" s="378"/>
      <c r="G668" s="351">
        <v>700.0</v>
      </c>
      <c r="H668" s="365" t="s">
        <v>6604</v>
      </c>
      <c r="I668" s="348" t="s">
        <v>6605</v>
      </c>
      <c r="J668" s="348">
        <v>8.0</v>
      </c>
      <c r="K668" s="348">
        <v>1.0</v>
      </c>
      <c r="L668" s="348" t="s">
        <v>1257</v>
      </c>
      <c r="M668" s="352" t="s">
        <v>6580</v>
      </c>
      <c r="N668" s="348" t="s">
        <v>4215</v>
      </c>
      <c r="O668" s="348" t="s">
        <v>39</v>
      </c>
      <c r="P668" s="348" t="s">
        <v>29</v>
      </c>
      <c r="Q668" s="348" t="s">
        <v>39</v>
      </c>
    </row>
    <row r="669" ht="14.25" customHeight="1">
      <c r="A669" s="211">
        <v>14.0</v>
      </c>
      <c r="B669" s="377" t="s">
        <v>6606</v>
      </c>
      <c r="C669" s="377" t="s">
        <v>6607</v>
      </c>
      <c r="D669" s="380" t="s">
        <v>25</v>
      </c>
      <c r="E669" s="348" t="s">
        <v>57</v>
      </c>
      <c r="F669" s="378"/>
      <c r="G669" s="351">
        <v>3500.0</v>
      </c>
      <c r="H669" s="365">
        <v>200.0</v>
      </c>
      <c r="I669" s="348">
        <v>1000.0</v>
      </c>
      <c r="J669" s="348" t="s">
        <v>39</v>
      </c>
      <c r="K669" s="348" t="s">
        <v>39</v>
      </c>
      <c r="L669" s="348">
        <v>1.0</v>
      </c>
      <c r="M669" s="352" t="s">
        <v>6580</v>
      </c>
      <c r="N669" s="348" t="s">
        <v>4215</v>
      </c>
      <c r="O669" s="348" t="s">
        <v>39</v>
      </c>
      <c r="P669" s="348" t="s">
        <v>29</v>
      </c>
      <c r="Q669" s="348" t="s">
        <v>39</v>
      </c>
    </row>
    <row r="670" ht="14.25" customHeight="1">
      <c r="A670" s="211">
        <v>15.0</v>
      </c>
      <c r="B670" s="377" t="s">
        <v>6608</v>
      </c>
      <c r="C670" s="377" t="s">
        <v>6609</v>
      </c>
      <c r="D670" s="380" t="s">
        <v>25</v>
      </c>
      <c r="E670" s="348" t="s">
        <v>57</v>
      </c>
      <c r="F670" s="378"/>
      <c r="G670" s="351">
        <v>1750.0</v>
      </c>
      <c r="H670" s="365">
        <v>100.0</v>
      </c>
      <c r="I670" s="348">
        <v>500.0</v>
      </c>
      <c r="J670" s="348" t="s">
        <v>39</v>
      </c>
      <c r="K670" s="348" t="s">
        <v>39</v>
      </c>
      <c r="L670" s="348" t="s">
        <v>6610</v>
      </c>
      <c r="M670" s="352" t="s">
        <v>6580</v>
      </c>
      <c r="N670" s="348" t="s">
        <v>4215</v>
      </c>
      <c r="O670" s="348" t="s">
        <v>39</v>
      </c>
      <c r="P670" s="348" t="s">
        <v>29</v>
      </c>
      <c r="Q670" s="348" t="s">
        <v>39</v>
      </c>
    </row>
    <row r="671" ht="14.25" customHeight="1">
      <c r="A671" s="211">
        <v>16.0</v>
      </c>
      <c r="B671" s="377" t="s">
        <v>3490</v>
      </c>
      <c r="C671" s="377" t="s">
        <v>6611</v>
      </c>
      <c r="D671" s="380" t="s">
        <v>25</v>
      </c>
      <c r="E671" s="348" t="s">
        <v>57</v>
      </c>
      <c r="F671" s="378"/>
      <c r="G671" s="351">
        <v>20.0</v>
      </c>
      <c r="H671" s="365">
        <v>2.0</v>
      </c>
      <c r="I671" s="348">
        <v>6.0</v>
      </c>
      <c r="J671" s="348" t="s">
        <v>39</v>
      </c>
      <c r="K671" s="348" t="s">
        <v>39</v>
      </c>
      <c r="L671" s="348">
        <v>1.0</v>
      </c>
      <c r="M671" s="352" t="s">
        <v>6612</v>
      </c>
      <c r="N671" s="348" t="s">
        <v>27</v>
      </c>
      <c r="O671" s="348" t="s">
        <v>39</v>
      </c>
      <c r="P671" s="348" t="s">
        <v>29</v>
      </c>
      <c r="Q671" s="348" t="s">
        <v>39</v>
      </c>
    </row>
    <row r="672" ht="14.25" customHeight="1">
      <c r="A672" s="211">
        <v>17.0</v>
      </c>
      <c r="B672" s="377" t="s">
        <v>1273</v>
      </c>
      <c r="C672" s="377" t="s">
        <v>6611</v>
      </c>
      <c r="D672" s="380" t="s">
        <v>25</v>
      </c>
      <c r="E672" s="348" t="s">
        <v>57</v>
      </c>
      <c r="F672" s="378"/>
      <c r="G672" s="351">
        <v>200.0</v>
      </c>
      <c r="H672" s="365">
        <v>45580.0</v>
      </c>
      <c r="I672" s="348">
        <v>100.0</v>
      </c>
      <c r="J672" s="348">
        <v>1.0</v>
      </c>
      <c r="K672" s="348">
        <v>1.0</v>
      </c>
      <c r="L672" s="348" t="s">
        <v>39</v>
      </c>
      <c r="M672" s="352" t="s">
        <v>6612</v>
      </c>
      <c r="N672" s="348" t="s">
        <v>27</v>
      </c>
      <c r="O672" s="348" t="s">
        <v>39</v>
      </c>
      <c r="P672" s="348" t="s">
        <v>29</v>
      </c>
      <c r="Q672" s="348" t="s">
        <v>39</v>
      </c>
    </row>
    <row r="673" ht="14.25" customHeight="1">
      <c r="A673" s="211">
        <v>18.0</v>
      </c>
      <c r="B673" s="377" t="s">
        <v>6613</v>
      </c>
      <c r="C673" s="377" t="s">
        <v>6614</v>
      </c>
      <c r="D673" s="380" t="s">
        <v>25</v>
      </c>
      <c r="E673" s="348" t="s">
        <v>57</v>
      </c>
      <c r="F673" s="378"/>
      <c r="G673" s="351">
        <v>13.0</v>
      </c>
      <c r="H673" s="365">
        <v>6.0</v>
      </c>
      <c r="I673" s="348">
        <v>30.0</v>
      </c>
      <c r="J673" s="348" t="s">
        <v>39</v>
      </c>
      <c r="K673" s="348" t="s">
        <v>39</v>
      </c>
      <c r="L673" s="348">
        <v>2.0</v>
      </c>
      <c r="M673" s="352" t="s">
        <v>6612</v>
      </c>
      <c r="N673" s="348" t="s">
        <v>4215</v>
      </c>
      <c r="O673" s="348" t="s">
        <v>39</v>
      </c>
      <c r="P673" s="348" t="s">
        <v>29</v>
      </c>
      <c r="Q673" s="348" t="s">
        <v>39</v>
      </c>
    </row>
    <row r="674" ht="14.25" customHeight="1">
      <c r="A674" s="211">
        <v>19.0</v>
      </c>
      <c r="B674" s="377" t="s">
        <v>6615</v>
      </c>
      <c r="C674" s="377" t="s">
        <v>6616</v>
      </c>
      <c r="D674" s="380" t="s">
        <v>25</v>
      </c>
      <c r="E674" s="348" t="s">
        <v>57</v>
      </c>
      <c r="F674" s="378"/>
      <c r="G674" s="351">
        <v>150.0</v>
      </c>
      <c r="H674" s="365">
        <v>10.0</v>
      </c>
      <c r="I674" s="348">
        <v>50.0</v>
      </c>
      <c r="J674" s="348" t="s">
        <v>39</v>
      </c>
      <c r="K674" s="348" t="s">
        <v>39</v>
      </c>
      <c r="L674" s="348">
        <v>3.0</v>
      </c>
      <c r="M674" s="352" t="s">
        <v>6612</v>
      </c>
      <c r="N674" s="348" t="s">
        <v>27</v>
      </c>
      <c r="O674" s="348" t="s">
        <v>39</v>
      </c>
      <c r="P674" s="348" t="s">
        <v>29</v>
      </c>
      <c r="Q674" s="348" t="s">
        <v>39</v>
      </c>
    </row>
    <row r="675" ht="14.25" customHeight="1">
      <c r="A675" s="211">
        <v>20.0</v>
      </c>
      <c r="B675" s="377" t="s">
        <v>6617</v>
      </c>
      <c r="C675" s="377" t="s">
        <v>6618</v>
      </c>
      <c r="D675" s="380" t="s">
        <v>25</v>
      </c>
      <c r="E675" s="348" t="s">
        <v>57</v>
      </c>
      <c r="F675" s="378"/>
      <c r="G675" s="351">
        <v>20.0</v>
      </c>
      <c r="H675" s="365">
        <v>5.0</v>
      </c>
      <c r="I675" s="348">
        <v>25.0</v>
      </c>
      <c r="J675" s="348" t="s">
        <v>39</v>
      </c>
      <c r="K675" s="348" t="s">
        <v>39</v>
      </c>
      <c r="L675" s="348">
        <v>1.0</v>
      </c>
      <c r="M675" s="352" t="s">
        <v>6612</v>
      </c>
      <c r="N675" s="348" t="s">
        <v>27</v>
      </c>
      <c r="O675" s="348" t="s">
        <v>39</v>
      </c>
      <c r="P675" s="348" t="s">
        <v>29</v>
      </c>
      <c r="Q675" s="348" t="s">
        <v>39</v>
      </c>
    </row>
    <row r="676" ht="14.25" customHeight="1">
      <c r="A676" s="211">
        <v>21.0</v>
      </c>
      <c r="B676" s="377" t="s">
        <v>6619</v>
      </c>
      <c r="C676" s="377" t="s">
        <v>6620</v>
      </c>
      <c r="D676" s="380" t="s">
        <v>25</v>
      </c>
      <c r="E676" s="348" t="s">
        <v>57</v>
      </c>
      <c r="F676" s="378"/>
      <c r="G676" s="351">
        <v>55.0</v>
      </c>
      <c r="H676" s="365">
        <v>10.0</v>
      </c>
      <c r="I676" s="348">
        <v>20.0</v>
      </c>
      <c r="J676" s="348" t="s">
        <v>39</v>
      </c>
      <c r="K676" s="348" t="s">
        <v>39</v>
      </c>
      <c r="L676" s="348">
        <v>1.0</v>
      </c>
      <c r="M676" s="352" t="s">
        <v>6612</v>
      </c>
      <c r="N676" s="348" t="s">
        <v>27</v>
      </c>
      <c r="O676" s="348" t="s">
        <v>39</v>
      </c>
      <c r="P676" s="348" t="s">
        <v>29</v>
      </c>
      <c r="Q676" s="348" t="s">
        <v>39</v>
      </c>
    </row>
    <row r="677" ht="14.25" customHeight="1">
      <c r="A677" s="211">
        <v>22.0</v>
      </c>
      <c r="B677" s="377" t="s">
        <v>6617</v>
      </c>
      <c r="C677" s="377" t="s">
        <v>6621</v>
      </c>
      <c r="D677" s="380" t="s">
        <v>25</v>
      </c>
      <c r="E677" s="348" t="s">
        <v>57</v>
      </c>
      <c r="F677" s="378"/>
      <c r="G677" s="351">
        <v>300.0</v>
      </c>
      <c r="H677" s="365">
        <v>30.0</v>
      </c>
      <c r="I677" s="348">
        <v>100.0</v>
      </c>
      <c r="J677" s="348">
        <v>1.0</v>
      </c>
      <c r="K677" s="348">
        <v>1.0</v>
      </c>
      <c r="L677" s="348" t="s">
        <v>39</v>
      </c>
      <c r="M677" s="352" t="s">
        <v>6612</v>
      </c>
      <c r="N677" s="348" t="s">
        <v>27</v>
      </c>
      <c r="O677" s="348" t="s">
        <v>39</v>
      </c>
      <c r="P677" s="348" t="s">
        <v>29</v>
      </c>
      <c r="Q677" s="348" t="s">
        <v>39</v>
      </c>
    </row>
    <row r="678" ht="14.25" customHeight="1">
      <c r="A678" s="211">
        <v>23.0</v>
      </c>
      <c r="B678" s="377" t="s">
        <v>6622</v>
      </c>
      <c r="C678" s="377" t="s">
        <v>6623</v>
      </c>
      <c r="D678" s="380" t="s">
        <v>25</v>
      </c>
      <c r="E678" s="348" t="s">
        <v>57</v>
      </c>
      <c r="F678" s="378"/>
      <c r="G678" s="351">
        <v>564.0</v>
      </c>
      <c r="H678" s="365">
        <v>40.0</v>
      </c>
      <c r="I678" s="348">
        <v>150.0</v>
      </c>
      <c r="J678" s="348" t="s">
        <v>39</v>
      </c>
      <c r="K678" s="348" t="s">
        <v>39</v>
      </c>
      <c r="L678" s="348">
        <v>1.0</v>
      </c>
      <c r="M678" s="352" t="s">
        <v>172</v>
      </c>
      <c r="N678" s="348" t="s">
        <v>27</v>
      </c>
      <c r="O678" s="348" t="s">
        <v>39</v>
      </c>
      <c r="P678" s="348" t="s">
        <v>29</v>
      </c>
      <c r="Q678" s="348" t="s">
        <v>39</v>
      </c>
    </row>
    <row r="679" ht="14.25" customHeight="1">
      <c r="A679" s="211">
        <v>24.0</v>
      </c>
      <c r="B679" s="377" t="s">
        <v>6624</v>
      </c>
      <c r="C679" s="377" t="s">
        <v>6623</v>
      </c>
      <c r="D679" s="380" t="s">
        <v>25</v>
      </c>
      <c r="E679" s="348" t="s">
        <v>57</v>
      </c>
      <c r="F679" s="378"/>
      <c r="G679" s="351">
        <v>125.0</v>
      </c>
      <c r="H679" s="365">
        <v>5.0</v>
      </c>
      <c r="I679" s="348">
        <v>15.0</v>
      </c>
      <c r="J679" s="348" t="s">
        <v>39</v>
      </c>
      <c r="K679" s="348" t="s">
        <v>39</v>
      </c>
      <c r="L679" s="348">
        <v>1.0</v>
      </c>
      <c r="M679" s="352" t="s">
        <v>172</v>
      </c>
      <c r="N679" s="348" t="s">
        <v>27</v>
      </c>
      <c r="O679" s="348" t="s">
        <v>39</v>
      </c>
      <c r="P679" s="348" t="s">
        <v>29</v>
      </c>
      <c r="Q679" s="348" t="s">
        <v>39</v>
      </c>
    </row>
    <row r="680" ht="14.25" customHeight="1">
      <c r="A680" s="211">
        <v>25.0</v>
      </c>
      <c r="B680" s="377" t="s">
        <v>6625</v>
      </c>
      <c r="C680" s="377" t="s">
        <v>6623</v>
      </c>
      <c r="D680" s="380" t="s">
        <v>25</v>
      </c>
      <c r="E680" s="348" t="s">
        <v>57</v>
      </c>
      <c r="F680" s="378"/>
      <c r="G680" s="381">
        <v>40.0</v>
      </c>
      <c r="H680" s="382">
        <v>5.0</v>
      </c>
      <c r="I680" s="383">
        <v>15.0</v>
      </c>
      <c r="J680" s="348" t="s">
        <v>39</v>
      </c>
      <c r="K680" s="348" t="s">
        <v>39</v>
      </c>
      <c r="L680" s="383" t="s">
        <v>1137</v>
      </c>
      <c r="M680" s="352" t="s">
        <v>6612</v>
      </c>
      <c r="N680" s="348" t="s">
        <v>27</v>
      </c>
      <c r="O680" s="348" t="s">
        <v>39</v>
      </c>
      <c r="P680" s="348" t="s">
        <v>29</v>
      </c>
      <c r="Q680" s="348" t="s">
        <v>39</v>
      </c>
    </row>
    <row r="681" ht="14.25" customHeight="1">
      <c r="A681" s="211">
        <v>26.0</v>
      </c>
      <c r="B681" s="377" t="s">
        <v>6626</v>
      </c>
      <c r="C681" s="377" t="s">
        <v>6627</v>
      </c>
      <c r="D681" s="380" t="s">
        <v>25</v>
      </c>
      <c r="E681" s="348" t="s">
        <v>57</v>
      </c>
      <c r="F681" s="378"/>
      <c r="G681" s="351" t="s">
        <v>6628</v>
      </c>
      <c r="H681" s="365">
        <v>30.0</v>
      </c>
      <c r="I681" s="348">
        <v>100.0</v>
      </c>
      <c r="J681" s="348" t="s">
        <v>39</v>
      </c>
      <c r="K681" s="348" t="s">
        <v>39</v>
      </c>
      <c r="L681" s="348">
        <v>1.0</v>
      </c>
      <c r="M681" s="352" t="s">
        <v>6612</v>
      </c>
      <c r="N681" s="348" t="s">
        <v>172</v>
      </c>
      <c r="O681" s="348" t="s">
        <v>39</v>
      </c>
      <c r="P681" s="348" t="s">
        <v>29</v>
      </c>
      <c r="Q681" s="348" t="s">
        <v>39</v>
      </c>
    </row>
    <row r="682" ht="14.25" customHeight="1">
      <c r="A682" s="211">
        <v>27.0</v>
      </c>
      <c r="B682" s="377" t="s">
        <v>6622</v>
      </c>
      <c r="C682" s="377" t="s">
        <v>6629</v>
      </c>
      <c r="D682" s="380" t="s">
        <v>25</v>
      </c>
      <c r="E682" s="348" t="s">
        <v>57</v>
      </c>
      <c r="F682" s="378"/>
      <c r="G682" s="351">
        <v>45.0</v>
      </c>
      <c r="H682" s="365">
        <v>3.0</v>
      </c>
      <c r="I682" s="348">
        <v>10.0</v>
      </c>
      <c r="J682" s="348" t="s">
        <v>39</v>
      </c>
      <c r="K682" s="348" t="s">
        <v>39</v>
      </c>
      <c r="L682" s="348">
        <v>1.0</v>
      </c>
      <c r="M682" s="352" t="s">
        <v>401</v>
      </c>
      <c r="N682" s="348" t="s">
        <v>401</v>
      </c>
      <c r="O682" s="348" t="s">
        <v>39</v>
      </c>
      <c r="P682" s="348" t="s">
        <v>29</v>
      </c>
      <c r="Q682" s="348" t="s">
        <v>39</v>
      </c>
    </row>
    <row r="683" ht="14.25" customHeight="1">
      <c r="A683" s="211">
        <v>28.0</v>
      </c>
      <c r="B683" s="377" t="s">
        <v>1273</v>
      </c>
      <c r="C683" s="377" t="s">
        <v>6629</v>
      </c>
      <c r="D683" s="380" t="s">
        <v>25</v>
      </c>
      <c r="E683" s="348" t="s">
        <v>57</v>
      </c>
      <c r="F683" s="378"/>
      <c r="G683" s="351">
        <v>200.0</v>
      </c>
      <c r="H683" s="365">
        <v>25.0</v>
      </c>
      <c r="I683" s="348">
        <v>100.0</v>
      </c>
      <c r="J683" s="348" t="s">
        <v>39</v>
      </c>
      <c r="K683" s="348" t="s">
        <v>39</v>
      </c>
      <c r="L683" s="348">
        <v>1.0</v>
      </c>
      <c r="M683" s="352" t="s">
        <v>27</v>
      </c>
      <c r="N683" s="348" t="s">
        <v>401</v>
      </c>
      <c r="O683" s="348" t="s">
        <v>39</v>
      </c>
      <c r="P683" s="348" t="s">
        <v>29</v>
      </c>
      <c r="Q683" s="348" t="s">
        <v>39</v>
      </c>
    </row>
    <row r="684" ht="14.25" customHeight="1">
      <c r="A684" s="211">
        <v>29.0</v>
      </c>
      <c r="B684" s="377" t="s">
        <v>6622</v>
      </c>
      <c r="C684" s="377" t="s">
        <v>6630</v>
      </c>
      <c r="D684" s="380" t="s">
        <v>25</v>
      </c>
      <c r="E684" s="348" t="s">
        <v>57</v>
      </c>
      <c r="F684" s="378"/>
      <c r="G684" s="351">
        <v>200.0</v>
      </c>
      <c r="H684" s="365">
        <v>20.0</v>
      </c>
      <c r="I684" s="348">
        <v>100.0</v>
      </c>
      <c r="J684" s="348">
        <v>1.0</v>
      </c>
      <c r="K684" s="348">
        <v>1.0</v>
      </c>
      <c r="L684" s="348" t="s">
        <v>39</v>
      </c>
      <c r="M684" s="352" t="s">
        <v>27</v>
      </c>
      <c r="N684" s="348" t="s">
        <v>401</v>
      </c>
      <c r="O684" s="348" t="s">
        <v>39</v>
      </c>
      <c r="P684" s="348" t="s">
        <v>29</v>
      </c>
      <c r="Q684" s="348" t="s">
        <v>39</v>
      </c>
    </row>
    <row r="685" ht="14.25" customHeight="1">
      <c r="A685" s="211">
        <v>30.0</v>
      </c>
      <c r="B685" s="377" t="s">
        <v>1273</v>
      </c>
      <c r="C685" s="377" t="s">
        <v>6630</v>
      </c>
      <c r="D685" s="380" t="s">
        <v>25</v>
      </c>
      <c r="E685" s="348" t="s">
        <v>57</v>
      </c>
      <c r="F685" s="378"/>
      <c r="G685" s="351">
        <v>300.0</v>
      </c>
      <c r="H685" s="365">
        <v>305.0</v>
      </c>
      <c r="I685" s="348">
        <v>500.0</v>
      </c>
      <c r="J685" s="348">
        <v>1.0</v>
      </c>
      <c r="K685" s="348">
        <v>1.0</v>
      </c>
      <c r="L685" s="348" t="s">
        <v>39</v>
      </c>
      <c r="M685" s="352" t="s">
        <v>6612</v>
      </c>
      <c r="N685" s="348" t="s">
        <v>401</v>
      </c>
      <c r="O685" s="348" t="s">
        <v>39</v>
      </c>
      <c r="P685" s="348" t="s">
        <v>29</v>
      </c>
      <c r="Q685" s="348" t="s">
        <v>39</v>
      </c>
    </row>
    <row r="686" ht="14.25" customHeight="1">
      <c r="A686" s="211">
        <v>31.0</v>
      </c>
      <c r="B686" s="377" t="s">
        <v>6631</v>
      </c>
      <c r="C686" s="377" t="s">
        <v>6632</v>
      </c>
      <c r="D686" s="380" t="s">
        <v>25</v>
      </c>
      <c r="E686" s="348" t="s">
        <v>57</v>
      </c>
      <c r="F686" s="378"/>
      <c r="G686" s="351" t="s">
        <v>6633</v>
      </c>
      <c r="H686" s="365">
        <v>4.0</v>
      </c>
      <c r="I686" s="348">
        <v>20.0</v>
      </c>
      <c r="J686" s="348" t="s">
        <v>39</v>
      </c>
      <c r="K686" s="348" t="s">
        <v>39</v>
      </c>
      <c r="L686" s="348">
        <v>1.0</v>
      </c>
      <c r="M686" s="352" t="s">
        <v>6612</v>
      </c>
      <c r="N686" s="348" t="s">
        <v>27</v>
      </c>
      <c r="O686" s="348" t="s">
        <v>39</v>
      </c>
      <c r="P686" s="348" t="s">
        <v>29</v>
      </c>
      <c r="Q686" s="348" t="s">
        <v>39</v>
      </c>
    </row>
    <row r="687" ht="14.25" customHeight="1">
      <c r="A687" s="211">
        <v>32.0</v>
      </c>
      <c r="B687" s="377" t="s">
        <v>6634</v>
      </c>
      <c r="C687" s="377" t="s">
        <v>6632</v>
      </c>
      <c r="D687" s="380" t="s">
        <v>25</v>
      </c>
      <c r="E687" s="348" t="s">
        <v>57</v>
      </c>
      <c r="F687" s="378"/>
      <c r="G687" s="351">
        <v>24.15</v>
      </c>
      <c r="H687" s="365">
        <v>4.0</v>
      </c>
      <c r="I687" s="348">
        <v>15.0</v>
      </c>
      <c r="J687" s="348" t="s">
        <v>39</v>
      </c>
      <c r="K687" s="348" t="s">
        <v>39</v>
      </c>
      <c r="L687" s="348">
        <v>2.0</v>
      </c>
      <c r="M687" s="352" t="s">
        <v>6612</v>
      </c>
      <c r="N687" s="348" t="s">
        <v>27</v>
      </c>
      <c r="O687" s="348" t="s">
        <v>39</v>
      </c>
      <c r="P687" s="348" t="s">
        <v>29</v>
      </c>
      <c r="Q687" s="348" t="s">
        <v>39</v>
      </c>
    </row>
    <row r="688" ht="14.25" customHeight="1">
      <c r="A688" s="211">
        <v>33.0</v>
      </c>
      <c r="B688" s="377" t="s">
        <v>6635</v>
      </c>
      <c r="C688" s="377" t="s">
        <v>6632</v>
      </c>
      <c r="D688" s="380" t="s">
        <v>25</v>
      </c>
      <c r="E688" s="348" t="s">
        <v>57</v>
      </c>
      <c r="F688" s="378"/>
      <c r="G688" s="351">
        <v>50.0</v>
      </c>
      <c r="H688" s="365">
        <v>4.0</v>
      </c>
      <c r="I688" s="348">
        <v>20.0</v>
      </c>
      <c r="J688" s="348" t="s">
        <v>39</v>
      </c>
      <c r="K688" s="348" t="s">
        <v>39</v>
      </c>
      <c r="L688" s="348">
        <v>1.0</v>
      </c>
      <c r="M688" s="352" t="s">
        <v>6612</v>
      </c>
      <c r="N688" s="348" t="s">
        <v>27</v>
      </c>
      <c r="O688" s="348" t="s">
        <v>39</v>
      </c>
      <c r="P688" s="348" t="s">
        <v>29</v>
      </c>
      <c r="Q688" s="348" t="s">
        <v>39</v>
      </c>
    </row>
    <row r="689" ht="14.25" customHeight="1">
      <c r="A689" s="211">
        <v>34.0</v>
      </c>
      <c r="B689" s="377" t="s">
        <v>3490</v>
      </c>
      <c r="C689" s="377" t="s">
        <v>6636</v>
      </c>
      <c r="D689" s="380" t="s">
        <v>25</v>
      </c>
      <c r="E689" s="348" t="s">
        <v>57</v>
      </c>
      <c r="F689" s="378"/>
      <c r="G689" s="351">
        <v>150.0</v>
      </c>
      <c r="H689" s="365">
        <v>10.0</v>
      </c>
      <c r="I689" s="348">
        <v>30.0</v>
      </c>
      <c r="J689" s="348" t="s">
        <v>39</v>
      </c>
      <c r="K689" s="348" t="s">
        <v>39</v>
      </c>
      <c r="L689" s="348">
        <v>1.0</v>
      </c>
      <c r="M689" s="352" t="s">
        <v>6612</v>
      </c>
      <c r="N689" s="348" t="s">
        <v>27</v>
      </c>
      <c r="O689" s="348" t="s">
        <v>39</v>
      </c>
      <c r="P689" s="348" t="s">
        <v>29</v>
      </c>
      <c r="Q689" s="348" t="s">
        <v>39</v>
      </c>
    </row>
    <row r="690" ht="14.25" customHeight="1">
      <c r="A690" s="211">
        <v>35.0</v>
      </c>
      <c r="B690" s="377" t="s">
        <v>6637</v>
      </c>
      <c r="C690" s="377" t="s">
        <v>6636</v>
      </c>
      <c r="D690" s="380" t="s">
        <v>25</v>
      </c>
      <c r="E690" s="348" t="s">
        <v>57</v>
      </c>
      <c r="F690" s="378"/>
      <c r="G690" s="351">
        <v>263.0</v>
      </c>
      <c r="H690" s="365">
        <v>15.0</v>
      </c>
      <c r="I690" s="348">
        <v>75.0</v>
      </c>
      <c r="J690" s="348">
        <v>2.0</v>
      </c>
      <c r="K690" s="348">
        <v>1.0</v>
      </c>
      <c r="L690" s="348" t="s">
        <v>39</v>
      </c>
      <c r="M690" s="352" t="s">
        <v>6612</v>
      </c>
      <c r="N690" s="348" t="s">
        <v>27</v>
      </c>
      <c r="O690" s="348" t="s">
        <v>39</v>
      </c>
      <c r="P690" s="348" t="s">
        <v>29</v>
      </c>
      <c r="Q690" s="348" t="s">
        <v>39</v>
      </c>
    </row>
    <row r="691" ht="14.25" customHeight="1">
      <c r="A691" s="211">
        <v>36.0</v>
      </c>
      <c r="B691" s="377" t="s">
        <v>2781</v>
      </c>
      <c r="C691" s="377" t="s">
        <v>6636</v>
      </c>
      <c r="D691" s="380" t="s">
        <v>25</v>
      </c>
      <c r="E691" s="348" t="s">
        <v>57</v>
      </c>
      <c r="F691" s="378"/>
      <c r="G691" s="351">
        <v>300.0</v>
      </c>
      <c r="H691" s="365">
        <v>50.0</v>
      </c>
      <c r="I691" s="348">
        <v>400.0</v>
      </c>
      <c r="J691" s="348">
        <v>1.0</v>
      </c>
      <c r="K691" s="348">
        <v>1.0</v>
      </c>
      <c r="L691" s="348" t="s">
        <v>39</v>
      </c>
      <c r="M691" s="352" t="s">
        <v>6612</v>
      </c>
      <c r="N691" s="348" t="s">
        <v>27</v>
      </c>
      <c r="O691" s="348" t="s">
        <v>39</v>
      </c>
      <c r="P691" s="348" t="s">
        <v>29</v>
      </c>
      <c r="Q691" s="348" t="s">
        <v>39</v>
      </c>
    </row>
    <row r="692" ht="14.25" customHeight="1">
      <c r="A692" s="211">
        <v>37.0</v>
      </c>
      <c r="B692" s="377" t="s">
        <v>6638</v>
      </c>
      <c r="C692" s="377" t="s">
        <v>6639</v>
      </c>
      <c r="D692" s="380" t="s">
        <v>25</v>
      </c>
      <c r="E692" s="348" t="s">
        <v>57</v>
      </c>
      <c r="F692" s="378"/>
      <c r="G692" s="351">
        <v>100.0</v>
      </c>
      <c r="H692" s="365">
        <v>20.0</v>
      </c>
      <c r="I692" s="348">
        <v>50.0</v>
      </c>
      <c r="J692" s="348" t="s">
        <v>39</v>
      </c>
      <c r="K692" s="348" t="s">
        <v>39</v>
      </c>
      <c r="L692" s="348">
        <v>1.0</v>
      </c>
      <c r="M692" s="352" t="s">
        <v>6612</v>
      </c>
      <c r="N692" s="348" t="s">
        <v>27</v>
      </c>
      <c r="O692" s="348" t="s">
        <v>39</v>
      </c>
      <c r="P692" s="348" t="s">
        <v>29</v>
      </c>
      <c r="Q692" s="348" t="s">
        <v>39</v>
      </c>
    </row>
    <row r="693" ht="14.25" customHeight="1">
      <c r="A693" s="211">
        <v>38.0</v>
      </c>
      <c r="B693" s="377" t="s">
        <v>2781</v>
      </c>
      <c r="C693" s="377" t="s">
        <v>6640</v>
      </c>
      <c r="D693" s="380" t="s">
        <v>25</v>
      </c>
      <c r="E693" s="348" t="s">
        <v>57</v>
      </c>
      <c r="F693" s="378"/>
      <c r="G693" s="351">
        <v>195.0</v>
      </c>
      <c r="H693" s="365">
        <v>30.0</v>
      </c>
      <c r="I693" s="348">
        <v>80.0</v>
      </c>
      <c r="J693" s="348">
        <v>1.0</v>
      </c>
      <c r="K693" s="348">
        <v>1.0</v>
      </c>
      <c r="L693" s="348" t="s">
        <v>39</v>
      </c>
      <c r="M693" s="352" t="s">
        <v>6612</v>
      </c>
      <c r="N693" s="348" t="s">
        <v>27</v>
      </c>
      <c r="O693" s="348" t="s">
        <v>39</v>
      </c>
      <c r="P693" s="348" t="s">
        <v>29</v>
      </c>
      <c r="Q693" s="348" t="s">
        <v>39</v>
      </c>
    </row>
    <row r="694" ht="14.25" customHeight="1">
      <c r="A694" s="211">
        <v>39.0</v>
      </c>
      <c r="B694" s="377" t="s">
        <v>6638</v>
      </c>
      <c r="C694" s="377" t="s">
        <v>6640</v>
      </c>
      <c r="D694" s="380" t="s">
        <v>25</v>
      </c>
      <c r="E694" s="348" t="s">
        <v>57</v>
      </c>
      <c r="F694" s="378"/>
      <c r="G694" s="351">
        <v>25.0</v>
      </c>
      <c r="H694" s="365">
        <v>8.0</v>
      </c>
      <c r="I694" s="348">
        <v>25.0</v>
      </c>
      <c r="J694" s="348" t="s">
        <v>39</v>
      </c>
      <c r="K694" s="348" t="s">
        <v>39</v>
      </c>
      <c r="L694" s="348">
        <v>1.0</v>
      </c>
      <c r="M694" s="352" t="s">
        <v>6612</v>
      </c>
      <c r="N694" s="348" t="s">
        <v>27</v>
      </c>
      <c r="O694" s="348" t="s">
        <v>39</v>
      </c>
      <c r="P694" s="348" t="s">
        <v>29</v>
      </c>
      <c r="Q694" s="348" t="s">
        <v>39</v>
      </c>
    </row>
    <row r="695" ht="14.25" customHeight="1">
      <c r="A695" s="211">
        <v>40.0</v>
      </c>
      <c r="B695" s="377" t="s">
        <v>6641</v>
      </c>
      <c r="C695" s="377" t="s">
        <v>6642</v>
      </c>
      <c r="D695" s="380" t="s">
        <v>25</v>
      </c>
      <c r="E695" s="348" t="s">
        <v>57</v>
      </c>
      <c r="F695" s="378"/>
      <c r="G695" s="351">
        <v>24.0</v>
      </c>
      <c r="H695" s="365">
        <v>3.0</v>
      </c>
      <c r="I695" s="348">
        <v>10.0</v>
      </c>
      <c r="J695" s="348" t="s">
        <v>39</v>
      </c>
      <c r="K695" s="348" t="s">
        <v>39</v>
      </c>
      <c r="L695" s="348">
        <v>1.0</v>
      </c>
      <c r="M695" s="352" t="s">
        <v>6612</v>
      </c>
      <c r="N695" s="348" t="s">
        <v>27</v>
      </c>
      <c r="O695" s="348" t="s">
        <v>39</v>
      </c>
      <c r="P695" s="348" t="s">
        <v>29</v>
      </c>
      <c r="Q695" s="348" t="s">
        <v>39</v>
      </c>
    </row>
    <row r="696" ht="14.25" customHeight="1">
      <c r="A696" s="211">
        <v>41.0</v>
      </c>
      <c r="B696" s="377" t="s">
        <v>6643</v>
      </c>
      <c r="C696" s="377" t="s">
        <v>6642</v>
      </c>
      <c r="D696" s="380" t="s">
        <v>25</v>
      </c>
      <c r="E696" s="348" t="s">
        <v>57</v>
      </c>
      <c r="F696" s="378"/>
      <c r="G696" s="351">
        <v>50.0</v>
      </c>
      <c r="H696" s="365">
        <v>5.0</v>
      </c>
      <c r="I696" s="348">
        <v>20.0</v>
      </c>
      <c r="J696" s="348">
        <v>1.0</v>
      </c>
      <c r="K696" s="348">
        <v>1.0</v>
      </c>
      <c r="L696" s="348" t="s">
        <v>39</v>
      </c>
      <c r="M696" s="352" t="s">
        <v>6612</v>
      </c>
      <c r="N696" s="348" t="s">
        <v>27</v>
      </c>
      <c r="O696" s="348" t="s">
        <v>39</v>
      </c>
      <c r="P696" s="348" t="s">
        <v>29</v>
      </c>
      <c r="Q696" s="348" t="s">
        <v>39</v>
      </c>
    </row>
    <row r="697" ht="14.25" customHeight="1">
      <c r="A697" s="211">
        <v>42.0</v>
      </c>
      <c r="B697" s="377" t="s">
        <v>6644</v>
      </c>
      <c r="C697" s="377" t="s">
        <v>6642</v>
      </c>
      <c r="D697" s="380" t="s">
        <v>25</v>
      </c>
      <c r="E697" s="348" t="s">
        <v>57</v>
      </c>
      <c r="F697" s="378"/>
      <c r="G697" s="351">
        <v>16.0</v>
      </c>
      <c r="H697" s="365">
        <v>1.0</v>
      </c>
      <c r="I697" s="348">
        <v>5.0</v>
      </c>
      <c r="J697" s="348" t="s">
        <v>39</v>
      </c>
      <c r="K697" s="348" t="s">
        <v>39</v>
      </c>
      <c r="L697" s="348">
        <v>1.0</v>
      </c>
      <c r="M697" s="352" t="s">
        <v>6612</v>
      </c>
      <c r="N697" s="348" t="s">
        <v>27</v>
      </c>
      <c r="O697" s="348" t="s">
        <v>39</v>
      </c>
      <c r="P697" s="348" t="s">
        <v>29</v>
      </c>
      <c r="Q697" s="348" t="s">
        <v>39</v>
      </c>
    </row>
    <row r="698" ht="14.25" customHeight="1">
      <c r="A698" s="211">
        <v>43.0</v>
      </c>
      <c r="B698" s="377" t="s">
        <v>6622</v>
      </c>
      <c r="C698" s="377" t="s">
        <v>6645</v>
      </c>
      <c r="D698" s="380" t="s">
        <v>25</v>
      </c>
      <c r="E698" s="348" t="s">
        <v>57</v>
      </c>
      <c r="F698" s="378"/>
      <c r="G698" s="351">
        <v>66.22</v>
      </c>
      <c r="H698" s="365">
        <v>10.0</v>
      </c>
      <c r="I698" s="348">
        <v>30.0</v>
      </c>
      <c r="J698" s="348">
        <v>1.0</v>
      </c>
      <c r="K698" s="348">
        <v>1.0</v>
      </c>
      <c r="L698" s="348">
        <v>1.0</v>
      </c>
      <c r="M698" s="352" t="s">
        <v>6612</v>
      </c>
      <c r="N698" s="348" t="s">
        <v>27</v>
      </c>
      <c r="O698" s="348" t="s">
        <v>39</v>
      </c>
      <c r="P698" s="348" t="s">
        <v>29</v>
      </c>
      <c r="Q698" s="348" t="s">
        <v>39</v>
      </c>
    </row>
    <row r="699" ht="14.25" customHeight="1">
      <c r="A699" s="211">
        <v>44.0</v>
      </c>
      <c r="B699" s="377" t="s">
        <v>1273</v>
      </c>
      <c r="C699" s="377" t="s">
        <v>6645</v>
      </c>
      <c r="D699" s="380" t="s">
        <v>25</v>
      </c>
      <c r="E699" s="348" t="s">
        <v>57</v>
      </c>
      <c r="F699" s="378"/>
      <c r="G699" s="351">
        <v>416.0</v>
      </c>
      <c r="H699" s="365">
        <v>30.0</v>
      </c>
      <c r="I699" s="348">
        <v>100.0</v>
      </c>
      <c r="J699" s="348" t="s">
        <v>39</v>
      </c>
      <c r="K699" s="348" t="s">
        <v>39</v>
      </c>
      <c r="L699" s="348">
        <v>1.0</v>
      </c>
      <c r="M699" s="352" t="s">
        <v>6612</v>
      </c>
      <c r="N699" s="348" t="s">
        <v>27</v>
      </c>
      <c r="O699" s="348" t="s">
        <v>39</v>
      </c>
      <c r="P699" s="348" t="s">
        <v>29</v>
      </c>
      <c r="Q699" s="348" t="s">
        <v>39</v>
      </c>
    </row>
    <row r="700" ht="14.25" customHeight="1">
      <c r="A700" s="211">
        <v>45.0</v>
      </c>
      <c r="B700" s="377" t="s">
        <v>6622</v>
      </c>
      <c r="C700" s="377" t="s">
        <v>6646</v>
      </c>
      <c r="D700" s="380" t="s">
        <v>25</v>
      </c>
      <c r="E700" s="348" t="s">
        <v>57</v>
      </c>
      <c r="F700" s="378"/>
      <c r="G700" s="351">
        <v>50.0</v>
      </c>
      <c r="H700" s="365">
        <v>10.0</v>
      </c>
      <c r="I700" s="348">
        <v>40.0</v>
      </c>
      <c r="J700" s="348" t="s">
        <v>39</v>
      </c>
      <c r="K700" s="348" t="s">
        <v>39</v>
      </c>
      <c r="L700" s="348">
        <v>1.0</v>
      </c>
      <c r="M700" s="352" t="s">
        <v>6612</v>
      </c>
      <c r="N700" s="348" t="s">
        <v>172</v>
      </c>
      <c r="O700" s="348" t="s">
        <v>39</v>
      </c>
      <c r="P700" s="348" t="s">
        <v>29</v>
      </c>
      <c r="Q700" s="348" t="s">
        <v>39</v>
      </c>
    </row>
    <row r="701" ht="14.25" customHeight="1">
      <c r="A701" s="211">
        <v>46.0</v>
      </c>
      <c r="B701" s="377" t="s">
        <v>1273</v>
      </c>
      <c r="C701" s="377" t="s">
        <v>6646</v>
      </c>
      <c r="D701" s="380" t="s">
        <v>25</v>
      </c>
      <c r="E701" s="348" t="s">
        <v>57</v>
      </c>
      <c r="F701" s="378"/>
      <c r="G701" s="351">
        <v>230.0</v>
      </c>
      <c r="H701" s="365">
        <v>30.0</v>
      </c>
      <c r="I701" s="348">
        <v>140.0</v>
      </c>
      <c r="J701" s="348">
        <v>1.0</v>
      </c>
      <c r="K701" s="348">
        <v>1.0</v>
      </c>
      <c r="L701" s="348" t="s">
        <v>39</v>
      </c>
      <c r="M701" s="352" t="s">
        <v>6612</v>
      </c>
      <c r="N701" s="348" t="s">
        <v>6647</v>
      </c>
      <c r="O701" s="348" t="s">
        <v>39</v>
      </c>
      <c r="P701" s="348" t="s">
        <v>29</v>
      </c>
      <c r="Q701" s="348" t="s">
        <v>39</v>
      </c>
    </row>
    <row r="702" ht="14.25" customHeight="1">
      <c r="A702" s="211">
        <v>47.0</v>
      </c>
      <c r="B702" s="377" t="s">
        <v>6626</v>
      </c>
      <c r="C702" s="377" t="s">
        <v>6646</v>
      </c>
      <c r="D702" s="380" t="s">
        <v>25</v>
      </c>
      <c r="E702" s="348" t="s">
        <v>57</v>
      </c>
      <c r="F702" s="378"/>
      <c r="G702" s="351" t="s">
        <v>6648</v>
      </c>
      <c r="H702" s="365">
        <v>180.0</v>
      </c>
      <c r="I702" s="348">
        <v>720.0</v>
      </c>
      <c r="J702" s="348">
        <v>1.0</v>
      </c>
      <c r="K702" s="348">
        <v>1.0</v>
      </c>
      <c r="L702" s="348">
        <v>1.0</v>
      </c>
      <c r="M702" s="352" t="s">
        <v>6612</v>
      </c>
      <c r="N702" s="348" t="s">
        <v>172</v>
      </c>
      <c r="O702" s="348" t="s">
        <v>39</v>
      </c>
      <c r="P702" s="348" t="s">
        <v>29</v>
      </c>
      <c r="Q702" s="348" t="s">
        <v>39</v>
      </c>
    </row>
    <row r="703" ht="14.25" customHeight="1">
      <c r="A703" s="211">
        <v>48.0</v>
      </c>
      <c r="B703" s="377" t="s">
        <v>6622</v>
      </c>
      <c r="C703" s="377" t="s">
        <v>6649</v>
      </c>
      <c r="D703" s="380" t="s">
        <v>25</v>
      </c>
      <c r="E703" s="348" t="s">
        <v>57</v>
      </c>
      <c r="F703" s="378"/>
      <c r="G703" s="351">
        <v>30.0</v>
      </c>
      <c r="H703" s="365">
        <v>6.0</v>
      </c>
      <c r="I703" s="348">
        <v>15.0</v>
      </c>
      <c r="J703" s="348">
        <v>1.0</v>
      </c>
      <c r="K703" s="348">
        <v>1.0</v>
      </c>
      <c r="L703" s="348" t="s">
        <v>39</v>
      </c>
      <c r="M703" s="352" t="s">
        <v>6612</v>
      </c>
      <c r="N703" s="348" t="s">
        <v>172</v>
      </c>
      <c r="O703" s="348" t="s">
        <v>39</v>
      </c>
      <c r="P703" s="348" t="s">
        <v>29</v>
      </c>
      <c r="Q703" s="348" t="s">
        <v>39</v>
      </c>
    </row>
    <row r="704" ht="14.25" customHeight="1">
      <c r="A704" s="211">
        <v>49.0</v>
      </c>
      <c r="B704" s="377" t="s">
        <v>1273</v>
      </c>
      <c r="C704" s="377" t="s">
        <v>6649</v>
      </c>
      <c r="D704" s="380" t="s">
        <v>25</v>
      </c>
      <c r="E704" s="348" t="s">
        <v>57</v>
      </c>
      <c r="F704" s="378"/>
      <c r="G704" s="351">
        <v>100.0</v>
      </c>
      <c r="H704" s="365">
        <v>10.0</v>
      </c>
      <c r="I704" s="348">
        <v>30.0</v>
      </c>
      <c r="J704" s="348" t="s">
        <v>39</v>
      </c>
      <c r="K704" s="348" t="s">
        <v>39</v>
      </c>
      <c r="L704" s="348">
        <v>1.0</v>
      </c>
      <c r="M704" s="352" t="s">
        <v>6612</v>
      </c>
      <c r="N704" s="348" t="s">
        <v>172</v>
      </c>
      <c r="O704" s="348" t="s">
        <v>39</v>
      </c>
      <c r="P704" s="348" t="s">
        <v>29</v>
      </c>
      <c r="Q704" s="348" t="s">
        <v>39</v>
      </c>
    </row>
    <row r="705" ht="14.25" customHeight="1">
      <c r="A705" s="211">
        <v>50.0</v>
      </c>
      <c r="B705" s="377" t="s">
        <v>6650</v>
      </c>
      <c r="C705" s="377" t="s">
        <v>6651</v>
      </c>
      <c r="D705" s="380" t="s">
        <v>25</v>
      </c>
      <c r="E705" s="348" t="s">
        <v>57</v>
      </c>
      <c r="F705" s="378"/>
      <c r="G705" s="351">
        <v>36.0</v>
      </c>
      <c r="H705" s="365">
        <v>7.0</v>
      </c>
      <c r="I705" s="348">
        <v>30.0</v>
      </c>
      <c r="J705" s="348" t="s">
        <v>39</v>
      </c>
      <c r="K705" s="348" t="s">
        <v>39</v>
      </c>
      <c r="L705" s="348">
        <v>1.0</v>
      </c>
      <c r="M705" s="352" t="s">
        <v>6612</v>
      </c>
      <c r="N705" s="348" t="s">
        <v>27</v>
      </c>
      <c r="O705" s="348" t="s">
        <v>39</v>
      </c>
      <c r="P705" s="348" t="s">
        <v>29</v>
      </c>
      <c r="Q705" s="348" t="s">
        <v>39</v>
      </c>
    </row>
    <row r="706" ht="14.25" customHeight="1">
      <c r="A706" s="211">
        <v>51.0</v>
      </c>
      <c r="B706" s="377" t="s">
        <v>6652</v>
      </c>
      <c r="C706" s="377" t="s">
        <v>6653</v>
      </c>
      <c r="D706" s="380" t="s">
        <v>25</v>
      </c>
      <c r="E706" s="348" t="s">
        <v>57</v>
      </c>
      <c r="F706" s="378"/>
      <c r="G706" s="351" t="s">
        <v>6654</v>
      </c>
      <c r="H706" s="365">
        <v>2.0</v>
      </c>
      <c r="I706" s="348">
        <v>10.0</v>
      </c>
      <c r="J706" s="348" t="s">
        <v>39</v>
      </c>
      <c r="K706" s="348" t="s">
        <v>39</v>
      </c>
      <c r="L706" s="348">
        <v>1.0</v>
      </c>
      <c r="M706" s="352" t="s">
        <v>6612</v>
      </c>
      <c r="N706" s="348" t="s">
        <v>27</v>
      </c>
      <c r="O706" s="348" t="s">
        <v>39</v>
      </c>
      <c r="P706" s="348" t="s">
        <v>29</v>
      </c>
      <c r="Q706" s="348" t="s">
        <v>39</v>
      </c>
    </row>
    <row r="707" ht="14.25" customHeight="1">
      <c r="A707" s="211">
        <v>52.0</v>
      </c>
      <c r="B707" s="377" t="s">
        <v>6655</v>
      </c>
      <c r="C707" s="377" t="s">
        <v>6653</v>
      </c>
      <c r="D707" s="380" t="s">
        <v>25</v>
      </c>
      <c r="E707" s="348" t="s">
        <v>57</v>
      </c>
      <c r="F707" s="378"/>
      <c r="G707" s="351">
        <v>50.0</v>
      </c>
      <c r="H707" s="365">
        <v>5.0</v>
      </c>
      <c r="I707" s="348">
        <v>20.0</v>
      </c>
      <c r="J707" s="348" t="s">
        <v>39</v>
      </c>
      <c r="K707" s="348" t="s">
        <v>39</v>
      </c>
      <c r="L707" s="348">
        <v>1.0</v>
      </c>
      <c r="M707" s="352" t="s">
        <v>6612</v>
      </c>
      <c r="N707" s="348" t="s">
        <v>27</v>
      </c>
      <c r="O707" s="348" t="s">
        <v>39</v>
      </c>
      <c r="P707" s="348" t="s">
        <v>29</v>
      </c>
      <c r="Q707" s="348" t="s">
        <v>39</v>
      </c>
    </row>
    <row r="708" ht="14.25" customHeight="1">
      <c r="A708" s="211">
        <v>53.0</v>
      </c>
      <c r="B708" s="377" t="s">
        <v>6638</v>
      </c>
      <c r="C708" s="377" t="s">
        <v>6656</v>
      </c>
      <c r="D708" s="380" t="s">
        <v>25</v>
      </c>
      <c r="E708" s="348" t="s">
        <v>57</v>
      </c>
      <c r="F708" s="378"/>
      <c r="G708" s="351">
        <v>105.0</v>
      </c>
      <c r="H708" s="365">
        <v>10.0</v>
      </c>
      <c r="I708" s="348">
        <v>30.0</v>
      </c>
      <c r="J708" s="348" t="s">
        <v>39</v>
      </c>
      <c r="K708" s="348" t="s">
        <v>39</v>
      </c>
      <c r="L708" s="348">
        <v>2.0</v>
      </c>
      <c r="M708" s="352" t="s">
        <v>6612</v>
      </c>
      <c r="N708" s="348" t="s">
        <v>27</v>
      </c>
      <c r="O708" s="348" t="s">
        <v>39</v>
      </c>
      <c r="P708" s="348" t="s">
        <v>29</v>
      </c>
      <c r="Q708" s="348" t="s">
        <v>39</v>
      </c>
    </row>
    <row r="709" ht="14.25" customHeight="1">
      <c r="A709" s="211">
        <v>54.0</v>
      </c>
      <c r="B709" s="377" t="s">
        <v>6657</v>
      </c>
      <c r="C709" s="377" t="s">
        <v>6656</v>
      </c>
      <c r="D709" s="380" t="s">
        <v>25</v>
      </c>
      <c r="E709" s="348" t="s">
        <v>57</v>
      </c>
      <c r="F709" s="378"/>
      <c r="G709" s="351">
        <v>28.0</v>
      </c>
      <c r="H709" s="365">
        <v>8.0</v>
      </c>
      <c r="I709" s="348">
        <v>30.0</v>
      </c>
      <c r="J709" s="348" t="s">
        <v>39</v>
      </c>
      <c r="K709" s="348" t="s">
        <v>39</v>
      </c>
      <c r="L709" s="348" t="s">
        <v>39</v>
      </c>
      <c r="M709" s="352" t="s">
        <v>6612</v>
      </c>
      <c r="N709" s="348" t="s">
        <v>27</v>
      </c>
      <c r="O709" s="348" t="s">
        <v>39</v>
      </c>
      <c r="P709" s="348" t="s">
        <v>29</v>
      </c>
      <c r="Q709" s="348" t="s">
        <v>39</v>
      </c>
    </row>
    <row r="710" ht="14.25" customHeight="1">
      <c r="A710" s="211">
        <v>55.0</v>
      </c>
      <c r="B710" s="377" t="s">
        <v>6658</v>
      </c>
      <c r="C710" s="377" t="s">
        <v>6656</v>
      </c>
      <c r="D710" s="380" t="s">
        <v>25</v>
      </c>
      <c r="E710" s="348" t="s">
        <v>57</v>
      </c>
      <c r="F710" s="378"/>
      <c r="G710" s="351" t="s">
        <v>6628</v>
      </c>
      <c r="H710" s="365">
        <v>4.0</v>
      </c>
      <c r="I710" s="348">
        <v>20.0</v>
      </c>
      <c r="J710" s="348" t="s">
        <v>39</v>
      </c>
      <c r="K710" s="348" t="s">
        <v>39</v>
      </c>
      <c r="L710" s="348">
        <v>1.0</v>
      </c>
      <c r="M710" s="352" t="s">
        <v>6612</v>
      </c>
      <c r="N710" s="348" t="s">
        <v>27</v>
      </c>
      <c r="O710" s="348" t="s">
        <v>39</v>
      </c>
      <c r="P710" s="348" t="s">
        <v>29</v>
      </c>
      <c r="Q710" s="348" t="s">
        <v>39</v>
      </c>
    </row>
    <row r="711" ht="14.25" customHeight="1">
      <c r="A711" s="211">
        <v>56.0</v>
      </c>
      <c r="B711" s="377" t="s">
        <v>6659</v>
      </c>
      <c r="C711" s="377" t="s">
        <v>6660</v>
      </c>
      <c r="D711" s="380" t="s">
        <v>25</v>
      </c>
      <c r="E711" s="348" t="s">
        <v>57</v>
      </c>
      <c r="F711" s="378"/>
      <c r="G711" s="351">
        <v>25.0</v>
      </c>
      <c r="H711" s="365">
        <v>5.0</v>
      </c>
      <c r="I711" s="348">
        <v>20.0</v>
      </c>
      <c r="J711" s="348" t="s">
        <v>39</v>
      </c>
      <c r="K711" s="348" t="s">
        <v>39</v>
      </c>
      <c r="L711" s="348">
        <v>1.0</v>
      </c>
      <c r="M711" s="352" t="s">
        <v>6612</v>
      </c>
      <c r="N711" s="348" t="s">
        <v>27</v>
      </c>
      <c r="O711" s="348" t="s">
        <v>39</v>
      </c>
      <c r="P711" s="348" t="s">
        <v>29</v>
      </c>
      <c r="Q711" s="348" t="s">
        <v>39</v>
      </c>
    </row>
    <row r="712" ht="14.25" customHeight="1">
      <c r="A712" s="211">
        <v>57.0</v>
      </c>
      <c r="B712" s="377" t="s">
        <v>6661</v>
      </c>
      <c r="C712" s="377" t="s">
        <v>6660</v>
      </c>
      <c r="D712" s="380" t="s">
        <v>25</v>
      </c>
      <c r="E712" s="348" t="s">
        <v>57</v>
      </c>
      <c r="F712" s="378"/>
      <c r="G712" s="351" t="s">
        <v>6662</v>
      </c>
      <c r="H712" s="365">
        <v>5.0</v>
      </c>
      <c r="I712" s="348">
        <v>20.0</v>
      </c>
      <c r="J712" s="348" t="s">
        <v>39</v>
      </c>
      <c r="K712" s="348" t="s">
        <v>39</v>
      </c>
      <c r="L712" s="348">
        <v>1.0</v>
      </c>
      <c r="M712" s="352" t="s">
        <v>6612</v>
      </c>
      <c r="N712" s="348" t="s">
        <v>27</v>
      </c>
      <c r="O712" s="348" t="s">
        <v>39</v>
      </c>
      <c r="P712" s="348" t="s">
        <v>29</v>
      </c>
      <c r="Q712" s="348" t="s">
        <v>39</v>
      </c>
    </row>
    <row r="713" ht="14.25" customHeight="1">
      <c r="A713" s="211">
        <v>58.0</v>
      </c>
      <c r="B713" s="377" t="s">
        <v>6622</v>
      </c>
      <c r="C713" s="377" t="s">
        <v>6663</v>
      </c>
      <c r="D713" s="380" t="s">
        <v>25</v>
      </c>
      <c r="E713" s="348" t="s">
        <v>57</v>
      </c>
      <c r="F713" s="378"/>
      <c r="G713" s="351">
        <v>73.0</v>
      </c>
      <c r="H713" s="365">
        <v>10.0</v>
      </c>
      <c r="I713" s="348">
        <v>30.0</v>
      </c>
      <c r="J713" s="348">
        <v>1.0</v>
      </c>
      <c r="K713" s="348">
        <v>1.0</v>
      </c>
      <c r="L713" s="348">
        <v>1.0</v>
      </c>
      <c r="M713" s="352" t="s">
        <v>6612</v>
      </c>
      <c r="N713" s="348" t="s">
        <v>27</v>
      </c>
      <c r="O713" s="348" t="s">
        <v>39</v>
      </c>
      <c r="P713" s="348" t="s">
        <v>29</v>
      </c>
      <c r="Q713" s="348" t="s">
        <v>39</v>
      </c>
    </row>
    <row r="714" ht="14.25" customHeight="1">
      <c r="A714" s="211">
        <v>59.0</v>
      </c>
      <c r="B714" s="377" t="s">
        <v>1273</v>
      </c>
      <c r="C714" s="377" t="s">
        <v>6663</v>
      </c>
      <c r="D714" s="380" t="s">
        <v>25</v>
      </c>
      <c r="E714" s="348" t="s">
        <v>57</v>
      </c>
      <c r="F714" s="378"/>
      <c r="G714" s="351">
        <v>600.0</v>
      </c>
      <c r="H714" s="365">
        <v>30.0</v>
      </c>
      <c r="I714" s="348">
        <v>100.0</v>
      </c>
      <c r="J714" s="348" t="s">
        <v>39</v>
      </c>
      <c r="K714" s="348" t="s">
        <v>39</v>
      </c>
      <c r="L714" s="348" t="s">
        <v>39</v>
      </c>
      <c r="M714" s="352" t="s">
        <v>6612</v>
      </c>
      <c r="N714" s="348" t="s">
        <v>27</v>
      </c>
      <c r="O714" s="348" t="s">
        <v>39</v>
      </c>
      <c r="P714" s="348" t="s">
        <v>29</v>
      </c>
      <c r="Q714" s="348" t="s">
        <v>39</v>
      </c>
    </row>
    <row r="715" ht="14.25" customHeight="1">
      <c r="A715" s="211">
        <v>60.0</v>
      </c>
      <c r="B715" s="377" t="s">
        <v>6638</v>
      </c>
      <c r="C715" s="377" t="s">
        <v>6664</v>
      </c>
      <c r="D715" s="380" t="s">
        <v>25</v>
      </c>
      <c r="E715" s="348" t="s">
        <v>57</v>
      </c>
      <c r="F715" s="378"/>
      <c r="G715" s="351">
        <v>250.0</v>
      </c>
      <c r="H715" s="365">
        <v>15.0</v>
      </c>
      <c r="I715" s="348">
        <v>60.0</v>
      </c>
      <c r="J715" s="348">
        <v>1.0</v>
      </c>
      <c r="K715" s="348">
        <v>1.0</v>
      </c>
      <c r="L715" s="348">
        <v>2.0</v>
      </c>
      <c r="M715" s="352" t="s">
        <v>6612</v>
      </c>
      <c r="N715" s="348" t="s">
        <v>27</v>
      </c>
      <c r="O715" s="348" t="s">
        <v>39</v>
      </c>
      <c r="P715" s="348" t="s">
        <v>29</v>
      </c>
      <c r="Q715" s="348" t="s">
        <v>39</v>
      </c>
    </row>
    <row r="716" ht="14.25" customHeight="1">
      <c r="A716" s="211">
        <v>61.0</v>
      </c>
      <c r="B716" s="377" t="s">
        <v>1273</v>
      </c>
      <c r="C716" s="377" t="s">
        <v>6665</v>
      </c>
      <c r="D716" s="380" t="s">
        <v>25</v>
      </c>
      <c r="E716" s="348" t="s">
        <v>57</v>
      </c>
      <c r="F716" s="378"/>
      <c r="G716" s="351">
        <v>150.0</v>
      </c>
      <c r="H716" s="365">
        <v>15.0</v>
      </c>
      <c r="I716" s="348">
        <v>75.0</v>
      </c>
      <c r="J716" s="348" t="s">
        <v>39</v>
      </c>
      <c r="K716" s="348" t="s">
        <v>39</v>
      </c>
      <c r="L716" s="348">
        <v>1.0</v>
      </c>
      <c r="M716" s="352" t="s">
        <v>6612</v>
      </c>
      <c r="N716" s="348" t="s">
        <v>27</v>
      </c>
      <c r="O716" s="348" t="s">
        <v>39</v>
      </c>
      <c r="P716" s="348" t="s">
        <v>29</v>
      </c>
      <c r="Q716" s="348" t="s">
        <v>39</v>
      </c>
    </row>
    <row r="717" ht="14.25" customHeight="1">
      <c r="A717" s="211">
        <v>62.0</v>
      </c>
      <c r="B717" s="377" t="s">
        <v>6626</v>
      </c>
      <c r="C717" s="377" t="s">
        <v>6665</v>
      </c>
      <c r="D717" s="380" t="s">
        <v>25</v>
      </c>
      <c r="E717" s="348" t="s">
        <v>57</v>
      </c>
      <c r="F717" s="378"/>
      <c r="G717" s="351">
        <v>50.0</v>
      </c>
      <c r="H717" s="365">
        <v>3.0</v>
      </c>
      <c r="I717" s="348">
        <v>18.0</v>
      </c>
      <c r="J717" s="348">
        <v>1.0</v>
      </c>
      <c r="K717" s="348">
        <v>1.0</v>
      </c>
      <c r="L717" s="348">
        <v>1.0</v>
      </c>
      <c r="M717" s="352" t="s">
        <v>6612</v>
      </c>
      <c r="N717" s="348" t="s">
        <v>27</v>
      </c>
      <c r="O717" s="348" t="s">
        <v>39</v>
      </c>
      <c r="P717" s="348" t="s">
        <v>29</v>
      </c>
      <c r="Q717" s="348" t="s">
        <v>39</v>
      </c>
    </row>
    <row r="718" ht="14.25" customHeight="1">
      <c r="A718" s="211">
        <v>63.0</v>
      </c>
      <c r="B718" s="377" t="s">
        <v>6666</v>
      </c>
      <c r="C718" s="377" t="s">
        <v>6667</v>
      </c>
      <c r="D718" s="380" t="s">
        <v>25</v>
      </c>
      <c r="E718" s="348" t="s">
        <v>57</v>
      </c>
      <c r="F718" s="378"/>
      <c r="G718" s="351">
        <v>200.0</v>
      </c>
      <c r="H718" s="365">
        <v>25.0</v>
      </c>
      <c r="I718" s="348">
        <v>125.0</v>
      </c>
      <c r="J718" s="348" t="s">
        <v>39</v>
      </c>
      <c r="K718" s="348" t="s">
        <v>39</v>
      </c>
      <c r="L718" s="348">
        <v>1.0</v>
      </c>
      <c r="M718" s="352" t="s">
        <v>6612</v>
      </c>
      <c r="N718" s="348" t="s">
        <v>27</v>
      </c>
      <c r="O718" s="348" t="s">
        <v>39</v>
      </c>
      <c r="P718" s="348" t="s">
        <v>29</v>
      </c>
      <c r="Q718" s="348" t="s">
        <v>39</v>
      </c>
    </row>
    <row r="719" ht="14.25" customHeight="1">
      <c r="A719" s="211">
        <v>64.0</v>
      </c>
      <c r="B719" s="377" t="s">
        <v>6638</v>
      </c>
      <c r="C719" s="377" t="s">
        <v>6668</v>
      </c>
      <c r="D719" s="380" t="s">
        <v>25</v>
      </c>
      <c r="E719" s="348" t="s">
        <v>57</v>
      </c>
      <c r="F719" s="378"/>
      <c r="G719" s="351">
        <v>40.0</v>
      </c>
      <c r="H719" s="365">
        <v>7.0</v>
      </c>
      <c r="I719" s="348">
        <v>21.0</v>
      </c>
      <c r="J719" s="348" t="s">
        <v>39</v>
      </c>
      <c r="K719" s="348" t="s">
        <v>39</v>
      </c>
      <c r="L719" s="348">
        <v>1.0</v>
      </c>
      <c r="M719" s="352" t="s">
        <v>6612</v>
      </c>
      <c r="N719" s="348" t="s">
        <v>27</v>
      </c>
      <c r="O719" s="348" t="s">
        <v>39</v>
      </c>
      <c r="P719" s="348" t="s">
        <v>29</v>
      </c>
      <c r="Q719" s="348" t="s">
        <v>39</v>
      </c>
    </row>
    <row r="720" ht="14.25" customHeight="1">
      <c r="A720" s="211">
        <v>65.0</v>
      </c>
      <c r="B720" s="377" t="s">
        <v>6638</v>
      </c>
      <c r="C720" s="377" t="s">
        <v>6669</v>
      </c>
      <c r="D720" s="380" t="s">
        <v>25</v>
      </c>
      <c r="E720" s="348" t="s">
        <v>57</v>
      </c>
      <c r="F720" s="378"/>
      <c r="G720" s="351">
        <v>150.0</v>
      </c>
      <c r="H720" s="365">
        <v>10.0</v>
      </c>
      <c r="I720" s="348">
        <v>50.0</v>
      </c>
      <c r="J720" s="348">
        <v>1.0</v>
      </c>
      <c r="K720" s="348">
        <v>1.0</v>
      </c>
      <c r="L720" s="348">
        <v>1.0</v>
      </c>
      <c r="M720" s="352" t="s">
        <v>6612</v>
      </c>
      <c r="N720" s="348" t="s">
        <v>27</v>
      </c>
      <c r="O720" s="348" t="s">
        <v>39</v>
      </c>
      <c r="P720" s="348" t="s">
        <v>29</v>
      </c>
      <c r="Q720" s="348" t="s">
        <v>39</v>
      </c>
    </row>
    <row r="721" ht="14.25" customHeight="1">
      <c r="A721" s="211">
        <v>66.0</v>
      </c>
      <c r="B721" s="377" t="s">
        <v>1273</v>
      </c>
      <c r="C721" s="377" t="s">
        <v>6670</v>
      </c>
      <c r="D721" s="380" t="s">
        <v>25</v>
      </c>
      <c r="E721" s="348" t="s">
        <v>57</v>
      </c>
      <c r="F721" s="378"/>
      <c r="G721" s="351">
        <v>500.0</v>
      </c>
      <c r="H721" s="365">
        <v>30.0</v>
      </c>
      <c r="I721" s="348">
        <v>150.0</v>
      </c>
      <c r="J721" s="348" t="s">
        <v>39</v>
      </c>
      <c r="K721" s="348" t="s">
        <v>39</v>
      </c>
      <c r="L721" s="348">
        <v>1.0</v>
      </c>
      <c r="M721" s="352" t="s">
        <v>6612</v>
      </c>
      <c r="N721" s="348" t="s">
        <v>27</v>
      </c>
      <c r="O721" s="348" t="s">
        <v>39</v>
      </c>
      <c r="P721" s="348" t="s">
        <v>29</v>
      </c>
      <c r="Q721" s="348" t="s">
        <v>39</v>
      </c>
    </row>
    <row r="722" ht="14.25" customHeight="1">
      <c r="A722" s="211">
        <v>67.0</v>
      </c>
      <c r="B722" s="377" t="s">
        <v>6671</v>
      </c>
      <c r="C722" s="377" t="s">
        <v>6672</v>
      </c>
      <c r="D722" s="380" t="s">
        <v>25</v>
      </c>
      <c r="E722" s="348" t="s">
        <v>57</v>
      </c>
      <c r="F722" s="378"/>
      <c r="G722" s="351">
        <v>100.0</v>
      </c>
      <c r="H722" s="365">
        <v>45356.0</v>
      </c>
      <c r="I722" s="348">
        <v>15.0</v>
      </c>
      <c r="J722" s="348" t="s">
        <v>39</v>
      </c>
      <c r="K722" s="348" t="s">
        <v>39</v>
      </c>
      <c r="L722" s="348">
        <v>1.0</v>
      </c>
      <c r="M722" s="352" t="s">
        <v>6612</v>
      </c>
      <c r="N722" s="348" t="s">
        <v>27</v>
      </c>
      <c r="O722" s="348" t="s">
        <v>39</v>
      </c>
      <c r="P722" s="348" t="s">
        <v>29</v>
      </c>
      <c r="Q722" s="348" t="s">
        <v>39</v>
      </c>
    </row>
    <row r="723" ht="14.25" customHeight="1">
      <c r="A723" s="211">
        <v>68.0</v>
      </c>
      <c r="B723" s="377" t="s">
        <v>6608</v>
      </c>
      <c r="C723" s="377" t="s">
        <v>6672</v>
      </c>
      <c r="D723" s="380" t="s">
        <v>25</v>
      </c>
      <c r="E723" s="348" t="s">
        <v>57</v>
      </c>
      <c r="F723" s="378"/>
      <c r="G723" s="351">
        <v>30.0</v>
      </c>
      <c r="H723" s="365">
        <v>45355.0</v>
      </c>
      <c r="I723" s="348">
        <v>15.0</v>
      </c>
      <c r="J723" s="348" t="s">
        <v>39</v>
      </c>
      <c r="K723" s="348" t="s">
        <v>39</v>
      </c>
      <c r="L723" s="348">
        <v>1.0</v>
      </c>
      <c r="M723" s="352" t="s">
        <v>6612</v>
      </c>
      <c r="N723" s="348" t="s">
        <v>27</v>
      </c>
      <c r="O723" s="348" t="s">
        <v>39</v>
      </c>
      <c r="P723" s="348" t="s">
        <v>29</v>
      </c>
      <c r="Q723" s="348" t="s">
        <v>39</v>
      </c>
    </row>
    <row r="724" ht="14.25" customHeight="1">
      <c r="A724" s="211">
        <v>69.0</v>
      </c>
      <c r="B724" s="377" t="s">
        <v>6638</v>
      </c>
      <c r="C724" s="377" t="s">
        <v>6673</v>
      </c>
      <c r="D724" s="380" t="s">
        <v>25</v>
      </c>
      <c r="E724" s="348" t="s">
        <v>57</v>
      </c>
      <c r="F724" s="378"/>
      <c r="G724" s="351">
        <v>525.0</v>
      </c>
      <c r="H724" s="365">
        <v>30.0</v>
      </c>
      <c r="I724" s="348">
        <v>150.0</v>
      </c>
      <c r="J724" s="348" t="s">
        <v>39</v>
      </c>
      <c r="K724" s="348" t="s">
        <v>39</v>
      </c>
      <c r="L724" s="348">
        <v>2.0</v>
      </c>
      <c r="M724" s="352" t="s">
        <v>6612</v>
      </c>
      <c r="N724" s="348" t="s">
        <v>27</v>
      </c>
      <c r="O724" s="348" t="s">
        <v>39</v>
      </c>
      <c r="P724" s="348" t="s">
        <v>29</v>
      </c>
      <c r="Q724" s="348" t="s">
        <v>39</v>
      </c>
    </row>
    <row r="725" ht="14.25" customHeight="1">
      <c r="A725" s="211">
        <v>70.0</v>
      </c>
      <c r="B725" s="377" t="s">
        <v>6622</v>
      </c>
      <c r="C725" s="377" t="s">
        <v>6674</v>
      </c>
      <c r="D725" s="380" t="s">
        <v>25</v>
      </c>
      <c r="E725" s="348" t="s">
        <v>57</v>
      </c>
      <c r="F725" s="378"/>
      <c r="G725" s="351">
        <v>100.0</v>
      </c>
      <c r="H725" s="365">
        <v>4.0</v>
      </c>
      <c r="I725" s="348">
        <v>30.0</v>
      </c>
      <c r="J725" s="348" t="s">
        <v>39</v>
      </c>
      <c r="K725" s="348" t="s">
        <v>39</v>
      </c>
      <c r="L725" s="348">
        <v>1.0</v>
      </c>
      <c r="M725" s="352" t="s">
        <v>6612</v>
      </c>
      <c r="N725" s="348" t="s">
        <v>27</v>
      </c>
      <c r="O725" s="348" t="s">
        <v>39</v>
      </c>
      <c r="P725" s="348" t="s">
        <v>29</v>
      </c>
      <c r="Q725" s="348" t="s">
        <v>39</v>
      </c>
    </row>
    <row r="726" ht="14.25" customHeight="1">
      <c r="A726" s="211">
        <v>71.0</v>
      </c>
      <c r="B726" s="377" t="s">
        <v>1273</v>
      </c>
      <c r="C726" s="377" t="s">
        <v>6674</v>
      </c>
      <c r="D726" s="380" t="s">
        <v>25</v>
      </c>
      <c r="E726" s="348" t="s">
        <v>57</v>
      </c>
      <c r="F726" s="378"/>
      <c r="G726" s="351">
        <v>200.0</v>
      </c>
      <c r="H726" s="365">
        <v>20.0</v>
      </c>
      <c r="I726" s="348">
        <v>100.0</v>
      </c>
      <c r="J726" s="348" t="s">
        <v>39</v>
      </c>
      <c r="K726" s="348" t="s">
        <v>39</v>
      </c>
      <c r="L726" s="348">
        <v>1.0</v>
      </c>
      <c r="M726" s="352" t="s">
        <v>6612</v>
      </c>
      <c r="N726" s="348" t="s">
        <v>27</v>
      </c>
      <c r="O726" s="348" t="s">
        <v>39</v>
      </c>
      <c r="P726" s="348" t="s">
        <v>29</v>
      </c>
      <c r="Q726" s="348" t="s">
        <v>39</v>
      </c>
    </row>
    <row r="727" ht="14.25" customHeight="1">
      <c r="A727" s="211">
        <v>72.0</v>
      </c>
      <c r="B727" s="377" t="s">
        <v>6675</v>
      </c>
      <c r="C727" s="377" t="s">
        <v>6676</v>
      </c>
      <c r="D727" s="380" t="s">
        <v>25</v>
      </c>
      <c r="E727" s="348" t="s">
        <v>57</v>
      </c>
      <c r="F727" s="378"/>
      <c r="G727" s="351">
        <v>400.0</v>
      </c>
      <c r="H727" s="365">
        <v>20.0</v>
      </c>
      <c r="I727" s="348" t="s">
        <v>6677</v>
      </c>
      <c r="J727" s="348" t="s">
        <v>39</v>
      </c>
      <c r="K727" s="348" t="s">
        <v>39</v>
      </c>
      <c r="L727" s="348">
        <v>2.0</v>
      </c>
      <c r="M727" s="352" t="s">
        <v>6612</v>
      </c>
      <c r="N727" s="348" t="s">
        <v>172</v>
      </c>
      <c r="O727" s="348" t="s">
        <v>39</v>
      </c>
      <c r="P727" s="348" t="s">
        <v>29</v>
      </c>
      <c r="Q727" s="348" t="s">
        <v>39</v>
      </c>
    </row>
    <row r="728" ht="14.25" customHeight="1">
      <c r="A728" s="211">
        <v>73.0</v>
      </c>
      <c r="B728" s="377" t="s">
        <v>6678</v>
      </c>
      <c r="C728" s="377" t="s">
        <v>6676</v>
      </c>
      <c r="D728" s="380" t="s">
        <v>25</v>
      </c>
      <c r="E728" s="348" t="s">
        <v>57</v>
      </c>
      <c r="F728" s="378"/>
      <c r="G728" s="351">
        <v>200.0</v>
      </c>
      <c r="H728" s="365">
        <v>3.0</v>
      </c>
      <c r="I728" s="348">
        <v>15.0</v>
      </c>
      <c r="J728" s="348" t="s">
        <v>39</v>
      </c>
      <c r="K728" s="348" t="s">
        <v>39</v>
      </c>
      <c r="L728" s="348">
        <v>1.0</v>
      </c>
      <c r="M728" s="352" t="s">
        <v>6612</v>
      </c>
      <c r="N728" s="348" t="s">
        <v>172</v>
      </c>
      <c r="O728" s="348" t="s">
        <v>39</v>
      </c>
      <c r="P728" s="348" t="s">
        <v>29</v>
      </c>
      <c r="Q728" s="348" t="s">
        <v>39</v>
      </c>
    </row>
    <row r="729" ht="14.25" customHeight="1">
      <c r="A729" s="211">
        <v>74.0</v>
      </c>
      <c r="B729" s="377" t="s">
        <v>6679</v>
      </c>
      <c r="C729" s="377" t="s">
        <v>6676</v>
      </c>
      <c r="D729" s="380" t="s">
        <v>25</v>
      </c>
      <c r="E729" s="348" t="s">
        <v>57</v>
      </c>
      <c r="F729" s="378"/>
      <c r="G729" s="351">
        <v>200.0</v>
      </c>
      <c r="H729" s="365">
        <v>3.0</v>
      </c>
      <c r="I729" s="348">
        <v>15.0</v>
      </c>
      <c r="J729" s="348" t="s">
        <v>39</v>
      </c>
      <c r="K729" s="348" t="s">
        <v>39</v>
      </c>
      <c r="L729" s="348">
        <v>2.0</v>
      </c>
      <c r="M729" s="352" t="s">
        <v>6612</v>
      </c>
      <c r="N729" s="348" t="s">
        <v>172</v>
      </c>
      <c r="O729" s="348" t="s">
        <v>39</v>
      </c>
      <c r="P729" s="348" t="s">
        <v>29</v>
      </c>
      <c r="Q729" s="348" t="s">
        <v>39</v>
      </c>
    </row>
    <row r="730" ht="14.25" customHeight="1">
      <c r="A730" s="211">
        <v>75.0</v>
      </c>
      <c r="B730" s="377" t="s">
        <v>6680</v>
      </c>
      <c r="C730" s="377" t="s">
        <v>6681</v>
      </c>
      <c r="D730" s="380" t="s">
        <v>25</v>
      </c>
      <c r="E730" s="348" t="s">
        <v>57</v>
      </c>
      <c r="F730" s="378"/>
      <c r="G730" s="351">
        <v>200.0</v>
      </c>
      <c r="H730" s="365">
        <v>5.0</v>
      </c>
      <c r="I730" s="348">
        <v>10.0</v>
      </c>
      <c r="J730" s="348" t="s">
        <v>39</v>
      </c>
      <c r="K730" s="348" t="s">
        <v>39</v>
      </c>
      <c r="L730" s="348">
        <v>1.0</v>
      </c>
      <c r="M730" s="352" t="s">
        <v>6612</v>
      </c>
      <c r="N730" s="384" t="s">
        <v>27</v>
      </c>
      <c r="O730" s="348" t="s">
        <v>39</v>
      </c>
      <c r="P730" s="348" t="s">
        <v>29</v>
      </c>
      <c r="Q730" s="348" t="s">
        <v>39</v>
      </c>
    </row>
    <row r="731" ht="14.25" customHeight="1">
      <c r="A731" s="211">
        <v>76.0</v>
      </c>
      <c r="B731" s="377" t="s">
        <v>1273</v>
      </c>
      <c r="C731" s="377" t="s">
        <v>6681</v>
      </c>
      <c r="D731" s="380" t="s">
        <v>25</v>
      </c>
      <c r="E731" s="348" t="s">
        <v>57</v>
      </c>
      <c r="F731" s="378"/>
      <c r="G731" s="351">
        <v>400.0</v>
      </c>
      <c r="H731" s="365">
        <v>50.0</v>
      </c>
      <c r="I731" s="348">
        <v>100.0</v>
      </c>
      <c r="J731" s="348">
        <v>1.0</v>
      </c>
      <c r="K731" s="348">
        <v>1.0</v>
      </c>
      <c r="L731" s="348">
        <v>1.0</v>
      </c>
      <c r="M731" s="352" t="s">
        <v>6612</v>
      </c>
      <c r="N731" s="385" t="s">
        <v>27</v>
      </c>
      <c r="O731" s="348" t="s">
        <v>39</v>
      </c>
      <c r="P731" s="348" t="s">
        <v>29</v>
      </c>
      <c r="Q731" s="348" t="s">
        <v>39</v>
      </c>
    </row>
    <row r="732" ht="14.25" customHeight="1">
      <c r="A732" s="211">
        <v>77.0</v>
      </c>
      <c r="B732" s="377" t="s">
        <v>2302</v>
      </c>
      <c r="C732" s="377" t="s">
        <v>6681</v>
      </c>
      <c r="D732" s="380" t="s">
        <v>25</v>
      </c>
      <c r="E732" s="348" t="s">
        <v>57</v>
      </c>
      <c r="F732" s="378"/>
      <c r="G732" s="351">
        <v>100.0</v>
      </c>
      <c r="H732" s="365">
        <v>5.0</v>
      </c>
      <c r="I732" s="348">
        <v>15.0</v>
      </c>
      <c r="J732" s="348" t="s">
        <v>39</v>
      </c>
      <c r="K732" s="348" t="s">
        <v>39</v>
      </c>
      <c r="L732" s="348">
        <v>1.0</v>
      </c>
      <c r="M732" s="352" t="s">
        <v>6612</v>
      </c>
      <c r="N732" s="385" t="s">
        <v>27</v>
      </c>
      <c r="O732" s="348" t="s">
        <v>39</v>
      </c>
      <c r="P732" s="348" t="s">
        <v>29</v>
      </c>
      <c r="Q732" s="348" t="s">
        <v>39</v>
      </c>
    </row>
    <row r="733" ht="14.25" customHeight="1">
      <c r="A733" s="211">
        <v>78.0</v>
      </c>
      <c r="B733" s="377" t="s">
        <v>6638</v>
      </c>
      <c r="C733" s="377" t="s">
        <v>6682</v>
      </c>
      <c r="D733" s="380" t="s">
        <v>25</v>
      </c>
      <c r="E733" s="348" t="s">
        <v>57</v>
      </c>
      <c r="F733" s="378"/>
      <c r="G733" s="351">
        <v>25.0</v>
      </c>
      <c r="H733" s="365">
        <v>4.0</v>
      </c>
      <c r="I733" s="348">
        <v>13.0</v>
      </c>
      <c r="J733" s="348" t="s">
        <v>39</v>
      </c>
      <c r="K733" s="348" t="s">
        <v>39</v>
      </c>
      <c r="L733" s="348">
        <v>2.0</v>
      </c>
      <c r="M733" s="352" t="s">
        <v>6612</v>
      </c>
      <c r="N733" s="385" t="s">
        <v>27</v>
      </c>
      <c r="O733" s="348" t="s">
        <v>39</v>
      </c>
      <c r="P733" s="348" t="s">
        <v>29</v>
      </c>
      <c r="Q733" s="348" t="s">
        <v>39</v>
      </c>
    </row>
    <row r="734" ht="14.25" customHeight="1">
      <c r="A734" s="211">
        <v>79.0</v>
      </c>
      <c r="B734" s="377" t="s">
        <v>6622</v>
      </c>
      <c r="C734" s="377" t="s">
        <v>6683</v>
      </c>
      <c r="D734" s="380" t="s">
        <v>25</v>
      </c>
      <c r="E734" s="348" t="s">
        <v>57</v>
      </c>
      <c r="F734" s="378"/>
      <c r="G734" s="351">
        <v>40.0</v>
      </c>
      <c r="H734" s="365">
        <v>4.0</v>
      </c>
      <c r="I734" s="348">
        <v>20.0</v>
      </c>
      <c r="J734" s="348" t="s">
        <v>39</v>
      </c>
      <c r="K734" s="348" t="s">
        <v>39</v>
      </c>
      <c r="L734" s="348">
        <v>1.0</v>
      </c>
      <c r="M734" s="352" t="s">
        <v>6612</v>
      </c>
      <c r="N734" s="385" t="s">
        <v>27</v>
      </c>
      <c r="O734" s="348" t="s">
        <v>39</v>
      </c>
      <c r="P734" s="348" t="s">
        <v>29</v>
      </c>
      <c r="Q734" s="348" t="s">
        <v>39</v>
      </c>
    </row>
    <row r="735" ht="14.25" customHeight="1">
      <c r="A735" s="211">
        <v>80.0</v>
      </c>
      <c r="B735" s="377" t="s">
        <v>1273</v>
      </c>
      <c r="C735" s="377" t="s">
        <v>6683</v>
      </c>
      <c r="D735" s="380" t="s">
        <v>25</v>
      </c>
      <c r="E735" s="348" t="s">
        <v>57</v>
      </c>
      <c r="F735" s="378"/>
      <c r="G735" s="351">
        <v>400.0</v>
      </c>
      <c r="H735" s="365">
        <v>60.0</v>
      </c>
      <c r="I735" s="348">
        <v>300.0</v>
      </c>
      <c r="J735" s="348">
        <v>1.0</v>
      </c>
      <c r="K735" s="348">
        <v>1.0</v>
      </c>
      <c r="L735" s="348" t="s">
        <v>39</v>
      </c>
      <c r="M735" s="352" t="s">
        <v>6612</v>
      </c>
      <c r="N735" s="385" t="s">
        <v>27</v>
      </c>
      <c r="O735" s="348" t="s">
        <v>39</v>
      </c>
      <c r="P735" s="348" t="s">
        <v>29</v>
      </c>
      <c r="Q735" s="348" t="s">
        <v>39</v>
      </c>
    </row>
    <row r="736" ht="14.25" customHeight="1">
      <c r="A736" s="211">
        <v>81.0</v>
      </c>
      <c r="B736" s="377" t="s">
        <v>6638</v>
      </c>
      <c r="C736" s="377" t="s">
        <v>6684</v>
      </c>
      <c r="D736" s="380" t="s">
        <v>25</v>
      </c>
      <c r="E736" s="348" t="s">
        <v>57</v>
      </c>
      <c r="F736" s="378"/>
      <c r="G736" s="351">
        <v>18.0</v>
      </c>
      <c r="H736" s="365">
        <v>3.0</v>
      </c>
      <c r="I736" s="348">
        <v>10.0</v>
      </c>
      <c r="J736" s="348">
        <v>1.0</v>
      </c>
      <c r="K736" s="348">
        <v>1.0</v>
      </c>
      <c r="L736" s="348">
        <v>1.0</v>
      </c>
      <c r="M736" s="352" t="s">
        <v>6612</v>
      </c>
      <c r="N736" s="385" t="s">
        <v>27</v>
      </c>
      <c r="O736" s="348" t="s">
        <v>39</v>
      </c>
      <c r="P736" s="348" t="s">
        <v>29</v>
      </c>
      <c r="Q736" s="348" t="s">
        <v>39</v>
      </c>
    </row>
    <row r="737" ht="14.25" customHeight="1">
      <c r="A737" s="211">
        <v>82.0</v>
      </c>
      <c r="B737" s="377" t="s">
        <v>6685</v>
      </c>
      <c r="C737" s="377" t="s">
        <v>6686</v>
      </c>
      <c r="D737" s="380" t="s">
        <v>25</v>
      </c>
      <c r="E737" s="348" t="s">
        <v>57</v>
      </c>
      <c r="F737" s="378"/>
      <c r="G737" s="351">
        <v>300.0</v>
      </c>
      <c r="H737" s="365">
        <v>15.0</v>
      </c>
      <c r="I737" s="348">
        <v>30.0</v>
      </c>
      <c r="J737" s="348" t="s">
        <v>39</v>
      </c>
      <c r="K737" s="348" t="s">
        <v>39</v>
      </c>
      <c r="L737" s="348">
        <v>2.0</v>
      </c>
      <c r="M737" s="352" t="s">
        <v>6612</v>
      </c>
      <c r="N737" s="348" t="s">
        <v>4215</v>
      </c>
      <c r="O737" s="348" t="s">
        <v>39</v>
      </c>
      <c r="P737" s="348" t="s">
        <v>29</v>
      </c>
      <c r="Q737" s="348" t="s">
        <v>39</v>
      </c>
    </row>
    <row r="738" ht="14.25" customHeight="1">
      <c r="A738" s="211">
        <v>83.0</v>
      </c>
      <c r="B738" s="377" t="s">
        <v>1273</v>
      </c>
      <c r="C738" s="377" t="s">
        <v>6686</v>
      </c>
      <c r="D738" s="380" t="s">
        <v>25</v>
      </c>
      <c r="E738" s="348" t="s">
        <v>57</v>
      </c>
      <c r="F738" s="378"/>
      <c r="G738" s="351">
        <v>650.0</v>
      </c>
      <c r="H738" s="365">
        <v>100.0</v>
      </c>
      <c r="I738" s="348">
        <v>200.0</v>
      </c>
      <c r="J738" s="348">
        <v>1.0</v>
      </c>
      <c r="K738" s="348">
        <v>1.0</v>
      </c>
      <c r="L738" s="348" t="s">
        <v>39</v>
      </c>
      <c r="M738" s="352" t="s">
        <v>6612</v>
      </c>
      <c r="N738" s="348" t="s">
        <v>449</v>
      </c>
      <c r="O738" s="348" t="s">
        <v>39</v>
      </c>
      <c r="P738" s="348" t="s">
        <v>29</v>
      </c>
      <c r="Q738" s="348" t="s">
        <v>39</v>
      </c>
    </row>
    <row r="739" ht="14.25" customHeight="1">
      <c r="A739" s="211">
        <v>84.0</v>
      </c>
      <c r="B739" s="377" t="s">
        <v>6687</v>
      </c>
      <c r="C739" s="377" t="s">
        <v>6686</v>
      </c>
      <c r="D739" s="380" t="s">
        <v>25</v>
      </c>
      <c r="E739" s="348" t="s">
        <v>57</v>
      </c>
      <c r="F739" s="378"/>
      <c r="G739" s="351">
        <v>1000.0</v>
      </c>
      <c r="H739" s="365">
        <v>120.0</v>
      </c>
      <c r="I739" s="348">
        <v>300.0</v>
      </c>
      <c r="J739" s="348">
        <v>1.0</v>
      </c>
      <c r="K739" s="348">
        <v>1.0</v>
      </c>
      <c r="L739" s="348" t="s">
        <v>39</v>
      </c>
      <c r="M739" s="352" t="s">
        <v>6612</v>
      </c>
      <c r="N739" s="348" t="s">
        <v>4215</v>
      </c>
      <c r="O739" s="348" t="s">
        <v>39</v>
      </c>
      <c r="P739" s="348" t="s">
        <v>29</v>
      </c>
      <c r="Q739" s="348" t="s">
        <v>39</v>
      </c>
    </row>
    <row r="740" ht="14.25" customHeight="1">
      <c r="A740" s="211">
        <v>85.0</v>
      </c>
      <c r="B740" s="377" t="s">
        <v>1171</v>
      </c>
      <c r="C740" s="377" t="s">
        <v>6688</v>
      </c>
      <c r="D740" s="380" t="s">
        <v>25</v>
      </c>
      <c r="E740" s="348" t="s">
        <v>57</v>
      </c>
      <c r="F740" s="378"/>
      <c r="G740" s="351">
        <v>200.0</v>
      </c>
      <c r="H740" s="365">
        <v>30.0</v>
      </c>
      <c r="I740" s="348">
        <v>150.0</v>
      </c>
      <c r="J740" s="348">
        <v>1.0</v>
      </c>
      <c r="K740" s="348">
        <v>1.0</v>
      </c>
      <c r="L740" s="348" t="s">
        <v>39</v>
      </c>
      <c r="M740" s="352" t="s">
        <v>6612</v>
      </c>
      <c r="N740" s="385" t="s">
        <v>27</v>
      </c>
      <c r="O740" s="348" t="s">
        <v>39</v>
      </c>
      <c r="P740" s="348" t="s">
        <v>29</v>
      </c>
      <c r="Q740" s="348" t="s">
        <v>39</v>
      </c>
    </row>
    <row r="741" ht="14.25" customHeight="1">
      <c r="A741" s="211">
        <v>86.0</v>
      </c>
      <c r="B741" s="377" t="s">
        <v>6689</v>
      </c>
      <c r="C741" s="377" t="s">
        <v>6688</v>
      </c>
      <c r="D741" s="380" t="s">
        <v>25</v>
      </c>
      <c r="E741" s="348" t="s">
        <v>57</v>
      </c>
      <c r="F741" s="378"/>
      <c r="G741" s="351">
        <v>200.0</v>
      </c>
      <c r="H741" s="365">
        <v>30.0</v>
      </c>
      <c r="I741" s="348">
        <v>150.0</v>
      </c>
      <c r="J741" s="348">
        <v>1.0</v>
      </c>
      <c r="K741" s="348">
        <v>1.0</v>
      </c>
      <c r="L741" s="348" t="s">
        <v>39</v>
      </c>
      <c r="M741" s="352" t="s">
        <v>6612</v>
      </c>
      <c r="N741" s="385" t="s">
        <v>27</v>
      </c>
      <c r="O741" s="348" t="s">
        <v>39</v>
      </c>
      <c r="P741" s="348" t="s">
        <v>29</v>
      </c>
      <c r="Q741" s="348" t="s">
        <v>39</v>
      </c>
    </row>
    <row r="742" ht="14.25" customHeight="1">
      <c r="A742" s="211">
        <v>87.0</v>
      </c>
      <c r="B742" s="377" t="s">
        <v>6690</v>
      </c>
      <c r="C742" s="377" t="s">
        <v>6688</v>
      </c>
      <c r="D742" s="380" t="s">
        <v>25</v>
      </c>
      <c r="E742" s="348" t="s">
        <v>57</v>
      </c>
      <c r="F742" s="378"/>
      <c r="G742" s="351">
        <v>15.0</v>
      </c>
      <c r="H742" s="365">
        <v>6.0</v>
      </c>
      <c r="I742" s="348">
        <v>30.0</v>
      </c>
      <c r="J742" s="348">
        <v>1.0</v>
      </c>
      <c r="K742" s="348">
        <v>1.0</v>
      </c>
      <c r="L742" s="348" t="s">
        <v>39</v>
      </c>
      <c r="M742" s="352" t="s">
        <v>6612</v>
      </c>
      <c r="N742" s="385" t="s">
        <v>27</v>
      </c>
      <c r="O742" s="348" t="s">
        <v>39</v>
      </c>
      <c r="P742" s="348" t="s">
        <v>29</v>
      </c>
      <c r="Q742" s="348" t="s">
        <v>39</v>
      </c>
    </row>
    <row r="743" ht="14.25" customHeight="1">
      <c r="A743" s="211">
        <v>88.0</v>
      </c>
      <c r="B743" s="377" t="s">
        <v>6691</v>
      </c>
      <c r="C743" s="377" t="s">
        <v>6688</v>
      </c>
      <c r="D743" s="380" t="s">
        <v>25</v>
      </c>
      <c r="E743" s="348" t="s">
        <v>57</v>
      </c>
      <c r="F743" s="378"/>
      <c r="G743" s="351">
        <v>350.0</v>
      </c>
      <c r="H743" s="365">
        <v>40.0</v>
      </c>
      <c r="I743" s="348">
        <v>200.0</v>
      </c>
      <c r="J743" s="348">
        <v>1.0</v>
      </c>
      <c r="K743" s="348">
        <v>1.0</v>
      </c>
      <c r="L743" s="348" t="s">
        <v>39</v>
      </c>
      <c r="M743" s="352" t="s">
        <v>6612</v>
      </c>
      <c r="N743" s="385" t="s">
        <v>27</v>
      </c>
      <c r="O743" s="348" t="s">
        <v>39</v>
      </c>
      <c r="P743" s="348" t="s">
        <v>29</v>
      </c>
      <c r="Q743" s="348" t="s">
        <v>39</v>
      </c>
    </row>
    <row r="744" ht="14.25" customHeight="1">
      <c r="A744" s="211">
        <v>89.0</v>
      </c>
      <c r="B744" s="377" t="s">
        <v>6692</v>
      </c>
      <c r="C744" s="377" t="s">
        <v>488</v>
      </c>
      <c r="D744" s="380" t="s">
        <v>25</v>
      </c>
      <c r="E744" s="348" t="s">
        <v>57</v>
      </c>
      <c r="F744" s="378"/>
      <c r="G744" s="351">
        <v>70.0</v>
      </c>
      <c r="H744" s="365">
        <v>45355.0</v>
      </c>
      <c r="I744" s="348">
        <v>10.0</v>
      </c>
      <c r="J744" s="348">
        <v>1.0</v>
      </c>
      <c r="K744" s="348">
        <v>1.0</v>
      </c>
      <c r="L744" s="348" t="s">
        <v>39</v>
      </c>
      <c r="M744" s="352" t="s">
        <v>6612</v>
      </c>
      <c r="N744" s="385" t="s">
        <v>27</v>
      </c>
      <c r="O744" s="348" t="s">
        <v>39</v>
      </c>
      <c r="P744" s="348" t="s">
        <v>29</v>
      </c>
      <c r="Q744" s="348" t="s">
        <v>39</v>
      </c>
    </row>
    <row r="745" ht="14.25" customHeight="1">
      <c r="A745" s="211">
        <v>90.0</v>
      </c>
      <c r="B745" s="377" t="s">
        <v>6693</v>
      </c>
      <c r="C745" s="377" t="s">
        <v>488</v>
      </c>
      <c r="D745" s="380" t="s">
        <v>25</v>
      </c>
      <c r="E745" s="348" t="s">
        <v>57</v>
      </c>
      <c r="F745" s="378"/>
      <c r="G745" s="351">
        <v>15.0</v>
      </c>
      <c r="H745" s="365">
        <v>6.0</v>
      </c>
      <c r="I745" s="348">
        <v>25.0</v>
      </c>
      <c r="J745" s="348">
        <v>1.0</v>
      </c>
      <c r="K745" s="348">
        <v>1.0</v>
      </c>
      <c r="L745" s="348" t="s">
        <v>39</v>
      </c>
      <c r="M745" s="352" t="s">
        <v>6612</v>
      </c>
      <c r="N745" s="385" t="s">
        <v>27</v>
      </c>
      <c r="O745" s="348" t="s">
        <v>39</v>
      </c>
      <c r="P745" s="348" t="s">
        <v>29</v>
      </c>
      <c r="Q745" s="348" t="s">
        <v>39</v>
      </c>
    </row>
    <row r="746" ht="14.25" customHeight="1">
      <c r="A746" s="211">
        <v>91.0</v>
      </c>
      <c r="B746" s="377" t="s">
        <v>6694</v>
      </c>
      <c r="C746" s="377" t="s">
        <v>6695</v>
      </c>
      <c r="D746" s="380" t="s">
        <v>25</v>
      </c>
      <c r="E746" s="348" t="s">
        <v>57</v>
      </c>
      <c r="F746" s="378"/>
      <c r="G746" s="351">
        <v>400.0</v>
      </c>
      <c r="H746" s="365">
        <v>100.0</v>
      </c>
      <c r="I746" s="348">
        <v>280.0</v>
      </c>
      <c r="J746" s="348">
        <v>1.0</v>
      </c>
      <c r="K746" s="348">
        <v>1.0</v>
      </c>
      <c r="L746" s="348" t="s">
        <v>39</v>
      </c>
      <c r="M746" s="352" t="s">
        <v>6612</v>
      </c>
      <c r="N746" s="385" t="s">
        <v>27</v>
      </c>
      <c r="O746" s="348" t="s">
        <v>39</v>
      </c>
      <c r="P746" s="348" t="s">
        <v>29</v>
      </c>
      <c r="Q746" s="348" t="s">
        <v>39</v>
      </c>
    </row>
    <row r="747" ht="14.25" customHeight="1">
      <c r="A747" s="211">
        <v>92.0</v>
      </c>
      <c r="B747" s="377" t="s">
        <v>6696</v>
      </c>
      <c r="C747" s="377" t="s">
        <v>6697</v>
      </c>
      <c r="D747" s="380" t="s">
        <v>25</v>
      </c>
      <c r="E747" s="348" t="s">
        <v>57</v>
      </c>
      <c r="F747" s="378"/>
      <c r="G747" s="351">
        <v>100.0</v>
      </c>
      <c r="H747" s="365">
        <v>15.0</v>
      </c>
      <c r="I747" s="348">
        <v>50.0</v>
      </c>
      <c r="J747" s="348">
        <v>1.0</v>
      </c>
      <c r="K747" s="348">
        <v>1.0</v>
      </c>
      <c r="L747" s="348" t="s">
        <v>39</v>
      </c>
      <c r="M747" s="352" t="s">
        <v>27</v>
      </c>
      <c r="N747" s="348" t="s">
        <v>172</v>
      </c>
      <c r="O747" s="348" t="s">
        <v>39</v>
      </c>
      <c r="P747" s="348" t="s">
        <v>29</v>
      </c>
      <c r="Q747" s="348" t="s">
        <v>39</v>
      </c>
    </row>
    <row r="748" ht="14.25" customHeight="1">
      <c r="A748" s="211">
        <v>93.0</v>
      </c>
      <c r="B748" s="377" t="s">
        <v>1273</v>
      </c>
      <c r="C748" s="377" t="s">
        <v>6697</v>
      </c>
      <c r="D748" s="380" t="s">
        <v>25</v>
      </c>
      <c r="E748" s="348" t="s">
        <v>57</v>
      </c>
      <c r="F748" s="378"/>
      <c r="G748" s="351">
        <v>200.0</v>
      </c>
      <c r="H748" s="365">
        <v>30.0</v>
      </c>
      <c r="I748" s="348">
        <v>150.0</v>
      </c>
      <c r="J748" s="348">
        <v>1.0</v>
      </c>
      <c r="K748" s="348">
        <v>1.0</v>
      </c>
      <c r="L748" s="348" t="s">
        <v>39</v>
      </c>
      <c r="M748" s="352" t="s">
        <v>27</v>
      </c>
      <c r="N748" s="348" t="s">
        <v>172</v>
      </c>
      <c r="O748" s="348" t="s">
        <v>39</v>
      </c>
      <c r="P748" s="348" t="s">
        <v>29</v>
      </c>
      <c r="Q748" s="348" t="s">
        <v>39</v>
      </c>
    </row>
    <row r="749" ht="14.25" customHeight="1">
      <c r="A749" s="211">
        <v>94.0</v>
      </c>
      <c r="B749" s="377" t="s">
        <v>3490</v>
      </c>
      <c r="C749" s="377" t="s">
        <v>6698</v>
      </c>
      <c r="D749" s="380" t="s">
        <v>25</v>
      </c>
      <c r="E749" s="348" t="s">
        <v>57</v>
      </c>
      <c r="F749" s="378"/>
      <c r="G749" s="351">
        <v>150.0</v>
      </c>
      <c r="H749" s="365">
        <v>45580.0</v>
      </c>
      <c r="I749" s="348" t="s">
        <v>6699</v>
      </c>
      <c r="J749" s="348">
        <v>1.0</v>
      </c>
      <c r="K749" s="348">
        <v>1.0</v>
      </c>
      <c r="L749" s="348" t="s">
        <v>39</v>
      </c>
      <c r="M749" s="352" t="s">
        <v>6612</v>
      </c>
      <c r="N749" s="348" t="s">
        <v>27</v>
      </c>
      <c r="O749" s="348" t="s">
        <v>39</v>
      </c>
      <c r="P749" s="348" t="s">
        <v>29</v>
      </c>
      <c r="Q749" s="348" t="s">
        <v>39</v>
      </c>
    </row>
    <row r="750" ht="14.25" customHeight="1">
      <c r="A750" s="211">
        <v>95.0</v>
      </c>
      <c r="B750" s="377" t="s">
        <v>6700</v>
      </c>
      <c r="C750" s="377" t="s">
        <v>6701</v>
      </c>
      <c r="D750" s="380" t="s">
        <v>25</v>
      </c>
      <c r="E750" s="348" t="s">
        <v>57</v>
      </c>
      <c r="F750" s="378"/>
      <c r="G750" s="351">
        <v>25.0</v>
      </c>
      <c r="H750" s="365">
        <v>4.0</v>
      </c>
      <c r="I750" s="348">
        <v>15.0</v>
      </c>
      <c r="J750" s="348">
        <v>1.0</v>
      </c>
      <c r="K750" s="348">
        <v>1.0</v>
      </c>
      <c r="L750" s="348" t="s">
        <v>39</v>
      </c>
      <c r="M750" s="352" t="s">
        <v>6612</v>
      </c>
      <c r="N750" s="348" t="s">
        <v>27</v>
      </c>
      <c r="O750" s="348" t="s">
        <v>39</v>
      </c>
      <c r="P750" s="348" t="s">
        <v>29</v>
      </c>
      <c r="Q750" s="348" t="s">
        <v>39</v>
      </c>
    </row>
    <row r="751" ht="14.25" customHeight="1">
      <c r="A751" s="211">
        <v>96.0</v>
      </c>
      <c r="B751" s="377" t="s">
        <v>6702</v>
      </c>
      <c r="C751" s="377" t="s">
        <v>6703</v>
      </c>
      <c r="D751" s="380" t="s">
        <v>25</v>
      </c>
      <c r="E751" s="348" t="s">
        <v>57</v>
      </c>
      <c r="F751" s="378"/>
      <c r="G751" s="351">
        <v>50.0</v>
      </c>
      <c r="H751" s="365">
        <v>8.0</v>
      </c>
      <c r="I751" s="348" t="s">
        <v>6704</v>
      </c>
      <c r="J751" s="348" t="s">
        <v>39</v>
      </c>
      <c r="K751" s="348" t="s">
        <v>39</v>
      </c>
      <c r="L751" s="348">
        <v>1.0</v>
      </c>
      <c r="M751" s="352" t="s">
        <v>6612</v>
      </c>
      <c r="N751" s="348" t="s">
        <v>27</v>
      </c>
      <c r="O751" s="348" t="s">
        <v>39</v>
      </c>
      <c r="P751" s="348" t="s">
        <v>29</v>
      </c>
      <c r="Q751" s="348" t="s">
        <v>39</v>
      </c>
    </row>
    <row r="752" ht="14.25" customHeight="1">
      <c r="A752" s="211">
        <v>97.0</v>
      </c>
      <c r="B752" s="377" t="s">
        <v>6705</v>
      </c>
      <c r="C752" s="377" t="s">
        <v>6703</v>
      </c>
      <c r="D752" s="380" t="s">
        <v>25</v>
      </c>
      <c r="E752" s="348" t="s">
        <v>57</v>
      </c>
      <c r="F752" s="378"/>
      <c r="G752" s="351">
        <v>31.0</v>
      </c>
      <c r="H752" s="365">
        <v>4.0</v>
      </c>
      <c r="I752" s="348">
        <v>20.0</v>
      </c>
      <c r="J752" s="348">
        <v>1.0</v>
      </c>
      <c r="K752" s="348">
        <v>1.0</v>
      </c>
      <c r="L752" s="348" t="s">
        <v>39</v>
      </c>
      <c r="M752" s="352" t="s">
        <v>6612</v>
      </c>
      <c r="N752" s="348" t="s">
        <v>27</v>
      </c>
      <c r="O752" s="348" t="s">
        <v>39</v>
      </c>
      <c r="P752" s="348" t="s">
        <v>29</v>
      </c>
      <c r="Q752" s="348" t="s">
        <v>39</v>
      </c>
    </row>
    <row r="753" ht="14.25" customHeight="1">
      <c r="A753" s="211">
        <v>98.0</v>
      </c>
      <c r="B753" s="377" t="s">
        <v>6638</v>
      </c>
      <c r="C753" s="377" t="s">
        <v>6706</v>
      </c>
      <c r="D753" s="380" t="s">
        <v>25</v>
      </c>
      <c r="E753" s="348" t="s">
        <v>57</v>
      </c>
      <c r="F753" s="378"/>
      <c r="G753" s="351">
        <v>200.0</v>
      </c>
      <c r="H753" s="365">
        <v>15.0</v>
      </c>
      <c r="I753" s="348">
        <v>40.0</v>
      </c>
      <c r="J753" s="348" t="s">
        <v>39</v>
      </c>
      <c r="K753" s="348" t="s">
        <v>39</v>
      </c>
      <c r="L753" s="348">
        <v>2.0</v>
      </c>
      <c r="M753" s="352" t="s">
        <v>6707</v>
      </c>
      <c r="N753" s="348" t="s">
        <v>6708</v>
      </c>
      <c r="O753" s="348" t="s">
        <v>39</v>
      </c>
      <c r="P753" s="348" t="s">
        <v>29</v>
      </c>
      <c r="Q753" s="348" t="s">
        <v>39</v>
      </c>
    </row>
    <row r="754" ht="14.25" customHeight="1">
      <c r="A754" s="211">
        <v>99.0</v>
      </c>
      <c r="B754" s="377" t="s">
        <v>6709</v>
      </c>
      <c r="C754" s="377" t="s">
        <v>6706</v>
      </c>
      <c r="D754" s="380" t="s">
        <v>25</v>
      </c>
      <c r="E754" s="348" t="s">
        <v>57</v>
      </c>
      <c r="F754" s="378"/>
      <c r="G754" s="351">
        <v>120.0</v>
      </c>
      <c r="H754" s="365">
        <v>3.0</v>
      </c>
      <c r="I754" s="348">
        <v>15.0</v>
      </c>
      <c r="J754" s="348" t="s">
        <v>39</v>
      </c>
      <c r="K754" s="348" t="s">
        <v>39</v>
      </c>
      <c r="L754" s="348">
        <v>1.0</v>
      </c>
      <c r="M754" s="352" t="s">
        <v>6707</v>
      </c>
      <c r="N754" s="348" t="s">
        <v>6708</v>
      </c>
      <c r="O754" s="348" t="s">
        <v>39</v>
      </c>
      <c r="P754" s="348" t="s">
        <v>29</v>
      </c>
      <c r="Q754" s="348" t="s">
        <v>39</v>
      </c>
    </row>
    <row r="755" ht="14.25" customHeight="1">
      <c r="A755" s="211">
        <v>100.0</v>
      </c>
      <c r="B755" s="377" t="s">
        <v>6700</v>
      </c>
      <c r="C755" s="377" t="s">
        <v>6706</v>
      </c>
      <c r="D755" s="380" t="s">
        <v>25</v>
      </c>
      <c r="E755" s="348" t="s">
        <v>57</v>
      </c>
      <c r="F755" s="378"/>
      <c r="G755" s="351">
        <v>200.0</v>
      </c>
      <c r="H755" s="365">
        <v>20.0</v>
      </c>
      <c r="I755" s="348">
        <v>50.0</v>
      </c>
      <c r="J755" s="348" t="s">
        <v>39</v>
      </c>
      <c r="K755" s="348" t="s">
        <v>39</v>
      </c>
      <c r="L755" s="348">
        <v>1.0</v>
      </c>
      <c r="M755" s="352" t="s">
        <v>6707</v>
      </c>
      <c r="N755" s="348" t="s">
        <v>6708</v>
      </c>
      <c r="O755" s="348" t="s">
        <v>39</v>
      </c>
      <c r="P755" s="348" t="s">
        <v>29</v>
      </c>
      <c r="Q755" s="348" t="s">
        <v>39</v>
      </c>
    </row>
    <row r="756" ht="14.25" customHeight="1">
      <c r="A756" s="211">
        <v>101.0</v>
      </c>
      <c r="B756" s="377" t="s">
        <v>6638</v>
      </c>
      <c r="C756" s="377" t="s">
        <v>6710</v>
      </c>
      <c r="D756" s="380" t="s">
        <v>25</v>
      </c>
      <c r="E756" s="348" t="s">
        <v>57</v>
      </c>
      <c r="F756" s="378"/>
      <c r="G756" s="351">
        <v>50.0</v>
      </c>
      <c r="H756" s="365">
        <v>5.0</v>
      </c>
      <c r="I756" s="348">
        <v>25.0</v>
      </c>
      <c r="J756" s="348">
        <v>1.0</v>
      </c>
      <c r="K756" s="348">
        <v>1.0</v>
      </c>
      <c r="L756" s="348">
        <v>1.0</v>
      </c>
      <c r="M756" s="352" t="s">
        <v>6707</v>
      </c>
      <c r="N756" s="348" t="s">
        <v>172</v>
      </c>
      <c r="O756" s="348" t="s">
        <v>39</v>
      </c>
      <c r="P756" s="348" t="s">
        <v>29</v>
      </c>
      <c r="Q756" s="348" t="s">
        <v>39</v>
      </c>
    </row>
    <row r="757" ht="14.25" customHeight="1">
      <c r="A757" s="211">
        <v>102.0</v>
      </c>
      <c r="B757" s="377" t="s">
        <v>6711</v>
      </c>
      <c r="C757" s="377" t="s">
        <v>6710</v>
      </c>
      <c r="D757" s="380" t="s">
        <v>25</v>
      </c>
      <c r="E757" s="348" t="s">
        <v>57</v>
      </c>
      <c r="F757" s="378"/>
      <c r="G757" s="351">
        <v>50.0</v>
      </c>
      <c r="H757" s="365">
        <v>5.0</v>
      </c>
      <c r="I757" s="348">
        <v>25.0</v>
      </c>
      <c r="J757" s="348" t="s">
        <v>39</v>
      </c>
      <c r="K757" s="348" t="s">
        <v>39</v>
      </c>
      <c r="L757" s="348">
        <v>1.0</v>
      </c>
      <c r="M757" s="352" t="s">
        <v>6707</v>
      </c>
      <c r="N757" s="348" t="s">
        <v>172</v>
      </c>
      <c r="O757" s="348" t="s">
        <v>39</v>
      </c>
      <c r="P757" s="348" t="s">
        <v>29</v>
      </c>
      <c r="Q757" s="348" t="s">
        <v>39</v>
      </c>
    </row>
    <row r="758" ht="14.25" customHeight="1">
      <c r="A758" s="211">
        <v>103.0</v>
      </c>
      <c r="B758" s="377" t="s">
        <v>6712</v>
      </c>
      <c r="C758" s="377" t="s">
        <v>6710</v>
      </c>
      <c r="D758" s="380" t="s">
        <v>25</v>
      </c>
      <c r="E758" s="348" t="s">
        <v>57</v>
      </c>
      <c r="F758" s="378"/>
      <c r="G758" s="351">
        <v>50.0</v>
      </c>
      <c r="H758" s="365">
        <v>5.0</v>
      </c>
      <c r="I758" s="348">
        <v>25.0</v>
      </c>
      <c r="J758" s="348" t="s">
        <v>39</v>
      </c>
      <c r="K758" s="348" t="s">
        <v>39</v>
      </c>
      <c r="L758" s="348">
        <v>1.0</v>
      </c>
      <c r="M758" s="352" t="s">
        <v>6707</v>
      </c>
      <c r="N758" s="348" t="s">
        <v>172</v>
      </c>
      <c r="O758" s="348" t="s">
        <v>39</v>
      </c>
      <c r="P758" s="348" t="s">
        <v>29</v>
      </c>
      <c r="Q758" s="348" t="s">
        <v>39</v>
      </c>
    </row>
    <row r="759" ht="14.25" customHeight="1">
      <c r="A759" s="211">
        <v>104.0</v>
      </c>
      <c r="B759" s="377" t="s">
        <v>6638</v>
      </c>
      <c r="C759" s="377" t="s">
        <v>6713</v>
      </c>
      <c r="D759" s="380" t="s">
        <v>25</v>
      </c>
      <c r="E759" s="348" t="s">
        <v>57</v>
      </c>
      <c r="F759" s="378"/>
      <c r="G759" s="351">
        <v>150.0</v>
      </c>
      <c r="H759" s="365">
        <v>15.0</v>
      </c>
      <c r="I759" s="348">
        <v>80.0</v>
      </c>
      <c r="J759" s="348" t="s">
        <v>1257</v>
      </c>
      <c r="K759" s="348" t="s">
        <v>1257</v>
      </c>
      <c r="L759" s="348">
        <v>1.0</v>
      </c>
      <c r="M759" s="352" t="s">
        <v>6612</v>
      </c>
      <c r="N759" s="348" t="s">
        <v>27</v>
      </c>
      <c r="O759" s="348" t="s">
        <v>39</v>
      </c>
      <c r="P759" s="348" t="s">
        <v>29</v>
      </c>
      <c r="Q759" s="348" t="s">
        <v>39</v>
      </c>
    </row>
    <row r="760" ht="14.25" customHeight="1">
      <c r="A760" s="211">
        <v>105.0</v>
      </c>
      <c r="B760" s="377" t="s">
        <v>6638</v>
      </c>
      <c r="C760" s="377" t="s">
        <v>6714</v>
      </c>
      <c r="D760" s="380" t="s">
        <v>25</v>
      </c>
      <c r="E760" s="348" t="s">
        <v>57</v>
      </c>
      <c r="F760" s="378"/>
      <c r="G760" s="351">
        <v>50.0</v>
      </c>
      <c r="H760" s="365">
        <v>8.0</v>
      </c>
      <c r="I760" s="348">
        <v>40.0</v>
      </c>
      <c r="J760" s="348" t="s">
        <v>39</v>
      </c>
      <c r="K760" s="348" t="s">
        <v>39</v>
      </c>
      <c r="L760" s="348">
        <v>1.0</v>
      </c>
      <c r="M760" s="352" t="s">
        <v>6612</v>
      </c>
      <c r="N760" s="348" t="s">
        <v>27</v>
      </c>
      <c r="O760" s="348" t="s">
        <v>39</v>
      </c>
      <c r="P760" s="348" t="s">
        <v>29</v>
      </c>
      <c r="Q760" s="348" t="s">
        <v>39</v>
      </c>
    </row>
    <row r="761" ht="14.25" customHeight="1">
      <c r="A761" s="211">
        <v>106.0</v>
      </c>
      <c r="B761" s="377" t="s">
        <v>6715</v>
      </c>
      <c r="C761" s="377" t="s">
        <v>6714</v>
      </c>
      <c r="D761" s="380" t="s">
        <v>25</v>
      </c>
      <c r="E761" s="348" t="s">
        <v>57</v>
      </c>
      <c r="F761" s="378"/>
      <c r="G761" s="351">
        <v>200.0</v>
      </c>
      <c r="H761" s="365">
        <v>15.0</v>
      </c>
      <c r="I761" s="348">
        <v>75.0</v>
      </c>
      <c r="J761" s="348" t="s">
        <v>39</v>
      </c>
      <c r="K761" s="348" t="s">
        <v>39</v>
      </c>
      <c r="L761" s="348" t="s">
        <v>39</v>
      </c>
      <c r="M761" s="352" t="s">
        <v>6612</v>
      </c>
      <c r="N761" s="348" t="s">
        <v>27</v>
      </c>
      <c r="O761" s="348" t="s">
        <v>39</v>
      </c>
      <c r="P761" s="348" t="s">
        <v>29</v>
      </c>
      <c r="Q761" s="348" t="s">
        <v>39</v>
      </c>
    </row>
    <row r="762" ht="14.25" customHeight="1">
      <c r="A762" s="211">
        <v>107.0</v>
      </c>
      <c r="B762" s="377" t="s">
        <v>6716</v>
      </c>
      <c r="C762" s="377" t="s">
        <v>6714</v>
      </c>
      <c r="D762" s="380" t="s">
        <v>25</v>
      </c>
      <c r="E762" s="348" t="s">
        <v>57</v>
      </c>
      <c r="F762" s="378"/>
      <c r="G762" s="351">
        <v>800.0</v>
      </c>
      <c r="H762" s="365">
        <v>150.0</v>
      </c>
      <c r="I762" s="348">
        <v>750.0</v>
      </c>
      <c r="J762" s="348" t="s">
        <v>39</v>
      </c>
      <c r="K762" s="348" t="s">
        <v>39</v>
      </c>
      <c r="L762" s="348">
        <v>1.0</v>
      </c>
      <c r="M762" s="352" t="s">
        <v>6612</v>
      </c>
      <c r="N762" s="348" t="s">
        <v>27</v>
      </c>
      <c r="O762" s="348" t="s">
        <v>39</v>
      </c>
      <c r="P762" s="348" t="s">
        <v>29</v>
      </c>
      <c r="Q762" s="348" t="s">
        <v>39</v>
      </c>
    </row>
    <row r="763" ht="14.25" customHeight="1">
      <c r="A763" s="211">
        <v>108.0</v>
      </c>
      <c r="B763" s="377" t="s">
        <v>6638</v>
      </c>
      <c r="C763" s="377" t="s">
        <v>6717</v>
      </c>
      <c r="D763" s="380" t="s">
        <v>25</v>
      </c>
      <c r="E763" s="348" t="s">
        <v>57</v>
      </c>
      <c r="F763" s="378"/>
      <c r="G763" s="351">
        <v>700.0</v>
      </c>
      <c r="H763" s="365">
        <v>40.0</v>
      </c>
      <c r="I763" s="348">
        <v>200.0</v>
      </c>
      <c r="J763" s="348">
        <v>2.0</v>
      </c>
      <c r="K763" s="348">
        <v>1.0</v>
      </c>
      <c r="L763" s="348" t="s">
        <v>39</v>
      </c>
      <c r="M763" s="352" t="s">
        <v>6612</v>
      </c>
      <c r="N763" s="348" t="s">
        <v>27</v>
      </c>
      <c r="O763" s="348" t="s">
        <v>39</v>
      </c>
      <c r="P763" s="348" t="s">
        <v>29</v>
      </c>
      <c r="Q763" s="348" t="s">
        <v>39</v>
      </c>
    </row>
    <row r="764" ht="14.25" customHeight="1">
      <c r="A764" s="211">
        <v>109.0</v>
      </c>
      <c r="B764" s="377" t="s">
        <v>6718</v>
      </c>
      <c r="C764" s="377" t="s">
        <v>3665</v>
      </c>
      <c r="D764" s="380" t="s">
        <v>25</v>
      </c>
      <c r="E764" s="348" t="s">
        <v>57</v>
      </c>
      <c r="F764" s="378"/>
      <c r="G764" s="351">
        <v>150.0</v>
      </c>
      <c r="H764" s="365">
        <v>20.0</v>
      </c>
      <c r="I764" s="348">
        <v>30.0</v>
      </c>
      <c r="J764" s="348">
        <v>1.0</v>
      </c>
      <c r="K764" s="348">
        <v>1.0</v>
      </c>
      <c r="L764" s="348" t="s">
        <v>39</v>
      </c>
      <c r="M764" s="352" t="s">
        <v>6612</v>
      </c>
      <c r="N764" s="348" t="s">
        <v>27</v>
      </c>
      <c r="O764" s="348" t="s">
        <v>39</v>
      </c>
      <c r="P764" s="348" t="s">
        <v>29</v>
      </c>
      <c r="Q764" s="348" t="s">
        <v>39</v>
      </c>
    </row>
    <row r="765" ht="14.25" customHeight="1">
      <c r="A765" s="211">
        <v>110.0</v>
      </c>
      <c r="B765" s="377" t="s">
        <v>933</v>
      </c>
      <c r="C765" s="377" t="s">
        <v>6719</v>
      </c>
      <c r="D765" s="380" t="s">
        <v>25</v>
      </c>
      <c r="E765" s="348" t="s">
        <v>57</v>
      </c>
      <c r="F765" s="378"/>
      <c r="G765" s="351">
        <v>1500.0</v>
      </c>
      <c r="H765" s="365">
        <v>30.0</v>
      </c>
      <c r="I765" s="348">
        <v>80.0</v>
      </c>
      <c r="J765" s="348">
        <v>2.0</v>
      </c>
      <c r="K765" s="348">
        <v>2.0</v>
      </c>
      <c r="L765" s="348" t="s">
        <v>39</v>
      </c>
      <c r="M765" s="352" t="s">
        <v>6612</v>
      </c>
      <c r="N765" s="348" t="s">
        <v>27</v>
      </c>
      <c r="O765" s="348" t="s">
        <v>39</v>
      </c>
      <c r="P765" s="348" t="s">
        <v>29</v>
      </c>
      <c r="Q765" s="348" t="s">
        <v>39</v>
      </c>
    </row>
    <row r="766" ht="14.25" customHeight="1">
      <c r="A766" s="211">
        <v>111.0</v>
      </c>
      <c r="B766" s="377" t="s">
        <v>6720</v>
      </c>
      <c r="C766" s="377" t="s">
        <v>6721</v>
      </c>
      <c r="D766" s="380" t="s">
        <v>25</v>
      </c>
      <c r="E766" s="348" t="s">
        <v>57</v>
      </c>
      <c r="F766" s="378"/>
      <c r="G766" s="351">
        <v>300.0</v>
      </c>
      <c r="H766" s="365">
        <v>10.0</v>
      </c>
      <c r="I766" s="348">
        <v>50.0</v>
      </c>
      <c r="J766" s="348" t="s">
        <v>39</v>
      </c>
      <c r="K766" s="348" t="s">
        <v>39</v>
      </c>
      <c r="L766" s="348">
        <v>1.0</v>
      </c>
      <c r="M766" s="352" t="s">
        <v>6612</v>
      </c>
      <c r="N766" s="348" t="s">
        <v>27</v>
      </c>
      <c r="O766" s="348" t="s">
        <v>39</v>
      </c>
      <c r="P766" s="348" t="s">
        <v>29</v>
      </c>
      <c r="Q766" s="348" t="s">
        <v>39</v>
      </c>
    </row>
    <row r="767" ht="14.25" customHeight="1">
      <c r="A767" s="211">
        <v>112.0</v>
      </c>
      <c r="B767" s="377" t="s">
        <v>6722</v>
      </c>
      <c r="C767" s="377" t="s">
        <v>6723</v>
      </c>
      <c r="D767" s="380" t="s">
        <v>25</v>
      </c>
      <c r="E767" s="348" t="s">
        <v>57</v>
      </c>
      <c r="F767" s="378"/>
      <c r="G767" s="351">
        <v>800.0</v>
      </c>
      <c r="H767" s="365">
        <v>150.0</v>
      </c>
      <c r="I767" s="348">
        <v>200.0</v>
      </c>
      <c r="J767" s="348">
        <v>1.0</v>
      </c>
      <c r="K767" s="348">
        <v>1.0</v>
      </c>
      <c r="L767" s="348">
        <v>1.0</v>
      </c>
      <c r="M767" s="352" t="s">
        <v>6612</v>
      </c>
      <c r="N767" s="348" t="s">
        <v>27</v>
      </c>
      <c r="O767" s="348" t="s">
        <v>39</v>
      </c>
      <c r="P767" s="348" t="s">
        <v>29</v>
      </c>
      <c r="Q767" s="348" t="s">
        <v>39</v>
      </c>
    </row>
    <row r="768" ht="14.25" customHeight="1">
      <c r="A768" s="211">
        <v>113.0</v>
      </c>
      <c r="B768" s="377" t="s">
        <v>3490</v>
      </c>
      <c r="C768" s="377" t="s">
        <v>6724</v>
      </c>
      <c r="D768" s="380" t="s">
        <v>25</v>
      </c>
      <c r="E768" s="348" t="s">
        <v>57</v>
      </c>
      <c r="F768" s="378"/>
      <c r="G768" s="351">
        <v>240.0</v>
      </c>
      <c r="H768" s="365">
        <v>7.0</v>
      </c>
      <c r="I768" s="348">
        <v>30.0</v>
      </c>
      <c r="J768" s="348">
        <v>1.0</v>
      </c>
      <c r="K768" s="348">
        <v>1.0</v>
      </c>
      <c r="L768" s="348" t="s">
        <v>39</v>
      </c>
      <c r="M768" s="352" t="s">
        <v>6612</v>
      </c>
      <c r="N768" s="348" t="s">
        <v>27</v>
      </c>
      <c r="O768" s="348" t="s">
        <v>39</v>
      </c>
      <c r="P768" s="348" t="s">
        <v>29</v>
      </c>
      <c r="Q768" s="348" t="s">
        <v>39</v>
      </c>
    </row>
    <row r="769" ht="14.25" customHeight="1">
      <c r="A769" s="211">
        <v>114.0</v>
      </c>
      <c r="B769" s="377" t="s">
        <v>6725</v>
      </c>
      <c r="C769" s="377" t="s">
        <v>6724</v>
      </c>
      <c r="D769" s="380" t="s">
        <v>25</v>
      </c>
      <c r="E769" s="348" t="s">
        <v>57</v>
      </c>
      <c r="F769" s="378"/>
      <c r="G769" s="351">
        <v>42.0</v>
      </c>
      <c r="H769" s="365">
        <v>5.0</v>
      </c>
      <c r="I769" s="348">
        <v>20.0</v>
      </c>
      <c r="J769" s="348" t="s">
        <v>39</v>
      </c>
      <c r="K769" s="348" t="s">
        <v>39</v>
      </c>
      <c r="L769" s="348">
        <v>2.0</v>
      </c>
      <c r="M769" s="352" t="s">
        <v>6612</v>
      </c>
      <c r="N769" s="348" t="s">
        <v>27</v>
      </c>
      <c r="O769" s="348" t="s">
        <v>39</v>
      </c>
      <c r="P769" s="348" t="s">
        <v>29</v>
      </c>
      <c r="Q769" s="348" t="s">
        <v>39</v>
      </c>
    </row>
    <row r="770" ht="14.25" customHeight="1">
      <c r="A770" s="211">
        <v>115.0</v>
      </c>
      <c r="B770" s="377" t="s">
        <v>6638</v>
      </c>
      <c r="C770" s="377" t="s">
        <v>6726</v>
      </c>
      <c r="D770" s="380" t="s">
        <v>25</v>
      </c>
      <c r="E770" s="348" t="s">
        <v>57</v>
      </c>
      <c r="F770" s="378"/>
      <c r="G770" s="351">
        <v>50.0</v>
      </c>
      <c r="H770" s="365">
        <v>5.0</v>
      </c>
      <c r="I770" s="348">
        <v>25.0</v>
      </c>
      <c r="J770" s="348" t="s">
        <v>39</v>
      </c>
      <c r="K770" s="348" t="s">
        <v>39</v>
      </c>
      <c r="L770" s="348">
        <v>1.0</v>
      </c>
      <c r="M770" s="352" t="s">
        <v>6612</v>
      </c>
      <c r="N770" s="348" t="s">
        <v>27</v>
      </c>
      <c r="O770" s="348" t="s">
        <v>39</v>
      </c>
      <c r="P770" s="348" t="s">
        <v>29</v>
      </c>
      <c r="Q770" s="348" t="s">
        <v>39</v>
      </c>
    </row>
    <row r="771" ht="14.25" customHeight="1">
      <c r="A771" s="211">
        <v>116.0</v>
      </c>
      <c r="B771" s="377" t="s">
        <v>6727</v>
      </c>
      <c r="C771" s="377" t="s">
        <v>6728</v>
      </c>
      <c r="D771" s="380" t="s">
        <v>25</v>
      </c>
      <c r="E771" s="348" t="s">
        <v>57</v>
      </c>
      <c r="F771" s="378"/>
      <c r="G771" s="351">
        <v>100.0</v>
      </c>
      <c r="H771" s="365">
        <v>6.0</v>
      </c>
      <c r="I771" s="348">
        <v>25.0</v>
      </c>
      <c r="J771" s="348">
        <v>1.0</v>
      </c>
      <c r="K771" s="348">
        <v>1.0</v>
      </c>
      <c r="L771" s="348" t="s">
        <v>39</v>
      </c>
      <c r="M771" s="352" t="s">
        <v>6612</v>
      </c>
      <c r="N771" s="348" t="s">
        <v>27</v>
      </c>
      <c r="O771" s="348" t="s">
        <v>39</v>
      </c>
      <c r="P771" s="348" t="s">
        <v>29</v>
      </c>
      <c r="Q771" s="348" t="s">
        <v>39</v>
      </c>
    </row>
    <row r="772" ht="14.25" customHeight="1">
      <c r="A772" s="211">
        <v>117.0</v>
      </c>
      <c r="B772" s="377" t="s">
        <v>6637</v>
      </c>
      <c r="C772" s="377" t="s">
        <v>6728</v>
      </c>
      <c r="D772" s="380" t="s">
        <v>25</v>
      </c>
      <c r="E772" s="348" t="s">
        <v>57</v>
      </c>
      <c r="F772" s="378"/>
      <c r="G772" s="351">
        <v>875.0</v>
      </c>
      <c r="H772" s="365">
        <v>50.0</v>
      </c>
      <c r="I772" s="348">
        <v>250.0</v>
      </c>
      <c r="J772" s="348">
        <v>1.0</v>
      </c>
      <c r="K772" s="348">
        <v>1.0</v>
      </c>
      <c r="L772" s="348" t="s">
        <v>39</v>
      </c>
      <c r="M772" s="352" t="s">
        <v>6612</v>
      </c>
      <c r="N772" s="348" t="s">
        <v>27</v>
      </c>
      <c r="O772" s="348" t="s">
        <v>39</v>
      </c>
      <c r="P772" s="348" t="s">
        <v>29</v>
      </c>
      <c r="Q772" s="348" t="s">
        <v>39</v>
      </c>
    </row>
    <row r="773" ht="14.25" customHeight="1">
      <c r="A773" s="211">
        <v>118.0</v>
      </c>
      <c r="B773" s="377" t="s">
        <v>6638</v>
      </c>
      <c r="C773" s="377" t="s">
        <v>6729</v>
      </c>
      <c r="D773" s="380" t="s">
        <v>25</v>
      </c>
      <c r="E773" s="348" t="s">
        <v>57</v>
      </c>
      <c r="F773" s="378"/>
      <c r="G773" s="351">
        <v>875.0</v>
      </c>
      <c r="H773" s="365">
        <v>50.0</v>
      </c>
      <c r="I773" s="348">
        <v>250.0</v>
      </c>
      <c r="J773" s="348">
        <v>1.0</v>
      </c>
      <c r="K773" s="348">
        <v>1.0</v>
      </c>
      <c r="L773" s="348" t="s">
        <v>39</v>
      </c>
      <c r="M773" s="352" t="s">
        <v>6612</v>
      </c>
      <c r="N773" s="348" t="s">
        <v>27</v>
      </c>
      <c r="O773" s="348" t="s">
        <v>39</v>
      </c>
      <c r="P773" s="348" t="s">
        <v>29</v>
      </c>
      <c r="Q773" s="348" t="s">
        <v>39</v>
      </c>
    </row>
    <row r="774" ht="14.25" customHeight="1">
      <c r="A774" s="211">
        <v>119.0</v>
      </c>
      <c r="B774" s="377" t="s">
        <v>6730</v>
      </c>
      <c r="C774" s="377" t="s">
        <v>6729</v>
      </c>
      <c r="D774" s="380" t="s">
        <v>25</v>
      </c>
      <c r="E774" s="348" t="s">
        <v>57</v>
      </c>
      <c r="F774" s="378"/>
      <c r="G774" s="351">
        <v>1000.0</v>
      </c>
      <c r="H774" s="365">
        <v>14.0</v>
      </c>
      <c r="I774" s="348">
        <v>70.0</v>
      </c>
      <c r="J774" s="348">
        <v>1.0</v>
      </c>
      <c r="K774" s="348">
        <v>1.0</v>
      </c>
      <c r="L774" s="348" t="s">
        <v>6731</v>
      </c>
      <c r="M774" s="352" t="s">
        <v>6612</v>
      </c>
      <c r="N774" s="348" t="s">
        <v>172</v>
      </c>
      <c r="O774" s="348" t="s">
        <v>39</v>
      </c>
      <c r="P774" s="348" t="s">
        <v>29</v>
      </c>
      <c r="Q774" s="348" t="s">
        <v>39</v>
      </c>
    </row>
    <row r="775" ht="14.25" customHeight="1">
      <c r="A775" s="211">
        <v>120.0</v>
      </c>
      <c r="B775" s="377" t="s">
        <v>6732</v>
      </c>
      <c r="C775" s="377" t="s">
        <v>6729</v>
      </c>
      <c r="D775" s="380" t="s">
        <v>25</v>
      </c>
      <c r="E775" s="348" t="s">
        <v>57</v>
      </c>
      <c r="F775" s="378"/>
      <c r="G775" s="351">
        <v>800.0</v>
      </c>
      <c r="H775" s="365">
        <v>10.0</v>
      </c>
      <c r="I775" s="348">
        <v>45.0</v>
      </c>
      <c r="J775" s="348" t="s">
        <v>39</v>
      </c>
      <c r="K775" s="348" t="s">
        <v>39</v>
      </c>
      <c r="L775" s="348">
        <v>1.0</v>
      </c>
      <c r="M775" s="352" t="s">
        <v>6612</v>
      </c>
      <c r="N775" s="348" t="s">
        <v>27</v>
      </c>
      <c r="O775" s="348" t="s">
        <v>39</v>
      </c>
      <c r="P775" s="348" t="s">
        <v>29</v>
      </c>
      <c r="Q775" s="348" t="s">
        <v>39</v>
      </c>
    </row>
    <row r="776" ht="14.25" customHeight="1">
      <c r="A776" s="181"/>
      <c r="B776" s="339" t="s">
        <v>6733</v>
      </c>
      <c r="C776" s="311"/>
      <c r="D776" s="312"/>
      <c r="E776" s="312"/>
      <c r="F776" s="312"/>
      <c r="G776" s="312"/>
      <c r="H776" s="312"/>
      <c r="I776" s="312"/>
      <c r="J776" s="312"/>
      <c r="K776" s="312"/>
      <c r="L776" s="312"/>
      <c r="M776" s="313"/>
      <c r="N776" s="312"/>
      <c r="O776" s="312"/>
      <c r="P776" s="312"/>
      <c r="Q776" s="312"/>
    </row>
    <row r="777" ht="15.75" customHeight="1">
      <c r="A777" s="211">
        <v>1.0</v>
      </c>
      <c r="B777" s="386" t="s">
        <v>875</v>
      </c>
      <c r="C777" s="157" t="s">
        <v>1552</v>
      </c>
      <c r="D777" s="156" t="s">
        <v>25</v>
      </c>
      <c r="E777" s="156" t="s">
        <v>647</v>
      </c>
      <c r="F777" s="387"/>
      <c r="G777" s="388">
        <v>165.0</v>
      </c>
      <c r="H777" s="133">
        <v>50.0</v>
      </c>
      <c r="I777" s="133">
        <f>H777*4</f>
        <v>200</v>
      </c>
      <c r="J777" s="337">
        <v>0.0</v>
      </c>
      <c r="K777" s="337">
        <v>0.0</v>
      </c>
      <c r="L777" s="133">
        <v>1.0</v>
      </c>
      <c r="M777" s="133" t="s">
        <v>6580</v>
      </c>
      <c r="N777" s="133" t="s">
        <v>6734</v>
      </c>
      <c r="O777" s="133" t="s">
        <v>39</v>
      </c>
      <c r="P777" s="133" t="s">
        <v>335</v>
      </c>
      <c r="Q777" s="133" t="s">
        <v>39</v>
      </c>
    </row>
    <row r="778" ht="34.5" customHeight="1">
      <c r="A778" s="211">
        <v>2.0</v>
      </c>
      <c r="B778" s="386" t="s">
        <v>63</v>
      </c>
      <c r="C778" s="157" t="s">
        <v>6735</v>
      </c>
      <c r="D778" s="156" t="s">
        <v>25</v>
      </c>
      <c r="E778" s="156" t="s">
        <v>647</v>
      </c>
      <c r="F778" s="387"/>
      <c r="G778" s="389">
        <v>1482.75</v>
      </c>
      <c r="H778" s="144">
        <v>150.0</v>
      </c>
      <c r="I778" s="144">
        <v>740.0</v>
      </c>
      <c r="J778" s="144">
        <v>16.0</v>
      </c>
      <c r="K778" s="144">
        <v>9.0</v>
      </c>
      <c r="L778" s="144">
        <v>0.0</v>
      </c>
      <c r="M778" s="133" t="s">
        <v>6580</v>
      </c>
      <c r="N778" s="348" t="s">
        <v>27</v>
      </c>
      <c r="O778" s="133" t="s">
        <v>39</v>
      </c>
      <c r="P778" s="144" t="s">
        <v>29</v>
      </c>
      <c r="Q778" s="133" t="s">
        <v>39</v>
      </c>
    </row>
    <row r="779" ht="15.75" customHeight="1">
      <c r="A779" s="211">
        <v>3.0</v>
      </c>
      <c r="B779" s="146" t="s">
        <v>6736</v>
      </c>
      <c r="C779" s="157" t="s">
        <v>1552</v>
      </c>
      <c r="D779" s="156" t="s">
        <v>25</v>
      </c>
      <c r="E779" s="156" t="s">
        <v>647</v>
      </c>
      <c r="F779" s="387"/>
      <c r="G779" s="388">
        <v>800.0</v>
      </c>
      <c r="H779" s="133">
        <v>400.0</v>
      </c>
      <c r="I779" s="133">
        <f t="shared" ref="I779:I808" si="1">H779*4</f>
        <v>1600</v>
      </c>
      <c r="J779" s="337">
        <v>0.0</v>
      </c>
      <c r="K779" s="337">
        <v>0.0</v>
      </c>
      <c r="L779" s="133">
        <v>1.0</v>
      </c>
      <c r="M779" s="133" t="s">
        <v>6580</v>
      </c>
      <c r="N779" s="133" t="s">
        <v>6734</v>
      </c>
      <c r="O779" s="133" t="s">
        <v>39</v>
      </c>
      <c r="P779" s="133" t="s">
        <v>335</v>
      </c>
      <c r="Q779" s="133" t="s">
        <v>39</v>
      </c>
    </row>
    <row r="780" ht="15.75" customHeight="1">
      <c r="A780" s="211">
        <v>4.0</v>
      </c>
      <c r="B780" s="146" t="s">
        <v>6737</v>
      </c>
      <c r="C780" s="157" t="s">
        <v>1552</v>
      </c>
      <c r="D780" s="156" t="s">
        <v>25</v>
      </c>
      <c r="E780" s="156" t="s">
        <v>647</v>
      </c>
      <c r="F780" s="387"/>
      <c r="G780" s="388">
        <v>480.0</v>
      </c>
      <c r="H780" s="133">
        <v>240.0</v>
      </c>
      <c r="I780" s="133">
        <f t="shared" si="1"/>
        <v>960</v>
      </c>
      <c r="J780" s="337">
        <v>0.0</v>
      </c>
      <c r="K780" s="337">
        <v>0.0</v>
      </c>
      <c r="L780" s="133">
        <v>1.0</v>
      </c>
      <c r="M780" s="133" t="s">
        <v>6580</v>
      </c>
      <c r="N780" s="133" t="s">
        <v>6734</v>
      </c>
      <c r="O780" s="133" t="s">
        <v>39</v>
      </c>
      <c r="P780" s="133" t="s">
        <v>335</v>
      </c>
      <c r="Q780" s="133" t="s">
        <v>39</v>
      </c>
    </row>
    <row r="781" ht="15.75" customHeight="1">
      <c r="A781" s="211">
        <v>5.0</v>
      </c>
      <c r="B781" s="146" t="s">
        <v>1171</v>
      </c>
      <c r="C781" s="157" t="s">
        <v>6738</v>
      </c>
      <c r="D781" s="156" t="s">
        <v>25</v>
      </c>
      <c r="E781" s="156" t="s">
        <v>647</v>
      </c>
      <c r="F781" s="387"/>
      <c r="G781" s="388">
        <v>36.0</v>
      </c>
      <c r="H781" s="133">
        <v>18.0</v>
      </c>
      <c r="I781" s="133">
        <f t="shared" si="1"/>
        <v>72</v>
      </c>
      <c r="J781" s="337">
        <v>0.0</v>
      </c>
      <c r="K781" s="337">
        <v>0.0</v>
      </c>
      <c r="L781" s="133">
        <v>1.0</v>
      </c>
      <c r="M781" s="133" t="s">
        <v>6580</v>
      </c>
      <c r="N781" s="133" t="s">
        <v>6734</v>
      </c>
      <c r="O781" s="133" t="s">
        <v>39</v>
      </c>
      <c r="P781" s="133" t="s">
        <v>335</v>
      </c>
      <c r="Q781" s="133" t="s">
        <v>39</v>
      </c>
    </row>
    <row r="782" ht="15.75" customHeight="1">
      <c r="A782" s="211">
        <v>6.0</v>
      </c>
      <c r="B782" s="146" t="s">
        <v>1134</v>
      </c>
      <c r="C782" s="157" t="s">
        <v>6738</v>
      </c>
      <c r="D782" s="156" t="s">
        <v>25</v>
      </c>
      <c r="E782" s="156" t="s">
        <v>647</v>
      </c>
      <c r="F782" s="387"/>
      <c r="G782" s="388">
        <v>36.0</v>
      </c>
      <c r="H782" s="133">
        <v>18.0</v>
      </c>
      <c r="I782" s="133">
        <f t="shared" si="1"/>
        <v>72</v>
      </c>
      <c r="J782" s="337">
        <v>0.0</v>
      </c>
      <c r="K782" s="337">
        <v>0.0</v>
      </c>
      <c r="L782" s="133">
        <v>1.0</v>
      </c>
      <c r="M782" s="133" t="s">
        <v>6580</v>
      </c>
      <c r="N782" s="133" t="s">
        <v>6734</v>
      </c>
      <c r="O782" s="133" t="s">
        <v>39</v>
      </c>
      <c r="P782" s="133" t="s">
        <v>335</v>
      </c>
      <c r="Q782" s="133" t="s">
        <v>39</v>
      </c>
    </row>
    <row r="783" ht="15.75" customHeight="1">
      <c r="A783" s="211">
        <v>7.0</v>
      </c>
      <c r="B783" s="146" t="s">
        <v>6739</v>
      </c>
      <c r="C783" s="157" t="s">
        <v>6738</v>
      </c>
      <c r="D783" s="156" t="s">
        <v>25</v>
      </c>
      <c r="E783" s="156" t="s">
        <v>647</v>
      </c>
      <c r="F783" s="387"/>
      <c r="G783" s="388">
        <v>480.0</v>
      </c>
      <c r="H783" s="133">
        <v>240.0</v>
      </c>
      <c r="I783" s="133">
        <f t="shared" si="1"/>
        <v>960</v>
      </c>
      <c r="J783" s="337">
        <v>0.0</v>
      </c>
      <c r="K783" s="337">
        <v>0.0</v>
      </c>
      <c r="L783" s="133">
        <v>1.0</v>
      </c>
      <c r="M783" s="133" t="s">
        <v>6580</v>
      </c>
      <c r="N783" s="133" t="s">
        <v>6734</v>
      </c>
      <c r="O783" s="133" t="s">
        <v>39</v>
      </c>
      <c r="P783" s="133" t="s">
        <v>335</v>
      </c>
      <c r="Q783" s="133" t="s">
        <v>39</v>
      </c>
    </row>
    <row r="784" ht="15.75" customHeight="1">
      <c r="A784" s="211">
        <v>8.0</v>
      </c>
      <c r="B784" s="146" t="s">
        <v>1171</v>
      </c>
      <c r="C784" s="157" t="s">
        <v>6735</v>
      </c>
      <c r="D784" s="156" t="s">
        <v>25</v>
      </c>
      <c r="E784" s="156" t="s">
        <v>647</v>
      </c>
      <c r="F784" s="387"/>
      <c r="G784" s="388">
        <v>48.0</v>
      </c>
      <c r="H784" s="133">
        <v>24.0</v>
      </c>
      <c r="I784" s="133">
        <f t="shared" si="1"/>
        <v>96</v>
      </c>
      <c r="J784" s="337">
        <v>0.0</v>
      </c>
      <c r="K784" s="337">
        <v>0.0</v>
      </c>
      <c r="L784" s="133">
        <v>1.0</v>
      </c>
      <c r="M784" s="133" t="s">
        <v>6580</v>
      </c>
      <c r="N784" s="133" t="s">
        <v>6734</v>
      </c>
      <c r="O784" s="133" t="s">
        <v>39</v>
      </c>
      <c r="P784" s="133" t="s">
        <v>335</v>
      </c>
      <c r="Q784" s="133" t="s">
        <v>39</v>
      </c>
    </row>
    <row r="785" ht="15.75" customHeight="1">
      <c r="A785" s="211">
        <v>9.0</v>
      </c>
      <c r="B785" s="146" t="s">
        <v>1134</v>
      </c>
      <c r="C785" s="157" t="s">
        <v>6735</v>
      </c>
      <c r="D785" s="156" t="s">
        <v>25</v>
      </c>
      <c r="E785" s="156" t="s">
        <v>647</v>
      </c>
      <c r="F785" s="387"/>
      <c r="G785" s="388">
        <v>72.0</v>
      </c>
      <c r="H785" s="133">
        <v>36.0</v>
      </c>
      <c r="I785" s="133">
        <f t="shared" si="1"/>
        <v>144</v>
      </c>
      <c r="J785" s="337">
        <v>0.0</v>
      </c>
      <c r="K785" s="337">
        <v>0.0</v>
      </c>
      <c r="L785" s="133">
        <v>1.0</v>
      </c>
      <c r="M785" s="133" t="s">
        <v>6580</v>
      </c>
      <c r="N785" s="133" t="s">
        <v>6734</v>
      </c>
      <c r="O785" s="133" t="s">
        <v>39</v>
      </c>
      <c r="P785" s="133" t="s">
        <v>335</v>
      </c>
      <c r="Q785" s="133" t="s">
        <v>39</v>
      </c>
    </row>
    <row r="786" ht="15.75" customHeight="1">
      <c r="A786" s="211">
        <v>10.0</v>
      </c>
      <c r="B786" s="146" t="s">
        <v>6740</v>
      </c>
      <c r="C786" s="157" t="s">
        <v>6735</v>
      </c>
      <c r="D786" s="156" t="s">
        <v>25</v>
      </c>
      <c r="E786" s="156" t="s">
        <v>647</v>
      </c>
      <c r="F786" s="387"/>
      <c r="G786" s="388">
        <v>42.0</v>
      </c>
      <c r="H786" s="133">
        <v>21.0</v>
      </c>
      <c r="I786" s="133">
        <f t="shared" si="1"/>
        <v>84</v>
      </c>
      <c r="J786" s="337">
        <v>0.0</v>
      </c>
      <c r="K786" s="337">
        <v>0.0</v>
      </c>
      <c r="L786" s="133">
        <v>1.0</v>
      </c>
      <c r="M786" s="133" t="s">
        <v>6580</v>
      </c>
      <c r="N786" s="133" t="s">
        <v>6734</v>
      </c>
      <c r="O786" s="133" t="s">
        <v>39</v>
      </c>
      <c r="P786" s="133" t="s">
        <v>335</v>
      </c>
      <c r="Q786" s="133" t="s">
        <v>39</v>
      </c>
    </row>
    <row r="787" ht="15.75" customHeight="1">
      <c r="A787" s="211">
        <v>11.0</v>
      </c>
      <c r="B787" s="146" t="s">
        <v>875</v>
      </c>
      <c r="C787" s="157" t="s">
        <v>6741</v>
      </c>
      <c r="D787" s="156" t="s">
        <v>25</v>
      </c>
      <c r="E787" s="156" t="s">
        <v>647</v>
      </c>
      <c r="F787" s="387"/>
      <c r="G787" s="388">
        <v>64.0</v>
      </c>
      <c r="H787" s="133">
        <v>32.0</v>
      </c>
      <c r="I787" s="133">
        <f t="shared" si="1"/>
        <v>128</v>
      </c>
      <c r="J787" s="337">
        <v>0.0</v>
      </c>
      <c r="K787" s="337">
        <v>0.0</v>
      </c>
      <c r="L787" s="133">
        <v>1.0</v>
      </c>
      <c r="M787" s="133" t="s">
        <v>6580</v>
      </c>
      <c r="N787" s="133" t="s">
        <v>6734</v>
      </c>
      <c r="O787" s="133" t="s">
        <v>39</v>
      </c>
      <c r="P787" s="133" t="s">
        <v>335</v>
      </c>
      <c r="Q787" s="133" t="s">
        <v>39</v>
      </c>
    </row>
    <row r="788" ht="15.75" customHeight="1">
      <c r="A788" s="211">
        <v>12.0</v>
      </c>
      <c r="B788" s="146" t="s">
        <v>6742</v>
      </c>
      <c r="C788" s="157" t="s">
        <v>6741</v>
      </c>
      <c r="D788" s="156" t="s">
        <v>25</v>
      </c>
      <c r="E788" s="156" t="s">
        <v>647</v>
      </c>
      <c r="F788" s="387"/>
      <c r="G788" s="388">
        <v>480.0</v>
      </c>
      <c r="H788" s="133">
        <v>240.0</v>
      </c>
      <c r="I788" s="133">
        <f t="shared" si="1"/>
        <v>960</v>
      </c>
      <c r="J788" s="337">
        <v>0.0</v>
      </c>
      <c r="K788" s="337">
        <v>0.0</v>
      </c>
      <c r="L788" s="133">
        <v>1.0</v>
      </c>
      <c r="M788" s="133" t="s">
        <v>6580</v>
      </c>
      <c r="N788" s="133" t="s">
        <v>6734</v>
      </c>
      <c r="O788" s="133" t="s">
        <v>39</v>
      </c>
      <c r="P788" s="133" t="s">
        <v>335</v>
      </c>
      <c r="Q788" s="133" t="s">
        <v>39</v>
      </c>
    </row>
    <row r="789" ht="15.75" customHeight="1">
      <c r="A789" s="211">
        <v>13.0</v>
      </c>
      <c r="B789" s="146" t="s">
        <v>875</v>
      </c>
      <c r="C789" s="157" t="s">
        <v>6741</v>
      </c>
      <c r="D789" s="156" t="s">
        <v>25</v>
      </c>
      <c r="E789" s="156" t="s">
        <v>647</v>
      </c>
      <c r="F789" s="387"/>
      <c r="G789" s="388">
        <v>120.0</v>
      </c>
      <c r="H789" s="133">
        <v>60.0</v>
      </c>
      <c r="I789" s="133">
        <f t="shared" si="1"/>
        <v>240</v>
      </c>
      <c r="J789" s="337">
        <v>0.0</v>
      </c>
      <c r="K789" s="337">
        <v>0.0</v>
      </c>
      <c r="L789" s="133">
        <v>1.0</v>
      </c>
      <c r="M789" s="133" t="s">
        <v>6580</v>
      </c>
      <c r="N789" s="133" t="s">
        <v>6734</v>
      </c>
      <c r="O789" s="133" t="s">
        <v>39</v>
      </c>
      <c r="P789" s="133" t="s">
        <v>335</v>
      </c>
      <c r="Q789" s="133" t="s">
        <v>39</v>
      </c>
    </row>
    <row r="790" ht="15.75" customHeight="1">
      <c r="A790" s="211">
        <v>14.0</v>
      </c>
      <c r="B790" s="146" t="s">
        <v>875</v>
      </c>
      <c r="C790" s="145" t="s">
        <v>6743</v>
      </c>
      <c r="D790" s="156" t="s">
        <v>25</v>
      </c>
      <c r="E790" s="156" t="s">
        <v>647</v>
      </c>
      <c r="F790" s="390"/>
      <c r="G790" s="388">
        <v>140.0</v>
      </c>
      <c r="H790" s="133">
        <v>70.0</v>
      </c>
      <c r="I790" s="133">
        <f t="shared" si="1"/>
        <v>280</v>
      </c>
      <c r="J790" s="337">
        <v>0.0</v>
      </c>
      <c r="K790" s="337">
        <v>0.0</v>
      </c>
      <c r="L790" s="133">
        <v>1.0</v>
      </c>
      <c r="M790" s="133" t="s">
        <v>6580</v>
      </c>
      <c r="N790" s="133" t="s">
        <v>6734</v>
      </c>
      <c r="O790" s="133" t="s">
        <v>39</v>
      </c>
      <c r="P790" s="133" t="s">
        <v>335</v>
      </c>
      <c r="Q790" s="133" t="s">
        <v>39</v>
      </c>
    </row>
    <row r="791" ht="15.75" customHeight="1">
      <c r="A791" s="211">
        <v>15.0</v>
      </c>
      <c r="B791" s="146" t="s">
        <v>875</v>
      </c>
      <c r="C791" s="145" t="s">
        <v>6744</v>
      </c>
      <c r="D791" s="156" t="s">
        <v>25</v>
      </c>
      <c r="E791" s="156" t="s">
        <v>647</v>
      </c>
      <c r="F791" s="390"/>
      <c r="G791" s="388">
        <v>540.0</v>
      </c>
      <c r="H791" s="133">
        <v>270.0</v>
      </c>
      <c r="I791" s="133">
        <f t="shared" si="1"/>
        <v>1080</v>
      </c>
      <c r="J791" s="337">
        <v>0.0</v>
      </c>
      <c r="K791" s="337">
        <v>0.0</v>
      </c>
      <c r="L791" s="133">
        <v>1.0</v>
      </c>
      <c r="M791" s="133" t="s">
        <v>6580</v>
      </c>
      <c r="N791" s="133" t="s">
        <v>6734</v>
      </c>
      <c r="O791" s="133" t="s">
        <v>39</v>
      </c>
      <c r="P791" s="133" t="s">
        <v>335</v>
      </c>
      <c r="Q791" s="133" t="s">
        <v>39</v>
      </c>
    </row>
    <row r="792" ht="15.75" customHeight="1">
      <c r="A792" s="211">
        <v>16.0</v>
      </c>
      <c r="B792" s="146" t="s">
        <v>875</v>
      </c>
      <c r="C792" s="152" t="s">
        <v>6745</v>
      </c>
      <c r="D792" s="156" t="s">
        <v>25</v>
      </c>
      <c r="E792" s="156" t="s">
        <v>647</v>
      </c>
      <c r="F792" s="387"/>
      <c r="G792" s="388">
        <v>108.0</v>
      </c>
      <c r="H792" s="133">
        <v>54.0</v>
      </c>
      <c r="I792" s="133">
        <f t="shared" si="1"/>
        <v>216</v>
      </c>
      <c r="J792" s="337">
        <v>0.0</v>
      </c>
      <c r="K792" s="337">
        <v>0.0</v>
      </c>
      <c r="L792" s="133">
        <v>1.0</v>
      </c>
      <c r="M792" s="133" t="s">
        <v>6580</v>
      </c>
      <c r="N792" s="133" t="s">
        <v>6734</v>
      </c>
      <c r="O792" s="133" t="s">
        <v>39</v>
      </c>
      <c r="P792" s="133" t="s">
        <v>335</v>
      </c>
      <c r="Q792" s="133" t="s">
        <v>39</v>
      </c>
    </row>
    <row r="793" ht="15.75" customHeight="1">
      <c r="A793" s="211">
        <v>17.0</v>
      </c>
      <c r="B793" s="146" t="s">
        <v>6746</v>
      </c>
      <c r="C793" s="152" t="s">
        <v>6745</v>
      </c>
      <c r="D793" s="156" t="s">
        <v>25</v>
      </c>
      <c r="E793" s="156" t="s">
        <v>647</v>
      </c>
      <c r="F793" s="387"/>
      <c r="G793" s="388">
        <v>240.0</v>
      </c>
      <c r="H793" s="133">
        <v>120.0</v>
      </c>
      <c r="I793" s="133">
        <f t="shared" si="1"/>
        <v>480</v>
      </c>
      <c r="J793" s="337">
        <v>0.0</v>
      </c>
      <c r="K793" s="337">
        <v>0.0</v>
      </c>
      <c r="L793" s="133">
        <v>1.0</v>
      </c>
      <c r="M793" s="133" t="s">
        <v>6580</v>
      </c>
      <c r="N793" s="133" t="s">
        <v>6734</v>
      </c>
      <c r="O793" s="133" t="s">
        <v>39</v>
      </c>
      <c r="P793" s="133" t="s">
        <v>335</v>
      </c>
      <c r="Q793" s="133" t="s">
        <v>39</v>
      </c>
    </row>
    <row r="794" ht="15.75" customHeight="1">
      <c r="A794" s="211">
        <v>18.0</v>
      </c>
      <c r="B794" s="146" t="s">
        <v>875</v>
      </c>
      <c r="C794" s="152" t="s">
        <v>6747</v>
      </c>
      <c r="D794" s="156" t="s">
        <v>25</v>
      </c>
      <c r="E794" s="156" t="s">
        <v>647</v>
      </c>
      <c r="F794" s="387"/>
      <c r="G794" s="388">
        <v>108.0</v>
      </c>
      <c r="H794" s="133">
        <v>54.0</v>
      </c>
      <c r="I794" s="133">
        <f t="shared" si="1"/>
        <v>216</v>
      </c>
      <c r="J794" s="337">
        <v>0.0</v>
      </c>
      <c r="K794" s="337">
        <v>0.0</v>
      </c>
      <c r="L794" s="133">
        <v>1.0</v>
      </c>
      <c r="M794" s="133" t="s">
        <v>6580</v>
      </c>
      <c r="N794" s="133" t="s">
        <v>6734</v>
      </c>
      <c r="O794" s="133" t="s">
        <v>39</v>
      </c>
      <c r="P794" s="133" t="s">
        <v>335</v>
      </c>
      <c r="Q794" s="133" t="s">
        <v>39</v>
      </c>
    </row>
    <row r="795" ht="15.75" customHeight="1">
      <c r="A795" s="211">
        <v>19.0</v>
      </c>
      <c r="B795" s="146" t="s">
        <v>6748</v>
      </c>
      <c r="C795" s="152" t="s">
        <v>6747</v>
      </c>
      <c r="D795" s="156" t="s">
        <v>25</v>
      </c>
      <c r="E795" s="156" t="s">
        <v>647</v>
      </c>
      <c r="F795" s="387"/>
      <c r="G795" s="388">
        <v>540.0</v>
      </c>
      <c r="H795" s="133">
        <v>270.0</v>
      </c>
      <c r="I795" s="133">
        <f t="shared" si="1"/>
        <v>1080</v>
      </c>
      <c r="J795" s="337">
        <v>0.0</v>
      </c>
      <c r="K795" s="337">
        <v>0.0</v>
      </c>
      <c r="L795" s="133">
        <v>1.0</v>
      </c>
      <c r="M795" s="133" t="s">
        <v>6580</v>
      </c>
      <c r="N795" s="133" t="s">
        <v>6734</v>
      </c>
      <c r="O795" s="133" t="s">
        <v>39</v>
      </c>
      <c r="P795" s="133" t="s">
        <v>335</v>
      </c>
      <c r="Q795" s="133" t="s">
        <v>39</v>
      </c>
    </row>
    <row r="796" ht="15.75" customHeight="1">
      <c r="A796" s="211">
        <v>20.0</v>
      </c>
      <c r="B796" s="146" t="s">
        <v>6749</v>
      </c>
      <c r="C796" s="152" t="s">
        <v>6747</v>
      </c>
      <c r="D796" s="156" t="s">
        <v>25</v>
      </c>
      <c r="E796" s="156" t="s">
        <v>647</v>
      </c>
      <c r="F796" s="387"/>
      <c r="G796" s="388">
        <v>480.0</v>
      </c>
      <c r="H796" s="133">
        <v>240.0</v>
      </c>
      <c r="I796" s="133">
        <f t="shared" si="1"/>
        <v>960</v>
      </c>
      <c r="J796" s="337">
        <v>0.0</v>
      </c>
      <c r="K796" s="337">
        <v>0.0</v>
      </c>
      <c r="L796" s="133">
        <v>1.0</v>
      </c>
      <c r="M796" s="133" t="s">
        <v>6580</v>
      </c>
      <c r="N796" s="133" t="s">
        <v>6734</v>
      </c>
      <c r="O796" s="133" t="s">
        <v>39</v>
      </c>
      <c r="P796" s="133" t="s">
        <v>335</v>
      </c>
      <c r="Q796" s="133" t="s">
        <v>39</v>
      </c>
    </row>
    <row r="797" ht="15.75" customHeight="1">
      <c r="A797" s="211">
        <v>21.0</v>
      </c>
      <c r="B797" s="146" t="s">
        <v>875</v>
      </c>
      <c r="C797" s="145" t="s">
        <v>6750</v>
      </c>
      <c r="D797" s="156" t="s">
        <v>25</v>
      </c>
      <c r="E797" s="156" t="s">
        <v>647</v>
      </c>
      <c r="F797" s="390"/>
      <c r="G797" s="388">
        <v>120.0</v>
      </c>
      <c r="H797" s="133">
        <v>60.0</v>
      </c>
      <c r="I797" s="133">
        <f t="shared" si="1"/>
        <v>240</v>
      </c>
      <c r="J797" s="337">
        <v>0.0</v>
      </c>
      <c r="K797" s="337">
        <v>0.0</v>
      </c>
      <c r="L797" s="133">
        <v>1.0</v>
      </c>
      <c r="M797" s="133" t="s">
        <v>6580</v>
      </c>
      <c r="N797" s="133" t="s">
        <v>6734</v>
      </c>
      <c r="O797" s="133" t="s">
        <v>39</v>
      </c>
      <c r="P797" s="133" t="s">
        <v>335</v>
      </c>
      <c r="Q797" s="133" t="s">
        <v>39</v>
      </c>
    </row>
    <row r="798" ht="15.75" customHeight="1">
      <c r="A798" s="211">
        <v>22.0</v>
      </c>
      <c r="B798" s="146" t="s">
        <v>875</v>
      </c>
      <c r="C798" s="152" t="s">
        <v>6751</v>
      </c>
      <c r="D798" s="156" t="s">
        <v>25</v>
      </c>
      <c r="E798" s="156" t="s">
        <v>647</v>
      </c>
      <c r="F798" s="387"/>
      <c r="G798" s="388">
        <v>108.0</v>
      </c>
      <c r="H798" s="133">
        <v>54.0</v>
      </c>
      <c r="I798" s="133">
        <f t="shared" si="1"/>
        <v>216</v>
      </c>
      <c r="J798" s="337">
        <v>0.0</v>
      </c>
      <c r="K798" s="337">
        <v>0.0</v>
      </c>
      <c r="L798" s="133">
        <v>1.0</v>
      </c>
      <c r="M798" s="133" t="s">
        <v>6580</v>
      </c>
      <c r="N798" s="133" t="s">
        <v>6734</v>
      </c>
      <c r="O798" s="133" t="s">
        <v>39</v>
      </c>
      <c r="P798" s="133" t="s">
        <v>335</v>
      </c>
      <c r="Q798" s="133" t="s">
        <v>39</v>
      </c>
    </row>
    <row r="799" ht="15.75" customHeight="1">
      <c r="A799" s="211">
        <v>23.0</v>
      </c>
      <c r="B799" s="146" t="s">
        <v>6752</v>
      </c>
      <c r="C799" s="152" t="s">
        <v>6751</v>
      </c>
      <c r="D799" s="156" t="s">
        <v>25</v>
      </c>
      <c r="E799" s="156" t="s">
        <v>647</v>
      </c>
      <c r="F799" s="387"/>
      <c r="G799" s="388">
        <v>288.0</v>
      </c>
      <c r="H799" s="133">
        <v>144.0</v>
      </c>
      <c r="I799" s="133">
        <f t="shared" si="1"/>
        <v>576</v>
      </c>
      <c r="J799" s="337">
        <v>0.0</v>
      </c>
      <c r="K799" s="337">
        <v>0.0</v>
      </c>
      <c r="L799" s="133">
        <v>1.0</v>
      </c>
      <c r="M799" s="133" t="s">
        <v>6580</v>
      </c>
      <c r="N799" s="133" t="s">
        <v>6734</v>
      </c>
      <c r="O799" s="133" t="s">
        <v>39</v>
      </c>
      <c r="P799" s="133" t="s">
        <v>335</v>
      </c>
      <c r="Q799" s="133" t="s">
        <v>39</v>
      </c>
    </row>
    <row r="800" ht="15.75" customHeight="1">
      <c r="A800" s="211">
        <v>24.0</v>
      </c>
      <c r="B800" s="146" t="s">
        <v>6753</v>
      </c>
      <c r="C800" s="152" t="s">
        <v>6751</v>
      </c>
      <c r="D800" s="156" t="s">
        <v>25</v>
      </c>
      <c r="E800" s="156" t="s">
        <v>647</v>
      </c>
      <c r="F800" s="387"/>
      <c r="G800" s="388">
        <v>336.0</v>
      </c>
      <c r="H800" s="133">
        <v>168.0</v>
      </c>
      <c r="I800" s="133">
        <f t="shared" si="1"/>
        <v>672</v>
      </c>
      <c r="J800" s="337">
        <v>0.0</v>
      </c>
      <c r="K800" s="337">
        <v>0.0</v>
      </c>
      <c r="L800" s="133">
        <v>1.0</v>
      </c>
      <c r="M800" s="133" t="s">
        <v>6580</v>
      </c>
      <c r="N800" s="133" t="s">
        <v>6734</v>
      </c>
      <c r="O800" s="133" t="s">
        <v>39</v>
      </c>
      <c r="P800" s="133" t="s">
        <v>335</v>
      </c>
      <c r="Q800" s="133" t="s">
        <v>39</v>
      </c>
    </row>
    <row r="801" ht="15.75" customHeight="1">
      <c r="A801" s="211">
        <v>25.0</v>
      </c>
      <c r="B801" s="146" t="s">
        <v>1171</v>
      </c>
      <c r="C801" s="157" t="s">
        <v>6754</v>
      </c>
      <c r="D801" s="156" t="s">
        <v>25</v>
      </c>
      <c r="E801" s="156" t="s">
        <v>647</v>
      </c>
      <c r="F801" s="387"/>
      <c r="G801" s="388">
        <v>260.0</v>
      </c>
      <c r="H801" s="133">
        <v>130.0</v>
      </c>
      <c r="I801" s="133">
        <f t="shared" si="1"/>
        <v>520</v>
      </c>
      <c r="J801" s="337">
        <v>0.0</v>
      </c>
      <c r="K801" s="337">
        <v>0.0</v>
      </c>
      <c r="L801" s="133">
        <v>1.0</v>
      </c>
      <c r="M801" s="133" t="s">
        <v>6580</v>
      </c>
      <c r="N801" s="133" t="s">
        <v>6734</v>
      </c>
      <c r="O801" s="133" t="s">
        <v>39</v>
      </c>
      <c r="P801" s="133" t="s">
        <v>335</v>
      </c>
      <c r="Q801" s="133" t="s">
        <v>39</v>
      </c>
    </row>
    <row r="802" ht="15.75" customHeight="1">
      <c r="A802" s="211">
        <v>26.0</v>
      </c>
      <c r="B802" s="146" t="s">
        <v>6755</v>
      </c>
      <c r="C802" s="157" t="s">
        <v>6754</v>
      </c>
      <c r="D802" s="156" t="s">
        <v>25</v>
      </c>
      <c r="E802" s="156" t="s">
        <v>647</v>
      </c>
      <c r="F802" s="387"/>
      <c r="G802" s="388">
        <v>288.0</v>
      </c>
      <c r="H802" s="133">
        <v>144.0</v>
      </c>
      <c r="I802" s="133">
        <f t="shared" si="1"/>
        <v>576</v>
      </c>
      <c r="J802" s="337">
        <v>0.0</v>
      </c>
      <c r="K802" s="337">
        <v>0.0</v>
      </c>
      <c r="L802" s="133">
        <v>1.0</v>
      </c>
      <c r="M802" s="133" t="s">
        <v>6580</v>
      </c>
      <c r="N802" s="133" t="s">
        <v>6734</v>
      </c>
      <c r="O802" s="133" t="s">
        <v>39</v>
      </c>
      <c r="P802" s="133" t="s">
        <v>335</v>
      </c>
      <c r="Q802" s="133" t="s">
        <v>39</v>
      </c>
    </row>
    <row r="803" ht="15.75" customHeight="1">
      <c r="A803" s="211">
        <v>27.0</v>
      </c>
      <c r="B803" s="146" t="s">
        <v>6756</v>
      </c>
      <c r="C803" s="157" t="s">
        <v>6757</v>
      </c>
      <c r="D803" s="156" t="s">
        <v>25</v>
      </c>
      <c r="E803" s="156" t="s">
        <v>647</v>
      </c>
      <c r="F803" s="387"/>
      <c r="G803" s="388">
        <v>288.0</v>
      </c>
      <c r="H803" s="133">
        <v>144.0</v>
      </c>
      <c r="I803" s="133">
        <f t="shared" si="1"/>
        <v>576</v>
      </c>
      <c r="J803" s="337">
        <v>0.0</v>
      </c>
      <c r="K803" s="337">
        <v>0.0</v>
      </c>
      <c r="L803" s="133">
        <v>1.0</v>
      </c>
      <c r="M803" s="133" t="s">
        <v>6580</v>
      </c>
      <c r="N803" s="133" t="s">
        <v>6734</v>
      </c>
      <c r="O803" s="133" t="s">
        <v>39</v>
      </c>
      <c r="P803" s="133" t="s">
        <v>335</v>
      </c>
      <c r="Q803" s="133" t="s">
        <v>39</v>
      </c>
    </row>
    <row r="804" ht="15.75" customHeight="1">
      <c r="A804" s="211">
        <v>28.0</v>
      </c>
      <c r="B804" s="146" t="s">
        <v>6758</v>
      </c>
      <c r="C804" s="157" t="s">
        <v>6757</v>
      </c>
      <c r="D804" s="156" t="s">
        <v>25</v>
      </c>
      <c r="E804" s="156" t="s">
        <v>647</v>
      </c>
      <c r="F804" s="387"/>
      <c r="G804" s="388">
        <v>288.0</v>
      </c>
      <c r="H804" s="133">
        <v>144.0</v>
      </c>
      <c r="I804" s="133">
        <f t="shared" si="1"/>
        <v>576</v>
      </c>
      <c r="J804" s="337">
        <v>0.0</v>
      </c>
      <c r="K804" s="337">
        <v>0.0</v>
      </c>
      <c r="L804" s="133">
        <v>1.0</v>
      </c>
      <c r="M804" s="133" t="s">
        <v>6580</v>
      </c>
      <c r="N804" s="133" t="s">
        <v>6734</v>
      </c>
      <c r="O804" s="133" t="s">
        <v>39</v>
      </c>
      <c r="P804" s="133" t="s">
        <v>335</v>
      </c>
      <c r="Q804" s="133" t="s">
        <v>39</v>
      </c>
    </row>
    <row r="805" ht="15.75" customHeight="1">
      <c r="A805" s="211">
        <v>29.0</v>
      </c>
      <c r="B805" s="146" t="s">
        <v>875</v>
      </c>
      <c r="C805" s="157" t="s">
        <v>6759</v>
      </c>
      <c r="D805" s="156" t="s">
        <v>25</v>
      </c>
      <c r="E805" s="156" t="s">
        <v>647</v>
      </c>
      <c r="F805" s="387"/>
      <c r="G805" s="388">
        <v>150.0</v>
      </c>
      <c r="H805" s="133">
        <v>75.0</v>
      </c>
      <c r="I805" s="133">
        <f t="shared" si="1"/>
        <v>300</v>
      </c>
      <c r="J805" s="337">
        <v>0.0</v>
      </c>
      <c r="K805" s="337">
        <v>0.0</v>
      </c>
      <c r="L805" s="133">
        <v>1.0</v>
      </c>
      <c r="M805" s="133" t="s">
        <v>6580</v>
      </c>
      <c r="N805" s="133" t="s">
        <v>6734</v>
      </c>
      <c r="O805" s="133" t="s">
        <v>39</v>
      </c>
      <c r="P805" s="133" t="s">
        <v>335</v>
      </c>
      <c r="Q805" s="133" t="s">
        <v>39</v>
      </c>
    </row>
    <row r="806" ht="15.75" customHeight="1">
      <c r="A806" s="211">
        <v>30.0</v>
      </c>
      <c r="B806" s="146" t="s">
        <v>6760</v>
      </c>
      <c r="C806" s="157" t="s">
        <v>6759</v>
      </c>
      <c r="D806" s="156" t="s">
        <v>25</v>
      </c>
      <c r="E806" s="156" t="s">
        <v>647</v>
      </c>
      <c r="F806" s="387"/>
      <c r="G806" s="388">
        <v>384.0</v>
      </c>
      <c r="H806" s="133">
        <v>192.0</v>
      </c>
      <c r="I806" s="133">
        <f t="shared" si="1"/>
        <v>768</v>
      </c>
      <c r="J806" s="337">
        <v>0.0</v>
      </c>
      <c r="K806" s="337">
        <v>0.0</v>
      </c>
      <c r="L806" s="133">
        <v>1.0</v>
      </c>
      <c r="M806" s="133" t="s">
        <v>6580</v>
      </c>
      <c r="N806" s="133" t="s">
        <v>6734</v>
      </c>
      <c r="O806" s="133" t="s">
        <v>39</v>
      </c>
      <c r="P806" s="133" t="s">
        <v>335</v>
      </c>
      <c r="Q806" s="133"/>
    </row>
    <row r="807" ht="15.75" customHeight="1">
      <c r="A807" s="211">
        <v>31.0</v>
      </c>
      <c r="B807" s="146" t="s">
        <v>875</v>
      </c>
      <c r="C807" s="157" t="s">
        <v>6761</v>
      </c>
      <c r="D807" s="156" t="s">
        <v>25</v>
      </c>
      <c r="E807" s="156" t="s">
        <v>647</v>
      </c>
      <c r="F807" s="387"/>
      <c r="G807" s="388">
        <v>140.0</v>
      </c>
      <c r="H807" s="133">
        <v>70.0</v>
      </c>
      <c r="I807" s="133">
        <f t="shared" si="1"/>
        <v>280</v>
      </c>
      <c r="J807" s="337">
        <v>0.0</v>
      </c>
      <c r="K807" s="337">
        <v>0.0</v>
      </c>
      <c r="L807" s="133">
        <v>1.0</v>
      </c>
      <c r="M807" s="133" t="s">
        <v>6580</v>
      </c>
      <c r="N807" s="133" t="s">
        <v>6734</v>
      </c>
      <c r="O807" s="133" t="s">
        <v>39</v>
      </c>
      <c r="P807" s="133" t="s">
        <v>335</v>
      </c>
      <c r="Q807" s="133"/>
    </row>
    <row r="808" ht="15.75" customHeight="1">
      <c r="A808" s="211">
        <v>32.0</v>
      </c>
      <c r="B808" s="146" t="s">
        <v>6762</v>
      </c>
      <c r="C808" s="157" t="s">
        <v>6761</v>
      </c>
      <c r="D808" s="156" t="s">
        <v>25</v>
      </c>
      <c r="E808" s="156" t="s">
        <v>647</v>
      </c>
      <c r="F808" s="387"/>
      <c r="G808" s="388">
        <v>288.0</v>
      </c>
      <c r="H808" s="133">
        <v>144.0</v>
      </c>
      <c r="I808" s="133">
        <f t="shared" si="1"/>
        <v>576</v>
      </c>
      <c r="J808" s="337">
        <v>0.0</v>
      </c>
      <c r="K808" s="337">
        <v>0.0</v>
      </c>
      <c r="L808" s="133">
        <v>1.0</v>
      </c>
      <c r="M808" s="133" t="s">
        <v>6580</v>
      </c>
      <c r="N808" s="133" t="s">
        <v>6734</v>
      </c>
      <c r="O808" s="133" t="s">
        <v>39</v>
      </c>
      <c r="P808" s="133" t="s">
        <v>335</v>
      </c>
      <c r="Q808" s="133"/>
    </row>
    <row r="809" ht="14.25" customHeight="1">
      <c r="A809" s="181"/>
      <c r="B809" s="339" t="s">
        <v>1991</v>
      </c>
      <c r="C809" s="311"/>
      <c r="D809" s="312"/>
      <c r="E809" s="312"/>
      <c r="F809" s="312"/>
      <c r="G809" s="312"/>
      <c r="H809" s="312"/>
      <c r="I809" s="312"/>
      <c r="J809" s="312"/>
      <c r="K809" s="312"/>
      <c r="L809" s="312"/>
      <c r="M809" s="313"/>
      <c r="N809" s="312"/>
      <c r="O809" s="312"/>
      <c r="P809" s="312"/>
      <c r="Q809" s="312"/>
    </row>
    <row r="810" ht="14.25" customHeight="1">
      <c r="A810" s="211">
        <v>1.0</v>
      </c>
      <c r="B810" s="340" t="s">
        <v>6763</v>
      </c>
      <c r="C810" s="317" t="s">
        <v>6764</v>
      </c>
      <c r="D810" s="319" t="s">
        <v>25</v>
      </c>
      <c r="E810" s="380" t="s">
        <v>656</v>
      </c>
      <c r="F810" s="323"/>
      <c r="G810" s="318">
        <v>900.0</v>
      </c>
      <c r="H810" s="319">
        <v>150.0</v>
      </c>
      <c r="I810" s="319">
        <v>600.0</v>
      </c>
      <c r="J810" s="319">
        <v>3.0</v>
      </c>
      <c r="K810" s="319">
        <v>3.0</v>
      </c>
      <c r="L810" s="319">
        <v>1.0</v>
      </c>
      <c r="M810" s="314" t="s">
        <v>6765</v>
      </c>
      <c r="N810" s="319" t="s">
        <v>6766</v>
      </c>
      <c r="O810" s="319">
        <v>1000.0</v>
      </c>
      <c r="P810" s="319" t="s">
        <v>29</v>
      </c>
      <c r="Q810" s="319" t="s">
        <v>6767</v>
      </c>
    </row>
    <row r="811" ht="14.25" customHeight="1">
      <c r="A811" s="211">
        <v>2.0</v>
      </c>
      <c r="B811" s="349" t="s">
        <v>6768</v>
      </c>
      <c r="C811" s="349" t="s">
        <v>6769</v>
      </c>
      <c r="D811" s="319" t="s">
        <v>25</v>
      </c>
      <c r="E811" s="380" t="s">
        <v>656</v>
      </c>
      <c r="F811" s="350"/>
      <c r="G811" s="351">
        <v>600.0</v>
      </c>
      <c r="H811" s="348">
        <v>100.0</v>
      </c>
      <c r="I811" s="348">
        <v>400.0</v>
      </c>
      <c r="J811" s="348">
        <v>3.0</v>
      </c>
      <c r="K811" s="348">
        <v>3.0</v>
      </c>
      <c r="L811" s="348">
        <v>1.0</v>
      </c>
      <c r="M811" s="352" t="s">
        <v>6765</v>
      </c>
      <c r="N811" s="348" t="s">
        <v>6766</v>
      </c>
      <c r="O811" s="348">
        <v>1000.0</v>
      </c>
      <c r="P811" s="348" t="s">
        <v>29</v>
      </c>
      <c r="Q811" s="319" t="s">
        <v>6767</v>
      </c>
    </row>
    <row r="812" ht="14.25" customHeight="1">
      <c r="A812" s="211">
        <v>3.0</v>
      </c>
      <c r="B812" s="317" t="s">
        <v>6770</v>
      </c>
      <c r="C812" s="317" t="s">
        <v>6771</v>
      </c>
      <c r="D812" s="319" t="s">
        <v>25</v>
      </c>
      <c r="E812" s="380" t="s">
        <v>656</v>
      </c>
      <c r="F812" s="323"/>
      <c r="G812" s="318">
        <v>800.0</v>
      </c>
      <c r="H812" s="319">
        <v>40.0</v>
      </c>
      <c r="I812" s="319">
        <v>150.0</v>
      </c>
      <c r="J812" s="319">
        <v>2.0</v>
      </c>
      <c r="K812" s="319">
        <v>2.0</v>
      </c>
      <c r="L812" s="319">
        <v>1.0</v>
      </c>
      <c r="M812" s="314" t="s">
        <v>6765</v>
      </c>
      <c r="N812" s="319" t="s">
        <v>6766</v>
      </c>
      <c r="O812" s="319">
        <v>1000.0</v>
      </c>
      <c r="P812" s="319" t="s">
        <v>29</v>
      </c>
      <c r="Q812" s="319" t="s">
        <v>6767</v>
      </c>
    </row>
    <row r="813" ht="14.25" customHeight="1">
      <c r="A813" s="211">
        <v>4.0</v>
      </c>
      <c r="B813" s="349" t="s">
        <v>6772</v>
      </c>
      <c r="C813" s="349" t="s">
        <v>6764</v>
      </c>
      <c r="D813" s="319" t="s">
        <v>25</v>
      </c>
      <c r="E813" s="380" t="s">
        <v>656</v>
      </c>
      <c r="F813" s="350"/>
      <c r="G813" s="351">
        <v>16000.0</v>
      </c>
      <c r="H813" s="348">
        <v>150.0</v>
      </c>
      <c r="I813" s="348">
        <v>600.0</v>
      </c>
      <c r="J813" s="348">
        <v>4.0</v>
      </c>
      <c r="K813" s="348">
        <v>4.0</v>
      </c>
      <c r="L813" s="348">
        <v>1.0</v>
      </c>
      <c r="M813" s="352" t="s">
        <v>6765</v>
      </c>
      <c r="N813" s="348" t="s">
        <v>6766</v>
      </c>
      <c r="O813" s="348">
        <v>1000.0</v>
      </c>
      <c r="P813" s="348" t="s">
        <v>29</v>
      </c>
      <c r="Q813" s="319" t="s">
        <v>6767</v>
      </c>
    </row>
    <row r="814" ht="14.25" customHeight="1">
      <c r="A814" s="211">
        <v>5.0</v>
      </c>
      <c r="B814" s="317" t="s">
        <v>6773</v>
      </c>
      <c r="C814" s="317" t="s">
        <v>6774</v>
      </c>
      <c r="D814" s="319" t="s">
        <v>25</v>
      </c>
      <c r="E814" s="380" t="s">
        <v>656</v>
      </c>
      <c r="F814" s="323"/>
      <c r="G814" s="318">
        <v>15000.0</v>
      </c>
      <c r="H814" s="319">
        <v>50.0</v>
      </c>
      <c r="I814" s="319">
        <v>200.0</v>
      </c>
      <c r="J814" s="319">
        <v>4.0</v>
      </c>
      <c r="K814" s="319">
        <v>4.0</v>
      </c>
      <c r="L814" s="319">
        <v>1.0</v>
      </c>
      <c r="M814" s="314" t="s">
        <v>6765</v>
      </c>
      <c r="N814" s="319" t="s">
        <v>6766</v>
      </c>
      <c r="O814" s="319">
        <v>1000.0</v>
      </c>
      <c r="P814" s="319" t="s">
        <v>29</v>
      </c>
      <c r="Q814" s="319" t="s">
        <v>6767</v>
      </c>
    </row>
    <row r="815" ht="14.25" customHeight="1">
      <c r="A815" s="211">
        <v>6.0</v>
      </c>
      <c r="B815" s="349" t="s">
        <v>6775</v>
      </c>
      <c r="C815" s="349" t="s">
        <v>6769</v>
      </c>
      <c r="D815" s="319" t="s">
        <v>25</v>
      </c>
      <c r="E815" s="380" t="s">
        <v>656</v>
      </c>
      <c r="F815" s="350"/>
      <c r="G815" s="351">
        <v>15000.0</v>
      </c>
      <c r="H815" s="348">
        <v>60.0</v>
      </c>
      <c r="I815" s="348">
        <v>220.0</v>
      </c>
      <c r="J815" s="348">
        <v>4.0</v>
      </c>
      <c r="K815" s="348">
        <v>4.0</v>
      </c>
      <c r="L815" s="348">
        <v>1.0</v>
      </c>
      <c r="M815" s="352" t="s">
        <v>6765</v>
      </c>
      <c r="N815" s="348" t="s">
        <v>6766</v>
      </c>
      <c r="O815" s="348">
        <v>1000.0</v>
      </c>
      <c r="P815" s="348" t="s">
        <v>29</v>
      </c>
      <c r="Q815" s="319" t="s">
        <v>6767</v>
      </c>
    </row>
    <row r="816" ht="14.25" customHeight="1">
      <c r="A816" s="211">
        <v>7.0</v>
      </c>
      <c r="B816" s="317" t="s">
        <v>6776</v>
      </c>
      <c r="C816" s="317" t="s">
        <v>6777</v>
      </c>
      <c r="D816" s="319" t="s">
        <v>25</v>
      </c>
      <c r="E816" s="380" t="s">
        <v>656</v>
      </c>
      <c r="F816" s="323"/>
      <c r="G816" s="318">
        <v>8000.0</v>
      </c>
      <c r="H816" s="319">
        <v>50.0</v>
      </c>
      <c r="I816" s="319">
        <v>180.0</v>
      </c>
      <c r="J816" s="319">
        <v>4.0</v>
      </c>
      <c r="K816" s="319">
        <v>4.0</v>
      </c>
      <c r="L816" s="319">
        <v>1.0</v>
      </c>
      <c r="M816" s="314" t="s">
        <v>6765</v>
      </c>
      <c r="N816" s="319" t="s">
        <v>27</v>
      </c>
      <c r="O816" s="319">
        <v>1000.0</v>
      </c>
      <c r="P816" s="319" t="s">
        <v>29</v>
      </c>
      <c r="Q816" s="319" t="s">
        <v>6767</v>
      </c>
    </row>
    <row r="817" ht="14.25" customHeight="1">
      <c r="A817" s="211">
        <v>8.0</v>
      </c>
      <c r="B817" s="349" t="s">
        <v>6778</v>
      </c>
      <c r="C817" s="349" t="s">
        <v>6779</v>
      </c>
      <c r="D817" s="319" t="s">
        <v>25</v>
      </c>
      <c r="E817" s="380" t="s">
        <v>656</v>
      </c>
      <c r="F817" s="350"/>
      <c r="G817" s="351">
        <v>10000.0</v>
      </c>
      <c r="H817" s="348">
        <v>80.0</v>
      </c>
      <c r="I817" s="348">
        <v>300.0</v>
      </c>
      <c r="J817" s="348">
        <v>4.0</v>
      </c>
      <c r="K817" s="348">
        <v>4.0</v>
      </c>
      <c r="L817" s="348">
        <v>1.0</v>
      </c>
      <c r="M817" s="352" t="s">
        <v>6765</v>
      </c>
      <c r="N817" s="348" t="s">
        <v>6766</v>
      </c>
      <c r="O817" s="348">
        <v>1000.0</v>
      </c>
      <c r="P817" s="348" t="s">
        <v>29</v>
      </c>
      <c r="Q817" s="319" t="s">
        <v>6767</v>
      </c>
    </row>
    <row r="818" ht="14.25" customHeight="1">
      <c r="A818" s="211">
        <v>9.0</v>
      </c>
      <c r="B818" s="317" t="s">
        <v>6780</v>
      </c>
      <c r="C818" s="317" t="s">
        <v>6781</v>
      </c>
      <c r="D818" s="319" t="s">
        <v>25</v>
      </c>
      <c r="E818" s="380" t="s">
        <v>656</v>
      </c>
      <c r="F818" s="323"/>
      <c r="G818" s="318">
        <v>10000.0</v>
      </c>
      <c r="H818" s="319">
        <v>80.0</v>
      </c>
      <c r="I818" s="319">
        <v>300.0</v>
      </c>
      <c r="J818" s="319">
        <v>3.0</v>
      </c>
      <c r="K818" s="319">
        <v>3.0</v>
      </c>
      <c r="L818" s="319">
        <v>1.0</v>
      </c>
      <c r="M818" s="314" t="s">
        <v>6765</v>
      </c>
      <c r="N818" s="319" t="s">
        <v>27</v>
      </c>
      <c r="O818" s="319">
        <v>1000.0</v>
      </c>
      <c r="P818" s="319" t="s">
        <v>29</v>
      </c>
      <c r="Q818" s="319" t="s">
        <v>6767</v>
      </c>
    </row>
    <row r="819" ht="14.25" customHeight="1">
      <c r="A819" s="211">
        <v>10.0</v>
      </c>
      <c r="B819" s="349" t="s">
        <v>6782</v>
      </c>
      <c r="C819" s="349" t="s">
        <v>6783</v>
      </c>
      <c r="D819" s="319" t="s">
        <v>25</v>
      </c>
      <c r="E819" s="380" t="s">
        <v>656</v>
      </c>
      <c r="F819" s="350"/>
      <c r="G819" s="351">
        <v>3000.0</v>
      </c>
      <c r="H819" s="348">
        <v>30.0</v>
      </c>
      <c r="I819" s="348">
        <v>120.0</v>
      </c>
      <c r="J819" s="348">
        <v>3.0</v>
      </c>
      <c r="K819" s="348">
        <v>3.0</v>
      </c>
      <c r="L819" s="348">
        <v>1.0</v>
      </c>
      <c r="M819" s="352" t="s">
        <v>6765</v>
      </c>
      <c r="N819" s="348" t="s">
        <v>6766</v>
      </c>
      <c r="O819" s="348">
        <v>1000.0</v>
      </c>
      <c r="P819" s="348" t="s">
        <v>29</v>
      </c>
      <c r="Q819" s="319" t="s">
        <v>6767</v>
      </c>
    </row>
    <row r="820" ht="14.25" customHeight="1">
      <c r="A820" s="211">
        <v>11.0</v>
      </c>
      <c r="B820" s="317" t="s">
        <v>6784</v>
      </c>
      <c r="C820" s="317" t="s">
        <v>6785</v>
      </c>
      <c r="D820" s="319" t="s">
        <v>25</v>
      </c>
      <c r="E820" s="380" t="s">
        <v>656</v>
      </c>
      <c r="F820" s="323"/>
      <c r="G820" s="318">
        <v>11000.0</v>
      </c>
      <c r="H820" s="319">
        <v>80.0</v>
      </c>
      <c r="I820" s="319">
        <v>300.0</v>
      </c>
      <c r="J820" s="319">
        <v>3.0</v>
      </c>
      <c r="K820" s="319">
        <v>3.0</v>
      </c>
      <c r="L820" s="319">
        <v>1.0</v>
      </c>
      <c r="M820" s="314" t="s">
        <v>6765</v>
      </c>
      <c r="N820" s="319" t="s">
        <v>27</v>
      </c>
      <c r="O820" s="319">
        <v>1000.0</v>
      </c>
      <c r="P820" s="319" t="s">
        <v>29</v>
      </c>
      <c r="Q820" s="319" t="s">
        <v>6767</v>
      </c>
    </row>
    <row r="821" ht="14.25" customHeight="1">
      <c r="A821" s="211">
        <v>12.0</v>
      </c>
      <c r="B821" s="349" t="s">
        <v>6786</v>
      </c>
      <c r="C821" s="349" t="s">
        <v>6787</v>
      </c>
      <c r="D821" s="319" t="s">
        <v>25</v>
      </c>
      <c r="E821" s="380" t="s">
        <v>656</v>
      </c>
      <c r="F821" s="350"/>
      <c r="G821" s="351">
        <v>7000.0</v>
      </c>
      <c r="H821" s="348">
        <v>20.0</v>
      </c>
      <c r="I821" s="348">
        <v>150.0</v>
      </c>
      <c r="J821" s="348">
        <v>3.0</v>
      </c>
      <c r="K821" s="348">
        <v>3.0</v>
      </c>
      <c r="L821" s="348">
        <v>1.0</v>
      </c>
      <c r="M821" s="352" t="s">
        <v>6765</v>
      </c>
      <c r="N821" s="348" t="s">
        <v>6766</v>
      </c>
      <c r="O821" s="348">
        <v>1000.0</v>
      </c>
      <c r="P821" s="348" t="s">
        <v>29</v>
      </c>
      <c r="Q821" s="319" t="s">
        <v>6767</v>
      </c>
    </row>
    <row r="822" ht="14.25" customHeight="1">
      <c r="A822" s="211">
        <v>13.0</v>
      </c>
      <c r="B822" s="317" t="s">
        <v>6788</v>
      </c>
      <c r="C822" s="317" t="s">
        <v>6764</v>
      </c>
      <c r="D822" s="319" t="s">
        <v>25</v>
      </c>
      <c r="E822" s="380" t="s">
        <v>656</v>
      </c>
      <c r="F822" s="323"/>
      <c r="G822" s="318">
        <v>2500.0</v>
      </c>
      <c r="H822" s="319">
        <v>80.0</v>
      </c>
      <c r="I822" s="319">
        <v>300.0</v>
      </c>
      <c r="J822" s="319">
        <v>5.0</v>
      </c>
      <c r="K822" s="319">
        <v>5.0</v>
      </c>
      <c r="L822" s="319">
        <v>1.0</v>
      </c>
      <c r="M822" s="314" t="s">
        <v>6765</v>
      </c>
      <c r="N822" s="319" t="s">
        <v>6766</v>
      </c>
      <c r="O822" s="319">
        <v>1000.0</v>
      </c>
      <c r="P822" s="319" t="s">
        <v>29</v>
      </c>
      <c r="Q822" s="319" t="s">
        <v>6767</v>
      </c>
    </row>
    <row r="823" ht="14.25" customHeight="1">
      <c r="A823" s="211">
        <v>14.0</v>
      </c>
      <c r="B823" s="349" t="s">
        <v>6789</v>
      </c>
      <c r="C823" s="349" t="s">
        <v>6790</v>
      </c>
      <c r="D823" s="319" t="s">
        <v>25</v>
      </c>
      <c r="E823" s="380" t="s">
        <v>656</v>
      </c>
      <c r="F823" s="350"/>
      <c r="G823" s="351">
        <v>600.0</v>
      </c>
      <c r="H823" s="348">
        <v>50.0</v>
      </c>
      <c r="I823" s="348">
        <v>200.0</v>
      </c>
      <c r="J823" s="348">
        <v>2.0</v>
      </c>
      <c r="K823" s="348">
        <v>2.0</v>
      </c>
      <c r="L823" s="348">
        <v>1.0</v>
      </c>
      <c r="M823" s="352" t="s">
        <v>6765</v>
      </c>
      <c r="N823" s="348" t="s">
        <v>27</v>
      </c>
      <c r="O823" s="348">
        <v>1000.0</v>
      </c>
      <c r="P823" s="348" t="s">
        <v>29</v>
      </c>
      <c r="Q823" s="348">
        <v>0.0</v>
      </c>
    </row>
    <row r="824" ht="14.25" customHeight="1">
      <c r="A824" s="211">
        <v>15.0</v>
      </c>
      <c r="B824" s="317" t="s">
        <v>6791</v>
      </c>
      <c r="C824" s="317" t="s">
        <v>6792</v>
      </c>
      <c r="D824" s="319" t="s">
        <v>25</v>
      </c>
      <c r="E824" s="380" t="s">
        <v>656</v>
      </c>
      <c r="F824" s="323"/>
      <c r="G824" s="318">
        <v>600.0</v>
      </c>
      <c r="H824" s="319">
        <v>50.0</v>
      </c>
      <c r="I824" s="319">
        <v>200.0</v>
      </c>
      <c r="J824" s="319">
        <v>2.0</v>
      </c>
      <c r="K824" s="319">
        <v>2.0</v>
      </c>
      <c r="L824" s="319">
        <v>1.0</v>
      </c>
      <c r="M824" s="314" t="s">
        <v>6765</v>
      </c>
      <c r="N824" s="319" t="s">
        <v>27</v>
      </c>
      <c r="O824" s="319">
        <v>1000.0</v>
      </c>
      <c r="P824" s="319" t="s">
        <v>29</v>
      </c>
      <c r="Q824" s="319">
        <v>0.0</v>
      </c>
    </row>
    <row r="825" ht="14.25" customHeight="1">
      <c r="A825" s="211">
        <v>16.0</v>
      </c>
      <c r="B825" s="349" t="s">
        <v>6793</v>
      </c>
      <c r="C825" s="349" t="s">
        <v>6794</v>
      </c>
      <c r="D825" s="319" t="s">
        <v>25</v>
      </c>
      <c r="E825" s="380" t="s">
        <v>656</v>
      </c>
      <c r="F825" s="350"/>
      <c r="G825" s="351">
        <v>600.0</v>
      </c>
      <c r="H825" s="348">
        <v>50.0</v>
      </c>
      <c r="I825" s="348">
        <v>200.0</v>
      </c>
      <c r="J825" s="348">
        <v>2.0</v>
      </c>
      <c r="K825" s="348">
        <v>2.0</v>
      </c>
      <c r="L825" s="348">
        <v>1.0</v>
      </c>
      <c r="M825" s="352" t="s">
        <v>6765</v>
      </c>
      <c r="N825" s="348" t="s">
        <v>27</v>
      </c>
      <c r="O825" s="348">
        <v>1000.0</v>
      </c>
      <c r="P825" s="348" t="s">
        <v>29</v>
      </c>
      <c r="Q825" s="348">
        <v>0.0</v>
      </c>
    </row>
    <row r="826" ht="14.25" customHeight="1">
      <c r="A826" s="181"/>
      <c r="B826" s="339" t="s">
        <v>6795</v>
      </c>
      <c r="C826" s="311"/>
      <c r="D826" s="312"/>
      <c r="E826" s="312"/>
      <c r="F826" s="312"/>
      <c r="G826" s="312"/>
      <c r="H826" s="312"/>
      <c r="I826" s="312"/>
      <c r="J826" s="312"/>
      <c r="K826" s="312"/>
      <c r="L826" s="312"/>
      <c r="M826" s="313"/>
      <c r="N826" s="312"/>
      <c r="O826" s="312"/>
      <c r="P826" s="312"/>
      <c r="Q826" s="312"/>
    </row>
    <row r="827" ht="14.25" customHeight="1">
      <c r="A827" s="211">
        <v>1.0</v>
      </c>
      <c r="B827" s="391" t="s">
        <v>6796</v>
      </c>
      <c r="C827" s="392" t="s">
        <v>3210</v>
      </c>
      <c r="D827" s="319" t="s">
        <v>25</v>
      </c>
      <c r="E827" s="380" t="s">
        <v>6797</v>
      </c>
      <c r="F827" s="393"/>
      <c r="G827" s="336">
        <v>580.0</v>
      </c>
      <c r="H827" s="216">
        <v>120.0</v>
      </c>
      <c r="I827" s="216">
        <v>850.0</v>
      </c>
      <c r="J827" s="216">
        <v>4.0</v>
      </c>
      <c r="K827" s="216">
        <v>4.0</v>
      </c>
      <c r="L827" s="216">
        <v>1.0</v>
      </c>
      <c r="M827" s="133" t="s">
        <v>6798</v>
      </c>
      <c r="N827" s="216" t="s">
        <v>2657</v>
      </c>
      <c r="O827" s="216" t="s">
        <v>2657</v>
      </c>
      <c r="P827" s="216" t="s">
        <v>29</v>
      </c>
      <c r="Q827" s="216" t="s">
        <v>2657</v>
      </c>
    </row>
    <row r="828" ht="14.25" customHeight="1">
      <c r="A828" s="211">
        <v>2.0</v>
      </c>
      <c r="B828" s="291" t="s">
        <v>6799</v>
      </c>
      <c r="C828" s="392" t="s">
        <v>3210</v>
      </c>
      <c r="D828" s="319" t="s">
        <v>25</v>
      </c>
      <c r="E828" s="380" t="s">
        <v>6797</v>
      </c>
      <c r="F828" s="393"/>
      <c r="G828" s="336">
        <v>165.0</v>
      </c>
      <c r="H828" s="216">
        <v>6.0</v>
      </c>
      <c r="I828" s="216">
        <v>20.0</v>
      </c>
      <c r="J828" s="216">
        <v>2.0</v>
      </c>
      <c r="K828" s="216">
        <v>2.0</v>
      </c>
      <c r="L828" s="337">
        <v>0.0</v>
      </c>
      <c r="M828" s="133" t="s">
        <v>6798</v>
      </c>
      <c r="N828" s="216" t="s">
        <v>2657</v>
      </c>
      <c r="O828" s="216" t="s">
        <v>2657</v>
      </c>
      <c r="P828" s="216" t="s">
        <v>29</v>
      </c>
      <c r="Q828" s="216" t="s">
        <v>2657</v>
      </c>
    </row>
    <row r="829" ht="14.25" customHeight="1">
      <c r="A829" s="211">
        <v>3.0</v>
      </c>
      <c r="B829" s="291" t="s">
        <v>6800</v>
      </c>
      <c r="C829" s="392" t="s">
        <v>3210</v>
      </c>
      <c r="D829" s="319" t="s">
        <v>25</v>
      </c>
      <c r="E829" s="380" t="s">
        <v>471</v>
      </c>
      <c r="F829" s="393"/>
      <c r="G829" s="336">
        <v>756.0</v>
      </c>
      <c r="H829" s="216">
        <v>120.0</v>
      </c>
      <c r="I829" s="216">
        <v>450.0</v>
      </c>
      <c r="J829" s="216">
        <v>4.0</v>
      </c>
      <c r="K829" s="216">
        <v>4.0</v>
      </c>
      <c r="L829" s="337">
        <v>0.0</v>
      </c>
      <c r="M829" s="133" t="s">
        <v>6798</v>
      </c>
      <c r="N829" s="216" t="s">
        <v>2657</v>
      </c>
      <c r="O829" s="216" t="s">
        <v>2657</v>
      </c>
      <c r="P829" s="216" t="s">
        <v>29</v>
      </c>
      <c r="Q829" s="216" t="s">
        <v>2657</v>
      </c>
    </row>
    <row r="830" ht="14.25" customHeight="1">
      <c r="A830" s="211">
        <v>4.0</v>
      </c>
      <c r="B830" s="291" t="s">
        <v>6801</v>
      </c>
      <c r="C830" s="392" t="s">
        <v>3210</v>
      </c>
      <c r="D830" s="319" t="s">
        <v>25</v>
      </c>
      <c r="E830" s="380" t="s">
        <v>6797</v>
      </c>
      <c r="F830" s="393"/>
      <c r="G830" s="336">
        <v>650.0</v>
      </c>
      <c r="H830" s="216">
        <v>100.0</v>
      </c>
      <c r="I830" s="216">
        <v>400.0</v>
      </c>
      <c r="J830" s="216">
        <v>5.0</v>
      </c>
      <c r="K830" s="216">
        <v>5.0</v>
      </c>
      <c r="L830" s="216">
        <v>2.0</v>
      </c>
      <c r="M830" s="133" t="s">
        <v>6798</v>
      </c>
      <c r="N830" s="216" t="s">
        <v>2657</v>
      </c>
      <c r="O830" s="216" t="s">
        <v>2657</v>
      </c>
      <c r="P830" s="216" t="s">
        <v>66</v>
      </c>
      <c r="Q830" s="216">
        <v>20.0</v>
      </c>
    </row>
    <row r="831" ht="14.25" customHeight="1">
      <c r="A831" s="211">
        <v>5.0</v>
      </c>
      <c r="B831" s="291" t="s">
        <v>6802</v>
      </c>
      <c r="C831" s="392" t="s">
        <v>6803</v>
      </c>
      <c r="D831" s="319" t="s">
        <v>25</v>
      </c>
      <c r="E831" s="380" t="s">
        <v>6797</v>
      </c>
      <c r="F831" s="393"/>
      <c r="G831" s="336">
        <v>245.0</v>
      </c>
      <c r="H831" s="216">
        <v>10.0</v>
      </c>
      <c r="I831" s="216">
        <v>40.0</v>
      </c>
      <c r="J831" s="216">
        <v>1.0</v>
      </c>
      <c r="K831" s="216">
        <v>1.0</v>
      </c>
      <c r="L831" s="216">
        <v>3.0</v>
      </c>
      <c r="M831" s="133" t="s">
        <v>172</v>
      </c>
      <c r="N831" s="216" t="s">
        <v>2657</v>
      </c>
      <c r="O831" s="216" t="s">
        <v>2657</v>
      </c>
      <c r="P831" s="216" t="s">
        <v>29</v>
      </c>
      <c r="Q831" s="216" t="s">
        <v>2657</v>
      </c>
    </row>
    <row r="832" ht="14.25" customHeight="1">
      <c r="A832" s="211">
        <v>6.0</v>
      </c>
      <c r="B832" s="291" t="s">
        <v>6804</v>
      </c>
      <c r="C832" s="392" t="s">
        <v>6803</v>
      </c>
      <c r="D832" s="319" t="s">
        <v>25</v>
      </c>
      <c r="E832" s="380" t="s">
        <v>6797</v>
      </c>
      <c r="F832" s="393"/>
      <c r="G832" s="336">
        <v>378.0</v>
      </c>
      <c r="H832" s="216">
        <v>65.0</v>
      </c>
      <c r="I832" s="216">
        <v>250.0</v>
      </c>
      <c r="J832" s="216">
        <v>3.0</v>
      </c>
      <c r="K832" s="216">
        <v>3.0</v>
      </c>
      <c r="L832" s="337">
        <v>0.0</v>
      </c>
      <c r="M832" s="133" t="s">
        <v>172</v>
      </c>
      <c r="N832" s="216" t="s">
        <v>2657</v>
      </c>
      <c r="O832" s="216" t="s">
        <v>2657</v>
      </c>
      <c r="P832" s="216" t="s">
        <v>29</v>
      </c>
      <c r="Q832" s="216" t="s">
        <v>2657</v>
      </c>
    </row>
    <row r="833" ht="14.25" customHeight="1">
      <c r="A833" s="211">
        <v>7.0</v>
      </c>
      <c r="B833" s="291" t="s">
        <v>6805</v>
      </c>
      <c r="C833" s="392" t="s">
        <v>6806</v>
      </c>
      <c r="D833" s="319" t="s">
        <v>25</v>
      </c>
      <c r="E833" s="380" t="s">
        <v>6797</v>
      </c>
      <c r="F833" s="393"/>
      <c r="G833" s="336">
        <v>126.0</v>
      </c>
      <c r="H833" s="216">
        <v>6.0</v>
      </c>
      <c r="I833" s="216">
        <v>20.0</v>
      </c>
      <c r="J833" s="216">
        <v>2.0</v>
      </c>
      <c r="K833" s="216">
        <v>2.0</v>
      </c>
      <c r="L833" s="337">
        <v>0.0</v>
      </c>
      <c r="M833" s="133" t="s">
        <v>27</v>
      </c>
      <c r="N833" s="216" t="s">
        <v>2657</v>
      </c>
      <c r="O833" s="216" t="s">
        <v>2657</v>
      </c>
      <c r="P833" s="216" t="s">
        <v>29</v>
      </c>
      <c r="Q833" s="216" t="s">
        <v>2657</v>
      </c>
    </row>
    <row r="834" ht="14.25" customHeight="1">
      <c r="A834" s="211">
        <v>8.0</v>
      </c>
      <c r="B834" s="291" t="s">
        <v>6807</v>
      </c>
      <c r="C834" s="392" t="s">
        <v>6806</v>
      </c>
      <c r="D834" s="319" t="s">
        <v>25</v>
      </c>
      <c r="E834" s="380" t="s">
        <v>6797</v>
      </c>
      <c r="F834" s="393"/>
      <c r="G834" s="336">
        <v>750.0</v>
      </c>
      <c r="H834" s="216">
        <v>100.0</v>
      </c>
      <c r="I834" s="216">
        <v>400.0</v>
      </c>
      <c r="J834" s="216">
        <v>4.0</v>
      </c>
      <c r="K834" s="216">
        <v>4.0</v>
      </c>
      <c r="L834" s="337">
        <v>0.0</v>
      </c>
      <c r="M834" s="133" t="s">
        <v>27</v>
      </c>
      <c r="N834" s="216" t="s">
        <v>2657</v>
      </c>
      <c r="O834" s="216" t="s">
        <v>2657</v>
      </c>
      <c r="P834" s="216" t="s">
        <v>29</v>
      </c>
      <c r="Q834" s="216" t="s">
        <v>2657</v>
      </c>
    </row>
    <row r="835" ht="14.25" customHeight="1">
      <c r="A835" s="211">
        <v>9.0</v>
      </c>
      <c r="B835" s="291" t="s">
        <v>6808</v>
      </c>
      <c r="C835" s="392" t="s">
        <v>6809</v>
      </c>
      <c r="D835" s="319" t="s">
        <v>25</v>
      </c>
      <c r="E835" s="348" t="s">
        <v>57</v>
      </c>
      <c r="F835" s="393"/>
      <c r="G835" s="336">
        <v>126.0</v>
      </c>
      <c r="H835" s="216">
        <v>6.0</v>
      </c>
      <c r="I835" s="216">
        <v>20.0</v>
      </c>
      <c r="J835" s="216">
        <v>2.0</v>
      </c>
      <c r="K835" s="216">
        <v>2.0</v>
      </c>
      <c r="L835" s="337">
        <v>0.0</v>
      </c>
      <c r="M835" s="133" t="s">
        <v>27</v>
      </c>
      <c r="N835" s="216" t="s">
        <v>2657</v>
      </c>
      <c r="O835" s="216" t="s">
        <v>2657</v>
      </c>
      <c r="P835" s="216" t="s">
        <v>29</v>
      </c>
      <c r="Q835" s="216" t="s">
        <v>2657</v>
      </c>
    </row>
    <row r="836" ht="14.25" customHeight="1">
      <c r="A836" s="211">
        <v>10.0</v>
      </c>
      <c r="B836" s="291" t="s">
        <v>6810</v>
      </c>
      <c r="C836" s="392" t="s">
        <v>6809</v>
      </c>
      <c r="D836" s="319" t="s">
        <v>25</v>
      </c>
      <c r="E836" s="348" t="s">
        <v>57</v>
      </c>
      <c r="F836" s="393"/>
      <c r="G836" s="336">
        <v>378.0</v>
      </c>
      <c r="H836" s="216">
        <v>50.0</v>
      </c>
      <c r="I836" s="216">
        <v>200.0</v>
      </c>
      <c r="J836" s="216">
        <v>4.0</v>
      </c>
      <c r="K836" s="216">
        <v>4.0</v>
      </c>
      <c r="L836" s="337">
        <v>0.0</v>
      </c>
      <c r="M836" s="133" t="s">
        <v>27</v>
      </c>
      <c r="N836" s="216" t="s">
        <v>2657</v>
      </c>
      <c r="O836" s="216" t="s">
        <v>2657</v>
      </c>
      <c r="P836" s="216" t="s">
        <v>29</v>
      </c>
      <c r="Q836" s="216" t="s">
        <v>2657</v>
      </c>
    </row>
    <row r="837" ht="14.25" customHeight="1">
      <c r="A837" s="211">
        <v>11.0</v>
      </c>
      <c r="B837" s="291" t="s">
        <v>6811</v>
      </c>
      <c r="C837" s="392" t="s">
        <v>6809</v>
      </c>
      <c r="D837" s="319" t="s">
        <v>25</v>
      </c>
      <c r="E837" s="348" t="s">
        <v>57</v>
      </c>
      <c r="F837" s="393"/>
      <c r="G837" s="336">
        <v>756.0</v>
      </c>
      <c r="H837" s="216">
        <v>120.0</v>
      </c>
      <c r="I837" s="216">
        <v>450.0</v>
      </c>
      <c r="J837" s="216">
        <v>5.0</v>
      </c>
      <c r="K837" s="216">
        <v>5.0</v>
      </c>
      <c r="L837" s="337">
        <v>0.0</v>
      </c>
      <c r="M837" s="133" t="s">
        <v>27</v>
      </c>
      <c r="N837" s="216" t="s">
        <v>2657</v>
      </c>
      <c r="O837" s="216" t="s">
        <v>2657</v>
      </c>
      <c r="P837" s="216" t="s">
        <v>29</v>
      </c>
      <c r="Q837" s="216" t="s">
        <v>2657</v>
      </c>
    </row>
    <row r="838" ht="14.25" customHeight="1">
      <c r="A838" s="211">
        <v>12.0</v>
      </c>
      <c r="B838" s="291" t="s">
        <v>6812</v>
      </c>
      <c r="C838" s="392" t="s">
        <v>6813</v>
      </c>
      <c r="D838" s="319" t="s">
        <v>25</v>
      </c>
      <c r="E838" s="348" t="s">
        <v>57</v>
      </c>
      <c r="F838" s="393"/>
      <c r="G838" s="336">
        <v>126.0</v>
      </c>
      <c r="H838" s="216">
        <v>6.0</v>
      </c>
      <c r="I838" s="216">
        <v>20.0</v>
      </c>
      <c r="J838" s="216">
        <v>2.0</v>
      </c>
      <c r="K838" s="216">
        <v>2.0</v>
      </c>
      <c r="L838" s="337">
        <v>0.0</v>
      </c>
      <c r="M838" s="133" t="s">
        <v>27</v>
      </c>
      <c r="N838" s="216" t="s">
        <v>2657</v>
      </c>
      <c r="O838" s="216" t="s">
        <v>2657</v>
      </c>
      <c r="P838" s="216" t="s">
        <v>29</v>
      </c>
      <c r="Q838" s="216" t="s">
        <v>2657</v>
      </c>
    </row>
    <row r="839" ht="14.25" customHeight="1">
      <c r="A839" s="211">
        <v>13.0</v>
      </c>
      <c r="B839" s="291" t="s">
        <v>6814</v>
      </c>
      <c r="C839" s="392" t="s">
        <v>6813</v>
      </c>
      <c r="D839" s="319" t="s">
        <v>25</v>
      </c>
      <c r="E839" s="348" t="s">
        <v>57</v>
      </c>
      <c r="F839" s="393"/>
      <c r="G839" s="336">
        <v>378.0</v>
      </c>
      <c r="H839" s="216">
        <v>75.0</v>
      </c>
      <c r="I839" s="216">
        <v>300.0</v>
      </c>
      <c r="J839" s="216">
        <v>4.0</v>
      </c>
      <c r="K839" s="216">
        <v>4.0</v>
      </c>
      <c r="L839" s="337">
        <v>0.0</v>
      </c>
      <c r="M839" s="133" t="s">
        <v>27</v>
      </c>
      <c r="N839" s="216" t="s">
        <v>2657</v>
      </c>
      <c r="O839" s="216" t="s">
        <v>2657</v>
      </c>
      <c r="P839" s="216" t="s">
        <v>29</v>
      </c>
      <c r="Q839" s="216" t="s">
        <v>2657</v>
      </c>
    </row>
    <row r="840" ht="14.25" customHeight="1">
      <c r="A840" s="211">
        <v>14.0</v>
      </c>
      <c r="B840" s="291" t="s">
        <v>6815</v>
      </c>
      <c r="C840" s="392" t="s">
        <v>6816</v>
      </c>
      <c r="D840" s="319" t="s">
        <v>25</v>
      </c>
      <c r="E840" s="380" t="s">
        <v>647</v>
      </c>
      <c r="F840" s="393"/>
      <c r="G840" s="336">
        <v>126.0</v>
      </c>
      <c r="H840" s="216">
        <v>6.0</v>
      </c>
      <c r="I840" s="216">
        <v>20.0</v>
      </c>
      <c r="J840" s="216">
        <v>4.0</v>
      </c>
      <c r="K840" s="216">
        <v>4.0</v>
      </c>
      <c r="L840" s="337">
        <v>0.0</v>
      </c>
      <c r="M840" s="133" t="s">
        <v>172</v>
      </c>
      <c r="N840" s="216" t="s">
        <v>2657</v>
      </c>
      <c r="O840" s="216" t="s">
        <v>2657</v>
      </c>
      <c r="P840" s="216" t="s">
        <v>29</v>
      </c>
      <c r="Q840" s="216" t="s">
        <v>2657</v>
      </c>
    </row>
    <row r="841" ht="14.25" customHeight="1">
      <c r="A841" s="211">
        <v>15.0</v>
      </c>
      <c r="B841" s="291" t="s">
        <v>6817</v>
      </c>
      <c r="C841" s="392" t="s">
        <v>6816</v>
      </c>
      <c r="D841" s="319" t="s">
        <v>25</v>
      </c>
      <c r="E841" s="380" t="s">
        <v>647</v>
      </c>
      <c r="F841" s="393"/>
      <c r="G841" s="336">
        <v>504.0</v>
      </c>
      <c r="H841" s="216">
        <v>120.0</v>
      </c>
      <c r="I841" s="216">
        <v>450.0</v>
      </c>
      <c r="J841" s="216">
        <v>4.0</v>
      </c>
      <c r="K841" s="216">
        <v>4.0</v>
      </c>
      <c r="L841" s="337">
        <v>0.0</v>
      </c>
      <c r="M841" s="133" t="s">
        <v>172</v>
      </c>
      <c r="N841" s="216" t="s">
        <v>2657</v>
      </c>
      <c r="O841" s="216" t="s">
        <v>2657</v>
      </c>
      <c r="P841" s="216" t="s">
        <v>29</v>
      </c>
      <c r="Q841" s="216" t="s">
        <v>2657</v>
      </c>
    </row>
    <row r="842" ht="14.25" customHeight="1">
      <c r="A842" s="211">
        <v>16.0</v>
      </c>
      <c r="B842" s="291" t="s">
        <v>6818</v>
      </c>
      <c r="C842" s="392" t="s">
        <v>6819</v>
      </c>
      <c r="D842" s="319" t="s">
        <v>25</v>
      </c>
      <c r="E842" s="348" t="s">
        <v>57</v>
      </c>
      <c r="F842" s="393"/>
      <c r="G842" s="336">
        <v>126.0</v>
      </c>
      <c r="H842" s="216">
        <v>6.0</v>
      </c>
      <c r="I842" s="216">
        <v>20.0</v>
      </c>
      <c r="J842" s="216">
        <v>2.0</v>
      </c>
      <c r="K842" s="216">
        <v>2.0</v>
      </c>
      <c r="L842" s="337">
        <v>0.0</v>
      </c>
      <c r="M842" s="133" t="s">
        <v>172</v>
      </c>
      <c r="N842" s="216" t="s">
        <v>2657</v>
      </c>
      <c r="O842" s="216" t="s">
        <v>2657</v>
      </c>
      <c r="P842" s="216" t="s">
        <v>29</v>
      </c>
      <c r="Q842" s="216" t="s">
        <v>2657</v>
      </c>
    </row>
    <row r="843" ht="14.25" customHeight="1">
      <c r="A843" s="211">
        <v>17.0</v>
      </c>
      <c r="B843" s="291" t="s">
        <v>6820</v>
      </c>
      <c r="C843" s="392" t="s">
        <v>6819</v>
      </c>
      <c r="D843" s="319" t="s">
        <v>25</v>
      </c>
      <c r="E843" s="348" t="s">
        <v>57</v>
      </c>
      <c r="F843" s="393"/>
      <c r="G843" s="336">
        <v>189.0</v>
      </c>
      <c r="H843" s="216">
        <v>45.0</v>
      </c>
      <c r="I843" s="216">
        <v>180.0</v>
      </c>
      <c r="J843" s="216">
        <v>2.0</v>
      </c>
      <c r="K843" s="216">
        <v>2.0</v>
      </c>
      <c r="L843" s="337">
        <v>0.0</v>
      </c>
      <c r="M843" s="133" t="s">
        <v>172</v>
      </c>
      <c r="N843" s="216" t="s">
        <v>2657</v>
      </c>
      <c r="O843" s="216" t="s">
        <v>2657</v>
      </c>
      <c r="P843" s="216" t="s">
        <v>29</v>
      </c>
      <c r="Q843" s="216" t="s">
        <v>2657</v>
      </c>
    </row>
    <row r="844" ht="14.25" customHeight="1">
      <c r="A844" s="211">
        <v>18.0</v>
      </c>
      <c r="B844" s="291" t="s">
        <v>6821</v>
      </c>
      <c r="C844" s="392" t="s">
        <v>6822</v>
      </c>
      <c r="D844" s="319" t="s">
        <v>25</v>
      </c>
      <c r="E844" s="348" t="s">
        <v>57</v>
      </c>
      <c r="F844" s="393"/>
      <c r="G844" s="336">
        <v>145.0</v>
      </c>
      <c r="H844" s="216">
        <v>6.0</v>
      </c>
      <c r="I844" s="216">
        <v>20.0</v>
      </c>
      <c r="J844" s="216">
        <v>2.0</v>
      </c>
      <c r="K844" s="216">
        <v>2.0</v>
      </c>
      <c r="L844" s="337">
        <v>0.0</v>
      </c>
      <c r="M844" s="133" t="s">
        <v>172</v>
      </c>
      <c r="N844" s="216" t="s">
        <v>2657</v>
      </c>
      <c r="O844" s="216" t="s">
        <v>2657</v>
      </c>
      <c r="P844" s="216" t="s">
        <v>29</v>
      </c>
      <c r="Q844" s="216" t="s">
        <v>2657</v>
      </c>
    </row>
    <row r="845" ht="14.25" customHeight="1">
      <c r="A845" s="211">
        <v>19.0</v>
      </c>
      <c r="B845" s="291" t="s">
        <v>6823</v>
      </c>
      <c r="C845" s="392" t="s">
        <v>6822</v>
      </c>
      <c r="D845" s="319" t="s">
        <v>25</v>
      </c>
      <c r="E845" s="348" t="s">
        <v>57</v>
      </c>
      <c r="F845" s="393"/>
      <c r="G845" s="336">
        <v>504.0</v>
      </c>
      <c r="H845" s="216">
        <v>50.0</v>
      </c>
      <c r="I845" s="216">
        <v>200.0</v>
      </c>
      <c r="J845" s="216">
        <v>4.0</v>
      </c>
      <c r="K845" s="216">
        <v>4.0</v>
      </c>
      <c r="L845" s="337">
        <v>0.0</v>
      </c>
      <c r="M845" s="133" t="s">
        <v>172</v>
      </c>
      <c r="N845" s="216" t="s">
        <v>2657</v>
      </c>
      <c r="O845" s="216" t="s">
        <v>2657</v>
      </c>
      <c r="P845" s="216" t="s">
        <v>29</v>
      </c>
      <c r="Q845" s="216" t="s">
        <v>2657</v>
      </c>
    </row>
    <row r="846" ht="14.25" customHeight="1">
      <c r="A846" s="211">
        <v>20.0</v>
      </c>
      <c r="B846" s="291" t="s">
        <v>6824</v>
      </c>
      <c r="C846" s="392" t="s">
        <v>6822</v>
      </c>
      <c r="D846" s="319" t="s">
        <v>25</v>
      </c>
      <c r="E846" s="348" t="s">
        <v>57</v>
      </c>
      <c r="F846" s="393"/>
      <c r="G846" s="336">
        <v>504.0</v>
      </c>
      <c r="H846" s="216">
        <v>75.0</v>
      </c>
      <c r="I846" s="216">
        <v>300.0</v>
      </c>
      <c r="J846" s="216">
        <v>4.0</v>
      </c>
      <c r="K846" s="216">
        <v>4.0</v>
      </c>
      <c r="L846" s="337">
        <v>0.0</v>
      </c>
      <c r="M846" s="133" t="s">
        <v>172</v>
      </c>
      <c r="N846" s="216" t="s">
        <v>2657</v>
      </c>
      <c r="O846" s="216" t="s">
        <v>2657</v>
      </c>
      <c r="P846" s="216" t="s">
        <v>29</v>
      </c>
      <c r="Q846" s="216" t="s">
        <v>2657</v>
      </c>
    </row>
    <row r="847" ht="14.25" customHeight="1">
      <c r="A847" s="211">
        <v>21.0</v>
      </c>
      <c r="B847" s="291" t="s">
        <v>6825</v>
      </c>
      <c r="C847" s="392" t="s">
        <v>6826</v>
      </c>
      <c r="D847" s="319" t="s">
        <v>25</v>
      </c>
      <c r="E847" s="380" t="s">
        <v>647</v>
      </c>
      <c r="F847" s="393"/>
      <c r="G847" s="336">
        <v>126.0</v>
      </c>
      <c r="H847" s="216">
        <v>6.0</v>
      </c>
      <c r="I847" s="216">
        <v>20.0</v>
      </c>
      <c r="J847" s="216">
        <v>2.0</v>
      </c>
      <c r="K847" s="216">
        <v>2.0</v>
      </c>
      <c r="L847" s="337">
        <v>0.0</v>
      </c>
      <c r="M847" s="133" t="s">
        <v>172</v>
      </c>
      <c r="N847" s="216" t="s">
        <v>2657</v>
      </c>
      <c r="O847" s="216" t="s">
        <v>2657</v>
      </c>
      <c r="P847" s="216" t="s">
        <v>29</v>
      </c>
      <c r="Q847" s="216" t="s">
        <v>2657</v>
      </c>
    </row>
    <row r="848" ht="14.25" customHeight="1">
      <c r="A848" s="211">
        <v>22.0</v>
      </c>
      <c r="B848" s="291" t="s">
        <v>6827</v>
      </c>
      <c r="C848" s="392" t="s">
        <v>6826</v>
      </c>
      <c r="D848" s="319" t="s">
        <v>25</v>
      </c>
      <c r="E848" s="380" t="s">
        <v>647</v>
      </c>
      <c r="F848" s="393"/>
      <c r="G848" s="336">
        <v>504.0</v>
      </c>
      <c r="H848" s="216">
        <v>120.0</v>
      </c>
      <c r="I848" s="216">
        <v>450.0</v>
      </c>
      <c r="J848" s="216">
        <v>4.0</v>
      </c>
      <c r="K848" s="216">
        <v>4.0</v>
      </c>
      <c r="L848" s="337">
        <v>0.0</v>
      </c>
      <c r="M848" s="133" t="s">
        <v>172</v>
      </c>
      <c r="N848" s="216" t="s">
        <v>2657</v>
      </c>
      <c r="O848" s="216" t="s">
        <v>2657</v>
      </c>
      <c r="P848" s="216" t="s">
        <v>29</v>
      </c>
      <c r="Q848" s="216" t="s">
        <v>2657</v>
      </c>
    </row>
    <row r="849" ht="14.25" customHeight="1">
      <c r="A849" s="211">
        <v>23.0</v>
      </c>
      <c r="B849" s="291" t="s">
        <v>6828</v>
      </c>
      <c r="C849" s="392" t="s">
        <v>6829</v>
      </c>
      <c r="D849" s="319" t="s">
        <v>25</v>
      </c>
      <c r="E849" s="348" t="s">
        <v>57</v>
      </c>
      <c r="F849" s="393"/>
      <c r="G849" s="336">
        <v>126.0</v>
      </c>
      <c r="H849" s="216">
        <v>6.0</v>
      </c>
      <c r="I849" s="216">
        <v>20.0</v>
      </c>
      <c r="J849" s="216">
        <v>2.0</v>
      </c>
      <c r="K849" s="216">
        <v>2.0</v>
      </c>
      <c r="L849" s="337">
        <v>0.0</v>
      </c>
      <c r="M849" s="133" t="s">
        <v>172</v>
      </c>
      <c r="N849" s="216" t="s">
        <v>2657</v>
      </c>
      <c r="O849" s="216" t="s">
        <v>2657</v>
      </c>
      <c r="P849" s="216" t="s">
        <v>29</v>
      </c>
      <c r="Q849" s="216" t="s">
        <v>2657</v>
      </c>
    </row>
    <row r="850" ht="14.25" customHeight="1">
      <c r="A850" s="211">
        <v>24.0</v>
      </c>
      <c r="B850" s="291" t="s">
        <v>6830</v>
      </c>
      <c r="C850" s="392" t="s">
        <v>6829</v>
      </c>
      <c r="D850" s="319" t="s">
        <v>25</v>
      </c>
      <c r="E850" s="348" t="s">
        <v>57</v>
      </c>
      <c r="F850" s="393"/>
      <c r="G850" s="336">
        <v>300.0</v>
      </c>
      <c r="H850" s="216">
        <v>30.0</v>
      </c>
      <c r="I850" s="216">
        <v>150.0</v>
      </c>
      <c r="J850" s="216">
        <v>4.0</v>
      </c>
      <c r="K850" s="216">
        <v>4.0</v>
      </c>
      <c r="L850" s="337">
        <v>0.0</v>
      </c>
      <c r="M850" s="133" t="s">
        <v>172</v>
      </c>
      <c r="N850" s="216" t="s">
        <v>2657</v>
      </c>
      <c r="O850" s="216" t="s">
        <v>2657</v>
      </c>
      <c r="P850" s="216" t="s">
        <v>29</v>
      </c>
      <c r="Q850" s="216" t="s">
        <v>2657</v>
      </c>
    </row>
    <row r="851" ht="14.25" customHeight="1">
      <c r="A851" s="211">
        <v>25.0</v>
      </c>
      <c r="B851" s="291" t="s">
        <v>6831</v>
      </c>
      <c r="C851" s="392" t="s">
        <v>6829</v>
      </c>
      <c r="D851" s="319" t="s">
        <v>25</v>
      </c>
      <c r="E851" s="348" t="s">
        <v>57</v>
      </c>
      <c r="F851" s="393"/>
      <c r="G851" s="336">
        <v>220.0</v>
      </c>
      <c r="H851" s="216">
        <v>25.0</v>
      </c>
      <c r="I851" s="216">
        <v>100.0</v>
      </c>
      <c r="J851" s="216">
        <v>4.0</v>
      </c>
      <c r="K851" s="216">
        <v>4.0</v>
      </c>
      <c r="L851" s="337">
        <v>0.0</v>
      </c>
      <c r="M851" s="133" t="s">
        <v>172</v>
      </c>
      <c r="N851" s="216" t="s">
        <v>2657</v>
      </c>
      <c r="O851" s="216" t="s">
        <v>2657</v>
      </c>
      <c r="P851" s="216" t="s">
        <v>29</v>
      </c>
      <c r="Q851" s="216" t="s">
        <v>2657</v>
      </c>
    </row>
    <row r="852" ht="14.25" customHeight="1">
      <c r="A852" s="211">
        <v>26.0</v>
      </c>
      <c r="B852" s="291" t="s">
        <v>6832</v>
      </c>
      <c r="C852" s="392" t="s">
        <v>6833</v>
      </c>
      <c r="D852" s="319" t="s">
        <v>25</v>
      </c>
      <c r="E852" s="380" t="s">
        <v>465</v>
      </c>
      <c r="F852" s="393"/>
      <c r="G852" s="336">
        <v>126.0</v>
      </c>
      <c r="H852" s="216">
        <v>8.0</v>
      </c>
      <c r="I852" s="216">
        <v>30.0</v>
      </c>
      <c r="J852" s="216">
        <v>2.0</v>
      </c>
      <c r="K852" s="216">
        <v>2.0</v>
      </c>
      <c r="L852" s="216">
        <v>1.0</v>
      </c>
      <c r="M852" s="133" t="s">
        <v>172</v>
      </c>
      <c r="N852" s="216" t="s">
        <v>2657</v>
      </c>
      <c r="O852" s="216" t="s">
        <v>2657</v>
      </c>
      <c r="P852" s="216" t="s">
        <v>29</v>
      </c>
      <c r="Q852" s="216" t="s">
        <v>2657</v>
      </c>
    </row>
    <row r="853" ht="14.25" customHeight="1">
      <c r="A853" s="211">
        <v>27.0</v>
      </c>
      <c r="B853" s="291" t="s">
        <v>6834</v>
      </c>
      <c r="C853" s="392" t="s">
        <v>6833</v>
      </c>
      <c r="D853" s="319" t="s">
        <v>25</v>
      </c>
      <c r="E853" s="380" t="s">
        <v>465</v>
      </c>
      <c r="F853" s="393"/>
      <c r="G853" s="336">
        <v>185.0</v>
      </c>
      <c r="H853" s="216">
        <v>30.0</v>
      </c>
      <c r="I853" s="216">
        <v>120.0</v>
      </c>
      <c r="J853" s="216">
        <v>4.0</v>
      </c>
      <c r="K853" s="216">
        <v>4.0</v>
      </c>
      <c r="L853" s="337">
        <v>0.0</v>
      </c>
      <c r="M853" s="133" t="s">
        <v>172</v>
      </c>
      <c r="N853" s="216" t="s">
        <v>2657</v>
      </c>
      <c r="O853" s="216" t="s">
        <v>2657</v>
      </c>
      <c r="P853" s="216" t="s">
        <v>29</v>
      </c>
      <c r="Q853" s="216" t="s">
        <v>2657</v>
      </c>
    </row>
    <row r="854" ht="14.25" customHeight="1">
      <c r="A854" s="181"/>
      <c r="B854" s="339" t="s">
        <v>5194</v>
      </c>
      <c r="C854" s="311"/>
      <c r="D854" s="312"/>
      <c r="E854" s="312"/>
      <c r="F854" s="312"/>
      <c r="G854" s="312"/>
      <c r="H854" s="312"/>
      <c r="I854" s="312"/>
      <c r="J854" s="312"/>
      <c r="K854" s="312"/>
      <c r="L854" s="312"/>
      <c r="M854" s="313"/>
      <c r="N854" s="312"/>
      <c r="O854" s="312"/>
      <c r="P854" s="312"/>
      <c r="Q854" s="312"/>
    </row>
    <row r="855" ht="14.25" customHeight="1">
      <c r="A855" s="211">
        <v>1.0</v>
      </c>
      <c r="B855" s="340" t="s">
        <v>6835</v>
      </c>
      <c r="C855" s="317" t="s">
        <v>5581</v>
      </c>
      <c r="D855" s="319" t="s">
        <v>25</v>
      </c>
      <c r="E855" s="348" t="s">
        <v>57</v>
      </c>
      <c r="F855" s="323"/>
      <c r="G855" s="318">
        <v>252.0</v>
      </c>
      <c r="H855" s="319">
        <v>33.0</v>
      </c>
      <c r="I855" s="319">
        <v>168.0</v>
      </c>
      <c r="J855" s="319">
        <v>0.0</v>
      </c>
      <c r="K855" s="319">
        <v>0.0</v>
      </c>
      <c r="L855" s="319">
        <v>4.0</v>
      </c>
      <c r="M855" s="314" t="s">
        <v>27</v>
      </c>
      <c r="N855" s="319" t="s">
        <v>2657</v>
      </c>
      <c r="O855" s="319">
        <v>1.0</v>
      </c>
      <c r="P855" s="319" t="s">
        <v>29</v>
      </c>
      <c r="Q855" s="319" t="s">
        <v>39</v>
      </c>
    </row>
    <row r="856" ht="14.25" customHeight="1">
      <c r="A856" s="211">
        <v>2.0</v>
      </c>
      <c r="B856" s="317" t="s">
        <v>6836</v>
      </c>
      <c r="C856" s="317" t="s">
        <v>5581</v>
      </c>
      <c r="D856" s="319" t="s">
        <v>25</v>
      </c>
      <c r="E856" s="348" t="s">
        <v>57</v>
      </c>
      <c r="F856" s="323"/>
      <c r="G856" s="318">
        <v>92.0</v>
      </c>
      <c r="H856" s="319">
        <v>10.0</v>
      </c>
      <c r="I856" s="319">
        <v>40.0</v>
      </c>
      <c r="J856" s="319">
        <v>1.0</v>
      </c>
      <c r="K856" s="319">
        <v>1.0</v>
      </c>
      <c r="L856" s="319">
        <v>0.0</v>
      </c>
      <c r="M856" s="314" t="s">
        <v>27</v>
      </c>
      <c r="N856" s="319" t="s">
        <v>2657</v>
      </c>
      <c r="O856" s="319">
        <v>1.0</v>
      </c>
      <c r="P856" s="319" t="s">
        <v>29</v>
      </c>
      <c r="Q856" s="319" t="s">
        <v>39</v>
      </c>
    </row>
    <row r="857" ht="14.25" customHeight="1">
      <c r="A857" s="211">
        <v>3.0</v>
      </c>
      <c r="B857" s="349" t="s">
        <v>6837</v>
      </c>
      <c r="C857" s="349" t="s">
        <v>6838</v>
      </c>
      <c r="D857" s="319" t="s">
        <v>25</v>
      </c>
      <c r="E857" s="348" t="s">
        <v>57</v>
      </c>
      <c r="F857" s="350"/>
      <c r="G857" s="351">
        <v>819.0</v>
      </c>
      <c r="H857" s="348">
        <v>109.0</v>
      </c>
      <c r="I857" s="348">
        <v>546.0</v>
      </c>
      <c r="J857" s="348">
        <v>2.0</v>
      </c>
      <c r="K857" s="348">
        <v>2.0</v>
      </c>
      <c r="L857" s="348">
        <v>13.0</v>
      </c>
      <c r="M857" s="314" t="s">
        <v>27</v>
      </c>
      <c r="N857" s="319" t="s">
        <v>2657</v>
      </c>
      <c r="O857" s="319">
        <v>1.0</v>
      </c>
      <c r="P857" s="319" t="s">
        <v>29</v>
      </c>
      <c r="Q857" s="319" t="s">
        <v>39</v>
      </c>
    </row>
    <row r="858" ht="14.25" customHeight="1">
      <c r="A858" s="211">
        <v>4.0</v>
      </c>
      <c r="B858" s="317" t="s">
        <v>6839</v>
      </c>
      <c r="C858" s="317" t="s">
        <v>6838</v>
      </c>
      <c r="D858" s="319" t="s">
        <v>25</v>
      </c>
      <c r="E858" s="348" t="s">
        <v>57</v>
      </c>
      <c r="F858" s="323"/>
      <c r="G858" s="318">
        <v>756.0</v>
      </c>
      <c r="H858" s="319">
        <v>100.0</v>
      </c>
      <c r="I858" s="319">
        <v>504.0</v>
      </c>
      <c r="J858" s="319">
        <v>2.0</v>
      </c>
      <c r="K858" s="319">
        <v>2.0</v>
      </c>
      <c r="L858" s="319">
        <v>3.0</v>
      </c>
      <c r="M858" s="314" t="s">
        <v>27</v>
      </c>
      <c r="N858" s="319" t="s">
        <v>2657</v>
      </c>
      <c r="O858" s="319">
        <v>1.0</v>
      </c>
      <c r="P858" s="319" t="s">
        <v>29</v>
      </c>
      <c r="Q858" s="319" t="s">
        <v>39</v>
      </c>
    </row>
    <row r="859" ht="14.25" customHeight="1">
      <c r="A859" s="211">
        <v>5.0</v>
      </c>
      <c r="B859" s="291" t="s">
        <v>6840</v>
      </c>
      <c r="C859" s="317" t="s">
        <v>6838</v>
      </c>
      <c r="D859" s="319" t="s">
        <v>25</v>
      </c>
      <c r="E859" s="348" t="s">
        <v>57</v>
      </c>
      <c r="F859" s="323"/>
      <c r="G859" s="318">
        <v>110.0</v>
      </c>
      <c r="H859" s="319">
        <v>20.0</v>
      </c>
      <c r="I859" s="319">
        <v>86.0</v>
      </c>
      <c r="J859" s="319">
        <v>0.0</v>
      </c>
      <c r="K859" s="319">
        <v>0.0</v>
      </c>
      <c r="L859" s="319">
        <v>2.0</v>
      </c>
      <c r="M859" s="314" t="s">
        <v>27</v>
      </c>
      <c r="N859" s="319" t="s">
        <v>2657</v>
      </c>
      <c r="O859" s="319">
        <v>1.0</v>
      </c>
      <c r="P859" s="319" t="s">
        <v>29</v>
      </c>
      <c r="Q859" s="319" t="s">
        <v>39</v>
      </c>
    </row>
    <row r="860" ht="14.25" customHeight="1">
      <c r="A860" s="211">
        <v>6.0</v>
      </c>
      <c r="B860" s="317" t="s">
        <v>6841</v>
      </c>
      <c r="C860" s="317" t="s">
        <v>6842</v>
      </c>
      <c r="D860" s="319" t="s">
        <v>25</v>
      </c>
      <c r="E860" s="319" t="s">
        <v>5724</v>
      </c>
      <c r="F860" s="323"/>
      <c r="G860" s="318">
        <v>378.0</v>
      </c>
      <c r="H860" s="319">
        <v>50.0</v>
      </c>
      <c r="I860" s="319">
        <v>252.0</v>
      </c>
      <c r="J860" s="319" t="s">
        <v>39</v>
      </c>
      <c r="K860" s="319" t="s">
        <v>39</v>
      </c>
      <c r="L860" s="319">
        <v>2.0</v>
      </c>
      <c r="M860" s="314" t="s">
        <v>27</v>
      </c>
      <c r="N860" s="319" t="s">
        <v>2657</v>
      </c>
      <c r="O860" s="319">
        <v>1.0</v>
      </c>
      <c r="P860" s="319" t="s">
        <v>29</v>
      </c>
      <c r="Q860" s="319" t="s">
        <v>39</v>
      </c>
    </row>
    <row r="861" ht="14.25" customHeight="1">
      <c r="A861" s="211">
        <v>7.0</v>
      </c>
      <c r="B861" s="291" t="s">
        <v>6843</v>
      </c>
      <c r="C861" s="317" t="s">
        <v>6842</v>
      </c>
      <c r="D861" s="319" t="s">
        <v>25</v>
      </c>
      <c r="E861" s="319" t="s">
        <v>5724</v>
      </c>
      <c r="F861" s="323"/>
      <c r="G861" s="318">
        <v>94.0</v>
      </c>
      <c r="H861" s="319">
        <v>10.0</v>
      </c>
      <c r="I861" s="319">
        <v>40.0</v>
      </c>
      <c r="J861" s="319">
        <v>1.0</v>
      </c>
      <c r="K861" s="319">
        <v>1.0</v>
      </c>
      <c r="L861" s="319">
        <v>0.0</v>
      </c>
      <c r="M861" s="314" t="s">
        <v>27</v>
      </c>
      <c r="N861" s="319" t="s">
        <v>2657</v>
      </c>
      <c r="O861" s="319">
        <v>1.0</v>
      </c>
      <c r="P861" s="319" t="s">
        <v>29</v>
      </c>
      <c r="Q861" s="319" t="s">
        <v>39</v>
      </c>
    </row>
    <row r="862" ht="14.25" customHeight="1">
      <c r="A862" s="211">
        <v>8.0</v>
      </c>
      <c r="B862" s="291" t="s">
        <v>6844</v>
      </c>
      <c r="C862" s="317" t="s">
        <v>6845</v>
      </c>
      <c r="D862" s="319" t="s">
        <v>25</v>
      </c>
      <c r="E862" s="348" t="s">
        <v>57</v>
      </c>
      <c r="F862" s="323"/>
      <c r="G862" s="318">
        <v>130.0</v>
      </c>
      <c r="H862" s="319">
        <v>20.0</v>
      </c>
      <c r="I862" s="319">
        <v>85.0</v>
      </c>
      <c r="J862" s="319">
        <v>0.0</v>
      </c>
      <c r="K862" s="319">
        <v>0.0</v>
      </c>
      <c r="L862" s="319">
        <v>2.0</v>
      </c>
      <c r="M862" s="314" t="s">
        <v>27</v>
      </c>
      <c r="N862" s="319" t="s">
        <v>2657</v>
      </c>
      <c r="O862" s="319">
        <v>1.0</v>
      </c>
      <c r="P862" s="319" t="s">
        <v>29</v>
      </c>
      <c r="Q862" s="319" t="s">
        <v>39</v>
      </c>
    </row>
    <row r="863" ht="14.25" customHeight="1">
      <c r="A863" s="211">
        <v>9.0</v>
      </c>
      <c r="B863" s="349" t="s">
        <v>6846</v>
      </c>
      <c r="C863" s="349" t="s">
        <v>6847</v>
      </c>
      <c r="D863" s="319" t="s">
        <v>25</v>
      </c>
      <c r="E863" s="348" t="s">
        <v>5724</v>
      </c>
      <c r="F863" s="350"/>
      <c r="G863" s="351">
        <v>441.0</v>
      </c>
      <c r="H863" s="348">
        <v>58.0</v>
      </c>
      <c r="I863" s="348">
        <v>294.0</v>
      </c>
      <c r="J863" s="348" t="s">
        <v>39</v>
      </c>
      <c r="K863" s="348" t="s">
        <v>39</v>
      </c>
      <c r="L863" s="348">
        <v>7.0</v>
      </c>
      <c r="M863" s="314" t="s">
        <v>27</v>
      </c>
      <c r="N863" s="319" t="s">
        <v>2657</v>
      </c>
      <c r="O863" s="319">
        <v>1.0</v>
      </c>
      <c r="P863" s="319" t="s">
        <v>29</v>
      </c>
      <c r="Q863" s="319" t="s">
        <v>39</v>
      </c>
    </row>
    <row r="864" ht="14.25" customHeight="1">
      <c r="A864" s="211">
        <v>10.0</v>
      </c>
      <c r="B864" s="291" t="s">
        <v>6848</v>
      </c>
      <c r="C864" s="349" t="s">
        <v>6847</v>
      </c>
      <c r="D864" s="319" t="s">
        <v>25</v>
      </c>
      <c r="E864" s="348" t="s">
        <v>5724</v>
      </c>
      <c r="F864" s="350"/>
      <c r="G864" s="318">
        <v>108.0</v>
      </c>
      <c r="H864" s="319">
        <v>8.0</v>
      </c>
      <c r="I864" s="319">
        <v>30.0</v>
      </c>
      <c r="J864" s="319">
        <v>0.0</v>
      </c>
      <c r="K864" s="319">
        <v>0.0</v>
      </c>
      <c r="L864" s="319">
        <v>1.0</v>
      </c>
      <c r="M864" s="314" t="s">
        <v>27</v>
      </c>
      <c r="N864" s="319" t="s">
        <v>2657</v>
      </c>
      <c r="O864" s="319">
        <v>1.0</v>
      </c>
      <c r="P864" s="319" t="s">
        <v>29</v>
      </c>
      <c r="Q864" s="319" t="s">
        <v>39</v>
      </c>
    </row>
    <row r="865" ht="14.25" customHeight="1">
      <c r="A865" s="211">
        <v>11.0</v>
      </c>
      <c r="B865" s="317" t="s">
        <v>6849</v>
      </c>
      <c r="C865" s="317" t="s">
        <v>6850</v>
      </c>
      <c r="D865" s="319" t="s">
        <v>25</v>
      </c>
      <c r="E865" s="348" t="s">
        <v>57</v>
      </c>
      <c r="F865" s="323"/>
      <c r="G865" s="318">
        <v>441.0</v>
      </c>
      <c r="H865" s="319">
        <v>84.0</v>
      </c>
      <c r="I865" s="319">
        <v>420.0</v>
      </c>
      <c r="J865" s="319">
        <v>0.0</v>
      </c>
      <c r="K865" s="319">
        <v>0.0</v>
      </c>
      <c r="L865" s="319">
        <v>7.0</v>
      </c>
      <c r="M865" s="314" t="s">
        <v>27</v>
      </c>
      <c r="N865" s="319" t="s">
        <v>2657</v>
      </c>
      <c r="O865" s="319">
        <v>1.0</v>
      </c>
      <c r="P865" s="319" t="s">
        <v>29</v>
      </c>
      <c r="Q865" s="319" t="s">
        <v>39</v>
      </c>
    </row>
    <row r="866" ht="14.25" customHeight="1">
      <c r="A866" s="211">
        <v>12.0</v>
      </c>
      <c r="B866" s="349" t="s">
        <v>6851</v>
      </c>
      <c r="C866" s="349" t="s">
        <v>6852</v>
      </c>
      <c r="D866" s="319" t="s">
        <v>25</v>
      </c>
      <c r="E866" s="348" t="s">
        <v>57</v>
      </c>
      <c r="F866" s="350"/>
      <c r="G866" s="351">
        <v>1323.0</v>
      </c>
      <c r="H866" s="348">
        <v>176.0</v>
      </c>
      <c r="I866" s="348">
        <v>882.0</v>
      </c>
      <c r="J866" s="348">
        <v>0.0</v>
      </c>
      <c r="K866" s="348">
        <v>0.0</v>
      </c>
      <c r="L866" s="348">
        <v>21.0</v>
      </c>
      <c r="M866" s="314" t="s">
        <v>27</v>
      </c>
      <c r="N866" s="319" t="s">
        <v>2657</v>
      </c>
      <c r="O866" s="319">
        <v>1.0</v>
      </c>
      <c r="P866" s="319" t="s">
        <v>29</v>
      </c>
      <c r="Q866" s="319" t="s">
        <v>39</v>
      </c>
    </row>
    <row r="867" ht="14.25" customHeight="1">
      <c r="A867" s="211">
        <v>13.0</v>
      </c>
      <c r="B867" s="291" t="s">
        <v>6853</v>
      </c>
      <c r="C867" s="349" t="s">
        <v>6852</v>
      </c>
      <c r="D867" s="319" t="s">
        <v>25</v>
      </c>
      <c r="E867" s="348" t="s">
        <v>57</v>
      </c>
      <c r="F867" s="350"/>
      <c r="G867" s="351">
        <v>104.0</v>
      </c>
      <c r="H867" s="348">
        <v>50.0</v>
      </c>
      <c r="I867" s="348">
        <v>220.0</v>
      </c>
      <c r="J867" s="348">
        <v>1.0</v>
      </c>
      <c r="K867" s="348">
        <v>1.0</v>
      </c>
      <c r="L867" s="348">
        <v>2.0</v>
      </c>
      <c r="M867" s="314" t="s">
        <v>27</v>
      </c>
      <c r="N867" s="319" t="s">
        <v>2657</v>
      </c>
      <c r="O867" s="319">
        <v>1.0</v>
      </c>
      <c r="P867" s="319" t="s">
        <v>29</v>
      </c>
      <c r="Q867" s="319" t="s">
        <v>39</v>
      </c>
    </row>
    <row r="868" ht="14.25" customHeight="1">
      <c r="A868" s="211">
        <v>14.0</v>
      </c>
      <c r="B868" s="349" t="s">
        <v>6854</v>
      </c>
      <c r="C868" s="349" t="s">
        <v>6855</v>
      </c>
      <c r="D868" s="319" t="s">
        <v>25</v>
      </c>
      <c r="E868" s="348" t="s">
        <v>57</v>
      </c>
      <c r="F868" s="350"/>
      <c r="G868" s="351">
        <v>2268.0</v>
      </c>
      <c r="H868" s="348">
        <v>302.0</v>
      </c>
      <c r="I868" s="348">
        <v>1512.0</v>
      </c>
      <c r="J868" s="348">
        <v>0.0</v>
      </c>
      <c r="K868" s="348">
        <v>0.0</v>
      </c>
      <c r="L868" s="348">
        <v>36.0</v>
      </c>
      <c r="M868" s="314" t="s">
        <v>27</v>
      </c>
      <c r="N868" s="319" t="s">
        <v>2657</v>
      </c>
      <c r="O868" s="319">
        <v>1.0</v>
      </c>
      <c r="P868" s="319" t="s">
        <v>29</v>
      </c>
      <c r="Q868" s="319" t="s">
        <v>39</v>
      </c>
    </row>
    <row r="869" ht="14.25" customHeight="1">
      <c r="A869" s="211">
        <v>15.0</v>
      </c>
      <c r="B869" s="317" t="s">
        <v>6856</v>
      </c>
      <c r="C869" s="317" t="s">
        <v>6855</v>
      </c>
      <c r="D869" s="319" t="s">
        <v>25</v>
      </c>
      <c r="E869" s="348" t="s">
        <v>57</v>
      </c>
      <c r="F869" s="323"/>
      <c r="G869" s="318">
        <v>878.0</v>
      </c>
      <c r="H869" s="319">
        <v>117.0</v>
      </c>
      <c r="I869" s="319">
        <v>585.0</v>
      </c>
      <c r="J869" s="319">
        <v>0.0</v>
      </c>
      <c r="K869" s="319">
        <v>0.0</v>
      </c>
      <c r="L869" s="319">
        <v>2.0</v>
      </c>
      <c r="M869" s="314" t="s">
        <v>27</v>
      </c>
      <c r="N869" s="319" t="s">
        <v>2657</v>
      </c>
      <c r="O869" s="319">
        <v>1.0</v>
      </c>
      <c r="P869" s="319" t="s">
        <v>66</v>
      </c>
      <c r="Q869" s="319">
        <v>30.0</v>
      </c>
    </row>
    <row r="870" ht="14.25" customHeight="1">
      <c r="A870" s="211">
        <v>16.0</v>
      </c>
      <c r="B870" s="291" t="s">
        <v>6857</v>
      </c>
      <c r="C870" s="317" t="s">
        <v>6855</v>
      </c>
      <c r="D870" s="319" t="s">
        <v>25</v>
      </c>
      <c r="E870" s="348" t="s">
        <v>57</v>
      </c>
      <c r="F870" s="323"/>
      <c r="G870" s="318">
        <v>103.0</v>
      </c>
      <c r="H870" s="319">
        <v>8.0</v>
      </c>
      <c r="I870" s="319">
        <v>30.0</v>
      </c>
      <c r="J870" s="319">
        <v>1.0</v>
      </c>
      <c r="K870" s="319">
        <v>1.0</v>
      </c>
      <c r="L870" s="319">
        <v>1.0</v>
      </c>
      <c r="M870" s="314" t="s">
        <v>27</v>
      </c>
      <c r="N870" s="319" t="s">
        <v>2657</v>
      </c>
      <c r="O870" s="319">
        <v>1.0</v>
      </c>
      <c r="P870" s="319" t="s">
        <v>29</v>
      </c>
      <c r="Q870" s="319" t="s">
        <v>39</v>
      </c>
    </row>
    <row r="871" ht="14.25" customHeight="1">
      <c r="A871" s="211">
        <v>17.0</v>
      </c>
      <c r="B871" s="349" t="s">
        <v>6858</v>
      </c>
      <c r="C871" s="349" t="s">
        <v>6859</v>
      </c>
      <c r="D871" s="319" t="s">
        <v>25</v>
      </c>
      <c r="E871" s="348" t="s">
        <v>57</v>
      </c>
      <c r="F871" s="350"/>
      <c r="G871" s="351">
        <v>504.0</v>
      </c>
      <c r="H871" s="348">
        <v>67.0</v>
      </c>
      <c r="I871" s="348">
        <v>336.0</v>
      </c>
      <c r="J871" s="348">
        <v>0.0</v>
      </c>
      <c r="K871" s="348">
        <v>0.0</v>
      </c>
      <c r="L871" s="348">
        <v>8.0</v>
      </c>
      <c r="M871" s="314" t="s">
        <v>27</v>
      </c>
      <c r="N871" s="319" t="s">
        <v>2657</v>
      </c>
      <c r="O871" s="319">
        <v>1.0</v>
      </c>
      <c r="P871" s="319" t="s">
        <v>29</v>
      </c>
      <c r="Q871" s="319" t="s">
        <v>39</v>
      </c>
    </row>
    <row r="872" ht="14.25" customHeight="1">
      <c r="A872" s="211">
        <v>18.0</v>
      </c>
      <c r="B872" s="291" t="s">
        <v>6860</v>
      </c>
      <c r="C872" s="349" t="s">
        <v>6859</v>
      </c>
      <c r="D872" s="319" t="s">
        <v>25</v>
      </c>
      <c r="E872" s="348" t="s">
        <v>57</v>
      </c>
      <c r="F872" s="350"/>
      <c r="G872" s="351">
        <v>100.0</v>
      </c>
      <c r="H872" s="348">
        <v>60.0</v>
      </c>
      <c r="I872" s="348">
        <v>280.0</v>
      </c>
      <c r="J872" s="348">
        <v>0.0</v>
      </c>
      <c r="K872" s="348">
        <v>0.0</v>
      </c>
      <c r="L872" s="348">
        <v>2.0</v>
      </c>
      <c r="M872" s="314" t="s">
        <v>27</v>
      </c>
      <c r="N872" s="319" t="s">
        <v>2657</v>
      </c>
      <c r="O872" s="319">
        <v>1.0</v>
      </c>
      <c r="P872" s="319" t="s">
        <v>29</v>
      </c>
      <c r="Q872" s="319" t="s">
        <v>39</v>
      </c>
    </row>
    <row r="873" ht="14.25" customHeight="1">
      <c r="A873" s="211">
        <v>19.0</v>
      </c>
      <c r="B873" s="291" t="s">
        <v>6861</v>
      </c>
      <c r="C873" s="349" t="s">
        <v>6862</v>
      </c>
      <c r="D873" s="319" t="s">
        <v>25</v>
      </c>
      <c r="E873" s="348" t="s">
        <v>57</v>
      </c>
      <c r="F873" s="350"/>
      <c r="G873" s="351">
        <v>105.0</v>
      </c>
      <c r="H873" s="348">
        <v>8.0</v>
      </c>
      <c r="I873" s="348">
        <v>24.0</v>
      </c>
      <c r="J873" s="348">
        <v>1.0</v>
      </c>
      <c r="K873" s="348">
        <v>1.0</v>
      </c>
      <c r="L873" s="348">
        <v>0.0</v>
      </c>
      <c r="M873" s="314" t="s">
        <v>27</v>
      </c>
      <c r="N873" s="319" t="s">
        <v>2657</v>
      </c>
      <c r="O873" s="319">
        <v>1.0</v>
      </c>
      <c r="P873" s="319" t="s">
        <v>29</v>
      </c>
      <c r="Q873" s="319" t="s">
        <v>39</v>
      </c>
    </row>
    <row r="874" ht="14.25" customHeight="1">
      <c r="A874" s="211">
        <v>20.0</v>
      </c>
      <c r="B874" s="291" t="s">
        <v>6863</v>
      </c>
      <c r="C874" s="349" t="s">
        <v>3717</v>
      </c>
      <c r="D874" s="319" t="s">
        <v>25</v>
      </c>
      <c r="E874" s="348" t="s">
        <v>57</v>
      </c>
      <c r="F874" s="350"/>
      <c r="G874" s="351">
        <v>98.0</v>
      </c>
      <c r="H874" s="348">
        <v>10.0</v>
      </c>
      <c r="I874" s="348">
        <v>38.0</v>
      </c>
      <c r="J874" s="348">
        <v>0.0</v>
      </c>
      <c r="K874" s="348">
        <v>0.0</v>
      </c>
      <c r="L874" s="348">
        <v>1.0</v>
      </c>
      <c r="M874" s="314" t="s">
        <v>27</v>
      </c>
      <c r="N874" s="319" t="s">
        <v>2657</v>
      </c>
      <c r="O874" s="319">
        <v>1.0</v>
      </c>
      <c r="P874" s="319" t="s">
        <v>29</v>
      </c>
      <c r="Q874" s="319" t="s">
        <v>39</v>
      </c>
    </row>
    <row r="875" ht="14.25" customHeight="1">
      <c r="A875" s="211">
        <v>21.0</v>
      </c>
      <c r="B875" s="291" t="s">
        <v>6864</v>
      </c>
      <c r="C875" s="349" t="s">
        <v>6865</v>
      </c>
      <c r="D875" s="319" t="s">
        <v>25</v>
      </c>
      <c r="E875" s="348" t="s">
        <v>57</v>
      </c>
      <c r="F875" s="350"/>
      <c r="G875" s="351">
        <v>102.0</v>
      </c>
      <c r="H875" s="348">
        <v>15.0</v>
      </c>
      <c r="I875" s="348">
        <v>48.0</v>
      </c>
      <c r="J875" s="348">
        <v>1.0</v>
      </c>
      <c r="K875" s="348">
        <v>1.0</v>
      </c>
      <c r="L875" s="348">
        <v>1.0</v>
      </c>
      <c r="M875" s="314" t="s">
        <v>27</v>
      </c>
      <c r="N875" s="319" t="s">
        <v>2657</v>
      </c>
      <c r="O875" s="319">
        <v>1.0</v>
      </c>
      <c r="P875" s="319" t="s">
        <v>29</v>
      </c>
      <c r="Q875" s="319" t="s">
        <v>39</v>
      </c>
    </row>
    <row r="876" ht="14.25" customHeight="1">
      <c r="A876" s="211">
        <v>22.0</v>
      </c>
      <c r="B876" s="317" t="s">
        <v>6866</v>
      </c>
      <c r="C876" s="317" t="s">
        <v>6867</v>
      </c>
      <c r="D876" s="319" t="s">
        <v>25</v>
      </c>
      <c r="E876" s="319" t="s">
        <v>5724</v>
      </c>
      <c r="F876" s="323"/>
      <c r="G876" s="318">
        <v>441.0</v>
      </c>
      <c r="H876" s="319">
        <v>84.0</v>
      </c>
      <c r="I876" s="319">
        <v>420.0</v>
      </c>
      <c r="J876" s="319">
        <v>0.0</v>
      </c>
      <c r="K876" s="319">
        <v>0.0</v>
      </c>
      <c r="L876" s="319">
        <v>7.0</v>
      </c>
      <c r="M876" s="314" t="s">
        <v>27</v>
      </c>
      <c r="N876" s="319" t="s">
        <v>2657</v>
      </c>
      <c r="O876" s="319">
        <v>1.0</v>
      </c>
      <c r="P876" s="319" t="s">
        <v>29</v>
      </c>
      <c r="Q876" s="319" t="s">
        <v>39</v>
      </c>
    </row>
    <row r="877" ht="14.25" customHeight="1">
      <c r="A877" s="211">
        <v>23.0</v>
      </c>
      <c r="B877" s="291" t="s">
        <v>6868</v>
      </c>
      <c r="C877" s="317" t="s">
        <v>6867</v>
      </c>
      <c r="D877" s="319" t="s">
        <v>25</v>
      </c>
      <c r="E877" s="319" t="s">
        <v>5724</v>
      </c>
      <c r="F877" s="323"/>
      <c r="G877" s="318">
        <v>116.0</v>
      </c>
      <c r="H877" s="319">
        <v>20.0</v>
      </c>
      <c r="I877" s="319">
        <v>76.0</v>
      </c>
      <c r="J877" s="319">
        <v>0.0</v>
      </c>
      <c r="K877" s="319">
        <v>0.0</v>
      </c>
      <c r="L877" s="319">
        <v>1.0</v>
      </c>
      <c r="M877" s="314" t="s">
        <v>27</v>
      </c>
      <c r="N877" s="319" t="s">
        <v>2657</v>
      </c>
      <c r="O877" s="319">
        <v>1.0</v>
      </c>
      <c r="P877" s="319" t="s">
        <v>29</v>
      </c>
      <c r="Q877" s="319" t="s">
        <v>39</v>
      </c>
    </row>
    <row r="878" ht="14.25" customHeight="1">
      <c r="A878" s="211">
        <v>24.0</v>
      </c>
      <c r="B878" s="291" t="s">
        <v>6869</v>
      </c>
      <c r="C878" s="317" t="s">
        <v>6870</v>
      </c>
      <c r="D878" s="319" t="s">
        <v>25</v>
      </c>
      <c r="E878" s="319" t="s">
        <v>5724</v>
      </c>
      <c r="F878" s="323"/>
      <c r="G878" s="318">
        <v>96.0</v>
      </c>
      <c r="H878" s="319">
        <v>8.0</v>
      </c>
      <c r="I878" s="319">
        <v>24.0</v>
      </c>
      <c r="J878" s="319">
        <v>1.0</v>
      </c>
      <c r="K878" s="319">
        <v>1.0</v>
      </c>
      <c r="L878" s="319">
        <v>0.0</v>
      </c>
      <c r="M878" s="314" t="s">
        <v>27</v>
      </c>
      <c r="N878" s="319" t="s">
        <v>2657</v>
      </c>
      <c r="O878" s="319">
        <v>1.0</v>
      </c>
      <c r="P878" s="319" t="s">
        <v>29</v>
      </c>
      <c r="Q878" s="319" t="s">
        <v>39</v>
      </c>
    </row>
    <row r="879" ht="14.25" customHeight="1">
      <c r="A879" s="211">
        <v>25.0</v>
      </c>
      <c r="B879" s="291" t="s">
        <v>6871</v>
      </c>
      <c r="C879" s="317" t="s">
        <v>1751</v>
      </c>
      <c r="D879" s="319" t="s">
        <v>25</v>
      </c>
      <c r="E879" s="319" t="s">
        <v>5724</v>
      </c>
      <c r="F879" s="323"/>
      <c r="G879" s="318">
        <v>368.0</v>
      </c>
      <c r="H879" s="319">
        <v>20.0</v>
      </c>
      <c r="I879" s="319">
        <v>84.0</v>
      </c>
      <c r="J879" s="319">
        <v>0.0</v>
      </c>
      <c r="K879" s="319">
        <v>0.0</v>
      </c>
      <c r="L879" s="319">
        <v>4.0</v>
      </c>
      <c r="M879" s="314" t="s">
        <v>27</v>
      </c>
      <c r="N879" s="319" t="s">
        <v>2657</v>
      </c>
      <c r="O879" s="319">
        <v>1.0</v>
      </c>
      <c r="P879" s="319" t="s">
        <v>29</v>
      </c>
      <c r="Q879" s="319" t="s">
        <v>39</v>
      </c>
    </row>
    <row r="880" ht="14.25" customHeight="1">
      <c r="A880" s="211">
        <v>26.0</v>
      </c>
      <c r="B880" s="291" t="s">
        <v>6872</v>
      </c>
      <c r="C880" s="317" t="s">
        <v>1751</v>
      </c>
      <c r="D880" s="319" t="s">
        <v>25</v>
      </c>
      <c r="E880" s="348" t="s">
        <v>57</v>
      </c>
      <c r="F880" s="323"/>
      <c r="G880" s="318">
        <v>104.0</v>
      </c>
      <c r="H880" s="319">
        <v>18.0</v>
      </c>
      <c r="I880" s="319">
        <v>80.0</v>
      </c>
      <c r="J880" s="319">
        <v>0.0</v>
      </c>
      <c r="K880" s="319">
        <v>0.0</v>
      </c>
      <c r="L880" s="319">
        <v>2.0</v>
      </c>
      <c r="M880" s="314" t="s">
        <v>27</v>
      </c>
      <c r="N880" s="319" t="s">
        <v>2657</v>
      </c>
      <c r="O880" s="319">
        <v>1.0</v>
      </c>
      <c r="P880" s="319" t="s">
        <v>29</v>
      </c>
      <c r="Q880" s="319" t="s">
        <v>39</v>
      </c>
    </row>
    <row r="881" ht="14.25" customHeight="1">
      <c r="A881" s="211">
        <v>27.0</v>
      </c>
      <c r="B881" s="349" t="s">
        <v>6873</v>
      </c>
      <c r="C881" s="349" t="s">
        <v>6874</v>
      </c>
      <c r="D881" s="319" t="s">
        <v>25</v>
      </c>
      <c r="E881" s="348" t="s">
        <v>5894</v>
      </c>
      <c r="F881" s="350"/>
      <c r="G881" s="351">
        <v>630.0</v>
      </c>
      <c r="H881" s="348">
        <v>20.0</v>
      </c>
      <c r="I881" s="348">
        <v>84.0</v>
      </c>
      <c r="J881" s="348">
        <v>0.0</v>
      </c>
      <c r="K881" s="348">
        <v>0.0</v>
      </c>
      <c r="L881" s="348">
        <v>10.0</v>
      </c>
      <c r="M881" s="314" t="s">
        <v>27</v>
      </c>
      <c r="N881" s="319" t="s">
        <v>2657</v>
      </c>
      <c r="O881" s="319">
        <v>1.0</v>
      </c>
      <c r="P881" s="319" t="s">
        <v>29</v>
      </c>
      <c r="Q881" s="319" t="s">
        <v>39</v>
      </c>
    </row>
    <row r="882" ht="14.25" customHeight="1">
      <c r="A882" s="211">
        <v>28.0</v>
      </c>
      <c r="B882" s="291" t="s">
        <v>6875</v>
      </c>
      <c r="C882" s="349" t="s">
        <v>6874</v>
      </c>
      <c r="D882" s="319" t="s">
        <v>25</v>
      </c>
      <c r="E882" s="348" t="s">
        <v>57</v>
      </c>
      <c r="F882" s="350"/>
      <c r="G882" s="351">
        <v>208.0</v>
      </c>
      <c r="H882" s="348">
        <v>25.0</v>
      </c>
      <c r="I882" s="348">
        <v>120.0</v>
      </c>
      <c r="J882" s="348">
        <v>1.0</v>
      </c>
      <c r="K882" s="348">
        <v>1.0</v>
      </c>
      <c r="L882" s="348">
        <v>1.0</v>
      </c>
      <c r="M882" s="314" t="s">
        <v>27</v>
      </c>
      <c r="N882" s="319" t="s">
        <v>2657</v>
      </c>
      <c r="O882" s="319">
        <v>1.0</v>
      </c>
      <c r="P882" s="319" t="s">
        <v>29</v>
      </c>
      <c r="Q882" s="319" t="s">
        <v>39</v>
      </c>
    </row>
    <row r="883" ht="14.25" customHeight="1">
      <c r="A883" s="211">
        <v>29.0</v>
      </c>
      <c r="B883" s="317" t="s">
        <v>6876</v>
      </c>
      <c r="C883" s="317" t="s">
        <v>6874</v>
      </c>
      <c r="D883" s="319" t="s">
        <v>25</v>
      </c>
      <c r="E883" s="348" t="s">
        <v>57</v>
      </c>
      <c r="F883" s="323"/>
      <c r="G883" s="318">
        <v>210.0</v>
      </c>
      <c r="H883" s="319">
        <v>28.0</v>
      </c>
      <c r="I883" s="319">
        <v>140.0</v>
      </c>
      <c r="J883" s="319">
        <v>1.0</v>
      </c>
      <c r="K883" s="319">
        <v>1.0</v>
      </c>
      <c r="L883" s="319" t="s">
        <v>39</v>
      </c>
      <c r="M883" s="314" t="s">
        <v>27</v>
      </c>
      <c r="N883" s="319" t="s">
        <v>2657</v>
      </c>
      <c r="O883" s="319">
        <v>1.0</v>
      </c>
      <c r="P883" s="319" t="s">
        <v>29</v>
      </c>
      <c r="Q883" s="319" t="s">
        <v>39</v>
      </c>
    </row>
    <row r="884" ht="14.25" customHeight="1">
      <c r="A884" s="211">
        <v>30.0</v>
      </c>
      <c r="B884" s="349" t="s">
        <v>284</v>
      </c>
      <c r="C884" s="349" t="s">
        <v>6874</v>
      </c>
      <c r="D884" s="319" t="s">
        <v>25</v>
      </c>
      <c r="E884" s="348" t="s">
        <v>57</v>
      </c>
      <c r="F884" s="350"/>
      <c r="G884" s="351">
        <v>740.0</v>
      </c>
      <c r="H884" s="348">
        <v>98.0</v>
      </c>
      <c r="I884" s="348">
        <v>493.0</v>
      </c>
      <c r="J884" s="348">
        <v>1.0</v>
      </c>
      <c r="K884" s="348">
        <v>1.0</v>
      </c>
      <c r="L884" s="348" t="s">
        <v>39</v>
      </c>
      <c r="M884" s="314" t="s">
        <v>27</v>
      </c>
      <c r="N884" s="319" t="s">
        <v>2657</v>
      </c>
      <c r="O884" s="319">
        <v>1.0</v>
      </c>
      <c r="P884" s="319" t="s">
        <v>29</v>
      </c>
      <c r="Q884" s="319" t="s">
        <v>39</v>
      </c>
    </row>
    <row r="885" ht="14.25" customHeight="1">
      <c r="A885" s="211">
        <v>31.0</v>
      </c>
      <c r="B885" s="291" t="s">
        <v>43</v>
      </c>
      <c r="C885" s="349" t="s">
        <v>6874</v>
      </c>
      <c r="D885" s="319" t="s">
        <v>25</v>
      </c>
      <c r="E885" s="348" t="s">
        <v>57</v>
      </c>
      <c r="F885" s="350"/>
      <c r="G885" s="336">
        <v>273.0</v>
      </c>
      <c r="H885" s="216">
        <v>40.0</v>
      </c>
      <c r="I885" s="216">
        <v>180.0</v>
      </c>
      <c r="J885" s="216">
        <v>3.0</v>
      </c>
      <c r="K885" s="216">
        <v>3.0</v>
      </c>
      <c r="L885" s="216">
        <v>1.0</v>
      </c>
      <c r="M885" s="314" t="s">
        <v>27</v>
      </c>
      <c r="N885" s="319" t="s">
        <v>2657</v>
      </c>
      <c r="O885" s="319">
        <v>1.0</v>
      </c>
      <c r="P885" s="319" t="s">
        <v>29</v>
      </c>
      <c r="Q885" s="319" t="s">
        <v>39</v>
      </c>
    </row>
    <row r="886" ht="14.25" customHeight="1">
      <c r="A886" s="211">
        <v>32.0</v>
      </c>
      <c r="B886" s="317" t="s">
        <v>6877</v>
      </c>
      <c r="C886" s="317" t="s">
        <v>6874</v>
      </c>
      <c r="D886" s="319" t="s">
        <v>25</v>
      </c>
      <c r="E886" s="348" t="s">
        <v>57</v>
      </c>
      <c r="F886" s="323"/>
      <c r="G886" s="318">
        <v>1701.0</v>
      </c>
      <c r="H886" s="319">
        <v>226.0</v>
      </c>
      <c r="I886" s="319">
        <v>1134.0</v>
      </c>
      <c r="J886" s="319">
        <v>6.0</v>
      </c>
      <c r="K886" s="319">
        <v>7.0</v>
      </c>
      <c r="L886" s="319">
        <v>0.0</v>
      </c>
      <c r="M886" s="314" t="s">
        <v>27</v>
      </c>
      <c r="N886" s="319" t="s">
        <v>2657</v>
      </c>
      <c r="O886" s="319">
        <v>1.0</v>
      </c>
      <c r="P886" s="319" t="s">
        <v>29</v>
      </c>
      <c r="Q886" s="319" t="s">
        <v>39</v>
      </c>
    </row>
    <row r="887" ht="14.25" customHeight="1">
      <c r="A887" s="211">
        <v>33.0</v>
      </c>
      <c r="B887" s="349" t="s">
        <v>6878</v>
      </c>
      <c r="C887" s="349" t="s">
        <v>1552</v>
      </c>
      <c r="D887" s="319" t="s">
        <v>25</v>
      </c>
      <c r="E887" s="348" t="s">
        <v>57</v>
      </c>
      <c r="F887" s="350"/>
      <c r="G887" s="351">
        <v>1638.0</v>
      </c>
      <c r="H887" s="348">
        <v>218.0</v>
      </c>
      <c r="I887" s="348">
        <v>1092.0</v>
      </c>
      <c r="J887" s="348">
        <v>1.0</v>
      </c>
      <c r="K887" s="348">
        <v>1.0</v>
      </c>
      <c r="L887" s="348">
        <v>26.0</v>
      </c>
      <c r="M887" s="314" t="s">
        <v>27</v>
      </c>
      <c r="N887" s="319" t="s">
        <v>2657</v>
      </c>
      <c r="O887" s="319">
        <v>1.0</v>
      </c>
      <c r="P887" s="319" t="s">
        <v>29</v>
      </c>
      <c r="Q887" s="319" t="s">
        <v>39</v>
      </c>
    </row>
    <row r="888" ht="14.25" customHeight="1">
      <c r="A888" s="211">
        <v>34.0</v>
      </c>
      <c r="B888" s="317" t="s">
        <v>6879</v>
      </c>
      <c r="C888" s="317" t="s">
        <v>1552</v>
      </c>
      <c r="D888" s="319" t="s">
        <v>25</v>
      </c>
      <c r="E888" s="348" t="s">
        <v>57</v>
      </c>
      <c r="F888" s="323"/>
      <c r="G888" s="318">
        <v>630.0</v>
      </c>
      <c r="H888" s="319">
        <v>84.0</v>
      </c>
      <c r="I888" s="319">
        <v>420.0</v>
      </c>
      <c r="J888" s="319" t="s">
        <v>39</v>
      </c>
      <c r="K888" s="319" t="s">
        <v>39</v>
      </c>
      <c r="L888" s="319">
        <v>1.0</v>
      </c>
      <c r="M888" s="314" t="s">
        <v>27</v>
      </c>
      <c r="N888" s="319" t="s">
        <v>2657</v>
      </c>
      <c r="O888" s="319">
        <v>1.0</v>
      </c>
      <c r="P888" s="319" t="s">
        <v>29</v>
      </c>
      <c r="Q888" s="319" t="s">
        <v>39</v>
      </c>
    </row>
    <row r="889" ht="14.25" customHeight="1">
      <c r="A889" s="211">
        <v>35.0</v>
      </c>
      <c r="B889" s="349" t="s">
        <v>6880</v>
      </c>
      <c r="C889" s="349" t="s">
        <v>1552</v>
      </c>
      <c r="D889" s="319" t="s">
        <v>25</v>
      </c>
      <c r="E889" s="348" t="s">
        <v>57</v>
      </c>
      <c r="F889" s="350"/>
      <c r="G889" s="351">
        <v>130.0</v>
      </c>
      <c r="H889" s="348">
        <v>17.0</v>
      </c>
      <c r="I889" s="348">
        <v>86.0</v>
      </c>
      <c r="J889" s="348">
        <v>2.0</v>
      </c>
      <c r="K889" s="348">
        <v>2.0</v>
      </c>
      <c r="L889" s="348">
        <v>2.0</v>
      </c>
      <c r="M889" s="314" t="s">
        <v>27</v>
      </c>
      <c r="N889" s="319" t="s">
        <v>2657</v>
      </c>
      <c r="O889" s="319">
        <v>1.0</v>
      </c>
      <c r="P889" s="319" t="s">
        <v>29</v>
      </c>
      <c r="Q889" s="319" t="s">
        <v>39</v>
      </c>
    </row>
    <row r="890" ht="14.25" customHeight="1">
      <c r="A890" s="211">
        <v>36.0</v>
      </c>
      <c r="B890" s="291" t="s">
        <v>6881</v>
      </c>
      <c r="C890" s="349" t="s">
        <v>6882</v>
      </c>
      <c r="D890" s="319" t="s">
        <v>25</v>
      </c>
      <c r="E890" s="348" t="s">
        <v>57</v>
      </c>
      <c r="F890" s="350"/>
      <c r="G890" s="351">
        <v>506.0</v>
      </c>
      <c r="H890" s="348">
        <v>50.0</v>
      </c>
      <c r="I890" s="348">
        <v>220.0</v>
      </c>
      <c r="J890" s="348">
        <v>0.0</v>
      </c>
      <c r="K890" s="348">
        <v>0.0</v>
      </c>
      <c r="L890" s="348">
        <v>8.0</v>
      </c>
      <c r="M890" s="314" t="s">
        <v>27</v>
      </c>
      <c r="N890" s="319" t="s">
        <v>2657</v>
      </c>
      <c r="O890" s="319">
        <v>1.0</v>
      </c>
      <c r="P890" s="319" t="s">
        <v>29</v>
      </c>
      <c r="Q890" s="319" t="s">
        <v>39</v>
      </c>
    </row>
    <row r="891" ht="14.25" customHeight="1">
      <c r="A891" s="211">
        <v>37.0</v>
      </c>
      <c r="B891" s="291" t="s">
        <v>6883</v>
      </c>
      <c r="C891" s="349" t="s">
        <v>6882</v>
      </c>
      <c r="D891" s="319" t="s">
        <v>25</v>
      </c>
      <c r="E891" s="348" t="s">
        <v>57</v>
      </c>
      <c r="F891" s="350"/>
      <c r="G891" s="351">
        <v>103.0</v>
      </c>
      <c r="H891" s="348">
        <v>25.0</v>
      </c>
      <c r="I891" s="348">
        <v>120.0</v>
      </c>
      <c r="J891" s="348">
        <v>0.0</v>
      </c>
      <c r="K891" s="348">
        <v>0.0</v>
      </c>
      <c r="L891" s="348">
        <v>2.0</v>
      </c>
      <c r="M891" s="314" t="s">
        <v>27</v>
      </c>
      <c r="N891" s="319" t="s">
        <v>2657</v>
      </c>
      <c r="O891" s="319">
        <v>1.0</v>
      </c>
      <c r="P891" s="319" t="s">
        <v>29</v>
      </c>
      <c r="Q891" s="319" t="s">
        <v>39</v>
      </c>
    </row>
    <row r="892" ht="14.25" customHeight="1">
      <c r="A892" s="211">
        <v>38.0</v>
      </c>
      <c r="B892" s="317" t="s">
        <v>6884</v>
      </c>
      <c r="C892" s="317" t="s">
        <v>6885</v>
      </c>
      <c r="D892" s="319" t="s">
        <v>25</v>
      </c>
      <c r="E892" s="319" t="s">
        <v>5724</v>
      </c>
      <c r="F892" s="323"/>
      <c r="G892" s="318">
        <v>126.0</v>
      </c>
      <c r="H892" s="319">
        <v>17.0</v>
      </c>
      <c r="I892" s="319">
        <v>86.0</v>
      </c>
      <c r="J892" s="319">
        <v>0.0</v>
      </c>
      <c r="K892" s="319">
        <v>0.0</v>
      </c>
      <c r="L892" s="319">
        <v>1.0</v>
      </c>
      <c r="M892" s="314" t="s">
        <v>27</v>
      </c>
      <c r="N892" s="319" t="s">
        <v>2657</v>
      </c>
      <c r="O892" s="319">
        <v>1.0</v>
      </c>
      <c r="P892" s="319" t="s">
        <v>29</v>
      </c>
      <c r="Q892" s="319" t="s">
        <v>39</v>
      </c>
    </row>
    <row r="893" ht="14.25" customHeight="1">
      <c r="A893" s="211">
        <v>39.0</v>
      </c>
      <c r="B893" s="291" t="s">
        <v>6886</v>
      </c>
      <c r="C893" s="317" t="s">
        <v>6887</v>
      </c>
      <c r="D893" s="319" t="s">
        <v>25</v>
      </c>
      <c r="E893" s="319" t="s">
        <v>5724</v>
      </c>
      <c r="F893" s="323"/>
      <c r="G893" s="318">
        <v>618.0</v>
      </c>
      <c r="H893" s="319">
        <v>20.0</v>
      </c>
      <c r="I893" s="319">
        <v>84.0</v>
      </c>
      <c r="J893" s="319">
        <v>0.0</v>
      </c>
      <c r="K893" s="319">
        <v>0.0</v>
      </c>
      <c r="L893" s="319">
        <v>8.0</v>
      </c>
      <c r="M893" s="314" t="s">
        <v>27</v>
      </c>
      <c r="N893" s="319" t="s">
        <v>2657</v>
      </c>
      <c r="O893" s="319">
        <v>1.0</v>
      </c>
      <c r="P893" s="319" t="s">
        <v>29</v>
      </c>
      <c r="Q893" s="319" t="s">
        <v>39</v>
      </c>
    </row>
    <row r="894" ht="14.25" customHeight="1">
      <c r="A894" s="211">
        <v>40.0</v>
      </c>
      <c r="B894" s="291" t="s">
        <v>6888</v>
      </c>
      <c r="C894" s="317" t="s">
        <v>6887</v>
      </c>
      <c r="D894" s="319" t="s">
        <v>25</v>
      </c>
      <c r="E894" s="319" t="s">
        <v>5724</v>
      </c>
      <c r="F894" s="323"/>
      <c r="G894" s="318">
        <v>104.0</v>
      </c>
      <c r="H894" s="319">
        <v>10.0</v>
      </c>
      <c r="I894" s="319">
        <v>40.0</v>
      </c>
      <c r="J894" s="319">
        <v>0.0</v>
      </c>
      <c r="K894" s="319">
        <v>0.0</v>
      </c>
      <c r="L894" s="319">
        <v>2.0</v>
      </c>
      <c r="M894" s="314" t="s">
        <v>27</v>
      </c>
      <c r="N894" s="319" t="s">
        <v>2657</v>
      </c>
      <c r="O894" s="319">
        <v>1.0</v>
      </c>
      <c r="P894" s="319" t="s">
        <v>29</v>
      </c>
      <c r="Q894" s="319" t="s">
        <v>39</v>
      </c>
    </row>
    <row r="895" ht="14.25" customHeight="1">
      <c r="A895" s="211">
        <v>41.0</v>
      </c>
      <c r="B895" s="291" t="s">
        <v>6889</v>
      </c>
      <c r="C895" s="317" t="s">
        <v>6890</v>
      </c>
      <c r="D895" s="319" t="s">
        <v>25</v>
      </c>
      <c r="E895" s="348" t="s">
        <v>57</v>
      </c>
      <c r="F895" s="323"/>
      <c r="G895" s="318">
        <v>106.0</v>
      </c>
      <c r="H895" s="319">
        <v>8.0</v>
      </c>
      <c r="I895" s="319">
        <v>24.0</v>
      </c>
      <c r="J895" s="319">
        <v>0.0</v>
      </c>
      <c r="K895" s="319">
        <v>0.0</v>
      </c>
      <c r="L895" s="319">
        <v>1.0</v>
      </c>
      <c r="M895" s="314" t="s">
        <v>27</v>
      </c>
      <c r="N895" s="319" t="s">
        <v>2657</v>
      </c>
      <c r="O895" s="319">
        <v>1.0</v>
      </c>
      <c r="P895" s="319" t="s">
        <v>29</v>
      </c>
      <c r="Q895" s="319" t="s">
        <v>39</v>
      </c>
    </row>
    <row r="896" ht="14.25" customHeight="1">
      <c r="A896" s="211">
        <v>42.0</v>
      </c>
      <c r="B896" s="349" t="s">
        <v>6891</v>
      </c>
      <c r="C896" s="349" t="s">
        <v>6892</v>
      </c>
      <c r="D896" s="319" t="s">
        <v>25</v>
      </c>
      <c r="E896" s="348" t="s">
        <v>57</v>
      </c>
      <c r="F896" s="350"/>
      <c r="G896" s="351">
        <v>441.0</v>
      </c>
      <c r="H896" s="348">
        <v>84.0</v>
      </c>
      <c r="I896" s="348">
        <v>420.0</v>
      </c>
      <c r="J896" s="348">
        <v>1.0</v>
      </c>
      <c r="K896" s="348">
        <v>1.0</v>
      </c>
      <c r="L896" s="348">
        <v>1.0</v>
      </c>
      <c r="M896" s="314" t="s">
        <v>27</v>
      </c>
      <c r="N896" s="319" t="s">
        <v>2657</v>
      </c>
      <c r="O896" s="319">
        <v>1.0</v>
      </c>
      <c r="P896" s="319" t="s">
        <v>29</v>
      </c>
      <c r="Q896" s="319" t="s">
        <v>39</v>
      </c>
    </row>
    <row r="897" ht="14.25" customHeight="1">
      <c r="A897" s="211">
        <v>43.0</v>
      </c>
      <c r="B897" s="349" t="s">
        <v>6893</v>
      </c>
      <c r="C897" s="349" t="s">
        <v>6892</v>
      </c>
      <c r="D897" s="319" t="s">
        <v>25</v>
      </c>
      <c r="E897" s="348" t="s">
        <v>5724</v>
      </c>
      <c r="F897" s="350"/>
      <c r="G897" s="318">
        <v>630.0</v>
      </c>
      <c r="H897" s="319">
        <v>84.0</v>
      </c>
      <c r="I897" s="319">
        <v>420.0</v>
      </c>
      <c r="J897" s="319">
        <v>2.0</v>
      </c>
      <c r="K897" s="319">
        <v>2.0</v>
      </c>
      <c r="L897" s="319">
        <v>2.0</v>
      </c>
      <c r="M897" s="314" t="s">
        <v>27</v>
      </c>
      <c r="N897" s="319" t="s">
        <v>2657</v>
      </c>
      <c r="O897" s="319">
        <v>1.0</v>
      </c>
      <c r="P897" s="319" t="s">
        <v>29</v>
      </c>
      <c r="Q897" s="319" t="s">
        <v>39</v>
      </c>
    </row>
    <row r="898" ht="14.25" customHeight="1">
      <c r="A898" s="211">
        <v>44.0</v>
      </c>
      <c r="B898" s="317" t="s">
        <v>6894</v>
      </c>
      <c r="C898" s="317" t="s">
        <v>6892</v>
      </c>
      <c r="D898" s="319" t="s">
        <v>25</v>
      </c>
      <c r="E898" s="348" t="s">
        <v>57</v>
      </c>
      <c r="F898" s="323"/>
      <c r="G898" s="336">
        <v>105.0</v>
      </c>
      <c r="H898" s="319">
        <v>8.0</v>
      </c>
      <c r="I898" s="319">
        <v>24.0</v>
      </c>
      <c r="J898" s="319">
        <v>0.0</v>
      </c>
      <c r="K898" s="319">
        <v>0.0</v>
      </c>
      <c r="L898" s="319">
        <v>1.0</v>
      </c>
      <c r="M898" s="314" t="s">
        <v>27</v>
      </c>
      <c r="N898" s="319" t="s">
        <v>2657</v>
      </c>
      <c r="O898" s="319">
        <v>1.0</v>
      </c>
      <c r="P898" s="319" t="s">
        <v>29</v>
      </c>
      <c r="Q898" s="319" t="s">
        <v>39</v>
      </c>
    </row>
    <row r="899" ht="14.25" customHeight="1">
      <c r="A899" s="181"/>
      <c r="B899" s="339" t="s">
        <v>6895</v>
      </c>
      <c r="C899" s="311"/>
      <c r="D899" s="312"/>
      <c r="E899" s="312"/>
      <c r="F899" s="312"/>
      <c r="G899" s="312"/>
      <c r="H899" s="312"/>
      <c r="I899" s="312"/>
      <c r="J899" s="312"/>
      <c r="K899" s="312"/>
      <c r="L899" s="312"/>
      <c r="M899" s="313"/>
      <c r="N899" s="312"/>
      <c r="O899" s="312"/>
      <c r="P899" s="312"/>
      <c r="Q899" s="312"/>
    </row>
    <row r="900" ht="14.25" customHeight="1">
      <c r="A900" s="211">
        <v>1.0</v>
      </c>
      <c r="B900" s="340" t="s">
        <v>6896</v>
      </c>
      <c r="C900" s="317" t="s">
        <v>1552</v>
      </c>
      <c r="D900" s="319" t="s">
        <v>25</v>
      </c>
      <c r="E900" s="348" t="s">
        <v>57</v>
      </c>
      <c r="F900" s="323"/>
      <c r="G900" s="318">
        <v>684.0</v>
      </c>
      <c r="H900" s="319">
        <v>76.0</v>
      </c>
      <c r="I900" s="319">
        <v>228.0</v>
      </c>
      <c r="J900" s="319">
        <v>1.0</v>
      </c>
      <c r="K900" s="319">
        <v>1.0</v>
      </c>
      <c r="L900" s="319" t="s">
        <v>39</v>
      </c>
      <c r="M900" s="314" t="s">
        <v>65</v>
      </c>
      <c r="N900" s="319" t="s">
        <v>39</v>
      </c>
      <c r="O900" s="319">
        <v>100.0</v>
      </c>
      <c r="P900" s="319" t="s">
        <v>335</v>
      </c>
      <c r="Q900" s="319">
        <v>0.0</v>
      </c>
    </row>
    <row r="901" ht="14.25" customHeight="1">
      <c r="A901" s="211">
        <v>2.0</v>
      </c>
      <c r="B901" s="349" t="s">
        <v>3795</v>
      </c>
      <c r="C901" s="349" t="s">
        <v>6897</v>
      </c>
      <c r="D901" s="319" t="s">
        <v>25</v>
      </c>
      <c r="E901" s="348" t="s">
        <v>57</v>
      </c>
      <c r="F901" s="350"/>
      <c r="G901" s="351">
        <v>180.0</v>
      </c>
      <c r="H901" s="348">
        <v>20.0</v>
      </c>
      <c r="I901" s="348">
        <v>60.0</v>
      </c>
      <c r="J901" s="348">
        <v>1.0</v>
      </c>
      <c r="K901" s="348">
        <v>1.0</v>
      </c>
      <c r="L901" s="348" t="s">
        <v>39</v>
      </c>
      <c r="M901" s="352" t="s">
        <v>65</v>
      </c>
      <c r="N901" s="348" t="s">
        <v>39</v>
      </c>
      <c r="O901" s="348">
        <v>50.0</v>
      </c>
      <c r="P901" s="348" t="s">
        <v>335</v>
      </c>
      <c r="Q901" s="348">
        <v>0.0</v>
      </c>
    </row>
    <row r="902" ht="14.25" customHeight="1">
      <c r="A902" s="211">
        <v>3.0</v>
      </c>
      <c r="B902" s="317" t="s">
        <v>3795</v>
      </c>
      <c r="C902" s="317" t="s">
        <v>6898</v>
      </c>
      <c r="D902" s="319" t="s">
        <v>25</v>
      </c>
      <c r="E902" s="348" t="s">
        <v>57</v>
      </c>
      <c r="F902" s="323"/>
      <c r="G902" s="318">
        <v>153.0</v>
      </c>
      <c r="H902" s="319">
        <v>17.0</v>
      </c>
      <c r="I902" s="319">
        <v>51.0</v>
      </c>
      <c r="J902" s="319">
        <v>1.0</v>
      </c>
      <c r="K902" s="319">
        <v>1.0</v>
      </c>
      <c r="L902" s="319" t="s">
        <v>39</v>
      </c>
      <c r="M902" s="314" t="s">
        <v>65</v>
      </c>
      <c r="N902" s="319" t="s">
        <v>39</v>
      </c>
      <c r="O902" s="319">
        <v>50.0</v>
      </c>
      <c r="P902" s="319" t="s">
        <v>335</v>
      </c>
      <c r="Q902" s="319">
        <v>0.0</v>
      </c>
    </row>
    <row r="903" ht="14.25" customHeight="1">
      <c r="A903" s="211">
        <v>4.0</v>
      </c>
      <c r="B903" s="349" t="s">
        <v>3795</v>
      </c>
      <c r="C903" s="349" t="s">
        <v>6899</v>
      </c>
      <c r="D903" s="319" t="s">
        <v>25</v>
      </c>
      <c r="E903" s="348" t="s">
        <v>57</v>
      </c>
      <c r="F903" s="350"/>
      <c r="G903" s="351">
        <v>94.6</v>
      </c>
      <c r="H903" s="348">
        <v>10.0</v>
      </c>
      <c r="I903" s="348">
        <v>30.0</v>
      </c>
      <c r="J903" s="348">
        <v>1.0</v>
      </c>
      <c r="K903" s="348">
        <v>1.0</v>
      </c>
      <c r="L903" s="348" t="s">
        <v>39</v>
      </c>
      <c r="M903" s="352" t="s">
        <v>65</v>
      </c>
      <c r="N903" s="348" t="s">
        <v>39</v>
      </c>
      <c r="O903" s="348">
        <v>50.0</v>
      </c>
      <c r="P903" s="348" t="s">
        <v>335</v>
      </c>
      <c r="Q903" s="348">
        <v>0.0</v>
      </c>
    </row>
    <row r="904" ht="14.25" customHeight="1">
      <c r="A904" s="211">
        <v>5.0</v>
      </c>
      <c r="B904" s="317" t="s">
        <v>3795</v>
      </c>
      <c r="C904" s="317" t="s">
        <v>6900</v>
      </c>
      <c r="D904" s="319" t="s">
        <v>25</v>
      </c>
      <c r="E904" s="348" t="s">
        <v>57</v>
      </c>
      <c r="F904" s="323"/>
      <c r="G904" s="318">
        <v>171.0</v>
      </c>
      <c r="H904" s="319">
        <v>19.0</v>
      </c>
      <c r="I904" s="319">
        <v>57.0</v>
      </c>
      <c r="J904" s="319">
        <v>1.0</v>
      </c>
      <c r="K904" s="319">
        <v>1.0</v>
      </c>
      <c r="L904" s="319" t="s">
        <v>39</v>
      </c>
      <c r="M904" s="314" t="s">
        <v>65</v>
      </c>
      <c r="N904" s="319" t="s">
        <v>39</v>
      </c>
      <c r="O904" s="319">
        <v>50.0</v>
      </c>
      <c r="P904" s="319" t="s">
        <v>335</v>
      </c>
      <c r="Q904" s="319">
        <v>0.0</v>
      </c>
    </row>
    <row r="905" ht="14.25" customHeight="1">
      <c r="A905" s="211">
        <v>6.0</v>
      </c>
      <c r="B905" s="349" t="s">
        <v>3795</v>
      </c>
      <c r="C905" s="349" t="s">
        <v>6901</v>
      </c>
      <c r="D905" s="319" t="s">
        <v>25</v>
      </c>
      <c r="E905" s="348" t="s">
        <v>5724</v>
      </c>
      <c r="F905" s="350"/>
      <c r="G905" s="351">
        <v>192.5</v>
      </c>
      <c r="H905" s="348">
        <v>21.0</v>
      </c>
      <c r="I905" s="348">
        <v>63.0</v>
      </c>
      <c r="J905" s="348">
        <v>1.0</v>
      </c>
      <c r="K905" s="348">
        <v>1.0</v>
      </c>
      <c r="L905" s="348" t="s">
        <v>39</v>
      </c>
      <c r="M905" s="352" t="s">
        <v>65</v>
      </c>
      <c r="N905" s="348" t="s">
        <v>39</v>
      </c>
      <c r="O905" s="348">
        <v>50.0</v>
      </c>
      <c r="P905" s="348" t="s">
        <v>335</v>
      </c>
      <c r="Q905" s="348">
        <v>0.0</v>
      </c>
    </row>
    <row r="906" ht="14.25" customHeight="1">
      <c r="A906" s="211">
        <v>7.0</v>
      </c>
      <c r="B906" s="317" t="s">
        <v>3795</v>
      </c>
      <c r="C906" s="317" t="s">
        <v>6902</v>
      </c>
      <c r="D906" s="319" t="s">
        <v>25</v>
      </c>
      <c r="E906" s="348" t="s">
        <v>5724</v>
      </c>
      <c r="F906" s="323"/>
      <c r="G906" s="318">
        <v>105.68</v>
      </c>
      <c r="H906" s="319">
        <v>11.0</v>
      </c>
      <c r="I906" s="319">
        <v>33.0</v>
      </c>
      <c r="J906" s="319">
        <v>1.0</v>
      </c>
      <c r="K906" s="319">
        <v>1.0</v>
      </c>
      <c r="L906" s="319" t="s">
        <v>39</v>
      </c>
      <c r="M906" s="314" t="s">
        <v>65</v>
      </c>
      <c r="N906" s="319" t="s">
        <v>39</v>
      </c>
      <c r="O906" s="319">
        <v>50.0</v>
      </c>
      <c r="P906" s="319" t="s">
        <v>335</v>
      </c>
      <c r="Q906" s="319">
        <v>0.0</v>
      </c>
    </row>
    <row r="907" ht="14.25" customHeight="1">
      <c r="A907" s="211">
        <v>8.0</v>
      </c>
      <c r="B907" s="349" t="s">
        <v>3795</v>
      </c>
      <c r="C907" s="349" t="s">
        <v>6903</v>
      </c>
      <c r="D907" s="319" t="s">
        <v>25</v>
      </c>
      <c r="E907" s="348" t="s">
        <v>5894</v>
      </c>
      <c r="F907" s="350"/>
      <c r="G907" s="351">
        <v>70.0</v>
      </c>
      <c r="H907" s="348">
        <v>7.0</v>
      </c>
      <c r="I907" s="348">
        <v>21.0</v>
      </c>
      <c r="J907" s="348">
        <v>1.0</v>
      </c>
      <c r="K907" s="348">
        <v>1.0</v>
      </c>
      <c r="L907" s="348" t="s">
        <v>39</v>
      </c>
      <c r="M907" s="352" t="s">
        <v>65</v>
      </c>
      <c r="N907" s="348" t="s">
        <v>39</v>
      </c>
      <c r="O907" s="348">
        <v>50.0</v>
      </c>
      <c r="P907" s="348" t="s">
        <v>335</v>
      </c>
      <c r="Q907" s="348">
        <v>0.0</v>
      </c>
    </row>
    <row r="908" ht="14.25" customHeight="1">
      <c r="A908" s="211">
        <v>9.0</v>
      </c>
      <c r="B908" s="317" t="s">
        <v>3795</v>
      </c>
      <c r="C908" s="317" t="s">
        <v>6904</v>
      </c>
      <c r="D908" s="319" t="s">
        <v>25</v>
      </c>
      <c r="E908" s="319" t="s">
        <v>5724</v>
      </c>
      <c r="F908" s="323"/>
      <c r="G908" s="318">
        <v>173.34</v>
      </c>
      <c r="H908" s="319">
        <v>19.0</v>
      </c>
      <c r="I908" s="319">
        <v>57.0</v>
      </c>
      <c r="J908" s="319">
        <v>1.0</v>
      </c>
      <c r="K908" s="319">
        <v>1.0</v>
      </c>
      <c r="L908" s="319" t="s">
        <v>39</v>
      </c>
      <c r="M908" s="314" t="s">
        <v>65</v>
      </c>
      <c r="N908" s="319" t="s">
        <v>39</v>
      </c>
      <c r="O908" s="319">
        <v>50.0</v>
      </c>
      <c r="P908" s="319" t="s">
        <v>335</v>
      </c>
      <c r="Q908" s="319">
        <v>0.0</v>
      </c>
    </row>
    <row r="909" ht="14.25" customHeight="1">
      <c r="A909" s="211">
        <v>10.0</v>
      </c>
      <c r="B909" s="349" t="s">
        <v>3795</v>
      </c>
      <c r="C909" s="349" t="s">
        <v>6905</v>
      </c>
      <c r="D909" s="319" t="s">
        <v>25</v>
      </c>
      <c r="E909" s="319" t="s">
        <v>5724</v>
      </c>
      <c r="F909" s="350"/>
      <c r="G909" s="351">
        <v>156.23</v>
      </c>
      <c r="H909" s="348">
        <v>17.0</v>
      </c>
      <c r="I909" s="348">
        <v>51.0</v>
      </c>
      <c r="J909" s="348">
        <v>1.0</v>
      </c>
      <c r="K909" s="348">
        <v>1.0</v>
      </c>
      <c r="L909" s="348" t="s">
        <v>39</v>
      </c>
      <c r="M909" s="352" t="s">
        <v>65</v>
      </c>
      <c r="N909" s="348" t="s">
        <v>39</v>
      </c>
      <c r="O909" s="348">
        <v>50.0</v>
      </c>
      <c r="P909" s="348" t="s">
        <v>335</v>
      </c>
      <c r="Q909" s="348">
        <v>0.0</v>
      </c>
    </row>
    <row r="910" ht="14.25" customHeight="1">
      <c r="A910" s="211">
        <v>11.0</v>
      </c>
      <c r="B910" s="317" t="s">
        <v>3795</v>
      </c>
      <c r="C910" s="317" t="s">
        <v>1552</v>
      </c>
      <c r="D910" s="319" t="s">
        <v>25</v>
      </c>
      <c r="E910" s="319" t="s">
        <v>5724</v>
      </c>
      <c r="F910" s="323"/>
      <c r="G910" s="318">
        <v>145.68</v>
      </c>
      <c r="H910" s="319">
        <v>16.0</v>
      </c>
      <c r="I910" s="319">
        <v>48.0</v>
      </c>
      <c r="J910" s="319">
        <v>1.0</v>
      </c>
      <c r="K910" s="319">
        <v>1.0</v>
      </c>
      <c r="L910" s="319" t="s">
        <v>39</v>
      </c>
      <c r="M910" s="314" t="s">
        <v>65</v>
      </c>
      <c r="N910" s="319" t="s">
        <v>39</v>
      </c>
      <c r="O910" s="319">
        <v>50.0</v>
      </c>
      <c r="P910" s="319" t="s">
        <v>335</v>
      </c>
      <c r="Q910" s="319">
        <v>0.0</v>
      </c>
    </row>
    <row r="911" ht="14.25" customHeight="1">
      <c r="A911" s="211">
        <v>12.0</v>
      </c>
      <c r="B911" s="349" t="s">
        <v>3795</v>
      </c>
      <c r="C911" s="349" t="s">
        <v>6906</v>
      </c>
      <c r="D911" s="319" t="s">
        <v>25</v>
      </c>
      <c r="E911" s="319" t="s">
        <v>5724</v>
      </c>
      <c r="F911" s="350"/>
      <c r="G911" s="351">
        <v>175.0</v>
      </c>
      <c r="H911" s="348">
        <v>19.0</v>
      </c>
      <c r="I911" s="348">
        <v>57.0</v>
      </c>
      <c r="J911" s="348">
        <v>1.0</v>
      </c>
      <c r="K911" s="348">
        <v>1.0</v>
      </c>
      <c r="L911" s="348" t="s">
        <v>39</v>
      </c>
      <c r="M911" s="352" t="s">
        <v>65</v>
      </c>
      <c r="N911" s="348" t="s">
        <v>39</v>
      </c>
      <c r="O911" s="348">
        <v>50.0</v>
      </c>
      <c r="P911" s="348" t="s">
        <v>335</v>
      </c>
      <c r="Q911" s="348">
        <v>0.0</v>
      </c>
    </row>
    <row r="912" ht="14.25" customHeight="1">
      <c r="A912" s="211">
        <v>13.0</v>
      </c>
      <c r="B912" s="317" t="s">
        <v>3795</v>
      </c>
      <c r="C912" s="317" t="s">
        <v>6907</v>
      </c>
      <c r="D912" s="319" t="s">
        <v>25</v>
      </c>
      <c r="E912" s="348" t="s">
        <v>57</v>
      </c>
      <c r="F912" s="323"/>
      <c r="G912" s="318">
        <v>183.0</v>
      </c>
      <c r="H912" s="319">
        <v>20.0</v>
      </c>
      <c r="I912" s="319">
        <v>60.0</v>
      </c>
      <c r="J912" s="319">
        <v>1.0</v>
      </c>
      <c r="K912" s="319">
        <v>1.0</v>
      </c>
      <c r="L912" s="319" t="s">
        <v>39</v>
      </c>
      <c r="M912" s="314" t="s">
        <v>65</v>
      </c>
      <c r="N912" s="319" t="s">
        <v>39</v>
      </c>
      <c r="O912" s="319">
        <v>50.0</v>
      </c>
      <c r="P912" s="319" t="s">
        <v>335</v>
      </c>
      <c r="Q912" s="319">
        <v>0.0</v>
      </c>
    </row>
    <row r="913" ht="14.25" customHeight="1">
      <c r="A913" s="211">
        <v>14.0</v>
      </c>
      <c r="B913" s="349" t="s">
        <v>3795</v>
      </c>
      <c r="C913" s="349" t="s">
        <v>6908</v>
      </c>
      <c r="D913" s="319" t="s">
        <v>25</v>
      </c>
      <c r="E913" s="348" t="s">
        <v>57</v>
      </c>
      <c r="F913" s="350"/>
      <c r="G913" s="351">
        <v>172.0</v>
      </c>
      <c r="H913" s="348">
        <v>19.0</v>
      </c>
      <c r="I913" s="348">
        <v>57.0</v>
      </c>
      <c r="J913" s="348">
        <v>1.0</v>
      </c>
      <c r="K913" s="348">
        <v>1.0</v>
      </c>
      <c r="L913" s="348" t="s">
        <v>39</v>
      </c>
      <c r="M913" s="352" t="s">
        <v>65</v>
      </c>
      <c r="N913" s="348" t="s">
        <v>39</v>
      </c>
      <c r="O913" s="348">
        <v>50.0</v>
      </c>
      <c r="P913" s="348" t="s">
        <v>335</v>
      </c>
      <c r="Q913" s="348">
        <v>0.0</v>
      </c>
    </row>
    <row r="914" ht="14.25" customHeight="1">
      <c r="A914" s="211">
        <v>15.0</v>
      </c>
      <c r="B914" s="317" t="s">
        <v>3795</v>
      </c>
      <c r="C914" s="317" t="s">
        <v>2289</v>
      </c>
      <c r="D914" s="319" t="s">
        <v>25</v>
      </c>
      <c r="E914" s="348" t="s">
        <v>57</v>
      </c>
      <c r="F914" s="323"/>
      <c r="G914" s="318">
        <v>102.0</v>
      </c>
      <c r="H914" s="319">
        <v>11.0</v>
      </c>
      <c r="I914" s="319">
        <v>33.0</v>
      </c>
      <c r="J914" s="319">
        <v>1.0</v>
      </c>
      <c r="K914" s="319">
        <v>1.0</v>
      </c>
      <c r="L914" s="319" t="s">
        <v>39</v>
      </c>
      <c r="M914" s="314" t="s">
        <v>65</v>
      </c>
      <c r="N914" s="319" t="s">
        <v>39</v>
      </c>
      <c r="O914" s="319">
        <v>50.0</v>
      </c>
      <c r="P914" s="319" t="s">
        <v>335</v>
      </c>
      <c r="Q914" s="319">
        <v>0.0</v>
      </c>
    </row>
    <row r="915" ht="14.25" customHeight="1">
      <c r="A915" s="211">
        <v>16.0</v>
      </c>
      <c r="B915" s="349" t="s">
        <v>3795</v>
      </c>
      <c r="C915" s="349" t="s">
        <v>6909</v>
      </c>
      <c r="D915" s="319" t="s">
        <v>25</v>
      </c>
      <c r="E915" s="348" t="s">
        <v>57</v>
      </c>
      <c r="F915" s="350"/>
      <c r="G915" s="351">
        <v>88.32</v>
      </c>
      <c r="H915" s="348">
        <v>9.0</v>
      </c>
      <c r="I915" s="348">
        <v>27.0</v>
      </c>
      <c r="J915" s="348">
        <v>1.0</v>
      </c>
      <c r="K915" s="348">
        <v>1.0</v>
      </c>
      <c r="L915" s="348" t="s">
        <v>39</v>
      </c>
      <c r="M915" s="352" t="s">
        <v>65</v>
      </c>
      <c r="N915" s="348" t="s">
        <v>39</v>
      </c>
      <c r="O915" s="348">
        <v>50.0</v>
      </c>
      <c r="P915" s="348" t="s">
        <v>335</v>
      </c>
      <c r="Q915" s="348">
        <v>0.0</v>
      </c>
    </row>
    <row r="916" ht="14.25" customHeight="1">
      <c r="A916" s="211">
        <v>17.0</v>
      </c>
      <c r="B916" s="317" t="s">
        <v>3795</v>
      </c>
      <c r="C916" s="317" t="s">
        <v>6910</v>
      </c>
      <c r="D916" s="319" t="s">
        <v>25</v>
      </c>
      <c r="E916" s="348" t="s">
        <v>57</v>
      </c>
      <c r="F916" s="323"/>
      <c r="G916" s="318">
        <v>114.84</v>
      </c>
      <c r="H916" s="319">
        <v>12.0</v>
      </c>
      <c r="I916" s="319">
        <v>36.0</v>
      </c>
      <c r="J916" s="319">
        <v>1.0</v>
      </c>
      <c r="K916" s="319">
        <v>1.0</v>
      </c>
      <c r="L916" s="319" t="s">
        <v>39</v>
      </c>
      <c r="M916" s="314" t="s">
        <v>65</v>
      </c>
      <c r="N916" s="319" t="s">
        <v>39</v>
      </c>
      <c r="O916" s="319">
        <v>50.0</v>
      </c>
      <c r="P916" s="319" t="s">
        <v>335</v>
      </c>
      <c r="Q916" s="319">
        <v>0.0</v>
      </c>
    </row>
    <row r="917" ht="14.25" customHeight="1">
      <c r="A917" s="211">
        <v>18.0</v>
      </c>
      <c r="B917" s="349" t="s">
        <v>3795</v>
      </c>
      <c r="C917" s="349" t="s">
        <v>6911</v>
      </c>
      <c r="D917" s="319" t="s">
        <v>25</v>
      </c>
      <c r="E917" s="348" t="s">
        <v>57</v>
      </c>
      <c r="F917" s="350"/>
      <c r="G917" s="351">
        <v>115.0</v>
      </c>
      <c r="H917" s="348">
        <v>14.0</v>
      </c>
      <c r="I917" s="348">
        <v>36.0</v>
      </c>
      <c r="J917" s="348">
        <v>1.0</v>
      </c>
      <c r="K917" s="348">
        <v>1.0</v>
      </c>
      <c r="L917" s="348" t="s">
        <v>39</v>
      </c>
      <c r="M917" s="352" t="s">
        <v>65</v>
      </c>
      <c r="N917" s="348" t="s">
        <v>39</v>
      </c>
      <c r="O917" s="348">
        <v>50.0</v>
      </c>
      <c r="P917" s="348" t="s">
        <v>335</v>
      </c>
      <c r="Q917" s="348">
        <v>0.0</v>
      </c>
    </row>
    <row r="918" ht="14.25" customHeight="1">
      <c r="A918" s="211">
        <v>19.0</v>
      </c>
      <c r="B918" s="317" t="s">
        <v>6912</v>
      </c>
      <c r="C918" s="317" t="s">
        <v>6913</v>
      </c>
      <c r="D918" s="319" t="s">
        <v>25</v>
      </c>
      <c r="E918" s="348" t="s">
        <v>57</v>
      </c>
      <c r="F918" s="323"/>
      <c r="G918" s="318">
        <v>132.0</v>
      </c>
      <c r="H918" s="319">
        <v>14.0</v>
      </c>
      <c r="I918" s="319">
        <v>42.0</v>
      </c>
      <c r="J918" s="319">
        <v>1.0</v>
      </c>
      <c r="K918" s="319">
        <v>1.0</v>
      </c>
      <c r="L918" s="319" t="s">
        <v>39</v>
      </c>
      <c r="M918" s="314" t="s">
        <v>65</v>
      </c>
      <c r="N918" s="319" t="s">
        <v>39</v>
      </c>
      <c r="O918" s="319">
        <v>50.0</v>
      </c>
      <c r="P918" s="319" t="s">
        <v>335</v>
      </c>
      <c r="Q918" s="319">
        <v>0.0</v>
      </c>
    </row>
    <row r="919" ht="14.25" customHeight="1">
      <c r="A919" s="211">
        <v>20.0</v>
      </c>
      <c r="B919" s="349" t="s">
        <v>6914</v>
      </c>
      <c r="C919" s="349" t="s">
        <v>6915</v>
      </c>
      <c r="D919" s="319" t="s">
        <v>25</v>
      </c>
      <c r="E919" s="348" t="s">
        <v>57</v>
      </c>
      <c r="F919" s="350"/>
      <c r="G919" s="351">
        <v>150.0</v>
      </c>
      <c r="H919" s="348">
        <v>16.0</v>
      </c>
      <c r="I919" s="348">
        <v>48.0</v>
      </c>
      <c r="J919" s="348">
        <v>1.0</v>
      </c>
      <c r="K919" s="348">
        <v>1.0</v>
      </c>
      <c r="L919" s="348" t="s">
        <v>39</v>
      </c>
      <c r="M919" s="352" t="s">
        <v>65</v>
      </c>
      <c r="N919" s="348" t="s">
        <v>39</v>
      </c>
      <c r="O919" s="348">
        <v>100.0</v>
      </c>
      <c r="P919" s="348" t="s">
        <v>335</v>
      </c>
      <c r="Q919" s="348">
        <v>0.0</v>
      </c>
    </row>
    <row r="920" ht="14.25" customHeight="1">
      <c r="A920" s="211">
        <v>21.0</v>
      </c>
      <c r="B920" s="317" t="s">
        <v>6916</v>
      </c>
      <c r="C920" s="317" t="s">
        <v>6915</v>
      </c>
      <c r="D920" s="319" t="s">
        <v>25</v>
      </c>
      <c r="E920" s="348" t="s">
        <v>57</v>
      </c>
      <c r="F920" s="323"/>
      <c r="G920" s="318">
        <v>252.0</v>
      </c>
      <c r="H920" s="319">
        <v>28.0</v>
      </c>
      <c r="I920" s="319">
        <v>84.0</v>
      </c>
      <c r="J920" s="319">
        <v>1.0</v>
      </c>
      <c r="K920" s="319">
        <v>1.0</v>
      </c>
      <c r="L920" s="319" t="s">
        <v>39</v>
      </c>
      <c r="M920" s="314" t="s">
        <v>65</v>
      </c>
      <c r="N920" s="319" t="s">
        <v>39</v>
      </c>
      <c r="O920" s="319">
        <v>100.0</v>
      </c>
      <c r="P920" s="319" t="s">
        <v>335</v>
      </c>
      <c r="Q920" s="319">
        <v>0.0</v>
      </c>
    </row>
    <row r="921" ht="14.25" customHeight="1">
      <c r="A921" s="211">
        <v>22.0</v>
      </c>
      <c r="B921" s="349" t="s">
        <v>6917</v>
      </c>
      <c r="C921" s="349" t="s">
        <v>6902</v>
      </c>
      <c r="D921" s="319" t="s">
        <v>25</v>
      </c>
      <c r="E921" s="348" t="s">
        <v>5724</v>
      </c>
      <c r="F921" s="350"/>
      <c r="G921" s="351">
        <v>274.4</v>
      </c>
      <c r="H921" s="348">
        <v>30.0</v>
      </c>
      <c r="I921" s="348">
        <v>90.0</v>
      </c>
      <c r="J921" s="348">
        <v>1.0</v>
      </c>
      <c r="K921" s="348">
        <v>1.0</v>
      </c>
      <c r="L921" s="348" t="s">
        <v>39</v>
      </c>
      <c r="M921" s="352" t="s">
        <v>65</v>
      </c>
      <c r="N921" s="348" t="s">
        <v>39</v>
      </c>
      <c r="O921" s="348">
        <v>100.0</v>
      </c>
      <c r="P921" s="348" t="s">
        <v>335</v>
      </c>
      <c r="Q921" s="348">
        <v>0.0</v>
      </c>
    </row>
    <row r="922" ht="14.25" customHeight="1">
      <c r="A922" s="211">
        <v>23.0</v>
      </c>
      <c r="B922" s="317" t="s">
        <v>6918</v>
      </c>
      <c r="C922" s="317" t="s">
        <v>6905</v>
      </c>
      <c r="D922" s="319" t="s">
        <v>25</v>
      </c>
      <c r="E922" s="348" t="s">
        <v>5724</v>
      </c>
      <c r="F922" s="323"/>
      <c r="G922" s="318">
        <v>216.0</v>
      </c>
      <c r="H922" s="319">
        <v>24.0</v>
      </c>
      <c r="I922" s="319">
        <v>72.0</v>
      </c>
      <c r="J922" s="319">
        <v>1.0</v>
      </c>
      <c r="K922" s="319">
        <v>1.0</v>
      </c>
      <c r="L922" s="319" t="s">
        <v>39</v>
      </c>
      <c r="M922" s="314" t="s">
        <v>65</v>
      </c>
      <c r="N922" s="319" t="s">
        <v>39</v>
      </c>
      <c r="O922" s="319">
        <v>100.0</v>
      </c>
      <c r="P922" s="319" t="s">
        <v>335</v>
      </c>
      <c r="Q922" s="319">
        <v>0.0</v>
      </c>
    </row>
    <row r="923" ht="14.25" customHeight="1">
      <c r="A923" s="211">
        <v>24.0</v>
      </c>
      <c r="B923" s="349" t="s">
        <v>6919</v>
      </c>
      <c r="C923" s="349" t="s">
        <v>1552</v>
      </c>
      <c r="D923" s="319" t="s">
        <v>25</v>
      </c>
      <c r="E923" s="348" t="s">
        <v>57</v>
      </c>
      <c r="F923" s="350"/>
      <c r="G923" s="351">
        <v>135.75</v>
      </c>
      <c r="H923" s="348">
        <v>15.0</v>
      </c>
      <c r="I923" s="348">
        <v>45.0</v>
      </c>
      <c r="J923" s="348">
        <v>1.0</v>
      </c>
      <c r="K923" s="348">
        <v>1.0</v>
      </c>
      <c r="L923" s="348" t="s">
        <v>39</v>
      </c>
      <c r="M923" s="352" t="s">
        <v>65</v>
      </c>
      <c r="N923" s="348" t="s">
        <v>39</v>
      </c>
      <c r="O923" s="348">
        <v>100.0</v>
      </c>
      <c r="P923" s="348" t="s">
        <v>335</v>
      </c>
      <c r="Q923" s="348">
        <v>0.0</v>
      </c>
    </row>
    <row r="924" ht="14.25" customHeight="1">
      <c r="A924" s="211">
        <v>25.0</v>
      </c>
      <c r="B924" s="317" t="s">
        <v>6920</v>
      </c>
      <c r="C924" s="317" t="s">
        <v>6906</v>
      </c>
      <c r="D924" s="319" t="s">
        <v>25</v>
      </c>
      <c r="E924" s="348" t="s">
        <v>57</v>
      </c>
      <c r="F924" s="323"/>
      <c r="G924" s="318">
        <v>175.0</v>
      </c>
      <c r="H924" s="319">
        <v>11.0</v>
      </c>
      <c r="I924" s="319">
        <v>33.0</v>
      </c>
      <c r="J924" s="319">
        <v>1.0</v>
      </c>
      <c r="K924" s="319">
        <v>1.0</v>
      </c>
      <c r="L924" s="319" t="s">
        <v>39</v>
      </c>
      <c r="M924" s="314" t="s">
        <v>65</v>
      </c>
      <c r="N924" s="319" t="s">
        <v>39</v>
      </c>
      <c r="O924" s="319">
        <v>100.0</v>
      </c>
      <c r="P924" s="319" t="s">
        <v>335</v>
      </c>
      <c r="Q924" s="319">
        <v>0.0</v>
      </c>
    </row>
    <row r="925" ht="14.25" customHeight="1">
      <c r="A925" s="211">
        <v>26.0</v>
      </c>
      <c r="B925" s="349" t="s">
        <v>6921</v>
      </c>
      <c r="C925" s="349" t="s">
        <v>6922</v>
      </c>
      <c r="D925" s="319" t="s">
        <v>25</v>
      </c>
      <c r="E925" s="348" t="s">
        <v>57</v>
      </c>
      <c r="F925" s="350"/>
      <c r="G925" s="351">
        <v>186.0</v>
      </c>
      <c r="H925" s="348">
        <v>20.0</v>
      </c>
      <c r="I925" s="348">
        <v>60.0</v>
      </c>
      <c r="J925" s="348">
        <v>1.0</v>
      </c>
      <c r="K925" s="348">
        <v>1.0</v>
      </c>
      <c r="L925" s="348" t="s">
        <v>39</v>
      </c>
      <c r="M925" s="352" t="s">
        <v>65</v>
      </c>
      <c r="N925" s="348" t="s">
        <v>39</v>
      </c>
      <c r="O925" s="348">
        <v>100.0</v>
      </c>
      <c r="P925" s="348" t="s">
        <v>335</v>
      </c>
      <c r="Q925" s="348">
        <v>0.0</v>
      </c>
    </row>
    <row r="926" ht="14.25" customHeight="1">
      <c r="A926" s="211">
        <v>27.0</v>
      </c>
      <c r="B926" s="317" t="s">
        <v>6923</v>
      </c>
      <c r="C926" s="317" t="s">
        <v>2289</v>
      </c>
      <c r="D926" s="319" t="s">
        <v>25</v>
      </c>
      <c r="E926" s="348" t="s">
        <v>57</v>
      </c>
      <c r="F926" s="323"/>
      <c r="G926" s="318">
        <v>88.0</v>
      </c>
      <c r="H926" s="319">
        <v>9.0</v>
      </c>
      <c r="I926" s="319">
        <v>27.0</v>
      </c>
      <c r="J926" s="319">
        <v>1.0</v>
      </c>
      <c r="K926" s="319">
        <v>1.0</v>
      </c>
      <c r="L926" s="319" t="s">
        <v>39</v>
      </c>
      <c r="M926" s="314" t="s">
        <v>65</v>
      </c>
      <c r="N926" s="319" t="s">
        <v>39</v>
      </c>
      <c r="O926" s="319">
        <v>100.0</v>
      </c>
      <c r="P926" s="319" t="s">
        <v>335</v>
      </c>
      <c r="Q926" s="319">
        <v>0.0</v>
      </c>
    </row>
    <row r="927" ht="14.25" customHeight="1">
      <c r="A927" s="211">
        <v>28.0</v>
      </c>
      <c r="B927" s="349" t="s">
        <v>6924</v>
      </c>
      <c r="C927" s="349" t="s">
        <v>6909</v>
      </c>
      <c r="D927" s="319" t="s">
        <v>25</v>
      </c>
      <c r="E927" s="348" t="s">
        <v>57</v>
      </c>
      <c r="F927" s="350"/>
      <c r="G927" s="351">
        <v>51.8</v>
      </c>
      <c r="H927" s="348">
        <v>5.0</v>
      </c>
      <c r="I927" s="348">
        <v>15.0</v>
      </c>
      <c r="J927" s="348">
        <v>1.0</v>
      </c>
      <c r="K927" s="348">
        <v>1.0</v>
      </c>
      <c r="L927" s="348" t="s">
        <v>39</v>
      </c>
      <c r="M927" s="352" t="s">
        <v>65</v>
      </c>
      <c r="N927" s="348" t="s">
        <v>39</v>
      </c>
      <c r="O927" s="348">
        <v>100.0</v>
      </c>
      <c r="P927" s="348" t="s">
        <v>335</v>
      </c>
      <c r="Q927" s="348">
        <v>0.0</v>
      </c>
    </row>
    <row r="928" ht="14.25" customHeight="1">
      <c r="A928" s="211">
        <v>29.0</v>
      </c>
      <c r="B928" s="317" t="s">
        <v>6925</v>
      </c>
      <c r="C928" s="317" t="s">
        <v>6911</v>
      </c>
      <c r="D928" s="319" t="s">
        <v>25</v>
      </c>
      <c r="E928" s="319" t="s">
        <v>5894</v>
      </c>
      <c r="F928" s="323"/>
      <c r="G928" s="318">
        <v>132.0</v>
      </c>
      <c r="H928" s="319">
        <v>14.0</v>
      </c>
      <c r="I928" s="319">
        <v>42.0</v>
      </c>
      <c r="J928" s="319">
        <v>1.0</v>
      </c>
      <c r="K928" s="319">
        <v>1.0</v>
      </c>
      <c r="L928" s="319" t="s">
        <v>39</v>
      </c>
      <c r="M928" s="314" t="s">
        <v>65</v>
      </c>
      <c r="N928" s="319" t="s">
        <v>39</v>
      </c>
      <c r="O928" s="319">
        <v>100.0</v>
      </c>
      <c r="P928" s="319" t="s">
        <v>335</v>
      </c>
      <c r="Q928" s="319">
        <v>0.0</v>
      </c>
    </row>
    <row r="929" ht="14.25" customHeight="1">
      <c r="A929" s="181"/>
      <c r="B929" s="339" t="s">
        <v>6926</v>
      </c>
      <c r="C929" s="311"/>
      <c r="D929" s="312"/>
      <c r="E929" s="312"/>
      <c r="F929" s="312"/>
      <c r="G929" s="312"/>
      <c r="H929" s="312"/>
      <c r="I929" s="312"/>
      <c r="J929" s="312"/>
      <c r="K929" s="312"/>
      <c r="L929" s="312"/>
      <c r="M929" s="313"/>
      <c r="N929" s="312"/>
      <c r="O929" s="312"/>
      <c r="P929" s="312"/>
      <c r="Q929" s="312"/>
    </row>
    <row r="930" ht="14.25" customHeight="1">
      <c r="A930" s="211">
        <v>1.0</v>
      </c>
      <c r="B930" s="394" t="s">
        <v>6927</v>
      </c>
      <c r="C930" s="395" t="s">
        <v>6928</v>
      </c>
      <c r="D930" s="216" t="s">
        <v>25</v>
      </c>
      <c r="E930" s="216" t="s">
        <v>6929</v>
      </c>
      <c r="F930" s="396" t="s">
        <v>6930</v>
      </c>
      <c r="G930" s="369" t="s">
        <v>1257</v>
      </c>
      <c r="H930" s="337" t="s">
        <v>1257</v>
      </c>
      <c r="I930" s="337" t="s">
        <v>1257</v>
      </c>
      <c r="J930" s="337" t="s">
        <v>1257</v>
      </c>
      <c r="K930" s="337" t="s">
        <v>1257</v>
      </c>
      <c r="L930" s="397" t="s">
        <v>1257</v>
      </c>
      <c r="M930" s="144" t="s">
        <v>1257</v>
      </c>
      <c r="N930" s="397" t="s">
        <v>1257</v>
      </c>
      <c r="O930" s="216" t="s">
        <v>39</v>
      </c>
      <c r="P930" s="216" t="s">
        <v>29</v>
      </c>
      <c r="Q930" s="216" t="s">
        <v>39</v>
      </c>
    </row>
    <row r="931" ht="14.25" customHeight="1">
      <c r="A931" s="211">
        <v>2.0</v>
      </c>
      <c r="B931" s="291" t="s">
        <v>6931</v>
      </c>
      <c r="C931" s="291" t="s">
        <v>6932</v>
      </c>
      <c r="D931" s="216" t="s">
        <v>25</v>
      </c>
      <c r="E931" s="216" t="s">
        <v>6929</v>
      </c>
      <c r="F931" s="335"/>
      <c r="G931" s="369">
        <v>112.0</v>
      </c>
      <c r="H931" s="337">
        <v>6.0</v>
      </c>
      <c r="I931" s="337">
        <v>30.0</v>
      </c>
      <c r="J931" s="337" t="s">
        <v>1257</v>
      </c>
      <c r="K931" s="337" t="s">
        <v>1257</v>
      </c>
      <c r="L931" s="398">
        <v>2.0</v>
      </c>
      <c r="M931" s="144" t="s">
        <v>6933</v>
      </c>
      <c r="N931" s="397" t="s">
        <v>6326</v>
      </c>
      <c r="O931" s="216" t="s">
        <v>39</v>
      </c>
      <c r="P931" s="216" t="s">
        <v>29</v>
      </c>
      <c r="Q931" s="216" t="s">
        <v>39</v>
      </c>
    </row>
    <row r="932" ht="14.25" customHeight="1">
      <c r="A932" s="211">
        <v>3.0</v>
      </c>
      <c r="B932" s="291" t="s">
        <v>6934</v>
      </c>
      <c r="C932" s="291" t="s">
        <v>6932</v>
      </c>
      <c r="D932" s="216" t="s">
        <v>25</v>
      </c>
      <c r="E932" s="216" t="s">
        <v>6929</v>
      </c>
      <c r="F932" s="335"/>
      <c r="G932" s="369">
        <v>71.25</v>
      </c>
      <c r="H932" s="337">
        <v>2.0</v>
      </c>
      <c r="I932" s="337">
        <v>10.0</v>
      </c>
      <c r="J932" s="337" t="s">
        <v>1257</v>
      </c>
      <c r="K932" s="337" t="s">
        <v>1257</v>
      </c>
      <c r="L932" s="337">
        <v>1.0</v>
      </c>
      <c r="M932" s="144" t="s">
        <v>6933</v>
      </c>
      <c r="N932" s="397" t="s">
        <v>6326</v>
      </c>
      <c r="O932" s="216" t="s">
        <v>39</v>
      </c>
      <c r="P932" s="216" t="s">
        <v>29</v>
      </c>
      <c r="Q932" s="216" t="s">
        <v>39</v>
      </c>
    </row>
    <row r="933" ht="14.25" customHeight="1">
      <c r="A933" s="211">
        <v>4.0</v>
      </c>
      <c r="B933" s="291" t="s">
        <v>6935</v>
      </c>
      <c r="C933" s="291" t="s">
        <v>6936</v>
      </c>
      <c r="D933" s="216" t="s">
        <v>25</v>
      </c>
      <c r="E933" s="216" t="s">
        <v>6929</v>
      </c>
      <c r="F933" s="335"/>
      <c r="G933" s="369">
        <v>105.0</v>
      </c>
      <c r="H933" s="337">
        <v>1.0</v>
      </c>
      <c r="I933" s="337">
        <v>5.0</v>
      </c>
      <c r="J933" s="337">
        <v>2.0</v>
      </c>
      <c r="K933" s="337">
        <v>2.0</v>
      </c>
      <c r="L933" s="337" t="s">
        <v>1257</v>
      </c>
      <c r="M933" s="144" t="s">
        <v>6933</v>
      </c>
      <c r="N933" s="397" t="s">
        <v>6937</v>
      </c>
      <c r="O933" s="216" t="s">
        <v>39</v>
      </c>
      <c r="P933" s="216" t="s">
        <v>29</v>
      </c>
      <c r="Q933" s="216" t="s">
        <v>39</v>
      </c>
    </row>
    <row r="934" ht="14.25" customHeight="1">
      <c r="A934" s="211">
        <v>5.0</v>
      </c>
      <c r="B934" s="291" t="s">
        <v>6938</v>
      </c>
      <c r="C934" s="291" t="s">
        <v>6936</v>
      </c>
      <c r="D934" s="216" t="s">
        <v>25</v>
      </c>
      <c r="E934" s="216" t="s">
        <v>6929</v>
      </c>
      <c r="F934" s="335"/>
      <c r="G934" s="369">
        <v>44.0</v>
      </c>
      <c r="H934" s="337">
        <v>2.0</v>
      </c>
      <c r="I934" s="337">
        <v>10.0</v>
      </c>
      <c r="J934" s="337">
        <v>1.0</v>
      </c>
      <c r="K934" s="337">
        <v>1.0</v>
      </c>
      <c r="L934" s="216">
        <v>1.0</v>
      </c>
      <c r="M934" s="144" t="s">
        <v>6933</v>
      </c>
      <c r="N934" s="397" t="s">
        <v>6937</v>
      </c>
      <c r="O934" s="216" t="s">
        <v>39</v>
      </c>
      <c r="P934" s="216" t="s">
        <v>29</v>
      </c>
      <c r="Q934" s="216" t="s">
        <v>39</v>
      </c>
    </row>
    <row r="935" ht="14.25" customHeight="1">
      <c r="A935" s="211">
        <v>6.0</v>
      </c>
      <c r="B935" s="291" t="s">
        <v>6939</v>
      </c>
      <c r="C935" s="291" t="s">
        <v>6936</v>
      </c>
      <c r="D935" s="216" t="s">
        <v>25</v>
      </c>
      <c r="E935" s="216" t="s">
        <v>6929</v>
      </c>
      <c r="F935" s="335"/>
      <c r="G935" s="369">
        <v>520.0</v>
      </c>
      <c r="H935" s="337">
        <v>38.0</v>
      </c>
      <c r="I935" s="337">
        <v>190.0</v>
      </c>
      <c r="J935" s="337">
        <v>1.0</v>
      </c>
      <c r="K935" s="337">
        <v>1.0</v>
      </c>
      <c r="L935" s="337">
        <v>4.0</v>
      </c>
      <c r="M935" s="144" t="s">
        <v>6933</v>
      </c>
      <c r="N935" s="337" t="s">
        <v>6937</v>
      </c>
      <c r="O935" s="216" t="s">
        <v>39</v>
      </c>
      <c r="P935" s="216" t="s">
        <v>29</v>
      </c>
      <c r="Q935" s="216" t="s">
        <v>39</v>
      </c>
    </row>
    <row r="936" ht="14.25" customHeight="1">
      <c r="A936" s="211">
        <v>7.0</v>
      </c>
      <c r="B936" s="291" t="s">
        <v>6940</v>
      </c>
      <c r="C936" s="291" t="s">
        <v>6936</v>
      </c>
      <c r="D936" s="216" t="s">
        <v>25</v>
      </c>
      <c r="E936" s="216" t="s">
        <v>6929</v>
      </c>
      <c r="F936" s="335"/>
      <c r="G936" s="369">
        <v>91.0</v>
      </c>
      <c r="H936" s="337">
        <v>3.0</v>
      </c>
      <c r="I936" s="337">
        <v>15.0</v>
      </c>
      <c r="J936" s="337">
        <v>2.0</v>
      </c>
      <c r="K936" s="337">
        <v>2.0</v>
      </c>
      <c r="L936" s="337" t="s">
        <v>1257</v>
      </c>
      <c r="M936" s="144" t="s">
        <v>6933</v>
      </c>
      <c r="N936" s="337" t="s">
        <v>6937</v>
      </c>
      <c r="O936" s="216" t="s">
        <v>39</v>
      </c>
      <c r="P936" s="216" t="s">
        <v>29</v>
      </c>
      <c r="Q936" s="216" t="s">
        <v>39</v>
      </c>
    </row>
    <row r="937" ht="14.25" customHeight="1">
      <c r="A937" s="211">
        <v>8.0</v>
      </c>
      <c r="B937" s="291" t="s">
        <v>6941</v>
      </c>
      <c r="C937" s="291" t="s">
        <v>6942</v>
      </c>
      <c r="D937" s="216" t="s">
        <v>25</v>
      </c>
      <c r="E937" s="216" t="s">
        <v>6929</v>
      </c>
      <c r="F937" s="335"/>
      <c r="G937" s="369">
        <v>326.0</v>
      </c>
      <c r="H937" s="337">
        <v>15.0</v>
      </c>
      <c r="I937" s="337">
        <v>75.0</v>
      </c>
      <c r="J937" s="337" t="s">
        <v>1257</v>
      </c>
      <c r="K937" s="337" t="s">
        <v>1257</v>
      </c>
      <c r="L937" s="337">
        <v>6.0</v>
      </c>
      <c r="M937" s="144" t="s">
        <v>6933</v>
      </c>
      <c r="N937" s="337" t="s">
        <v>6937</v>
      </c>
      <c r="O937" s="216" t="s">
        <v>39</v>
      </c>
      <c r="P937" s="216" t="s">
        <v>29</v>
      </c>
      <c r="Q937" s="216" t="s">
        <v>39</v>
      </c>
    </row>
    <row r="938" ht="14.25" customHeight="1">
      <c r="A938" s="211">
        <v>9.0</v>
      </c>
      <c r="B938" s="291" t="s">
        <v>6943</v>
      </c>
      <c r="C938" s="291" t="s">
        <v>6942</v>
      </c>
      <c r="D938" s="216" t="s">
        <v>25</v>
      </c>
      <c r="E938" s="216" t="s">
        <v>6929</v>
      </c>
      <c r="F938" s="335"/>
      <c r="G938" s="369">
        <v>285.0</v>
      </c>
      <c r="H938" s="337">
        <v>17.0</v>
      </c>
      <c r="I938" s="337">
        <v>85.0</v>
      </c>
      <c r="J938" s="337" t="s">
        <v>1257</v>
      </c>
      <c r="K938" s="337" t="s">
        <v>1257</v>
      </c>
      <c r="L938" s="337">
        <v>6.0</v>
      </c>
      <c r="M938" s="144" t="s">
        <v>6933</v>
      </c>
      <c r="N938" s="337" t="s">
        <v>6937</v>
      </c>
      <c r="O938" s="216" t="s">
        <v>39</v>
      </c>
      <c r="P938" s="216" t="s">
        <v>29</v>
      </c>
      <c r="Q938" s="216" t="s">
        <v>39</v>
      </c>
    </row>
    <row r="939" ht="14.25" customHeight="1">
      <c r="A939" s="224">
        <v>10.0</v>
      </c>
      <c r="B939" s="395" t="s">
        <v>6944</v>
      </c>
      <c r="C939" s="395" t="s">
        <v>6942</v>
      </c>
      <c r="D939" s="337" t="s">
        <v>25</v>
      </c>
      <c r="E939" s="337" t="s">
        <v>57</v>
      </c>
      <c r="F939" s="335"/>
      <c r="G939" s="369">
        <v>70.0</v>
      </c>
      <c r="H939" s="337">
        <v>2.0</v>
      </c>
      <c r="I939" s="337">
        <v>10.0</v>
      </c>
      <c r="J939" s="337" t="s">
        <v>1257</v>
      </c>
      <c r="K939" s="337" t="s">
        <v>1257</v>
      </c>
      <c r="L939" s="337">
        <v>1.0</v>
      </c>
      <c r="M939" s="144" t="s">
        <v>6933</v>
      </c>
      <c r="N939" s="337" t="s">
        <v>323</v>
      </c>
      <c r="O939" s="337" t="s">
        <v>1257</v>
      </c>
      <c r="P939" s="337" t="s">
        <v>29</v>
      </c>
      <c r="Q939" s="337" t="s">
        <v>1257</v>
      </c>
    </row>
    <row r="940" ht="14.25" customHeight="1">
      <c r="A940" s="224">
        <v>11.0</v>
      </c>
      <c r="B940" s="395" t="s">
        <v>6945</v>
      </c>
      <c r="C940" s="291" t="s">
        <v>6942</v>
      </c>
      <c r="D940" s="216" t="s">
        <v>25</v>
      </c>
      <c r="E940" s="216" t="s">
        <v>6929</v>
      </c>
      <c r="F940" s="335"/>
      <c r="G940" s="369">
        <v>660.0</v>
      </c>
      <c r="H940" s="337">
        <v>26.0</v>
      </c>
      <c r="I940" s="337">
        <v>130.0</v>
      </c>
      <c r="J940" s="337">
        <v>1.0</v>
      </c>
      <c r="K940" s="337">
        <v>1.0</v>
      </c>
      <c r="L940" s="337" t="s">
        <v>1257</v>
      </c>
      <c r="M940" s="144" t="s">
        <v>6933</v>
      </c>
      <c r="N940" s="337" t="s">
        <v>323</v>
      </c>
      <c r="O940" s="216" t="s">
        <v>39</v>
      </c>
      <c r="P940" s="216" t="s">
        <v>29</v>
      </c>
      <c r="Q940" s="216" t="s">
        <v>39</v>
      </c>
    </row>
    <row r="941" ht="14.25" customHeight="1">
      <c r="A941" s="224">
        <v>12.0</v>
      </c>
      <c r="B941" s="291" t="s">
        <v>6946</v>
      </c>
      <c r="C941" s="291" t="s">
        <v>6942</v>
      </c>
      <c r="D941" s="216" t="s">
        <v>25</v>
      </c>
      <c r="E941" s="216" t="s">
        <v>6929</v>
      </c>
      <c r="F941" s="335"/>
      <c r="G941" s="369">
        <v>42.0</v>
      </c>
      <c r="H941" s="337">
        <v>2.0</v>
      </c>
      <c r="I941" s="337">
        <v>10.0</v>
      </c>
      <c r="J941" s="337">
        <v>1.0</v>
      </c>
      <c r="K941" s="337">
        <v>1.0</v>
      </c>
      <c r="L941" s="337" t="s">
        <v>1257</v>
      </c>
      <c r="M941" s="144" t="s">
        <v>6933</v>
      </c>
      <c r="N941" s="337" t="s">
        <v>323</v>
      </c>
      <c r="O941" s="216" t="s">
        <v>39</v>
      </c>
      <c r="P941" s="216" t="s">
        <v>29</v>
      </c>
      <c r="Q941" s="216" t="s">
        <v>39</v>
      </c>
    </row>
    <row r="942" ht="14.25" customHeight="1">
      <c r="A942" s="224">
        <v>13.0</v>
      </c>
      <c r="B942" s="291" t="s">
        <v>6947</v>
      </c>
      <c r="C942" s="291" t="s">
        <v>6948</v>
      </c>
      <c r="D942" s="216" t="s">
        <v>25</v>
      </c>
      <c r="E942" s="216" t="s">
        <v>6929</v>
      </c>
      <c r="F942" s="335"/>
      <c r="G942" s="399">
        <v>2199.0</v>
      </c>
      <c r="H942" s="337">
        <v>21.0</v>
      </c>
      <c r="I942" s="337">
        <v>200.0</v>
      </c>
      <c r="J942" s="337">
        <v>1.0</v>
      </c>
      <c r="K942" s="337">
        <v>1.0</v>
      </c>
      <c r="L942" s="337">
        <v>1.0</v>
      </c>
      <c r="M942" s="144" t="s">
        <v>6949</v>
      </c>
      <c r="N942" s="337" t="s">
        <v>6950</v>
      </c>
      <c r="O942" s="216" t="s">
        <v>39</v>
      </c>
      <c r="P942" s="216" t="s">
        <v>29</v>
      </c>
      <c r="Q942" s="216" t="s">
        <v>39</v>
      </c>
    </row>
    <row r="943" ht="14.25" customHeight="1">
      <c r="A943" s="224">
        <v>14.0</v>
      </c>
      <c r="B943" s="291" t="s">
        <v>6951</v>
      </c>
      <c r="C943" s="291" t="s">
        <v>6948</v>
      </c>
      <c r="D943" s="216" t="s">
        <v>25</v>
      </c>
      <c r="E943" s="216" t="s">
        <v>6929</v>
      </c>
      <c r="F943" s="335"/>
      <c r="G943" s="369">
        <v>128.0</v>
      </c>
      <c r="H943" s="337">
        <v>5.0</v>
      </c>
      <c r="I943" s="337">
        <v>10.0</v>
      </c>
      <c r="J943" s="337" t="s">
        <v>1257</v>
      </c>
      <c r="K943" s="337" t="s">
        <v>1257</v>
      </c>
      <c r="L943" s="337">
        <v>2.0</v>
      </c>
      <c r="M943" s="144" t="s">
        <v>6949</v>
      </c>
      <c r="N943" s="398" t="s">
        <v>6950</v>
      </c>
      <c r="O943" s="216" t="s">
        <v>39</v>
      </c>
      <c r="P943" s="216" t="s">
        <v>29</v>
      </c>
      <c r="Q943" s="216" t="s">
        <v>39</v>
      </c>
    </row>
    <row r="944" ht="14.25" customHeight="1">
      <c r="A944" s="224">
        <v>15.0</v>
      </c>
      <c r="B944" s="394" t="s">
        <v>6952</v>
      </c>
      <c r="C944" s="291" t="s">
        <v>6953</v>
      </c>
      <c r="D944" s="216" t="s">
        <v>25</v>
      </c>
      <c r="E944" s="216" t="s">
        <v>6929</v>
      </c>
      <c r="F944" s="335"/>
      <c r="G944" s="369">
        <v>980.0</v>
      </c>
      <c r="H944" s="337">
        <v>35.0</v>
      </c>
      <c r="I944" s="337">
        <v>175.0</v>
      </c>
      <c r="J944" s="337">
        <v>1.0</v>
      </c>
      <c r="K944" s="337">
        <v>1.0</v>
      </c>
      <c r="L944" s="337">
        <v>7.0</v>
      </c>
      <c r="M944" s="133" t="s">
        <v>427</v>
      </c>
      <c r="N944" s="398" t="s">
        <v>1257</v>
      </c>
      <c r="O944" s="216" t="s">
        <v>39</v>
      </c>
      <c r="P944" s="216" t="s">
        <v>29</v>
      </c>
      <c r="Q944" s="216" t="s">
        <v>39</v>
      </c>
    </row>
    <row r="945" ht="14.25" customHeight="1">
      <c r="A945" s="224">
        <v>16.0</v>
      </c>
      <c r="B945" s="291" t="s">
        <v>6954</v>
      </c>
      <c r="C945" s="291" t="s">
        <v>6953</v>
      </c>
      <c r="D945" s="216" t="s">
        <v>25</v>
      </c>
      <c r="E945" s="216" t="s">
        <v>6929</v>
      </c>
      <c r="F945" s="335"/>
      <c r="G945" s="369">
        <v>96.0</v>
      </c>
      <c r="H945" s="337">
        <v>6.0</v>
      </c>
      <c r="I945" s="337">
        <v>50.0</v>
      </c>
      <c r="J945" s="337" t="s">
        <v>1257</v>
      </c>
      <c r="K945" s="337" t="s">
        <v>1257</v>
      </c>
      <c r="L945" s="337">
        <v>2.0</v>
      </c>
      <c r="M945" s="144" t="s">
        <v>6949</v>
      </c>
      <c r="N945" s="337" t="s">
        <v>6950</v>
      </c>
      <c r="O945" s="216" t="s">
        <v>39</v>
      </c>
      <c r="P945" s="216" t="s">
        <v>29</v>
      </c>
      <c r="Q945" s="216" t="s">
        <v>39</v>
      </c>
    </row>
    <row r="946" ht="14.25" customHeight="1">
      <c r="A946" s="224">
        <v>17.0</v>
      </c>
      <c r="B946" s="400" t="s">
        <v>6955</v>
      </c>
      <c r="C946" s="291" t="s">
        <v>6956</v>
      </c>
      <c r="D946" s="216" t="s">
        <v>25</v>
      </c>
      <c r="E946" s="216" t="s">
        <v>6957</v>
      </c>
      <c r="F946" s="335"/>
      <c r="G946" s="369">
        <v>375.0</v>
      </c>
      <c r="H946" s="337">
        <v>70.0</v>
      </c>
      <c r="I946" s="337">
        <v>350.0</v>
      </c>
      <c r="J946" s="337" t="s">
        <v>1257</v>
      </c>
      <c r="K946" s="337" t="s">
        <v>1257</v>
      </c>
      <c r="L946" s="337">
        <v>2.0</v>
      </c>
      <c r="M946" s="133" t="s">
        <v>427</v>
      </c>
      <c r="N946" s="337" t="s">
        <v>1257</v>
      </c>
      <c r="O946" s="216" t="s">
        <v>39</v>
      </c>
      <c r="P946" s="216" t="s">
        <v>29</v>
      </c>
      <c r="Q946" s="216" t="s">
        <v>39</v>
      </c>
    </row>
    <row r="947" ht="14.25" customHeight="1">
      <c r="A947" s="224">
        <v>18.0</v>
      </c>
      <c r="B947" s="291" t="s">
        <v>6958</v>
      </c>
      <c r="C947" s="291" t="s">
        <v>6959</v>
      </c>
      <c r="D947" s="216" t="s">
        <v>25</v>
      </c>
      <c r="E947" s="216" t="s">
        <v>6929</v>
      </c>
      <c r="F947" s="335"/>
      <c r="G947" s="369">
        <v>411.0</v>
      </c>
      <c r="H947" s="337">
        <v>28.0</v>
      </c>
      <c r="I947" s="337">
        <v>116.0</v>
      </c>
      <c r="J947" s="337">
        <v>1.0</v>
      </c>
      <c r="K947" s="337">
        <v>1.0</v>
      </c>
      <c r="L947" s="337">
        <v>6.0</v>
      </c>
      <c r="M947" s="144" t="s">
        <v>6949</v>
      </c>
      <c r="N947" s="337" t="s">
        <v>1156</v>
      </c>
      <c r="O947" s="216" t="s">
        <v>39</v>
      </c>
      <c r="P947" s="216" t="s">
        <v>29</v>
      </c>
      <c r="Q947" s="216" t="s">
        <v>39</v>
      </c>
    </row>
    <row r="948" ht="14.25" customHeight="1">
      <c r="A948" s="224">
        <v>19.0</v>
      </c>
      <c r="B948" s="395" t="s">
        <v>6960</v>
      </c>
      <c r="C948" s="291" t="s">
        <v>6959</v>
      </c>
      <c r="D948" s="216" t="s">
        <v>25</v>
      </c>
      <c r="E948" s="216" t="s">
        <v>6929</v>
      </c>
      <c r="F948" s="335"/>
      <c r="G948" s="369">
        <v>48.0</v>
      </c>
      <c r="H948" s="337">
        <v>4.0</v>
      </c>
      <c r="I948" s="337">
        <v>12.0</v>
      </c>
      <c r="J948" s="337" t="s">
        <v>1257</v>
      </c>
      <c r="K948" s="337" t="s">
        <v>1257</v>
      </c>
      <c r="L948" s="337">
        <v>1.0</v>
      </c>
      <c r="M948" s="133" t="s">
        <v>427</v>
      </c>
      <c r="N948" s="337" t="s">
        <v>1257</v>
      </c>
      <c r="O948" s="216" t="s">
        <v>39</v>
      </c>
      <c r="P948" s="216" t="s">
        <v>29</v>
      </c>
      <c r="Q948" s="216" t="s">
        <v>39</v>
      </c>
    </row>
    <row r="949" ht="14.25" customHeight="1">
      <c r="A949" s="224">
        <v>20.0</v>
      </c>
      <c r="B949" s="395" t="s">
        <v>6961</v>
      </c>
      <c r="C949" s="291" t="s">
        <v>6962</v>
      </c>
      <c r="D949" s="216" t="s">
        <v>25</v>
      </c>
      <c r="E949" s="216" t="s">
        <v>6929</v>
      </c>
      <c r="F949" s="335"/>
      <c r="G949" s="369">
        <v>77.0</v>
      </c>
      <c r="H949" s="337">
        <v>7.0</v>
      </c>
      <c r="I949" s="337">
        <v>35.0</v>
      </c>
      <c r="J949" s="337" t="s">
        <v>1257</v>
      </c>
      <c r="K949" s="337" t="s">
        <v>1257</v>
      </c>
      <c r="L949" s="337">
        <v>2.0</v>
      </c>
      <c r="M949" s="133" t="s">
        <v>427</v>
      </c>
      <c r="N949" s="337" t="s">
        <v>1257</v>
      </c>
      <c r="O949" s="216" t="s">
        <v>39</v>
      </c>
      <c r="P949" s="216" t="s">
        <v>29</v>
      </c>
      <c r="Q949" s="216" t="s">
        <v>39</v>
      </c>
    </row>
    <row r="950" ht="14.25" customHeight="1">
      <c r="A950" s="224">
        <v>21.0</v>
      </c>
      <c r="B950" s="395" t="s">
        <v>6963</v>
      </c>
      <c r="C950" s="291" t="s">
        <v>6964</v>
      </c>
      <c r="D950" s="216" t="s">
        <v>25</v>
      </c>
      <c r="E950" s="216" t="s">
        <v>1303</v>
      </c>
      <c r="F950" s="335"/>
      <c r="G950" s="369">
        <v>500.0</v>
      </c>
      <c r="H950" s="337">
        <v>50.0</v>
      </c>
      <c r="I950" s="337">
        <v>250.0</v>
      </c>
      <c r="J950" s="337">
        <v>1.0</v>
      </c>
      <c r="K950" s="337">
        <v>1.0</v>
      </c>
      <c r="L950" s="337" t="s">
        <v>1257</v>
      </c>
      <c r="M950" s="133" t="s">
        <v>427</v>
      </c>
      <c r="N950" s="337" t="s">
        <v>1257</v>
      </c>
      <c r="O950" s="216" t="s">
        <v>39</v>
      </c>
      <c r="P950" s="216" t="s">
        <v>29</v>
      </c>
      <c r="Q950" s="216" t="s">
        <v>39</v>
      </c>
    </row>
    <row r="951" ht="14.25" customHeight="1">
      <c r="A951" s="224">
        <v>22.0</v>
      </c>
      <c r="B951" s="291" t="s">
        <v>6965</v>
      </c>
      <c r="C951" s="291" t="s">
        <v>6966</v>
      </c>
      <c r="D951" s="216" t="s">
        <v>25</v>
      </c>
      <c r="E951" s="216" t="s">
        <v>1303</v>
      </c>
      <c r="F951" s="335"/>
      <c r="G951" s="369">
        <v>70.0</v>
      </c>
      <c r="H951" s="337">
        <v>5.0</v>
      </c>
      <c r="I951" s="337">
        <v>30.0</v>
      </c>
      <c r="J951" s="337" t="s">
        <v>1257</v>
      </c>
      <c r="K951" s="337" t="s">
        <v>1257</v>
      </c>
      <c r="L951" s="337">
        <v>2.0</v>
      </c>
      <c r="M951" s="144" t="s">
        <v>6949</v>
      </c>
      <c r="N951" s="337" t="s">
        <v>1156</v>
      </c>
      <c r="O951" s="216" t="s">
        <v>39</v>
      </c>
      <c r="P951" s="216" t="s">
        <v>29</v>
      </c>
      <c r="Q951" s="216" t="s">
        <v>39</v>
      </c>
    </row>
    <row r="952" ht="14.25" customHeight="1">
      <c r="A952" s="224">
        <v>23.0</v>
      </c>
      <c r="B952" s="291" t="s">
        <v>6967</v>
      </c>
      <c r="C952" s="291" t="s">
        <v>6966</v>
      </c>
      <c r="D952" s="216" t="s">
        <v>25</v>
      </c>
      <c r="E952" s="216" t="s">
        <v>1303</v>
      </c>
      <c r="F952" s="335"/>
      <c r="G952" s="369">
        <v>300.0</v>
      </c>
      <c r="H952" s="337">
        <v>30.0</v>
      </c>
      <c r="I952" s="337">
        <v>70.0</v>
      </c>
      <c r="J952" s="337" t="s">
        <v>1257</v>
      </c>
      <c r="K952" s="337" t="s">
        <v>1257</v>
      </c>
      <c r="L952" s="337">
        <v>2.0</v>
      </c>
      <c r="M952" s="144" t="s">
        <v>6949</v>
      </c>
      <c r="N952" s="337" t="s">
        <v>1156</v>
      </c>
      <c r="O952" s="216" t="s">
        <v>39</v>
      </c>
      <c r="P952" s="216" t="s">
        <v>29</v>
      </c>
      <c r="Q952" s="216" t="s">
        <v>39</v>
      </c>
    </row>
    <row r="953" ht="14.25" customHeight="1">
      <c r="A953" s="224">
        <v>24.0</v>
      </c>
      <c r="B953" s="291" t="s">
        <v>6968</v>
      </c>
      <c r="C953" s="291" t="s">
        <v>6969</v>
      </c>
      <c r="D953" s="216" t="s">
        <v>25</v>
      </c>
      <c r="E953" s="216" t="s">
        <v>1303</v>
      </c>
      <c r="F953" s="335"/>
      <c r="G953" s="369">
        <v>539.0</v>
      </c>
      <c r="H953" s="337">
        <v>36.0</v>
      </c>
      <c r="I953" s="337">
        <v>180.0</v>
      </c>
      <c r="J953" s="337" t="s">
        <v>1257</v>
      </c>
      <c r="K953" s="337" t="s">
        <v>1257</v>
      </c>
      <c r="L953" s="337">
        <v>20.0</v>
      </c>
      <c r="M953" s="144" t="s">
        <v>6949</v>
      </c>
      <c r="N953" s="337" t="s">
        <v>323</v>
      </c>
      <c r="O953" s="216" t="s">
        <v>39</v>
      </c>
      <c r="P953" s="216" t="s">
        <v>29</v>
      </c>
      <c r="Q953" s="216" t="s">
        <v>39</v>
      </c>
    </row>
    <row r="954" ht="14.25" customHeight="1">
      <c r="A954" s="224">
        <v>25.0</v>
      </c>
      <c r="B954" s="291" t="s">
        <v>6970</v>
      </c>
      <c r="C954" s="291" t="s">
        <v>6969</v>
      </c>
      <c r="D954" s="216" t="s">
        <v>25</v>
      </c>
      <c r="E954" s="216" t="s">
        <v>1303</v>
      </c>
      <c r="F954" s="335"/>
      <c r="G954" s="369">
        <v>810.0</v>
      </c>
      <c r="H954" s="337">
        <v>10.0</v>
      </c>
      <c r="I954" s="337">
        <v>50.0</v>
      </c>
      <c r="J954" s="337" t="s">
        <v>1257</v>
      </c>
      <c r="K954" s="337" t="s">
        <v>1257</v>
      </c>
      <c r="L954" s="337">
        <v>3.0</v>
      </c>
      <c r="M954" s="144" t="s">
        <v>6949</v>
      </c>
      <c r="N954" s="337" t="s">
        <v>323</v>
      </c>
      <c r="O954" s="216" t="s">
        <v>39</v>
      </c>
      <c r="P954" s="216" t="s">
        <v>29</v>
      </c>
      <c r="Q954" s="216" t="s">
        <v>39</v>
      </c>
    </row>
    <row r="955" ht="14.25" customHeight="1">
      <c r="A955" s="224">
        <v>26.0</v>
      </c>
      <c r="B955" s="291" t="s">
        <v>6971</v>
      </c>
      <c r="C955" s="291" t="s">
        <v>6972</v>
      </c>
      <c r="D955" s="216" t="s">
        <v>25</v>
      </c>
      <c r="E955" s="216" t="s">
        <v>1303</v>
      </c>
      <c r="F955" s="335"/>
      <c r="G955" s="399">
        <v>61.0</v>
      </c>
      <c r="H955" s="337">
        <v>6.0</v>
      </c>
      <c r="I955" s="337">
        <v>30.0</v>
      </c>
      <c r="J955" s="337" t="s">
        <v>1257</v>
      </c>
      <c r="K955" s="337" t="s">
        <v>1257</v>
      </c>
      <c r="L955" s="337" t="s">
        <v>1257</v>
      </c>
      <c r="M955" s="144" t="s">
        <v>6973</v>
      </c>
      <c r="N955" s="337" t="s">
        <v>1257</v>
      </c>
      <c r="O955" s="216" t="s">
        <v>39</v>
      </c>
      <c r="P955" s="216" t="s">
        <v>29</v>
      </c>
      <c r="Q955" s="216" t="s">
        <v>39</v>
      </c>
    </row>
    <row r="956" ht="14.25" customHeight="1">
      <c r="A956" s="224">
        <v>27.0</v>
      </c>
      <c r="B956" s="291" t="s">
        <v>6974</v>
      </c>
      <c r="C956" s="291" t="s">
        <v>6972</v>
      </c>
      <c r="D956" s="216" t="s">
        <v>25</v>
      </c>
      <c r="E956" s="216" t="s">
        <v>1303</v>
      </c>
      <c r="F956" s="335"/>
      <c r="G956" s="369">
        <v>36.0</v>
      </c>
      <c r="H956" s="337">
        <v>3.0</v>
      </c>
      <c r="I956" s="337">
        <v>15.0</v>
      </c>
      <c r="J956" s="337" t="s">
        <v>1257</v>
      </c>
      <c r="K956" s="337" t="s">
        <v>1257</v>
      </c>
      <c r="L956" s="337">
        <v>2.0</v>
      </c>
      <c r="M956" s="144" t="s">
        <v>6973</v>
      </c>
      <c r="N956" s="397" t="s">
        <v>1257</v>
      </c>
      <c r="O956" s="216" t="s">
        <v>39</v>
      </c>
      <c r="P956" s="216" t="s">
        <v>29</v>
      </c>
      <c r="Q956" s="216" t="s">
        <v>39</v>
      </c>
    </row>
    <row r="957" ht="14.25" customHeight="1">
      <c r="A957" s="224">
        <v>28.0</v>
      </c>
      <c r="B957" s="291" t="s">
        <v>6975</v>
      </c>
      <c r="C957" s="291" t="s">
        <v>6976</v>
      </c>
      <c r="D957" s="216" t="s">
        <v>25</v>
      </c>
      <c r="E957" s="216" t="s">
        <v>1303</v>
      </c>
      <c r="F957" s="335"/>
      <c r="G957" s="369">
        <v>36.0</v>
      </c>
      <c r="H957" s="337">
        <v>2.0</v>
      </c>
      <c r="I957" s="337">
        <v>10.0</v>
      </c>
      <c r="J957" s="337">
        <v>2.0</v>
      </c>
      <c r="K957" s="337">
        <v>2.0</v>
      </c>
      <c r="L957" s="337" t="s">
        <v>1257</v>
      </c>
      <c r="M957" s="144" t="s">
        <v>6933</v>
      </c>
      <c r="N957" s="397" t="s">
        <v>323</v>
      </c>
      <c r="O957" s="216" t="s">
        <v>39</v>
      </c>
      <c r="P957" s="216" t="s">
        <v>29</v>
      </c>
      <c r="Q957" s="216" t="s">
        <v>39</v>
      </c>
    </row>
    <row r="958" ht="14.25" customHeight="1">
      <c r="A958" s="224">
        <v>29.0</v>
      </c>
      <c r="B958" s="291" t="s">
        <v>6977</v>
      </c>
      <c r="C958" s="291" t="s">
        <v>6976</v>
      </c>
      <c r="D958" s="216" t="s">
        <v>25</v>
      </c>
      <c r="E958" s="216" t="s">
        <v>6978</v>
      </c>
      <c r="F958" s="335"/>
      <c r="G958" s="369">
        <v>48.0</v>
      </c>
      <c r="H958" s="337">
        <v>3.0</v>
      </c>
      <c r="I958" s="337">
        <v>15.0</v>
      </c>
      <c r="J958" s="337">
        <v>2.0</v>
      </c>
      <c r="K958" s="337">
        <v>2.0</v>
      </c>
      <c r="L958" s="337" t="s">
        <v>1257</v>
      </c>
      <c r="M958" s="144" t="s">
        <v>6933</v>
      </c>
      <c r="N958" s="397" t="s">
        <v>323</v>
      </c>
      <c r="O958" s="216" t="s">
        <v>39</v>
      </c>
      <c r="P958" s="216" t="s">
        <v>29</v>
      </c>
      <c r="Q958" s="216" t="s">
        <v>39</v>
      </c>
    </row>
    <row r="959" ht="14.25" customHeight="1">
      <c r="A959" s="224">
        <v>30.0</v>
      </c>
      <c r="B959" s="291" t="s">
        <v>6979</v>
      </c>
      <c r="C959" s="291" t="s">
        <v>6980</v>
      </c>
      <c r="D959" s="216" t="s">
        <v>25</v>
      </c>
      <c r="E959" s="216" t="s">
        <v>1303</v>
      </c>
      <c r="F959" s="335"/>
      <c r="G959" s="369">
        <v>690.0</v>
      </c>
      <c r="H959" s="337">
        <v>98.0</v>
      </c>
      <c r="I959" s="337">
        <v>985.0</v>
      </c>
      <c r="J959" s="337">
        <v>1.0</v>
      </c>
      <c r="K959" s="337">
        <v>1.0</v>
      </c>
      <c r="L959" s="337">
        <v>12.0</v>
      </c>
      <c r="M959" s="144" t="s">
        <v>6933</v>
      </c>
      <c r="N959" s="397" t="s">
        <v>6937</v>
      </c>
      <c r="O959" s="216" t="s">
        <v>39</v>
      </c>
      <c r="P959" s="216" t="s">
        <v>29</v>
      </c>
      <c r="Q959" s="216" t="s">
        <v>39</v>
      </c>
    </row>
    <row r="960" ht="14.25" customHeight="1">
      <c r="A960" s="224">
        <v>31.0</v>
      </c>
      <c r="B960" s="291" t="s">
        <v>6981</v>
      </c>
      <c r="C960" s="291" t="s">
        <v>6980</v>
      </c>
      <c r="D960" s="216" t="s">
        <v>25</v>
      </c>
      <c r="E960" s="216" t="s">
        <v>1303</v>
      </c>
      <c r="F960" s="335"/>
      <c r="G960" s="369">
        <v>1037.0</v>
      </c>
      <c r="H960" s="337">
        <v>186.0</v>
      </c>
      <c r="I960" s="337">
        <v>1048.0</v>
      </c>
      <c r="J960" s="337">
        <v>1.0</v>
      </c>
      <c r="K960" s="337">
        <v>1.0</v>
      </c>
      <c r="L960" s="337" t="s">
        <v>1257</v>
      </c>
      <c r="M960" s="144" t="s">
        <v>6933</v>
      </c>
      <c r="N960" s="397" t="s">
        <v>6937</v>
      </c>
      <c r="O960" s="216" t="s">
        <v>39</v>
      </c>
      <c r="P960" s="216" t="s">
        <v>29</v>
      </c>
      <c r="Q960" s="216" t="s">
        <v>39</v>
      </c>
    </row>
    <row r="961" ht="14.25" customHeight="1">
      <c r="A961" s="224">
        <v>32.0</v>
      </c>
      <c r="B961" s="291" t="s">
        <v>6982</v>
      </c>
      <c r="C961" s="291" t="s">
        <v>6983</v>
      </c>
      <c r="D961" s="216" t="s">
        <v>25</v>
      </c>
      <c r="E961" s="216" t="s">
        <v>1303</v>
      </c>
      <c r="F961" s="335"/>
      <c r="G961" s="369">
        <v>114.0</v>
      </c>
      <c r="H961" s="337">
        <v>6.0</v>
      </c>
      <c r="I961" s="337">
        <v>30.0</v>
      </c>
      <c r="J961" s="337">
        <v>1.0</v>
      </c>
      <c r="K961" s="337">
        <v>1.0</v>
      </c>
      <c r="L961" s="337" t="s">
        <v>1257</v>
      </c>
      <c r="M961" s="144" t="s">
        <v>323</v>
      </c>
      <c r="N961" s="337" t="s">
        <v>323</v>
      </c>
      <c r="O961" s="216" t="s">
        <v>39</v>
      </c>
      <c r="P961" s="216" t="s">
        <v>29</v>
      </c>
      <c r="Q961" s="216" t="s">
        <v>39</v>
      </c>
    </row>
    <row r="962" ht="14.25" customHeight="1">
      <c r="A962" s="224">
        <v>33.0</v>
      </c>
      <c r="B962" s="291" t="s">
        <v>6984</v>
      </c>
      <c r="C962" s="291" t="s">
        <v>6985</v>
      </c>
      <c r="D962" s="216" t="s">
        <v>25</v>
      </c>
      <c r="E962" s="216" t="s">
        <v>1303</v>
      </c>
      <c r="F962" s="335"/>
      <c r="G962" s="369">
        <v>450.0</v>
      </c>
      <c r="H962" s="337">
        <v>16.0</v>
      </c>
      <c r="I962" s="337">
        <v>60.0</v>
      </c>
      <c r="J962" s="337" t="s">
        <v>1257</v>
      </c>
      <c r="K962" s="337" t="s">
        <v>1257</v>
      </c>
      <c r="L962" s="337" t="s">
        <v>1257</v>
      </c>
      <c r="M962" s="144" t="s">
        <v>6986</v>
      </c>
      <c r="N962" s="337" t="s">
        <v>323</v>
      </c>
      <c r="O962" s="216" t="s">
        <v>39</v>
      </c>
      <c r="P962" s="216" t="s">
        <v>29</v>
      </c>
      <c r="Q962" s="216" t="s">
        <v>39</v>
      </c>
    </row>
    <row r="963" ht="14.25" customHeight="1">
      <c r="A963" s="395">
        <v>34.0</v>
      </c>
      <c r="B963" s="401" t="s">
        <v>6987</v>
      </c>
      <c r="C963" s="291" t="s">
        <v>6983</v>
      </c>
      <c r="D963" s="216" t="s">
        <v>25</v>
      </c>
      <c r="E963" s="216" t="s">
        <v>1303</v>
      </c>
      <c r="F963" s="335"/>
      <c r="G963" s="369">
        <v>114.0</v>
      </c>
      <c r="H963" s="337">
        <v>10.0</v>
      </c>
      <c r="I963" s="337">
        <v>6.0</v>
      </c>
      <c r="J963" s="337">
        <v>1.0</v>
      </c>
      <c r="K963" s="337">
        <v>1.0</v>
      </c>
      <c r="L963" s="337">
        <v>1.0</v>
      </c>
      <c r="M963" s="144" t="s">
        <v>6933</v>
      </c>
      <c r="N963" s="397" t="s">
        <v>6988</v>
      </c>
      <c r="O963" s="216" t="s">
        <v>39</v>
      </c>
      <c r="P963" s="216" t="s">
        <v>29</v>
      </c>
      <c r="Q963" s="216" t="s">
        <v>39</v>
      </c>
    </row>
    <row r="964" ht="14.25" customHeight="1">
      <c r="A964" s="224">
        <v>35.0</v>
      </c>
      <c r="B964" s="291" t="s">
        <v>6989</v>
      </c>
      <c r="C964" s="291" t="s">
        <v>6990</v>
      </c>
      <c r="D964" s="216" t="s">
        <v>25</v>
      </c>
      <c r="E964" s="216" t="s">
        <v>1303</v>
      </c>
      <c r="F964" s="335"/>
      <c r="G964" s="369">
        <v>530.0</v>
      </c>
      <c r="H964" s="337">
        <v>42.0</v>
      </c>
      <c r="I964" s="337">
        <v>155.0</v>
      </c>
      <c r="J964" s="337">
        <v>1.0</v>
      </c>
      <c r="K964" s="337">
        <v>1.0</v>
      </c>
      <c r="L964" s="337">
        <v>7.0</v>
      </c>
      <c r="M964" s="144" t="s">
        <v>6933</v>
      </c>
      <c r="N964" s="397" t="s">
        <v>6937</v>
      </c>
      <c r="O964" s="216" t="s">
        <v>39</v>
      </c>
      <c r="P964" s="216" t="s">
        <v>29</v>
      </c>
      <c r="Q964" s="216" t="s">
        <v>39</v>
      </c>
    </row>
    <row r="965" ht="14.25" customHeight="1">
      <c r="A965" s="224">
        <v>36.0</v>
      </c>
      <c r="B965" s="395" t="s">
        <v>6991</v>
      </c>
      <c r="C965" s="395" t="s">
        <v>6992</v>
      </c>
      <c r="D965" s="337" t="s">
        <v>25</v>
      </c>
      <c r="E965" s="337" t="s">
        <v>57</v>
      </c>
      <c r="F965" s="335"/>
      <c r="G965" s="369">
        <v>475.0</v>
      </c>
      <c r="H965" s="337">
        <v>40.0</v>
      </c>
      <c r="I965" s="337">
        <v>160.0</v>
      </c>
      <c r="J965" s="337" t="s">
        <v>1257</v>
      </c>
      <c r="K965" s="337" t="s">
        <v>6993</v>
      </c>
      <c r="L965" s="337">
        <v>1.0</v>
      </c>
      <c r="M965" s="144" t="s">
        <v>6933</v>
      </c>
      <c r="N965" s="397" t="s">
        <v>1156</v>
      </c>
      <c r="O965" s="337" t="s">
        <v>1257</v>
      </c>
      <c r="P965" s="337" t="s">
        <v>29</v>
      </c>
      <c r="Q965" s="337" t="s">
        <v>1257</v>
      </c>
    </row>
    <row r="966" ht="14.25" customHeight="1">
      <c r="A966" s="224">
        <v>37.0</v>
      </c>
      <c r="B966" s="291" t="s">
        <v>6994</v>
      </c>
      <c r="C966" s="291" t="s">
        <v>6995</v>
      </c>
      <c r="D966" s="216" t="s">
        <v>25</v>
      </c>
      <c r="E966" s="216" t="s">
        <v>1303</v>
      </c>
      <c r="F966" s="335"/>
      <c r="G966" s="369">
        <v>45.0</v>
      </c>
      <c r="H966" s="337">
        <v>8.0</v>
      </c>
      <c r="I966" s="337">
        <v>32.0</v>
      </c>
      <c r="J966" s="337" t="s">
        <v>1257</v>
      </c>
      <c r="K966" s="337" t="s">
        <v>1257</v>
      </c>
      <c r="L966" s="337" t="s">
        <v>1257</v>
      </c>
      <c r="M966" s="144" t="s">
        <v>6933</v>
      </c>
      <c r="N966" s="397" t="s">
        <v>1156</v>
      </c>
      <c r="O966" s="216" t="s">
        <v>6996</v>
      </c>
      <c r="P966" s="216" t="s">
        <v>29</v>
      </c>
      <c r="Q966" s="216" t="s">
        <v>39</v>
      </c>
    </row>
    <row r="967" ht="14.25" customHeight="1">
      <c r="A967" s="224">
        <v>38.0</v>
      </c>
      <c r="B967" s="395" t="s">
        <v>6997</v>
      </c>
      <c r="C967" s="395" t="s">
        <v>6992</v>
      </c>
      <c r="D967" s="337" t="s">
        <v>25</v>
      </c>
      <c r="E967" s="337" t="s">
        <v>57</v>
      </c>
      <c r="F967" s="335"/>
      <c r="G967" s="369">
        <v>45.0</v>
      </c>
      <c r="H967" s="337">
        <v>8.0</v>
      </c>
      <c r="I967" s="337">
        <v>32.0</v>
      </c>
      <c r="J967" s="337" t="s">
        <v>1257</v>
      </c>
      <c r="K967" s="337" t="s">
        <v>1257</v>
      </c>
      <c r="L967" s="337">
        <v>1.0</v>
      </c>
      <c r="M967" s="144" t="s">
        <v>6933</v>
      </c>
      <c r="N967" s="337" t="s">
        <v>1156</v>
      </c>
      <c r="O967" s="337" t="s">
        <v>1257</v>
      </c>
      <c r="P967" s="337" t="s">
        <v>29</v>
      </c>
      <c r="Q967" s="337" t="s">
        <v>1257</v>
      </c>
    </row>
    <row r="968" ht="14.25" customHeight="1">
      <c r="A968" s="224">
        <v>39.0</v>
      </c>
      <c r="B968" s="395" t="s">
        <v>6998</v>
      </c>
      <c r="C968" s="395" t="s">
        <v>6992</v>
      </c>
      <c r="D968" s="337" t="s">
        <v>25</v>
      </c>
      <c r="E968" s="337" t="s">
        <v>57</v>
      </c>
      <c r="F968" s="335"/>
      <c r="G968" s="369">
        <v>42.0</v>
      </c>
      <c r="H968" s="337">
        <v>6.0</v>
      </c>
      <c r="I968" s="337">
        <v>24.0</v>
      </c>
      <c r="J968" s="337" t="s">
        <v>1257</v>
      </c>
      <c r="K968" s="337" t="s">
        <v>1257</v>
      </c>
      <c r="L968" s="337" t="s">
        <v>1257</v>
      </c>
      <c r="M968" s="144" t="s">
        <v>6933</v>
      </c>
      <c r="N968" s="337" t="s">
        <v>1156</v>
      </c>
      <c r="O968" s="337" t="s">
        <v>1257</v>
      </c>
      <c r="P968" s="337" t="s">
        <v>29</v>
      </c>
      <c r="Q968" s="337" t="s">
        <v>1257</v>
      </c>
    </row>
    <row r="969" ht="14.25" customHeight="1">
      <c r="A969" s="224">
        <v>40.0</v>
      </c>
      <c r="B969" s="395" t="s">
        <v>6999</v>
      </c>
      <c r="C969" s="395" t="s">
        <v>6992</v>
      </c>
      <c r="D969" s="337" t="s">
        <v>25</v>
      </c>
      <c r="E969" s="337" t="s">
        <v>57</v>
      </c>
      <c r="F969" s="335"/>
      <c r="G969" s="369">
        <v>24.0</v>
      </c>
      <c r="H969" s="337">
        <v>4.0</v>
      </c>
      <c r="I969" s="337">
        <v>20.0</v>
      </c>
      <c r="J969" s="337" t="s">
        <v>1257</v>
      </c>
      <c r="K969" s="337" t="s">
        <v>1257</v>
      </c>
      <c r="L969" s="337">
        <v>1.0</v>
      </c>
      <c r="M969" s="144" t="s">
        <v>6933</v>
      </c>
      <c r="N969" s="337" t="s">
        <v>1156</v>
      </c>
      <c r="O969" s="337" t="s">
        <v>1257</v>
      </c>
      <c r="P969" s="337" t="s">
        <v>29</v>
      </c>
      <c r="Q969" s="337" t="s">
        <v>1257</v>
      </c>
    </row>
    <row r="970" ht="14.25" customHeight="1">
      <c r="A970" s="224">
        <v>41.0</v>
      </c>
      <c r="B970" s="395" t="s">
        <v>7000</v>
      </c>
      <c r="C970" s="395" t="s">
        <v>6992</v>
      </c>
      <c r="D970" s="337" t="s">
        <v>25</v>
      </c>
      <c r="E970" s="337" t="s">
        <v>57</v>
      </c>
      <c r="F970" s="335"/>
      <c r="G970" s="369">
        <v>30.0</v>
      </c>
      <c r="H970" s="337">
        <v>5.0</v>
      </c>
      <c r="I970" s="337">
        <v>20.0</v>
      </c>
      <c r="J970" s="337" t="s">
        <v>1257</v>
      </c>
      <c r="K970" s="337" t="s">
        <v>1257</v>
      </c>
      <c r="L970" s="337">
        <v>1.0</v>
      </c>
      <c r="M970" s="144" t="s">
        <v>6933</v>
      </c>
      <c r="N970" s="337" t="s">
        <v>1156</v>
      </c>
      <c r="O970" s="337" t="s">
        <v>1257</v>
      </c>
      <c r="P970" s="337" t="s">
        <v>29</v>
      </c>
      <c r="Q970" s="337" t="s">
        <v>1257</v>
      </c>
    </row>
    <row r="971" ht="14.25" customHeight="1">
      <c r="A971" s="224">
        <v>42.0</v>
      </c>
      <c r="B971" s="395" t="s">
        <v>7001</v>
      </c>
      <c r="C971" s="395" t="s">
        <v>6992</v>
      </c>
      <c r="D971" s="337" t="s">
        <v>25</v>
      </c>
      <c r="E971" s="337" t="s">
        <v>57</v>
      </c>
      <c r="F971" s="335"/>
      <c r="G971" s="369">
        <v>50.0</v>
      </c>
      <c r="H971" s="337">
        <v>8.0</v>
      </c>
      <c r="I971" s="337">
        <v>32.0</v>
      </c>
      <c r="J971" s="337">
        <v>1.0</v>
      </c>
      <c r="K971" s="337">
        <v>1.0</v>
      </c>
      <c r="L971" s="337" t="s">
        <v>1257</v>
      </c>
      <c r="M971" s="144" t="s">
        <v>6933</v>
      </c>
      <c r="N971" s="337" t="s">
        <v>1156</v>
      </c>
      <c r="O971" s="337" t="s">
        <v>1257</v>
      </c>
      <c r="P971" s="337" t="s">
        <v>29</v>
      </c>
      <c r="Q971" s="337" t="s">
        <v>1257</v>
      </c>
    </row>
    <row r="972" ht="14.25" customHeight="1">
      <c r="A972" s="224">
        <v>43.0</v>
      </c>
      <c r="B972" s="291" t="s">
        <v>7002</v>
      </c>
      <c r="C972" s="291" t="s">
        <v>6995</v>
      </c>
      <c r="D972" s="216" t="s">
        <v>25</v>
      </c>
      <c r="E972" s="216" t="s">
        <v>1303</v>
      </c>
      <c r="F972" s="335"/>
      <c r="G972" s="369">
        <v>126.0</v>
      </c>
      <c r="H972" s="337">
        <v>25.0</v>
      </c>
      <c r="I972" s="337">
        <v>120.0</v>
      </c>
      <c r="J972" s="337" t="s">
        <v>1257</v>
      </c>
      <c r="K972" s="337" t="s">
        <v>1257</v>
      </c>
      <c r="L972" s="337" t="s">
        <v>1257</v>
      </c>
      <c r="M972" s="144" t="s">
        <v>6933</v>
      </c>
      <c r="N972" s="337" t="s">
        <v>1156</v>
      </c>
      <c r="O972" s="216" t="s">
        <v>39</v>
      </c>
      <c r="P972" s="216" t="s">
        <v>29</v>
      </c>
      <c r="Q972" s="216" t="s">
        <v>39</v>
      </c>
    </row>
    <row r="973" ht="15.75" customHeight="1">
      <c r="A973" s="154"/>
      <c r="B973" s="154"/>
      <c r="C973" s="154"/>
      <c r="D973" s="402"/>
      <c r="E973" s="402"/>
      <c r="F973" s="402"/>
      <c r="G973" s="402"/>
      <c r="H973" s="402"/>
      <c r="I973" s="402"/>
      <c r="J973" s="402"/>
      <c r="K973" s="154"/>
      <c r="L973" s="154"/>
      <c r="M973" s="148"/>
      <c r="N973" s="154"/>
      <c r="O973" s="154"/>
      <c r="P973" s="154"/>
      <c r="Q973" s="154"/>
    </row>
    <row r="974" ht="15.75" customHeight="1">
      <c r="A974" s="154"/>
      <c r="B974" s="154"/>
      <c r="C974" s="154"/>
      <c r="D974" s="402"/>
      <c r="E974" s="402"/>
      <c r="F974" s="402"/>
      <c r="G974" s="402"/>
      <c r="H974" s="402"/>
      <c r="I974" s="402"/>
      <c r="J974" s="402"/>
      <c r="K974" s="154"/>
      <c r="L974" s="154"/>
      <c r="M974" s="148"/>
      <c r="N974" s="154"/>
      <c r="O974" s="154"/>
      <c r="P974" s="154"/>
      <c r="Q974" s="154"/>
    </row>
    <row r="975" ht="15.75" customHeight="1">
      <c r="A975" s="154"/>
      <c r="B975" s="154"/>
      <c r="C975" s="154"/>
      <c r="D975" s="402"/>
      <c r="E975" s="402"/>
      <c r="F975" s="402"/>
      <c r="G975" s="402"/>
      <c r="H975" s="402"/>
      <c r="I975" s="402"/>
      <c r="J975" s="402"/>
      <c r="K975" s="154"/>
      <c r="L975" s="154"/>
      <c r="M975" s="148"/>
      <c r="N975" s="154"/>
      <c r="O975" s="154"/>
      <c r="P975" s="154"/>
      <c r="Q975" s="154"/>
    </row>
    <row r="976" ht="15.75" customHeight="1">
      <c r="A976" s="154"/>
      <c r="B976" s="154"/>
      <c r="C976" s="154"/>
      <c r="D976" s="402"/>
      <c r="E976" s="402"/>
      <c r="F976" s="402"/>
      <c r="G976" s="402"/>
      <c r="H976" s="402"/>
      <c r="I976" s="402"/>
      <c r="J976" s="402"/>
      <c r="K976" s="154"/>
      <c r="L976" s="154"/>
      <c r="M976" s="148"/>
      <c r="N976" s="154"/>
      <c r="O976" s="154"/>
      <c r="P976" s="154"/>
      <c r="Q976" s="154"/>
    </row>
    <row r="977" ht="15.75" customHeight="1">
      <c r="A977" s="154"/>
      <c r="B977" s="154"/>
      <c r="C977" s="154"/>
      <c r="D977" s="402"/>
      <c r="E977" s="402"/>
      <c r="F977" s="402"/>
      <c r="G977" s="402"/>
      <c r="H977" s="402"/>
      <c r="I977" s="402"/>
      <c r="J977" s="402"/>
      <c r="K977" s="154"/>
      <c r="L977" s="154"/>
      <c r="M977" s="148"/>
      <c r="N977" s="154"/>
      <c r="O977" s="154"/>
      <c r="P977" s="154"/>
      <c r="Q977" s="154"/>
    </row>
    <row r="978" ht="15.75" customHeight="1">
      <c r="A978" s="154"/>
      <c r="B978" s="154"/>
      <c r="C978" s="154"/>
      <c r="D978" s="402"/>
      <c r="E978" s="402"/>
      <c r="F978" s="402"/>
      <c r="G978" s="402"/>
      <c r="H978" s="402"/>
      <c r="I978" s="402"/>
      <c r="J978" s="402"/>
      <c r="K978" s="154"/>
      <c r="L978" s="154"/>
      <c r="M978" s="148"/>
      <c r="N978" s="154"/>
      <c r="O978" s="154"/>
      <c r="P978" s="154"/>
      <c r="Q978" s="154"/>
    </row>
    <row r="979" ht="15.75" customHeight="1">
      <c r="A979" s="154"/>
      <c r="B979" s="154"/>
      <c r="C979" s="154"/>
      <c r="D979" s="402"/>
      <c r="E979" s="402"/>
      <c r="F979" s="402"/>
      <c r="G979" s="402"/>
      <c r="H979" s="402"/>
      <c r="I979" s="402"/>
      <c r="J979" s="402"/>
      <c r="K979" s="154"/>
      <c r="L979" s="154"/>
      <c r="M979" s="148"/>
      <c r="N979" s="154"/>
      <c r="O979" s="154"/>
      <c r="P979" s="154"/>
      <c r="Q979" s="154"/>
    </row>
    <row r="980" ht="15.75" customHeight="1">
      <c r="A980" s="154"/>
      <c r="B980" s="154"/>
      <c r="C980" s="154"/>
      <c r="D980" s="402"/>
      <c r="E980" s="402"/>
      <c r="F980" s="402"/>
      <c r="G980" s="402"/>
      <c r="H980" s="402"/>
      <c r="I980" s="402"/>
      <c r="J980" s="402"/>
      <c r="K980" s="154"/>
      <c r="L980" s="154"/>
      <c r="M980" s="148"/>
      <c r="N980" s="154"/>
      <c r="O980" s="154"/>
      <c r="P980" s="154"/>
      <c r="Q980" s="154"/>
    </row>
    <row r="981" ht="15.75" customHeight="1">
      <c r="A981" s="154"/>
      <c r="B981" s="154"/>
      <c r="C981" s="154"/>
      <c r="D981" s="402"/>
      <c r="E981" s="402"/>
      <c r="F981" s="402"/>
      <c r="G981" s="402"/>
      <c r="H981" s="402"/>
      <c r="I981" s="402"/>
      <c r="J981" s="402"/>
      <c r="K981" s="154"/>
      <c r="L981" s="154"/>
      <c r="M981" s="148"/>
      <c r="N981" s="154"/>
      <c r="O981" s="154"/>
      <c r="P981" s="154"/>
      <c r="Q981" s="154"/>
    </row>
    <row r="982" ht="15.75" customHeight="1">
      <c r="A982" s="154"/>
      <c r="B982" s="154"/>
      <c r="C982" s="154"/>
      <c r="D982" s="402"/>
      <c r="E982" s="402"/>
      <c r="F982" s="402"/>
      <c r="G982" s="402"/>
      <c r="H982" s="402"/>
      <c r="I982" s="402"/>
      <c r="J982" s="402"/>
      <c r="K982" s="154"/>
      <c r="L982" s="154"/>
      <c r="M982" s="148"/>
      <c r="N982" s="154"/>
      <c r="O982" s="154"/>
      <c r="P982" s="154"/>
      <c r="Q982" s="154"/>
    </row>
    <row r="983" ht="15.75" customHeight="1">
      <c r="A983" s="154"/>
      <c r="B983" s="154"/>
      <c r="C983" s="154"/>
      <c r="D983" s="402"/>
      <c r="E983" s="402"/>
      <c r="F983" s="402"/>
      <c r="G983" s="402"/>
      <c r="H983" s="402"/>
      <c r="I983" s="402"/>
      <c r="J983" s="402"/>
      <c r="K983" s="154"/>
      <c r="L983" s="154"/>
      <c r="M983" s="148"/>
      <c r="N983" s="154"/>
      <c r="O983" s="154"/>
      <c r="P983" s="154"/>
      <c r="Q983" s="154"/>
    </row>
    <row r="984" ht="15.75" customHeight="1">
      <c r="A984" s="154"/>
      <c r="B984" s="154"/>
      <c r="C984" s="154"/>
      <c r="D984" s="402"/>
      <c r="E984" s="402"/>
      <c r="F984" s="402"/>
      <c r="G984" s="402"/>
      <c r="H984" s="402"/>
      <c r="I984" s="402"/>
      <c r="J984" s="402"/>
      <c r="K984" s="154"/>
      <c r="L984" s="154"/>
      <c r="M984" s="148"/>
      <c r="N984" s="154"/>
      <c r="O984" s="154"/>
      <c r="P984" s="154"/>
      <c r="Q984" s="154"/>
    </row>
    <row r="985" ht="15.75" customHeight="1">
      <c r="A985" s="154"/>
      <c r="B985" s="154"/>
      <c r="C985" s="154"/>
      <c r="D985" s="402"/>
      <c r="E985" s="402"/>
      <c r="F985" s="402"/>
      <c r="G985" s="402"/>
      <c r="H985" s="402"/>
      <c r="I985" s="402"/>
      <c r="J985" s="402"/>
      <c r="K985" s="154"/>
      <c r="L985" s="154"/>
      <c r="M985" s="148"/>
      <c r="N985" s="154"/>
      <c r="O985" s="154"/>
      <c r="P985" s="154"/>
      <c r="Q985" s="154"/>
    </row>
    <row r="986" ht="15.75" customHeight="1">
      <c r="A986" s="154"/>
      <c r="B986" s="154"/>
      <c r="C986" s="154"/>
      <c r="D986" s="402"/>
      <c r="E986" s="402"/>
      <c r="F986" s="402"/>
      <c r="G986" s="402"/>
      <c r="H986" s="402"/>
      <c r="I986" s="402"/>
      <c r="J986" s="402"/>
      <c r="K986" s="154"/>
      <c r="L986" s="154"/>
      <c r="M986" s="148"/>
      <c r="N986" s="154"/>
      <c r="O986" s="154"/>
      <c r="P986" s="154"/>
      <c r="Q986" s="154"/>
    </row>
    <row r="987" ht="15.75" customHeight="1">
      <c r="A987" s="154"/>
      <c r="B987" s="154"/>
      <c r="C987" s="154"/>
      <c r="D987" s="402"/>
      <c r="E987" s="402"/>
      <c r="F987" s="402"/>
      <c r="G987" s="402"/>
      <c r="H987" s="402"/>
      <c r="I987" s="402"/>
      <c r="J987" s="402"/>
      <c r="K987" s="154"/>
      <c r="L987" s="154"/>
      <c r="M987" s="148"/>
      <c r="N987" s="154"/>
      <c r="O987" s="154"/>
      <c r="P987" s="154"/>
      <c r="Q987" s="154"/>
    </row>
    <row r="988" ht="15.75" customHeight="1">
      <c r="A988" s="154"/>
      <c r="B988" s="154"/>
      <c r="C988" s="154"/>
      <c r="D988" s="402"/>
      <c r="E988" s="402"/>
      <c r="F988" s="402"/>
      <c r="G988" s="402"/>
      <c r="H988" s="402"/>
      <c r="I988" s="402"/>
      <c r="J988" s="402"/>
      <c r="K988" s="154"/>
      <c r="L988" s="154"/>
      <c r="M988" s="148"/>
      <c r="N988" s="154"/>
      <c r="O988" s="154"/>
      <c r="P988" s="154"/>
      <c r="Q988" s="154"/>
    </row>
    <row r="989" ht="15.75" customHeight="1">
      <c r="A989" s="154"/>
      <c r="B989" s="154"/>
      <c r="C989" s="154"/>
      <c r="D989" s="402"/>
      <c r="E989" s="402"/>
      <c r="F989" s="402"/>
      <c r="G989" s="402"/>
      <c r="H989" s="402"/>
      <c r="I989" s="402"/>
      <c r="J989" s="402"/>
      <c r="K989" s="154"/>
      <c r="L989" s="154"/>
      <c r="M989" s="148"/>
      <c r="N989" s="154"/>
      <c r="O989" s="154"/>
      <c r="P989" s="154"/>
      <c r="Q989" s="154"/>
    </row>
    <row r="990" ht="15.75" customHeight="1">
      <c r="A990" s="154"/>
      <c r="B990" s="154"/>
      <c r="C990" s="154"/>
      <c r="D990" s="402"/>
      <c r="E990" s="402"/>
      <c r="F990" s="402"/>
      <c r="G990" s="402"/>
      <c r="H990" s="402"/>
      <c r="I990" s="402"/>
      <c r="J990" s="402"/>
      <c r="K990" s="154"/>
      <c r="L990" s="154"/>
      <c r="M990" s="148"/>
      <c r="N990" s="154"/>
      <c r="O990" s="154"/>
      <c r="P990" s="154"/>
      <c r="Q990" s="154"/>
    </row>
    <row r="991" ht="15.75" customHeight="1">
      <c r="A991" s="154"/>
      <c r="B991" s="154"/>
      <c r="C991" s="154"/>
      <c r="D991" s="402"/>
      <c r="E991" s="402"/>
      <c r="F991" s="402"/>
      <c r="G991" s="402"/>
      <c r="H991" s="402"/>
      <c r="I991" s="402"/>
      <c r="J991" s="402"/>
      <c r="K991" s="154"/>
      <c r="L991" s="154"/>
      <c r="M991" s="148"/>
      <c r="N991" s="154"/>
      <c r="O991" s="154"/>
      <c r="P991" s="154"/>
      <c r="Q991" s="154"/>
    </row>
    <row r="992" ht="15.75" customHeight="1">
      <c r="A992" s="154"/>
      <c r="B992" s="154"/>
      <c r="C992" s="154"/>
      <c r="D992" s="402"/>
      <c r="E992" s="402"/>
      <c r="F992" s="402"/>
      <c r="G992" s="402"/>
      <c r="H992" s="402"/>
      <c r="I992" s="402"/>
      <c r="J992" s="402"/>
      <c r="K992" s="154"/>
      <c r="L992" s="154"/>
      <c r="M992" s="148"/>
      <c r="N992" s="154"/>
      <c r="O992" s="154"/>
      <c r="P992" s="154"/>
      <c r="Q992" s="154"/>
    </row>
    <row r="993" ht="15.75" customHeight="1">
      <c r="A993" s="154"/>
      <c r="B993" s="154"/>
      <c r="C993" s="154"/>
      <c r="D993" s="402"/>
      <c r="E993" s="402"/>
      <c r="F993" s="402"/>
      <c r="G993" s="402"/>
      <c r="H993" s="402"/>
      <c r="I993" s="402"/>
      <c r="J993" s="402"/>
      <c r="K993" s="154"/>
      <c r="L993" s="154"/>
      <c r="M993" s="148"/>
      <c r="N993" s="154"/>
      <c r="O993" s="154"/>
      <c r="P993" s="154"/>
      <c r="Q993" s="154"/>
    </row>
    <row r="994" ht="15.75" customHeight="1">
      <c r="A994" s="154"/>
      <c r="B994" s="154"/>
      <c r="C994" s="154"/>
      <c r="D994" s="402"/>
      <c r="E994" s="402"/>
      <c r="F994" s="402"/>
      <c r="G994" s="402"/>
      <c r="H994" s="402"/>
      <c r="I994" s="402"/>
      <c r="J994" s="402"/>
      <c r="K994" s="154"/>
      <c r="L994" s="154"/>
      <c r="M994" s="148"/>
      <c r="N994" s="154"/>
      <c r="O994" s="154"/>
      <c r="P994" s="154"/>
      <c r="Q994" s="154"/>
    </row>
    <row r="995" ht="15.75" customHeight="1">
      <c r="A995" s="154"/>
      <c r="B995" s="154"/>
      <c r="C995" s="154"/>
      <c r="D995" s="402"/>
      <c r="E995" s="402"/>
      <c r="F995" s="402"/>
      <c r="G995" s="402"/>
      <c r="H995" s="402"/>
      <c r="I995" s="402"/>
      <c r="J995" s="402"/>
      <c r="K995" s="154"/>
      <c r="L995" s="154"/>
      <c r="M995" s="148"/>
      <c r="N995" s="154"/>
      <c r="O995" s="154"/>
      <c r="P995" s="154"/>
      <c r="Q995" s="154"/>
    </row>
    <row r="996" ht="15.75" customHeight="1">
      <c r="A996" s="154"/>
      <c r="B996" s="154"/>
      <c r="C996" s="154"/>
      <c r="D996" s="402"/>
      <c r="E996" s="402"/>
      <c r="F996" s="402"/>
      <c r="G996" s="402"/>
      <c r="H996" s="402"/>
      <c r="I996" s="402"/>
      <c r="J996" s="402"/>
      <c r="K996" s="154"/>
      <c r="L996" s="154"/>
      <c r="M996" s="148"/>
      <c r="N996" s="154"/>
      <c r="O996" s="154"/>
      <c r="P996" s="154"/>
      <c r="Q996" s="154"/>
    </row>
    <row r="997" ht="15.75" customHeight="1">
      <c r="A997" s="154"/>
      <c r="B997" s="154"/>
      <c r="C997" s="154"/>
      <c r="D997" s="402"/>
      <c r="E997" s="402"/>
      <c r="F997" s="402"/>
      <c r="G997" s="402"/>
      <c r="H997" s="402"/>
      <c r="I997" s="402"/>
      <c r="J997" s="402"/>
      <c r="K997" s="154"/>
      <c r="L997" s="154"/>
      <c r="M997" s="148"/>
      <c r="N997" s="154"/>
      <c r="O997" s="154"/>
      <c r="P997" s="154"/>
      <c r="Q997" s="154"/>
    </row>
    <row r="998" ht="15.75" customHeight="1">
      <c r="A998" s="154"/>
      <c r="B998" s="154"/>
      <c r="C998" s="154"/>
      <c r="D998" s="402"/>
      <c r="E998" s="402"/>
      <c r="F998" s="402"/>
      <c r="G998" s="402"/>
      <c r="H998" s="402"/>
      <c r="I998" s="402"/>
      <c r="J998" s="402"/>
      <c r="K998" s="154"/>
      <c r="L998" s="154"/>
      <c r="M998" s="148"/>
      <c r="N998" s="154"/>
      <c r="O998" s="154"/>
      <c r="P998" s="154"/>
      <c r="Q998" s="154"/>
    </row>
    <row r="999" ht="15.75" customHeight="1">
      <c r="A999" s="154"/>
      <c r="B999" s="154"/>
      <c r="C999" s="154"/>
      <c r="D999" s="402"/>
      <c r="E999" s="402"/>
      <c r="F999" s="402"/>
      <c r="G999" s="402"/>
      <c r="H999" s="402"/>
      <c r="I999" s="402"/>
      <c r="J999" s="402"/>
      <c r="K999" s="154"/>
      <c r="L999" s="154"/>
      <c r="M999" s="148"/>
      <c r="N999" s="154"/>
      <c r="O999" s="154"/>
      <c r="P999" s="154"/>
      <c r="Q999" s="154"/>
    </row>
    <row r="1000" ht="15.75" customHeight="1">
      <c r="A1000" s="154"/>
      <c r="B1000" s="154"/>
      <c r="C1000" s="154"/>
      <c r="D1000" s="402"/>
      <c r="E1000" s="402"/>
      <c r="F1000" s="402"/>
      <c r="G1000" s="402"/>
      <c r="H1000" s="402"/>
      <c r="I1000" s="402"/>
      <c r="J1000" s="402"/>
      <c r="K1000" s="154"/>
      <c r="L1000" s="154"/>
      <c r="M1000" s="148"/>
      <c r="N1000" s="154"/>
      <c r="O1000" s="154"/>
      <c r="P1000" s="154"/>
      <c r="Q1000" s="154"/>
    </row>
    <row r="1001" ht="15.75" customHeight="1">
      <c r="A1001" s="154"/>
      <c r="B1001" s="154"/>
      <c r="C1001" s="154"/>
      <c r="D1001" s="402"/>
      <c r="E1001" s="402"/>
      <c r="F1001" s="402"/>
      <c r="G1001" s="402"/>
      <c r="H1001" s="402"/>
      <c r="I1001" s="402"/>
      <c r="J1001" s="402"/>
      <c r="K1001" s="154"/>
      <c r="L1001" s="154"/>
      <c r="M1001" s="148"/>
      <c r="N1001" s="154"/>
      <c r="O1001" s="154"/>
      <c r="P1001" s="154"/>
      <c r="Q1001" s="154"/>
    </row>
    <row r="1002" ht="15.75" customHeight="1">
      <c r="A1002" s="154"/>
      <c r="B1002" s="154"/>
      <c r="C1002" s="154"/>
      <c r="D1002" s="402"/>
      <c r="E1002" s="402"/>
      <c r="F1002" s="402"/>
      <c r="G1002" s="402"/>
      <c r="H1002" s="402"/>
      <c r="I1002" s="402"/>
      <c r="J1002" s="402"/>
      <c r="K1002" s="154"/>
      <c r="L1002" s="154"/>
      <c r="M1002" s="148"/>
      <c r="N1002" s="154"/>
      <c r="O1002" s="154"/>
      <c r="P1002" s="154"/>
      <c r="Q1002" s="154"/>
    </row>
    <row r="1003" ht="15.75" customHeight="1">
      <c r="A1003" s="154"/>
      <c r="B1003" s="154"/>
      <c r="C1003" s="154"/>
      <c r="D1003" s="402"/>
      <c r="E1003" s="402"/>
      <c r="F1003" s="402"/>
      <c r="G1003" s="402"/>
      <c r="H1003" s="402"/>
      <c r="I1003" s="402"/>
      <c r="J1003" s="402"/>
      <c r="K1003" s="154"/>
      <c r="L1003" s="154"/>
      <c r="M1003" s="148"/>
      <c r="N1003" s="154"/>
      <c r="O1003" s="154"/>
      <c r="P1003" s="154"/>
      <c r="Q1003" s="154"/>
    </row>
    <row r="1004" ht="15.75" customHeight="1">
      <c r="A1004" s="154"/>
      <c r="B1004" s="154"/>
      <c r="C1004" s="154"/>
      <c r="D1004" s="402"/>
      <c r="E1004" s="402"/>
      <c r="F1004" s="402"/>
      <c r="G1004" s="402"/>
      <c r="H1004" s="402"/>
      <c r="I1004" s="402"/>
      <c r="J1004" s="402"/>
      <c r="K1004" s="154"/>
      <c r="L1004" s="154"/>
      <c r="M1004" s="148"/>
      <c r="N1004" s="154"/>
      <c r="O1004" s="154"/>
      <c r="P1004" s="154"/>
      <c r="Q1004" s="154"/>
    </row>
    <row r="1005" ht="15.75" customHeight="1">
      <c r="A1005" s="154"/>
      <c r="B1005" s="154"/>
      <c r="C1005" s="154"/>
      <c r="D1005" s="402"/>
      <c r="E1005" s="402"/>
      <c r="F1005" s="402"/>
      <c r="G1005" s="402"/>
      <c r="H1005" s="402"/>
      <c r="I1005" s="402"/>
      <c r="J1005" s="402"/>
      <c r="K1005" s="154"/>
      <c r="L1005" s="154"/>
      <c r="M1005" s="148"/>
      <c r="N1005" s="154"/>
      <c r="O1005" s="154"/>
      <c r="P1005" s="154"/>
      <c r="Q1005" s="154"/>
    </row>
    <row r="1006" ht="15.75" customHeight="1">
      <c r="A1006" s="154"/>
      <c r="B1006" s="154"/>
      <c r="C1006" s="154"/>
      <c r="D1006" s="402"/>
      <c r="E1006" s="402"/>
      <c r="F1006" s="402"/>
      <c r="G1006" s="402"/>
      <c r="H1006" s="402"/>
      <c r="I1006" s="402"/>
      <c r="J1006" s="402"/>
      <c r="K1006" s="154"/>
      <c r="L1006" s="154"/>
      <c r="M1006" s="148"/>
      <c r="N1006" s="154"/>
      <c r="O1006" s="154"/>
      <c r="P1006" s="154"/>
      <c r="Q1006" s="154"/>
    </row>
    <row r="1007" ht="15.75" customHeight="1">
      <c r="A1007" s="154"/>
      <c r="B1007" s="154"/>
      <c r="C1007" s="154"/>
      <c r="D1007" s="402"/>
      <c r="E1007" s="402"/>
      <c r="F1007" s="402"/>
      <c r="G1007" s="402"/>
      <c r="H1007" s="402"/>
      <c r="I1007" s="402"/>
      <c r="J1007" s="402"/>
      <c r="K1007" s="154"/>
      <c r="L1007" s="154"/>
      <c r="M1007" s="148"/>
      <c r="N1007" s="154"/>
      <c r="O1007" s="154"/>
      <c r="P1007" s="154"/>
      <c r="Q1007" s="154"/>
    </row>
    <row r="1008" ht="15.75" customHeight="1">
      <c r="A1008" s="154"/>
      <c r="B1008" s="154"/>
      <c r="C1008" s="154"/>
      <c r="D1008" s="402"/>
      <c r="E1008" s="402"/>
      <c r="F1008" s="402"/>
      <c r="G1008" s="402"/>
      <c r="H1008" s="402"/>
      <c r="I1008" s="402"/>
      <c r="J1008" s="402"/>
      <c r="K1008" s="154"/>
      <c r="L1008" s="154"/>
      <c r="M1008" s="148"/>
      <c r="N1008" s="154"/>
      <c r="O1008" s="154"/>
      <c r="P1008" s="154"/>
      <c r="Q1008" s="154"/>
    </row>
    <row r="1009" ht="15.75" customHeight="1">
      <c r="A1009" s="154"/>
      <c r="B1009" s="154"/>
      <c r="C1009" s="154"/>
      <c r="D1009" s="402"/>
      <c r="E1009" s="402"/>
      <c r="F1009" s="402"/>
      <c r="G1009" s="402"/>
      <c r="H1009" s="402"/>
      <c r="I1009" s="402"/>
      <c r="J1009" s="402"/>
      <c r="K1009" s="154"/>
      <c r="L1009" s="154"/>
      <c r="M1009" s="148"/>
      <c r="N1009" s="154"/>
      <c r="O1009" s="154"/>
      <c r="P1009" s="154"/>
      <c r="Q1009" s="154"/>
    </row>
    <row r="1010" ht="15.75" customHeight="1">
      <c r="A1010" s="154"/>
      <c r="B1010" s="154"/>
      <c r="C1010" s="154"/>
      <c r="D1010" s="402"/>
      <c r="E1010" s="402"/>
      <c r="F1010" s="402"/>
      <c r="G1010" s="402"/>
      <c r="H1010" s="402"/>
      <c r="I1010" s="402"/>
      <c r="J1010" s="402"/>
      <c r="K1010" s="154"/>
      <c r="L1010" s="154"/>
      <c r="M1010" s="148"/>
      <c r="N1010" s="154"/>
      <c r="O1010" s="154"/>
      <c r="P1010" s="154"/>
      <c r="Q1010" s="154"/>
    </row>
    <row r="1011" ht="15.75" customHeight="1">
      <c r="A1011" s="154"/>
      <c r="B1011" s="154"/>
      <c r="C1011" s="154"/>
      <c r="D1011" s="402"/>
      <c r="E1011" s="402"/>
      <c r="F1011" s="402"/>
      <c r="G1011" s="402"/>
      <c r="H1011" s="402"/>
      <c r="I1011" s="402"/>
      <c r="J1011" s="402"/>
      <c r="K1011" s="154"/>
      <c r="L1011" s="154"/>
      <c r="M1011" s="148"/>
      <c r="N1011" s="154"/>
      <c r="O1011" s="154"/>
      <c r="P1011" s="154"/>
      <c r="Q1011" s="154"/>
    </row>
    <row r="1012" ht="15.75" customHeight="1">
      <c r="A1012" s="154"/>
      <c r="B1012" s="154"/>
      <c r="C1012" s="154"/>
      <c r="D1012" s="402"/>
      <c r="E1012" s="402"/>
      <c r="F1012" s="402"/>
      <c r="G1012" s="402"/>
      <c r="H1012" s="402"/>
      <c r="I1012" s="402"/>
      <c r="J1012" s="402"/>
      <c r="K1012" s="154"/>
      <c r="L1012" s="154"/>
      <c r="M1012" s="148"/>
      <c r="N1012" s="154"/>
      <c r="O1012" s="154"/>
      <c r="P1012" s="154"/>
      <c r="Q1012" s="154"/>
    </row>
    <row r="1013" ht="15.75" customHeight="1">
      <c r="A1013" s="154"/>
      <c r="B1013" s="154"/>
      <c r="C1013" s="154"/>
      <c r="D1013" s="402"/>
      <c r="E1013" s="402"/>
      <c r="F1013" s="402"/>
      <c r="G1013" s="402"/>
      <c r="H1013" s="402"/>
      <c r="I1013" s="402"/>
      <c r="J1013" s="402"/>
      <c r="K1013" s="154"/>
      <c r="L1013" s="154"/>
      <c r="M1013" s="148"/>
      <c r="N1013" s="154"/>
      <c r="O1013" s="154"/>
      <c r="P1013" s="154"/>
      <c r="Q1013" s="154"/>
    </row>
    <row r="1014" ht="15.75" customHeight="1">
      <c r="A1014" s="154"/>
      <c r="B1014" s="154"/>
      <c r="C1014" s="154"/>
      <c r="D1014" s="402"/>
      <c r="E1014" s="402"/>
      <c r="F1014" s="402"/>
      <c r="G1014" s="402"/>
      <c r="H1014" s="402"/>
      <c r="I1014" s="402"/>
      <c r="J1014" s="402"/>
      <c r="K1014" s="154"/>
      <c r="L1014" s="154"/>
      <c r="M1014" s="148"/>
      <c r="N1014" s="154"/>
      <c r="O1014" s="154"/>
      <c r="P1014" s="154"/>
      <c r="Q1014" s="154"/>
    </row>
    <row r="1015" ht="15.75" customHeight="1">
      <c r="A1015" s="154"/>
      <c r="B1015" s="154"/>
      <c r="C1015" s="154"/>
      <c r="D1015" s="402"/>
      <c r="E1015" s="402"/>
      <c r="F1015" s="402"/>
      <c r="G1015" s="402"/>
      <c r="H1015" s="402"/>
      <c r="I1015" s="402"/>
      <c r="J1015" s="402"/>
      <c r="K1015" s="154"/>
      <c r="L1015" s="154"/>
      <c r="M1015" s="148"/>
      <c r="N1015" s="154"/>
      <c r="O1015" s="154"/>
      <c r="P1015" s="154"/>
      <c r="Q1015" s="154"/>
    </row>
    <row r="1016" ht="15.75" customHeight="1">
      <c r="A1016" s="154"/>
      <c r="B1016" s="154"/>
      <c r="C1016" s="154"/>
      <c r="D1016" s="402"/>
      <c r="E1016" s="402"/>
      <c r="F1016" s="402"/>
      <c r="G1016" s="402"/>
      <c r="H1016" s="402"/>
      <c r="I1016" s="402"/>
      <c r="J1016" s="402"/>
      <c r="K1016" s="154"/>
      <c r="L1016" s="154"/>
      <c r="M1016" s="148"/>
      <c r="N1016" s="154"/>
      <c r="O1016" s="154"/>
      <c r="P1016" s="154"/>
      <c r="Q1016" s="154"/>
    </row>
    <row r="1017" ht="15.75" customHeight="1">
      <c r="A1017" s="154"/>
      <c r="B1017" s="154"/>
      <c r="C1017" s="154"/>
      <c r="D1017" s="402"/>
      <c r="E1017" s="402"/>
      <c r="F1017" s="402"/>
      <c r="G1017" s="402"/>
      <c r="H1017" s="402"/>
      <c r="I1017" s="402"/>
      <c r="J1017" s="402"/>
      <c r="K1017" s="154"/>
      <c r="L1017" s="154"/>
      <c r="M1017" s="148"/>
      <c r="N1017" s="154"/>
      <c r="O1017" s="154"/>
      <c r="P1017" s="154"/>
      <c r="Q1017" s="154"/>
    </row>
    <row r="1018" ht="15.75" customHeight="1">
      <c r="A1018" s="154"/>
      <c r="B1018" s="154"/>
      <c r="C1018" s="154"/>
      <c r="D1018" s="402"/>
      <c r="E1018" s="402"/>
      <c r="F1018" s="402"/>
      <c r="G1018" s="402"/>
      <c r="H1018" s="402"/>
      <c r="I1018" s="402"/>
      <c r="J1018" s="402"/>
      <c r="K1018" s="154"/>
      <c r="L1018" s="154"/>
      <c r="M1018" s="148"/>
      <c r="N1018" s="154"/>
      <c r="O1018" s="154"/>
      <c r="P1018" s="154"/>
      <c r="Q1018" s="154"/>
    </row>
    <row r="1019" ht="15.75" customHeight="1">
      <c r="A1019" s="154"/>
      <c r="B1019" s="154"/>
      <c r="C1019" s="154"/>
      <c r="D1019" s="402"/>
      <c r="E1019" s="402"/>
      <c r="F1019" s="402"/>
      <c r="G1019" s="402"/>
      <c r="H1019" s="402"/>
      <c r="I1019" s="402"/>
      <c r="J1019" s="402"/>
      <c r="K1019" s="154"/>
      <c r="L1019" s="154"/>
      <c r="M1019" s="148"/>
      <c r="N1019" s="154"/>
      <c r="O1019" s="154"/>
      <c r="P1019" s="154"/>
      <c r="Q1019" s="154"/>
    </row>
    <row r="1020" ht="15.75" customHeight="1">
      <c r="A1020" s="154"/>
      <c r="B1020" s="154"/>
      <c r="C1020" s="154"/>
      <c r="D1020" s="402"/>
      <c r="E1020" s="402"/>
      <c r="F1020" s="402"/>
      <c r="G1020" s="402"/>
      <c r="H1020" s="402"/>
      <c r="I1020" s="402"/>
      <c r="J1020" s="402"/>
      <c r="K1020" s="154"/>
      <c r="L1020" s="154"/>
      <c r="M1020" s="148"/>
      <c r="N1020" s="154"/>
      <c r="O1020" s="154"/>
      <c r="P1020" s="154"/>
      <c r="Q1020" s="154"/>
    </row>
    <row r="1021" ht="15.75" customHeight="1">
      <c r="A1021" s="154"/>
      <c r="B1021" s="154"/>
      <c r="C1021" s="154"/>
      <c r="D1021" s="402"/>
      <c r="E1021" s="402"/>
      <c r="F1021" s="402"/>
      <c r="G1021" s="402"/>
      <c r="H1021" s="402"/>
      <c r="I1021" s="402"/>
      <c r="J1021" s="402"/>
      <c r="K1021" s="154"/>
      <c r="L1021" s="154"/>
      <c r="M1021" s="148"/>
      <c r="N1021" s="154"/>
      <c r="O1021" s="154"/>
      <c r="P1021" s="154"/>
      <c r="Q1021" s="154"/>
    </row>
    <row r="1022" ht="15.75" customHeight="1">
      <c r="A1022" s="154"/>
      <c r="B1022" s="154"/>
      <c r="C1022" s="154"/>
      <c r="D1022" s="402"/>
      <c r="E1022" s="402"/>
      <c r="F1022" s="402"/>
      <c r="G1022" s="402"/>
      <c r="H1022" s="402"/>
      <c r="I1022" s="402"/>
      <c r="J1022" s="402"/>
      <c r="K1022" s="154"/>
      <c r="L1022" s="154"/>
      <c r="M1022" s="148"/>
      <c r="N1022" s="154"/>
      <c r="O1022" s="154"/>
      <c r="P1022" s="154"/>
      <c r="Q1022" s="154"/>
    </row>
    <row r="1023" ht="15.75" customHeight="1">
      <c r="A1023" s="154"/>
      <c r="B1023" s="154"/>
      <c r="C1023" s="154"/>
      <c r="D1023" s="402"/>
      <c r="E1023" s="402"/>
      <c r="F1023" s="402"/>
      <c r="G1023" s="402"/>
      <c r="H1023" s="402"/>
      <c r="I1023" s="402"/>
      <c r="J1023" s="402"/>
      <c r="K1023" s="154"/>
      <c r="L1023" s="154"/>
      <c r="M1023" s="148"/>
      <c r="N1023" s="154"/>
      <c r="O1023" s="154"/>
      <c r="P1023" s="154"/>
      <c r="Q1023" s="154"/>
    </row>
    <row r="1024" ht="15.75" customHeight="1">
      <c r="A1024" s="154"/>
      <c r="B1024" s="154"/>
      <c r="C1024" s="154"/>
      <c r="D1024" s="402"/>
      <c r="E1024" s="402"/>
      <c r="F1024" s="402"/>
      <c r="G1024" s="402"/>
      <c r="H1024" s="402"/>
      <c r="I1024" s="402"/>
      <c r="J1024" s="402"/>
      <c r="K1024" s="154"/>
      <c r="L1024" s="154"/>
      <c r="M1024" s="148"/>
      <c r="N1024" s="154"/>
      <c r="O1024" s="154"/>
      <c r="P1024" s="154"/>
      <c r="Q1024" s="154"/>
    </row>
    <row r="1025" ht="15.75" customHeight="1">
      <c r="A1025" s="154"/>
      <c r="B1025" s="154"/>
      <c r="C1025" s="154"/>
      <c r="D1025" s="402"/>
      <c r="E1025" s="402"/>
      <c r="F1025" s="402"/>
      <c r="G1025" s="402"/>
      <c r="H1025" s="402"/>
      <c r="I1025" s="402"/>
      <c r="J1025" s="402"/>
      <c r="K1025" s="154"/>
      <c r="L1025" s="154"/>
      <c r="M1025" s="148"/>
      <c r="N1025" s="154"/>
      <c r="O1025" s="154"/>
      <c r="P1025" s="154"/>
      <c r="Q1025" s="154"/>
    </row>
    <row r="1026" ht="15.75" customHeight="1">
      <c r="A1026" s="154"/>
      <c r="B1026" s="154"/>
      <c r="C1026" s="154"/>
      <c r="D1026" s="402"/>
      <c r="E1026" s="402"/>
      <c r="F1026" s="402"/>
      <c r="G1026" s="402"/>
      <c r="H1026" s="402"/>
      <c r="I1026" s="402"/>
      <c r="J1026" s="402"/>
      <c r="K1026" s="154"/>
      <c r="L1026" s="154"/>
      <c r="M1026" s="148"/>
      <c r="N1026" s="154"/>
      <c r="O1026" s="154"/>
      <c r="P1026" s="154"/>
      <c r="Q1026" s="154"/>
    </row>
    <row r="1027" ht="15.75" customHeight="1">
      <c r="A1027" s="154"/>
      <c r="B1027" s="154"/>
      <c r="C1027" s="154"/>
      <c r="D1027" s="402"/>
      <c r="E1027" s="402"/>
      <c r="F1027" s="402"/>
      <c r="G1027" s="402"/>
      <c r="H1027" s="402"/>
      <c r="I1027" s="402"/>
      <c r="J1027" s="402"/>
      <c r="K1027" s="154"/>
      <c r="L1027" s="154"/>
      <c r="M1027" s="148"/>
      <c r="N1027" s="154"/>
      <c r="O1027" s="154"/>
      <c r="P1027" s="154"/>
      <c r="Q1027" s="154"/>
    </row>
    <row r="1028" ht="15.75" customHeight="1">
      <c r="A1028" s="154"/>
      <c r="B1028" s="154"/>
      <c r="C1028" s="154"/>
      <c r="D1028" s="402"/>
      <c r="E1028" s="402"/>
      <c r="F1028" s="402"/>
      <c r="G1028" s="402"/>
      <c r="H1028" s="402"/>
      <c r="I1028" s="402"/>
      <c r="J1028" s="402"/>
      <c r="K1028" s="154"/>
      <c r="L1028" s="154"/>
      <c r="M1028" s="148"/>
      <c r="N1028" s="154"/>
      <c r="O1028" s="154"/>
      <c r="P1028" s="154"/>
      <c r="Q1028" s="154"/>
    </row>
    <row r="1029" ht="15.75" customHeight="1">
      <c r="A1029" s="154"/>
      <c r="B1029" s="154"/>
      <c r="C1029" s="154"/>
      <c r="D1029" s="402"/>
      <c r="E1029" s="402"/>
      <c r="F1029" s="402"/>
      <c r="G1029" s="402"/>
      <c r="H1029" s="402"/>
      <c r="I1029" s="402"/>
      <c r="J1029" s="402"/>
      <c r="K1029" s="154"/>
      <c r="L1029" s="154"/>
      <c r="M1029" s="148"/>
      <c r="N1029" s="154"/>
      <c r="O1029" s="154"/>
      <c r="P1029" s="154"/>
      <c r="Q1029" s="154"/>
    </row>
    <row r="1030" ht="15.75" customHeight="1">
      <c r="A1030" s="154"/>
      <c r="B1030" s="154"/>
      <c r="C1030" s="154"/>
      <c r="D1030" s="402"/>
      <c r="E1030" s="402"/>
      <c r="F1030" s="402"/>
      <c r="G1030" s="402"/>
      <c r="H1030" s="402"/>
      <c r="I1030" s="402"/>
      <c r="J1030" s="402"/>
      <c r="K1030" s="154"/>
      <c r="L1030" s="154"/>
      <c r="M1030" s="148"/>
      <c r="N1030" s="154"/>
      <c r="O1030" s="154"/>
      <c r="P1030" s="154"/>
      <c r="Q1030" s="154"/>
    </row>
    <row r="1031" ht="15.75" customHeight="1">
      <c r="A1031" s="154"/>
      <c r="B1031" s="154"/>
      <c r="C1031" s="154"/>
      <c r="D1031" s="402"/>
      <c r="E1031" s="402"/>
      <c r="F1031" s="402"/>
      <c r="G1031" s="402"/>
      <c r="H1031" s="402"/>
      <c r="I1031" s="402"/>
      <c r="J1031" s="402"/>
      <c r="K1031" s="154"/>
      <c r="L1031" s="154"/>
      <c r="M1031" s="148"/>
      <c r="N1031" s="154"/>
      <c r="O1031" s="154"/>
      <c r="P1031" s="154"/>
      <c r="Q1031" s="154"/>
    </row>
    <row r="1032" ht="15.75" customHeight="1">
      <c r="A1032" s="154"/>
      <c r="B1032" s="154"/>
      <c r="C1032" s="154"/>
      <c r="D1032" s="402"/>
      <c r="E1032" s="402"/>
      <c r="F1032" s="402"/>
      <c r="G1032" s="402"/>
      <c r="H1032" s="402"/>
      <c r="I1032" s="402"/>
      <c r="J1032" s="402"/>
      <c r="K1032" s="154"/>
      <c r="L1032" s="154"/>
      <c r="M1032" s="148"/>
      <c r="N1032" s="154"/>
      <c r="O1032" s="154"/>
      <c r="P1032" s="154"/>
      <c r="Q1032" s="154"/>
    </row>
    <row r="1033" ht="15.75" customHeight="1">
      <c r="A1033" s="154"/>
      <c r="B1033" s="154"/>
      <c r="C1033" s="154"/>
      <c r="D1033" s="402"/>
      <c r="E1033" s="402"/>
      <c r="F1033" s="402"/>
      <c r="G1033" s="402"/>
      <c r="H1033" s="402"/>
      <c r="I1033" s="402"/>
      <c r="J1033" s="402"/>
      <c r="K1033" s="154"/>
      <c r="L1033" s="154"/>
      <c r="M1033" s="148"/>
      <c r="N1033" s="154"/>
      <c r="O1033" s="154"/>
      <c r="P1033" s="154"/>
      <c r="Q1033" s="154"/>
    </row>
    <row r="1034" ht="15.75" customHeight="1">
      <c r="A1034" s="154"/>
      <c r="B1034" s="154"/>
      <c r="C1034" s="154"/>
      <c r="D1034" s="402"/>
      <c r="E1034" s="402"/>
      <c r="F1034" s="402"/>
      <c r="G1034" s="402"/>
      <c r="H1034" s="402"/>
      <c r="I1034" s="402"/>
      <c r="J1034" s="402"/>
      <c r="K1034" s="154"/>
      <c r="L1034" s="154"/>
      <c r="M1034" s="148"/>
      <c r="N1034" s="154"/>
      <c r="O1034" s="154"/>
      <c r="P1034" s="154"/>
      <c r="Q1034" s="154"/>
    </row>
    <row r="1035" ht="15.75" customHeight="1">
      <c r="A1035" s="154"/>
      <c r="B1035" s="154"/>
      <c r="C1035" s="154"/>
      <c r="D1035" s="402"/>
      <c r="E1035" s="402"/>
      <c r="F1035" s="402"/>
      <c r="G1035" s="402"/>
      <c r="H1035" s="402"/>
      <c r="I1035" s="402"/>
      <c r="J1035" s="402"/>
      <c r="K1035" s="154"/>
      <c r="L1035" s="154"/>
      <c r="M1035" s="148"/>
      <c r="N1035" s="154"/>
      <c r="O1035" s="154"/>
      <c r="P1035" s="154"/>
      <c r="Q1035" s="154"/>
    </row>
    <row r="1036" ht="15.75" customHeight="1">
      <c r="A1036" s="154"/>
      <c r="B1036" s="154"/>
      <c r="C1036" s="154"/>
      <c r="D1036" s="402"/>
      <c r="E1036" s="402"/>
      <c r="F1036" s="402"/>
      <c r="G1036" s="402"/>
      <c r="H1036" s="402"/>
      <c r="I1036" s="402"/>
      <c r="J1036" s="402"/>
      <c r="K1036" s="154"/>
      <c r="L1036" s="154"/>
      <c r="M1036" s="148"/>
      <c r="N1036" s="154"/>
      <c r="O1036" s="154"/>
      <c r="P1036" s="154"/>
      <c r="Q1036" s="154"/>
    </row>
    <row r="1037" ht="15.75" customHeight="1">
      <c r="A1037" s="154"/>
      <c r="B1037" s="154"/>
      <c r="C1037" s="154"/>
      <c r="D1037" s="402"/>
      <c r="E1037" s="402"/>
      <c r="F1037" s="402"/>
      <c r="G1037" s="402"/>
      <c r="H1037" s="402"/>
      <c r="I1037" s="402"/>
      <c r="J1037" s="402"/>
      <c r="K1037" s="154"/>
      <c r="L1037" s="154"/>
      <c r="M1037" s="148"/>
      <c r="N1037" s="154"/>
      <c r="O1037" s="154"/>
      <c r="P1037" s="154"/>
      <c r="Q1037" s="154"/>
    </row>
    <row r="1038" ht="15.75" customHeight="1">
      <c r="A1038" s="154"/>
      <c r="B1038" s="154"/>
      <c r="C1038" s="154"/>
      <c r="D1038" s="402"/>
      <c r="E1038" s="402"/>
      <c r="F1038" s="402"/>
      <c r="G1038" s="402"/>
      <c r="H1038" s="402"/>
      <c r="I1038" s="402"/>
      <c r="J1038" s="402"/>
      <c r="K1038" s="154"/>
      <c r="L1038" s="154"/>
      <c r="M1038" s="148"/>
      <c r="N1038" s="154"/>
      <c r="O1038" s="154"/>
      <c r="P1038" s="154"/>
      <c r="Q1038" s="154"/>
    </row>
    <row r="1039" ht="15.75" customHeight="1">
      <c r="A1039" s="154"/>
      <c r="B1039" s="154"/>
      <c r="C1039" s="154"/>
      <c r="D1039" s="402"/>
      <c r="E1039" s="402"/>
      <c r="F1039" s="402"/>
      <c r="G1039" s="402"/>
      <c r="H1039" s="402"/>
      <c r="I1039" s="402"/>
      <c r="J1039" s="402"/>
      <c r="K1039" s="154"/>
      <c r="L1039" s="154"/>
      <c r="M1039" s="148"/>
      <c r="N1039" s="154"/>
      <c r="O1039" s="154"/>
      <c r="P1039" s="154"/>
      <c r="Q1039" s="154"/>
    </row>
    <row r="1040" ht="15.75" customHeight="1">
      <c r="A1040" s="154"/>
      <c r="B1040" s="154"/>
      <c r="C1040" s="154"/>
      <c r="D1040" s="402"/>
      <c r="E1040" s="402"/>
      <c r="F1040" s="402"/>
      <c r="G1040" s="402"/>
      <c r="H1040" s="402"/>
      <c r="I1040" s="402"/>
      <c r="J1040" s="402"/>
      <c r="K1040" s="154"/>
      <c r="L1040" s="154"/>
      <c r="M1040" s="148"/>
      <c r="N1040" s="154"/>
      <c r="O1040" s="154"/>
      <c r="P1040" s="154"/>
      <c r="Q1040" s="154"/>
    </row>
    <row r="1041" ht="15.75" customHeight="1">
      <c r="A1041" s="154"/>
      <c r="B1041" s="154"/>
      <c r="C1041" s="154"/>
      <c r="D1041" s="402"/>
      <c r="E1041" s="402"/>
      <c r="F1041" s="402"/>
      <c r="G1041" s="402"/>
      <c r="H1041" s="402"/>
      <c r="I1041" s="402"/>
      <c r="J1041" s="402"/>
      <c r="K1041" s="154"/>
      <c r="L1041" s="154"/>
      <c r="M1041" s="148"/>
      <c r="N1041" s="154"/>
      <c r="O1041" s="154"/>
      <c r="P1041" s="154"/>
      <c r="Q1041" s="154"/>
    </row>
    <row r="1042" ht="15.75" customHeight="1">
      <c r="A1042" s="154"/>
      <c r="B1042" s="154"/>
      <c r="C1042" s="154"/>
      <c r="D1042" s="402"/>
      <c r="E1042" s="402"/>
      <c r="F1042" s="402"/>
      <c r="G1042" s="402"/>
      <c r="H1042" s="402"/>
      <c r="I1042" s="402"/>
      <c r="J1042" s="402"/>
      <c r="K1042" s="154"/>
      <c r="L1042" s="154"/>
      <c r="M1042" s="148"/>
      <c r="N1042" s="154"/>
      <c r="O1042" s="154"/>
      <c r="P1042" s="154"/>
      <c r="Q1042" s="154"/>
    </row>
    <row r="1043" ht="15.75" customHeight="1">
      <c r="A1043" s="154"/>
      <c r="B1043" s="154"/>
      <c r="C1043" s="154"/>
      <c r="D1043" s="402"/>
      <c r="E1043" s="402"/>
      <c r="F1043" s="402"/>
      <c r="G1043" s="402"/>
      <c r="H1043" s="402"/>
      <c r="I1043" s="402"/>
      <c r="J1043" s="402"/>
      <c r="K1043" s="154"/>
      <c r="L1043" s="154"/>
      <c r="M1043" s="148"/>
      <c r="N1043" s="154"/>
      <c r="O1043" s="154"/>
      <c r="P1043" s="154"/>
      <c r="Q1043" s="154"/>
    </row>
    <row r="1044" ht="15.75" customHeight="1">
      <c r="A1044" s="154"/>
      <c r="B1044" s="154"/>
      <c r="C1044" s="154"/>
      <c r="D1044" s="402"/>
      <c r="E1044" s="402"/>
      <c r="F1044" s="402"/>
      <c r="G1044" s="402"/>
      <c r="H1044" s="402"/>
      <c r="I1044" s="402"/>
      <c r="J1044" s="402"/>
      <c r="K1044" s="154"/>
      <c r="L1044" s="154"/>
      <c r="M1044" s="148"/>
      <c r="N1044" s="154"/>
      <c r="O1044" s="154"/>
      <c r="P1044" s="154"/>
      <c r="Q1044" s="154"/>
    </row>
    <row r="1045" ht="15.75" customHeight="1">
      <c r="A1045" s="154"/>
      <c r="B1045" s="154"/>
      <c r="C1045" s="154"/>
      <c r="D1045" s="402"/>
      <c r="E1045" s="402"/>
      <c r="F1045" s="402"/>
      <c r="G1045" s="402"/>
      <c r="H1045" s="402"/>
      <c r="I1045" s="402"/>
      <c r="J1045" s="402"/>
      <c r="K1045" s="154"/>
      <c r="L1045" s="154"/>
      <c r="M1045" s="148"/>
      <c r="N1045" s="154"/>
      <c r="O1045" s="154"/>
      <c r="P1045" s="154"/>
      <c r="Q1045" s="154"/>
    </row>
    <row r="1046" ht="15.75" customHeight="1">
      <c r="A1046" s="154"/>
      <c r="B1046" s="154"/>
      <c r="C1046" s="154"/>
      <c r="D1046" s="402"/>
      <c r="E1046" s="402"/>
      <c r="F1046" s="402"/>
      <c r="G1046" s="402"/>
      <c r="H1046" s="402"/>
      <c r="I1046" s="402"/>
      <c r="J1046" s="402"/>
      <c r="K1046" s="154"/>
      <c r="L1046" s="154"/>
      <c r="M1046" s="148"/>
      <c r="N1046" s="154"/>
      <c r="O1046" s="154"/>
      <c r="P1046" s="154"/>
      <c r="Q1046" s="154"/>
    </row>
    <row r="1047" ht="15.75" customHeight="1">
      <c r="A1047" s="154"/>
      <c r="B1047" s="154"/>
      <c r="C1047" s="154"/>
      <c r="D1047" s="402"/>
      <c r="E1047" s="402"/>
      <c r="F1047" s="402"/>
      <c r="G1047" s="402"/>
      <c r="H1047" s="402"/>
      <c r="I1047" s="402"/>
      <c r="J1047" s="402"/>
      <c r="K1047" s="154"/>
      <c r="L1047" s="154"/>
      <c r="M1047" s="148"/>
      <c r="N1047" s="154"/>
      <c r="O1047" s="154"/>
      <c r="P1047" s="154"/>
      <c r="Q1047" s="154"/>
    </row>
    <row r="1048" ht="15.75" customHeight="1">
      <c r="A1048" s="154"/>
      <c r="B1048" s="154"/>
      <c r="C1048" s="154"/>
      <c r="D1048" s="402"/>
      <c r="E1048" s="402"/>
      <c r="F1048" s="402"/>
      <c r="G1048" s="402"/>
      <c r="H1048" s="402"/>
      <c r="I1048" s="402"/>
      <c r="J1048" s="402"/>
      <c r="K1048" s="154"/>
      <c r="L1048" s="154"/>
      <c r="M1048" s="148"/>
      <c r="N1048" s="154"/>
      <c r="O1048" s="154"/>
      <c r="P1048" s="154"/>
      <c r="Q1048" s="154"/>
    </row>
    <row r="1049" ht="15.75" customHeight="1">
      <c r="A1049" s="154"/>
      <c r="B1049" s="154"/>
      <c r="C1049" s="154"/>
      <c r="D1049" s="402"/>
      <c r="E1049" s="402"/>
      <c r="F1049" s="402"/>
      <c r="G1049" s="402"/>
      <c r="H1049" s="402"/>
      <c r="I1049" s="402"/>
      <c r="J1049" s="402"/>
      <c r="K1049" s="154"/>
      <c r="L1049" s="154"/>
      <c r="M1049" s="148"/>
      <c r="N1049" s="154"/>
      <c r="O1049" s="154"/>
      <c r="P1049" s="154"/>
      <c r="Q1049" s="154"/>
    </row>
    <row r="1050" ht="15.75" customHeight="1">
      <c r="A1050" s="154"/>
      <c r="B1050" s="154"/>
      <c r="C1050" s="154"/>
      <c r="D1050" s="402"/>
      <c r="E1050" s="402"/>
      <c r="F1050" s="402"/>
      <c r="G1050" s="402"/>
      <c r="H1050" s="402"/>
      <c r="I1050" s="402"/>
      <c r="J1050" s="402"/>
      <c r="K1050" s="154"/>
      <c r="L1050" s="154"/>
      <c r="M1050" s="148"/>
      <c r="N1050" s="154"/>
      <c r="O1050" s="154"/>
      <c r="P1050" s="154"/>
      <c r="Q1050" s="154"/>
    </row>
    <row r="1051" ht="15.75" customHeight="1">
      <c r="A1051" s="154"/>
      <c r="B1051" s="154"/>
      <c r="C1051" s="154"/>
      <c r="D1051" s="402"/>
      <c r="E1051" s="402"/>
      <c r="F1051" s="402"/>
      <c r="G1051" s="402"/>
      <c r="H1051" s="402"/>
      <c r="I1051" s="402"/>
      <c r="J1051" s="402"/>
      <c r="K1051" s="154"/>
      <c r="L1051" s="154"/>
      <c r="M1051" s="148"/>
      <c r="N1051" s="154"/>
      <c r="O1051" s="154"/>
      <c r="P1051" s="154"/>
      <c r="Q1051" s="154"/>
    </row>
    <row r="1052" ht="15.75" customHeight="1">
      <c r="A1052" s="154"/>
      <c r="B1052" s="154"/>
      <c r="C1052" s="154"/>
      <c r="D1052" s="402"/>
      <c r="E1052" s="402"/>
      <c r="F1052" s="402"/>
      <c r="G1052" s="402"/>
      <c r="H1052" s="402"/>
      <c r="I1052" s="402"/>
      <c r="J1052" s="402"/>
      <c r="K1052" s="154"/>
      <c r="L1052" s="154"/>
      <c r="M1052" s="148"/>
      <c r="N1052" s="154"/>
      <c r="O1052" s="154"/>
      <c r="P1052" s="154"/>
      <c r="Q1052" s="154"/>
    </row>
    <row r="1053" ht="15.75" customHeight="1">
      <c r="A1053" s="154"/>
      <c r="B1053" s="154"/>
      <c r="C1053" s="154"/>
      <c r="D1053" s="402"/>
      <c r="E1053" s="402"/>
      <c r="F1053" s="402"/>
      <c r="G1053" s="402"/>
      <c r="H1053" s="402"/>
      <c r="I1053" s="402"/>
      <c r="J1053" s="402"/>
      <c r="K1053" s="154"/>
      <c r="L1053" s="154"/>
      <c r="M1053" s="148"/>
      <c r="N1053" s="154"/>
      <c r="O1053" s="154"/>
      <c r="P1053" s="154"/>
      <c r="Q1053" s="154"/>
    </row>
    <row r="1054" ht="15.75" customHeight="1">
      <c r="A1054" s="154"/>
      <c r="B1054" s="154"/>
      <c r="C1054" s="154"/>
      <c r="D1054" s="402"/>
      <c r="E1054" s="402"/>
      <c r="F1054" s="402"/>
      <c r="G1054" s="402"/>
      <c r="H1054" s="402"/>
      <c r="I1054" s="402"/>
      <c r="J1054" s="402"/>
      <c r="K1054" s="154"/>
      <c r="L1054" s="154"/>
      <c r="M1054" s="148"/>
      <c r="N1054" s="154"/>
      <c r="O1054" s="154"/>
      <c r="P1054" s="154"/>
      <c r="Q1054" s="154"/>
    </row>
    <row r="1055" ht="15.75" customHeight="1">
      <c r="A1055" s="154"/>
      <c r="B1055" s="154"/>
      <c r="C1055" s="154"/>
      <c r="D1055" s="402"/>
      <c r="E1055" s="402"/>
      <c r="F1055" s="402"/>
      <c r="G1055" s="402"/>
      <c r="H1055" s="402"/>
      <c r="I1055" s="402"/>
      <c r="J1055" s="402"/>
      <c r="K1055" s="154"/>
      <c r="L1055" s="154"/>
      <c r="M1055" s="148"/>
      <c r="N1055" s="154"/>
      <c r="O1055" s="154"/>
      <c r="P1055" s="154"/>
      <c r="Q1055" s="154"/>
    </row>
    <row r="1056" ht="15.75" customHeight="1">
      <c r="A1056" s="154"/>
      <c r="B1056" s="154"/>
      <c r="C1056" s="154"/>
      <c r="D1056" s="402"/>
      <c r="E1056" s="402"/>
      <c r="F1056" s="402"/>
      <c r="G1056" s="402"/>
      <c r="H1056" s="402"/>
      <c r="I1056" s="402"/>
      <c r="J1056" s="402"/>
      <c r="K1056" s="154"/>
      <c r="L1056" s="154"/>
      <c r="M1056" s="148"/>
      <c r="N1056" s="154"/>
      <c r="O1056" s="154"/>
      <c r="P1056" s="154"/>
      <c r="Q1056" s="154"/>
    </row>
    <row r="1057" ht="15.75" customHeight="1">
      <c r="A1057" s="154"/>
      <c r="B1057" s="154"/>
      <c r="C1057" s="154"/>
      <c r="D1057" s="402"/>
      <c r="E1057" s="402"/>
      <c r="F1057" s="402"/>
      <c r="G1057" s="402"/>
      <c r="H1057" s="402"/>
      <c r="I1057" s="402"/>
      <c r="J1057" s="402"/>
      <c r="K1057" s="154"/>
      <c r="L1057" s="154"/>
      <c r="M1057" s="148"/>
      <c r="N1057" s="154"/>
      <c r="O1057" s="154"/>
      <c r="P1057" s="154"/>
      <c r="Q1057" s="154"/>
    </row>
    <row r="1058" ht="15.75" customHeight="1">
      <c r="A1058" s="154"/>
      <c r="B1058" s="154"/>
      <c r="C1058" s="154"/>
      <c r="D1058" s="402"/>
      <c r="E1058" s="402"/>
      <c r="F1058" s="402"/>
      <c r="G1058" s="402"/>
      <c r="H1058" s="402"/>
      <c r="I1058" s="402"/>
      <c r="J1058" s="402"/>
      <c r="K1058" s="154"/>
      <c r="L1058" s="154"/>
      <c r="M1058" s="148"/>
      <c r="N1058" s="154"/>
      <c r="O1058" s="154"/>
      <c r="P1058" s="154"/>
      <c r="Q1058" s="154"/>
    </row>
    <row r="1059" ht="15.75" customHeight="1">
      <c r="A1059" s="154"/>
      <c r="B1059" s="154"/>
      <c r="C1059" s="154"/>
      <c r="D1059" s="402"/>
      <c r="E1059" s="402"/>
      <c r="F1059" s="402"/>
      <c r="G1059" s="402"/>
      <c r="H1059" s="402"/>
      <c r="I1059" s="402"/>
      <c r="J1059" s="402"/>
      <c r="K1059" s="154"/>
      <c r="L1059" s="154"/>
      <c r="M1059" s="148"/>
      <c r="N1059" s="154"/>
      <c r="O1059" s="154"/>
      <c r="P1059" s="154"/>
      <c r="Q1059" s="154"/>
    </row>
    <row r="1060" ht="15.75" customHeight="1">
      <c r="A1060" s="154"/>
      <c r="B1060" s="154"/>
      <c r="C1060" s="154"/>
      <c r="D1060" s="402"/>
      <c r="E1060" s="402"/>
      <c r="F1060" s="402"/>
      <c r="G1060" s="402"/>
      <c r="H1060" s="402"/>
      <c r="I1060" s="402"/>
      <c r="J1060" s="402"/>
      <c r="K1060" s="154"/>
      <c r="L1060" s="154"/>
      <c r="M1060" s="148"/>
      <c r="N1060" s="154"/>
      <c r="O1060" s="154"/>
      <c r="P1060" s="154"/>
      <c r="Q1060" s="154"/>
    </row>
    <row r="1061" ht="15.75" customHeight="1">
      <c r="A1061" s="154"/>
      <c r="B1061" s="154"/>
      <c r="C1061" s="154"/>
      <c r="D1061" s="402"/>
      <c r="E1061" s="402"/>
      <c r="F1061" s="402"/>
      <c r="G1061" s="402"/>
      <c r="H1061" s="402"/>
      <c r="I1061" s="402"/>
      <c r="J1061" s="402"/>
      <c r="K1061" s="154"/>
      <c r="L1061" s="154"/>
      <c r="M1061" s="148"/>
      <c r="N1061" s="154"/>
      <c r="O1061" s="154"/>
      <c r="P1061" s="154"/>
      <c r="Q1061" s="154"/>
    </row>
    <row r="1062" ht="15.75" customHeight="1">
      <c r="A1062" s="154"/>
      <c r="B1062" s="154"/>
      <c r="C1062" s="154"/>
      <c r="D1062" s="402"/>
      <c r="E1062" s="402"/>
      <c r="F1062" s="402"/>
      <c r="G1062" s="402"/>
      <c r="H1062" s="402"/>
      <c r="I1062" s="402"/>
      <c r="J1062" s="402"/>
      <c r="K1062" s="154"/>
      <c r="L1062" s="154"/>
      <c r="M1062" s="148"/>
      <c r="N1062" s="154"/>
      <c r="O1062" s="154"/>
      <c r="P1062" s="154"/>
      <c r="Q1062" s="154"/>
    </row>
    <row r="1063" ht="15.75" customHeight="1">
      <c r="A1063" s="154"/>
      <c r="B1063" s="154"/>
      <c r="C1063" s="154"/>
      <c r="D1063" s="402"/>
      <c r="E1063" s="402"/>
      <c r="F1063" s="402"/>
      <c r="G1063" s="402"/>
      <c r="H1063" s="402"/>
      <c r="I1063" s="402"/>
      <c r="J1063" s="402"/>
      <c r="K1063" s="154"/>
      <c r="L1063" s="154"/>
      <c r="M1063" s="148"/>
      <c r="N1063" s="154"/>
      <c r="O1063" s="154"/>
      <c r="P1063" s="154"/>
      <c r="Q1063" s="154"/>
    </row>
    <row r="1064" ht="15.75" customHeight="1">
      <c r="A1064" s="154"/>
      <c r="B1064" s="154"/>
      <c r="C1064" s="154"/>
      <c r="D1064" s="402"/>
      <c r="E1064" s="402"/>
      <c r="F1064" s="402"/>
      <c r="G1064" s="402"/>
      <c r="H1064" s="402"/>
      <c r="I1064" s="402"/>
      <c r="J1064" s="402"/>
      <c r="K1064" s="154"/>
      <c r="L1064" s="154"/>
      <c r="M1064" s="148"/>
      <c r="N1064" s="154"/>
      <c r="O1064" s="154"/>
      <c r="P1064" s="154"/>
      <c r="Q1064" s="154"/>
    </row>
    <row r="1065" ht="15.75" customHeight="1">
      <c r="A1065" s="154"/>
      <c r="B1065" s="154"/>
      <c r="C1065" s="154"/>
      <c r="D1065" s="402"/>
      <c r="E1065" s="402"/>
      <c r="F1065" s="402"/>
      <c r="G1065" s="402"/>
      <c r="H1065" s="402"/>
      <c r="I1065" s="402"/>
      <c r="J1065" s="402"/>
      <c r="K1065" s="154"/>
      <c r="L1065" s="154"/>
      <c r="M1065" s="148"/>
      <c r="N1065" s="154"/>
      <c r="O1065" s="154"/>
      <c r="P1065" s="154"/>
      <c r="Q1065" s="154"/>
    </row>
    <row r="1066" ht="15.75" customHeight="1">
      <c r="A1066" s="154"/>
      <c r="B1066" s="154"/>
      <c r="C1066" s="154"/>
      <c r="D1066" s="402"/>
      <c r="E1066" s="402"/>
      <c r="F1066" s="402"/>
      <c r="G1066" s="402"/>
      <c r="H1066" s="402"/>
      <c r="I1066" s="402"/>
      <c r="J1066" s="402"/>
      <c r="K1066" s="154"/>
      <c r="L1066" s="154"/>
      <c r="M1066" s="148"/>
      <c r="N1066" s="154"/>
      <c r="O1066" s="154"/>
      <c r="P1066" s="154"/>
      <c r="Q1066" s="154"/>
    </row>
    <row r="1067" ht="15.75" customHeight="1">
      <c r="A1067" s="154"/>
      <c r="B1067" s="154"/>
      <c r="C1067" s="154"/>
      <c r="D1067" s="402"/>
      <c r="E1067" s="402"/>
      <c r="F1067" s="402"/>
      <c r="G1067" s="402"/>
      <c r="H1067" s="402"/>
      <c r="I1067" s="402"/>
      <c r="J1067" s="402"/>
      <c r="K1067" s="154"/>
      <c r="L1067" s="154"/>
      <c r="M1067" s="148"/>
      <c r="N1067" s="154"/>
      <c r="O1067" s="154"/>
      <c r="P1067" s="154"/>
      <c r="Q1067" s="154"/>
    </row>
    <row r="1068" ht="15.75" customHeight="1">
      <c r="A1068" s="154"/>
      <c r="B1068" s="154"/>
      <c r="C1068" s="154"/>
      <c r="D1068" s="402"/>
      <c r="E1068" s="402"/>
      <c r="F1068" s="402"/>
      <c r="G1068" s="402"/>
      <c r="H1068" s="402"/>
      <c r="I1068" s="402"/>
      <c r="J1068" s="402"/>
      <c r="K1068" s="154"/>
      <c r="L1068" s="154"/>
      <c r="M1068" s="148"/>
      <c r="N1068" s="154"/>
      <c r="O1068" s="154"/>
      <c r="P1068" s="154"/>
      <c r="Q1068" s="154"/>
    </row>
    <row r="1069" ht="15.75" customHeight="1">
      <c r="A1069" s="154"/>
      <c r="B1069" s="154"/>
      <c r="C1069" s="154"/>
      <c r="D1069" s="402"/>
      <c r="E1069" s="402"/>
      <c r="F1069" s="402"/>
      <c r="G1069" s="402"/>
      <c r="H1069" s="402"/>
      <c r="I1069" s="402"/>
      <c r="J1069" s="402"/>
      <c r="K1069" s="154"/>
      <c r="L1069" s="154"/>
      <c r="M1069" s="148"/>
      <c r="N1069" s="154"/>
      <c r="O1069" s="154"/>
      <c r="P1069" s="154"/>
      <c r="Q1069" s="154"/>
    </row>
    <row r="1070" ht="15.75" customHeight="1">
      <c r="A1070" s="154"/>
      <c r="B1070" s="154"/>
      <c r="C1070" s="154"/>
      <c r="D1070" s="402"/>
      <c r="E1070" s="402"/>
      <c r="F1070" s="402"/>
      <c r="G1070" s="402"/>
      <c r="H1070" s="402"/>
      <c r="I1070" s="402"/>
      <c r="J1070" s="402"/>
      <c r="K1070" s="154"/>
      <c r="L1070" s="154"/>
      <c r="M1070" s="148"/>
      <c r="N1070" s="154"/>
      <c r="O1070" s="154"/>
      <c r="P1070" s="154"/>
      <c r="Q1070" s="154"/>
    </row>
    <row r="1071" ht="15.75" customHeight="1">
      <c r="A1071" s="154"/>
      <c r="B1071" s="154"/>
      <c r="C1071" s="154"/>
      <c r="D1071" s="402"/>
      <c r="E1071" s="402"/>
      <c r="F1071" s="402"/>
      <c r="G1071" s="402"/>
      <c r="H1071" s="402"/>
      <c r="I1071" s="402"/>
      <c r="J1071" s="402"/>
      <c r="K1071" s="154"/>
      <c r="L1071" s="154"/>
      <c r="M1071" s="148"/>
      <c r="N1071" s="154"/>
      <c r="O1071" s="154"/>
      <c r="P1071" s="154"/>
      <c r="Q1071" s="154"/>
    </row>
    <row r="1072" ht="15.75" customHeight="1">
      <c r="A1072" s="154"/>
      <c r="B1072" s="154"/>
      <c r="C1072" s="154"/>
      <c r="D1072" s="402"/>
      <c r="E1072" s="402"/>
      <c r="F1072" s="402"/>
      <c r="G1072" s="402"/>
      <c r="H1072" s="402"/>
      <c r="I1072" s="402"/>
      <c r="J1072" s="402"/>
      <c r="K1072" s="154"/>
      <c r="L1072" s="154"/>
      <c r="M1072" s="148"/>
      <c r="N1072" s="154"/>
      <c r="O1072" s="154"/>
      <c r="P1072" s="154"/>
      <c r="Q1072" s="154"/>
    </row>
    <row r="1073" ht="15.75" customHeight="1">
      <c r="A1073" s="154"/>
      <c r="B1073" s="154"/>
      <c r="C1073" s="154"/>
      <c r="D1073" s="402"/>
      <c r="E1073" s="402"/>
      <c r="F1073" s="402"/>
      <c r="G1073" s="402"/>
      <c r="H1073" s="402"/>
      <c r="I1073" s="402"/>
      <c r="J1073" s="402"/>
      <c r="K1073" s="154"/>
      <c r="L1073" s="154"/>
      <c r="M1073" s="148"/>
      <c r="N1073" s="154"/>
      <c r="O1073" s="154"/>
      <c r="P1073" s="154"/>
      <c r="Q1073" s="154"/>
    </row>
    <row r="1074" ht="15.75" customHeight="1">
      <c r="A1074" s="154"/>
      <c r="B1074" s="154"/>
      <c r="C1074" s="154"/>
      <c r="D1074" s="402"/>
      <c r="E1074" s="402"/>
      <c r="F1074" s="402"/>
      <c r="G1074" s="402"/>
      <c r="H1074" s="402"/>
      <c r="I1074" s="402"/>
      <c r="J1074" s="402"/>
      <c r="K1074" s="154"/>
      <c r="L1074" s="154"/>
      <c r="M1074" s="148"/>
      <c r="N1074" s="154"/>
      <c r="O1074" s="154"/>
      <c r="P1074" s="154"/>
      <c r="Q1074" s="154"/>
    </row>
    <row r="1075" ht="15.75" customHeight="1">
      <c r="A1075" s="154"/>
      <c r="B1075" s="154"/>
      <c r="C1075" s="154"/>
      <c r="D1075" s="402"/>
      <c r="E1075" s="402"/>
      <c r="F1075" s="402"/>
      <c r="G1075" s="402"/>
      <c r="H1075" s="402"/>
      <c r="I1075" s="402"/>
      <c r="J1075" s="402"/>
      <c r="K1075" s="154"/>
      <c r="L1075" s="154"/>
      <c r="M1075" s="148"/>
      <c r="N1075" s="154"/>
      <c r="O1075" s="154"/>
      <c r="P1075" s="154"/>
      <c r="Q1075" s="154"/>
    </row>
    <row r="1076" ht="15.75" customHeight="1">
      <c r="A1076" s="154"/>
      <c r="B1076" s="154"/>
      <c r="C1076" s="154"/>
      <c r="D1076" s="402"/>
      <c r="E1076" s="402"/>
      <c r="F1076" s="402"/>
      <c r="G1076" s="402"/>
      <c r="H1076" s="402"/>
      <c r="I1076" s="402"/>
      <c r="J1076" s="402"/>
      <c r="K1076" s="154"/>
      <c r="L1076" s="154"/>
      <c r="M1076" s="148"/>
      <c r="N1076" s="154"/>
      <c r="O1076" s="154"/>
      <c r="P1076" s="154"/>
      <c r="Q1076" s="154"/>
    </row>
    <row r="1077" ht="15.75" customHeight="1">
      <c r="A1077" s="154"/>
      <c r="B1077" s="154"/>
      <c r="C1077" s="154"/>
      <c r="D1077" s="402"/>
      <c r="E1077" s="402"/>
      <c r="F1077" s="402"/>
      <c r="G1077" s="402"/>
      <c r="H1077" s="402"/>
      <c r="I1077" s="402"/>
      <c r="J1077" s="402"/>
      <c r="K1077" s="154"/>
      <c r="L1077" s="154"/>
      <c r="M1077" s="148"/>
      <c r="N1077" s="154"/>
      <c r="O1077" s="154"/>
      <c r="P1077" s="154"/>
      <c r="Q1077" s="154"/>
    </row>
    <row r="1078" ht="15.75" customHeight="1">
      <c r="A1078" s="154"/>
      <c r="B1078" s="154"/>
      <c r="C1078" s="154"/>
      <c r="D1078" s="402"/>
      <c r="E1078" s="402"/>
      <c r="F1078" s="402"/>
      <c r="G1078" s="402"/>
      <c r="H1078" s="402"/>
      <c r="I1078" s="402"/>
      <c r="J1078" s="402"/>
      <c r="K1078" s="154"/>
      <c r="L1078" s="154"/>
      <c r="M1078" s="148"/>
      <c r="N1078" s="154"/>
      <c r="O1078" s="154"/>
      <c r="P1078" s="154"/>
      <c r="Q1078" s="154"/>
    </row>
    <row r="1079" ht="15.75" customHeight="1">
      <c r="A1079" s="154"/>
      <c r="B1079" s="154"/>
      <c r="C1079" s="154"/>
      <c r="D1079" s="402"/>
      <c r="E1079" s="402"/>
      <c r="F1079" s="402"/>
      <c r="G1079" s="402"/>
      <c r="H1079" s="402"/>
      <c r="I1079" s="402"/>
      <c r="J1079" s="402"/>
      <c r="K1079" s="154"/>
      <c r="L1079" s="154"/>
      <c r="M1079" s="148"/>
      <c r="N1079" s="154"/>
      <c r="O1079" s="154"/>
      <c r="P1079" s="154"/>
      <c r="Q1079" s="154"/>
    </row>
    <row r="1080" ht="15.75" customHeight="1">
      <c r="A1080" s="154"/>
      <c r="B1080" s="154"/>
      <c r="C1080" s="154"/>
      <c r="D1080" s="402"/>
      <c r="E1080" s="402"/>
      <c r="F1080" s="402"/>
      <c r="G1080" s="402"/>
      <c r="H1080" s="402"/>
      <c r="I1080" s="402"/>
      <c r="J1080" s="402"/>
      <c r="K1080" s="154"/>
      <c r="L1080" s="154"/>
      <c r="M1080" s="148"/>
      <c r="N1080" s="154"/>
      <c r="O1080" s="154"/>
      <c r="P1080" s="154"/>
      <c r="Q1080" s="154"/>
    </row>
    <row r="1081" ht="15.75" customHeight="1">
      <c r="A1081" s="154"/>
      <c r="B1081" s="154"/>
      <c r="C1081" s="154"/>
      <c r="D1081" s="402"/>
      <c r="E1081" s="402"/>
      <c r="F1081" s="402"/>
      <c r="G1081" s="402"/>
      <c r="H1081" s="402"/>
      <c r="I1081" s="402"/>
      <c r="J1081" s="402"/>
      <c r="K1081" s="154"/>
      <c r="L1081" s="154"/>
      <c r="M1081" s="148"/>
      <c r="N1081" s="154"/>
      <c r="O1081" s="154"/>
      <c r="P1081" s="154"/>
      <c r="Q1081" s="154"/>
    </row>
    <row r="1082" ht="15.75" customHeight="1">
      <c r="A1082" s="154"/>
      <c r="B1082" s="154"/>
      <c r="C1082" s="154"/>
      <c r="D1082" s="402"/>
      <c r="E1082" s="402"/>
      <c r="F1082" s="402"/>
      <c r="G1082" s="402"/>
      <c r="H1082" s="402"/>
      <c r="I1082" s="402"/>
      <c r="J1082" s="402"/>
      <c r="K1082" s="154"/>
      <c r="L1082" s="154"/>
      <c r="M1082" s="148"/>
      <c r="N1082" s="154"/>
      <c r="O1082" s="154"/>
      <c r="P1082" s="154"/>
      <c r="Q1082" s="154"/>
    </row>
    <row r="1083" ht="15.75" customHeight="1">
      <c r="A1083" s="154"/>
      <c r="B1083" s="154"/>
      <c r="C1083" s="154"/>
      <c r="D1083" s="402"/>
      <c r="E1083" s="402"/>
      <c r="F1083" s="402"/>
      <c r="G1083" s="402"/>
      <c r="H1083" s="402"/>
      <c r="I1083" s="402"/>
      <c r="J1083" s="402"/>
      <c r="K1083" s="154"/>
      <c r="L1083" s="154"/>
      <c r="M1083" s="148"/>
      <c r="N1083" s="154"/>
      <c r="O1083" s="154"/>
      <c r="P1083" s="154"/>
      <c r="Q1083" s="154"/>
    </row>
    <row r="1084" ht="15.75" customHeight="1">
      <c r="A1084" s="154"/>
      <c r="B1084" s="154"/>
      <c r="C1084" s="154"/>
      <c r="D1084" s="402"/>
      <c r="E1084" s="402"/>
      <c r="F1084" s="402"/>
      <c r="G1084" s="402"/>
      <c r="H1084" s="402"/>
      <c r="I1084" s="402"/>
      <c r="J1084" s="402"/>
      <c r="K1084" s="154"/>
      <c r="L1084" s="154"/>
      <c r="M1084" s="148"/>
      <c r="N1084" s="154"/>
      <c r="O1084" s="154"/>
      <c r="P1084" s="154"/>
      <c r="Q1084" s="154"/>
    </row>
    <row r="1085" ht="15.75" customHeight="1">
      <c r="A1085" s="154"/>
      <c r="B1085" s="154"/>
      <c r="C1085" s="154"/>
      <c r="D1085" s="402"/>
      <c r="E1085" s="402"/>
      <c r="F1085" s="402"/>
      <c r="G1085" s="402"/>
      <c r="H1085" s="402"/>
      <c r="I1085" s="402"/>
      <c r="J1085" s="402"/>
      <c r="K1085" s="154"/>
      <c r="L1085" s="154"/>
      <c r="M1085" s="148"/>
      <c r="N1085" s="154"/>
      <c r="O1085" s="154"/>
      <c r="P1085" s="154"/>
      <c r="Q1085" s="154"/>
    </row>
    <row r="1086" ht="15.75" customHeight="1">
      <c r="A1086" s="154"/>
      <c r="B1086" s="154"/>
      <c r="C1086" s="154"/>
      <c r="D1086" s="402"/>
      <c r="E1086" s="402"/>
      <c r="F1086" s="402"/>
      <c r="G1086" s="402"/>
      <c r="H1086" s="402"/>
      <c r="I1086" s="402"/>
      <c r="J1086" s="402"/>
      <c r="K1086" s="154"/>
      <c r="L1086" s="154"/>
      <c r="M1086" s="148"/>
      <c r="N1086" s="154"/>
      <c r="O1086" s="154"/>
      <c r="P1086" s="154"/>
      <c r="Q1086" s="154"/>
    </row>
    <row r="1087" ht="15.75" customHeight="1">
      <c r="A1087" s="154"/>
      <c r="B1087" s="154"/>
      <c r="C1087" s="154"/>
      <c r="D1087" s="402"/>
      <c r="E1087" s="402"/>
      <c r="F1087" s="402"/>
      <c r="G1087" s="402"/>
      <c r="H1087" s="402"/>
      <c r="I1087" s="402"/>
      <c r="J1087" s="402"/>
      <c r="K1087" s="154"/>
      <c r="L1087" s="154"/>
      <c r="M1087" s="148"/>
      <c r="N1087" s="154"/>
      <c r="O1087" s="154"/>
      <c r="P1087" s="154"/>
      <c r="Q1087" s="154"/>
    </row>
    <row r="1088" ht="15.75" customHeight="1">
      <c r="A1088" s="154"/>
      <c r="B1088" s="154"/>
      <c r="C1088" s="154"/>
      <c r="D1088" s="402"/>
      <c r="E1088" s="402"/>
      <c r="F1088" s="402"/>
      <c r="G1088" s="402"/>
      <c r="H1088" s="402"/>
      <c r="I1088" s="402"/>
      <c r="J1088" s="402"/>
      <c r="K1088" s="154"/>
      <c r="L1088" s="154"/>
      <c r="M1088" s="148"/>
      <c r="N1088" s="154"/>
      <c r="O1088" s="154"/>
      <c r="P1088" s="154"/>
      <c r="Q1088" s="154"/>
    </row>
    <row r="1089" ht="15.75" customHeight="1">
      <c r="A1089" s="154"/>
      <c r="B1089" s="154"/>
      <c r="C1089" s="154"/>
      <c r="D1089" s="402"/>
      <c r="E1089" s="402"/>
      <c r="F1089" s="402"/>
      <c r="G1089" s="402"/>
      <c r="H1089" s="402"/>
      <c r="I1089" s="402"/>
      <c r="J1089" s="402"/>
      <c r="K1089" s="154"/>
      <c r="L1089" s="154"/>
      <c r="M1089" s="148"/>
      <c r="N1089" s="154"/>
      <c r="O1089" s="154"/>
      <c r="P1089" s="154"/>
      <c r="Q1089" s="154"/>
    </row>
    <row r="1090" ht="15.75" customHeight="1">
      <c r="A1090" s="154"/>
      <c r="B1090" s="154"/>
      <c r="C1090" s="154"/>
      <c r="D1090" s="402"/>
      <c r="E1090" s="402"/>
      <c r="F1090" s="402"/>
      <c r="G1090" s="402"/>
      <c r="H1090" s="402"/>
      <c r="I1090" s="402"/>
      <c r="J1090" s="402"/>
      <c r="K1090" s="154"/>
      <c r="L1090" s="154"/>
      <c r="M1090" s="148"/>
      <c r="N1090" s="154"/>
      <c r="O1090" s="154"/>
      <c r="P1090" s="154"/>
      <c r="Q1090" s="154"/>
    </row>
    <row r="1091" ht="15.75" customHeight="1">
      <c r="A1091" s="154"/>
      <c r="B1091" s="154"/>
      <c r="C1091" s="154"/>
      <c r="D1091" s="402"/>
      <c r="E1091" s="402"/>
      <c r="F1091" s="402"/>
      <c r="G1091" s="402"/>
      <c r="H1091" s="402"/>
      <c r="I1091" s="402"/>
      <c r="J1091" s="402"/>
      <c r="K1091" s="154"/>
      <c r="L1091" s="154"/>
      <c r="M1091" s="148"/>
      <c r="N1091" s="154"/>
      <c r="O1091" s="154"/>
      <c r="P1091" s="154"/>
      <c r="Q1091" s="154"/>
    </row>
    <row r="1092" ht="15.75" customHeight="1">
      <c r="A1092" s="154"/>
      <c r="B1092" s="154"/>
      <c r="C1092" s="154"/>
      <c r="D1092" s="402"/>
      <c r="E1092" s="402"/>
      <c r="F1092" s="402"/>
      <c r="G1092" s="402"/>
      <c r="H1092" s="402"/>
      <c r="I1092" s="402"/>
      <c r="J1092" s="402"/>
      <c r="K1092" s="154"/>
      <c r="L1092" s="154"/>
      <c r="M1092" s="148"/>
      <c r="N1092" s="154"/>
      <c r="O1092" s="154"/>
      <c r="P1092" s="154"/>
      <c r="Q1092" s="154"/>
    </row>
    <row r="1093" ht="15.75" customHeight="1">
      <c r="A1093" s="154"/>
      <c r="B1093" s="154"/>
      <c r="C1093" s="154"/>
      <c r="D1093" s="402"/>
      <c r="E1093" s="402"/>
      <c r="F1093" s="402"/>
      <c r="G1093" s="402"/>
      <c r="H1093" s="402"/>
      <c r="I1093" s="402"/>
      <c r="J1093" s="402"/>
      <c r="K1093" s="154"/>
      <c r="L1093" s="154"/>
      <c r="M1093" s="148"/>
      <c r="N1093" s="154"/>
      <c r="O1093" s="154"/>
      <c r="P1093" s="154"/>
      <c r="Q1093" s="154"/>
    </row>
    <row r="1094" ht="15.75" customHeight="1">
      <c r="A1094" s="154"/>
      <c r="B1094" s="154"/>
      <c r="C1094" s="154"/>
      <c r="D1094" s="402"/>
      <c r="E1094" s="402"/>
      <c r="F1094" s="402"/>
      <c r="G1094" s="402"/>
      <c r="H1094" s="402"/>
      <c r="I1094" s="402"/>
      <c r="J1094" s="402"/>
      <c r="K1094" s="154"/>
      <c r="L1094" s="154"/>
      <c r="M1094" s="148"/>
      <c r="N1094" s="154"/>
      <c r="O1094" s="154"/>
      <c r="P1094" s="154"/>
      <c r="Q1094" s="154"/>
    </row>
    <row r="1095" ht="15.75" customHeight="1">
      <c r="A1095" s="154"/>
      <c r="B1095" s="154"/>
      <c r="C1095" s="154"/>
      <c r="D1095" s="402"/>
      <c r="E1095" s="402"/>
      <c r="F1095" s="402"/>
      <c r="G1095" s="402"/>
      <c r="H1095" s="402"/>
      <c r="I1095" s="402"/>
      <c r="J1095" s="402"/>
      <c r="K1095" s="154"/>
      <c r="L1095" s="154"/>
      <c r="M1095" s="148"/>
      <c r="N1095" s="154"/>
      <c r="O1095" s="154"/>
      <c r="P1095" s="154"/>
      <c r="Q1095" s="154"/>
    </row>
    <row r="1096" ht="15.75" customHeight="1">
      <c r="A1096" s="154"/>
      <c r="B1096" s="154"/>
      <c r="C1096" s="154"/>
      <c r="D1096" s="402"/>
      <c r="E1096" s="402"/>
      <c r="F1096" s="402"/>
      <c r="G1096" s="402"/>
      <c r="H1096" s="402"/>
      <c r="I1096" s="402"/>
      <c r="J1096" s="402"/>
      <c r="K1096" s="154"/>
      <c r="L1096" s="154"/>
      <c r="M1096" s="148"/>
      <c r="N1096" s="154"/>
      <c r="O1096" s="154"/>
      <c r="P1096" s="154"/>
      <c r="Q1096" s="154"/>
    </row>
    <row r="1097" ht="15.75" customHeight="1">
      <c r="A1097" s="154"/>
      <c r="B1097" s="154"/>
      <c r="C1097" s="154"/>
      <c r="D1097" s="402"/>
      <c r="E1097" s="402"/>
      <c r="F1097" s="402"/>
      <c r="G1097" s="402"/>
      <c r="H1097" s="402"/>
      <c r="I1097" s="402"/>
      <c r="J1097" s="402"/>
      <c r="K1097" s="154"/>
      <c r="L1097" s="154"/>
      <c r="M1097" s="148"/>
      <c r="N1097" s="154"/>
      <c r="O1097" s="154"/>
      <c r="P1097" s="154"/>
      <c r="Q1097" s="154"/>
    </row>
    <row r="1098" ht="15.75" customHeight="1">
      <c r="A1098" s="154"/>
      <c r="B1098" s="154"/>
      <c r="C1098" s="154"/>
      <c r="D1098" s="402"/>
      <c r="E1098" s="402"/>
      <c r="F1098" s="402"/>
      <c r="G1098" s="402"/>
      <c r="H1098" s="402"/>
      <c r="I1098" s="402"/>
      <c r="J1098" s="402"/>
      <c r="K1098" s="154"/>
      <c r="L1098" s="154"/>
      <c r="M1098" s="148"/>
      <c r="N1098" s="154"/>
      <c r="O1098" s="154"/>
      <c r="P1098" s="154"/>
      <c r="Q1098" s="154"/>
    </row>
    <row r="1099" ht="15.75" customHeight="1">
      <c r="A1099" s="154"/>
      <c r="B1099" s="154"/>
      <c r="C1099" s="154"/>
      <c r="D1099" s="402"/>
      <c r="E1099" s="402"/>
      <c r="F1099" s="402"/>
      <c r="G1099" s="402"/>
      <c r="H1099" s="402"/>
      <c r="I1099" s="402"/>
      <c r="J1099" s="402"/>
      <c r="K1099" s="154"/>
      <c r="L1099" s="154"/>
      <c r="M1099" s="148"/>
      <c r="N1099" s="154"/>
      <c r="O1099" s="154"/>
      <c r="P1099" s="154"/>
      <c r="Q1099" s="154"/>
    </row>
    <row r="1100" ht="15.75" customHeight="1">
      <c r="A1100" s="154"/>
      <c r="B1100" s="154"/>
      <c r="C1100" s="154"/>
      <c r="D1100" s="402"/>
      <c r="E1100" s="402"/>
      <c r="F1100" s="402"/>
      <c r="G1100" s="402"/>
      <c r="H1100" s="402"/>
      <c r="I1100" s="402"/>
      <c r="J1100" s="402"/>
      <c r="K1100" s="154"/>
      <c r="L1100" s="154"/>
      <c r="M1100" s="148"/>
      <c r="N1100" s="154"/>
      <c r="O1100" s="154"/>
      <c r="P1100" s="154"/>
      <c r="Q1100" s="154"/>
    </row>
    <row r="1101" ht="15.75" customHeight="1">
      <c r="A1101" s="154"/>
      <c r="B1101" s="154"/>
      <c r="C1101" s="154"/>
      <c r="D1101" s="402"/>
      <c r="E1101" s="402"/>
      <c r="F1101" s="402"/>
      <c r="G1101" s="402"/>
      <c r="H1101" s="402"/>
      <c r="I1101" s="402"/>
      <c r="J1101" s="402"/>
      <c r="K1101" s="154"/>
      <c r="L1101" s="154"/>
      <c r="M1101" s="148"/>
      <c r="N1101" s="154"/>
      <c r="O1101" s="154"/>
      <c r="P1101" s="154"/>
      <c r="Q1101" s="154"/>
    </row>
    <row r="1102" ht="15.75" customHeight="1">
      <c r="A1102" s="154"/>
      <c r="B1102" s="154"/>
      <c r="C1102" s="154"/>
      <c r="D1102" s="402"/>
      <c r="E1102" s="402"/>
      <c r="F1102" s="402"/>
      <c r="G1102" s="402"/>
      <c r="H1102" s="402"/>
      <c r="I1102" s="402"/>
      <c r="J1102" s="402"/>
      <c r="K1102" s="154"/>
      <c r="L1102" s="154"/>
      <c r="M1102" s="148"/>
      <c r="N1102" s="154"/>
      <c r="O1102" s="154"/>
      <c r="P1102" s="154"/>
      <c r="Q1102" s="154"/>
    </row>
    <row r="1103" ht="15.75" customHeight="1">
      <c r="A1103" s="154"/>
      <c r="B1103" s="154"/>
      <c r="C1103" s="154"/>
      <c r="D1103" s="402"/>
      <c r="E1103" s="402"/>
      <c r="F1103" s="402"/>
      <c r="G1103" s="402"/>
      <c r="H1103" s="402"/>
      <c r="I1103" s="402"/>
      <c r="J1103" s="402"/>
      <c r="K1103" s="154"/>
      <c r="L1103" s="154"/>
      <c r="M1103" s="148"/>
      <c r="N1103" s="154"/>
      <c r="O1103" s="154"/>
      <c r="P1103" s="154"/>
      <c r="Q1103" s="154"/>
    </row>
    <row r="1104" ht="15.75" customHeight="1">
      <c r="A1104" s="154"/>
      <c r="B1104" s="154"/>
      <c r="C1104" s="154"/>
      <c r="D1104" s="402"/>
      <c r="E1104" s="402"/>
      <c r="F1104" s="402"/>
      <c r="G1104" s="402"/>
      <c r="H1104" s="402"/>
      <c r="I1104" s="402"/>
      <c r="J1104" s="402"/>
      <c r="K1104" s="154"/>
      <c r="L1104" s="154"/>
      <c r="M1104" s="148"/>
      <c r="N1104" s="154"/>
      <c r="O1104" s="154"/>
      <c r="P1104" s="154"/>
      <c r="Q1104" s="154"/>
    </row>
    <row r="1105" ht="15.75" customHeight="1">
      <c r="A1105" s="154"/>
      <c r="B1105" s="154"/>
      <c r="C1105" s="154"/>
      <c r="D1105" s="402"/>
      <c r="E1105" s="402"/>
      <c r="F1105" s="402"/>
      <c r="G1105" s="402"/>
      <c r="H1105" s="402"/>
      <c r="I1105" s="402"/>
      <c r="J1105" s="402"/>
      <c r="K1105" s="154"/>
      <c r="L1105" s="154"/>
      <c r="M1105" s="148"/>
      <c r="N1105" s="154"/>
      <c r="O1105" s="154"/>
      <c r="P1105" s="154"/>
      <c r="Q1105" s="154"/>
    </row>
    <row r="1106" ht="15.75" customHeight="1">
      <c r="A1106" s="154"/>
      <c r="B1106" s="154"/>
      <c r="C1106" s="154"/>
      <c r="D1106" s="402"/>
      <c r="E1106" s="402"/>
      <c r="F1106" s="402"/>
      <c r="G1106" s="402"/>
      <c r="H1106" s="402"/>
      <c r="I1106" s="402"/>
      <c r="J1106" s="402"/>
      <c r="K1106" s="154"/>
      <c r="L1106" s="154"/>
      <c r="M1106" s="148"/>
      <c r="N1106" s="154"/>
      <c r="O1106" s="154"/>
      <c r="P1106" s="154"/>
      <c r="Q1106" s="154"/>
    </row>
    <row r="1107" ht="15.75" customHeight="1">
      <c r="A1107" s="154"/>
      <c r="B1107" s="154"/>
      <c r="C1107" s="154"/>
      <c r="D1107" s="402"/>
      <c r="E1107" s="402"/>
      <c r="F1107" s="402"/>
      <c r="G1107" s="402"/>
      <c r="H1107" s="402"/>
      <c r="I1107" s="402"/>
      <c r="J1107" s="402"/>
      <c r="K1107" s="154"/>
      <c r="L1107" s="154"/>
      <c r="M1107" s="148"/>
      <c r="N1107" s="154"/>
      <c r="O1107" s="154"/>
      <c r="P1107" s="154"/>
      <c r="Q1107" s="154"/>
    </row>
    <row r="1108" ht="15.75" customHeight="1">
      <c r="A1108" s="154"/>
      <c r="B1108" s="154"/>
      <c r="C1108" s="154"/>
      <c r="D1108" s="402"/>
      <c r="E1108" s="402"/>
      <c r="F1108" s="402"/>
      <c r="G1108" s="402"/>
      <c r="H1108" s="402"/>
      <c r="I1108" s="402"/>
      <c r="J1108" s="402"/>
      <c r="K1108" s="154"/>
      <c r="L1108" s="154"/>
      <c r="M1108" s="148"/>
      <c r="N1108" s="154"/>
      <c r="O1108" s="154"/>
      <c r="P1108" s="154"/>
      <c r="Q1108" s="154"/>
    </row>
    <row r="1109" ht="15.75" customHeight="1">
      <c r="A1109" s="154"/>
      <c r="B1109" s="154"/>
      <c r="C1109" s="154"/>
      <c r="D1109" s="402"/>
      <c r="E1109" s="402"/>
      <c r="F1109" s="402"/>
      <c r="G1109" s="402"/>
      <c r="H1109" s="402"/>
      <c r="I1109" s="402"/>
      <c r="J1109" s="402"/>
      <c r="K1109" s="154"/>
      <c r="L1109" s="154"/>
      <c r="M1109" s="148"/>
      <c r="N1109" s="154"/>
      <c r="O1109" s="154"/>
      <c r="P1109" s="154"/>
      <c r="Q1109" s="154"/>
    </row>
    <row r="1110" ht="15.75" customHeight="1">
      <c r="A1110" s="154"/>
      <c r="B1110" s="154"/>
      <c r="C1110" s="154"/>
      <c r="D1110" s="402"/>
      <c r="E1110" s="402"/>
      <c r="F1110" s="402"/>
      <c r="G1110" s="402"/>
      <c r="H1110" s="402"/>
      <c r="I1110" s="402"/>
      <c r="J1110" s="402"/>
      <c r="K1110" s="154"/>
      <c r="L1110" s="154"/>
      <c r="M1110" s="148"/>
      <c r="N1110" s="154"/>
      <c r="O1110" s="154"/>
      <c r="P1110" s="154"/>
      <c r="Q1110" s="154"/>
    </row>
    <row r="1111" ht="15.75" customHeight="1">
      <c r="A1111" s="154"/>
      <c r="B1111" s="154"/>
      <c r="C1111" s="154"/>
      <c r="D1111" s="402"/>
      <c r="E1111" s="402"/>
      <c r="F1111" s="402"/>
      <c r="G1111" s="402"/>
      <c r="H1111" s="402"/>
      <c r="I1111" s="402"/>
      <c r="J1111" s="402"/>
      <c r="K1111" s="154"/>
      <c r="L1111" s="154"/>
      <c r="M1111" s="148"/>
      <c r="N1111" s="154"/>
      <c r="O1111" s="154"/>
      <c r="P1111" s="154"/>
      <c r="Q1111" s="154"/>
    </row>
    <row r="1112" ht="15.75" customHeight="1">
      <c r="A1112" s="154"/>
      <c r="B1112" s="154"/>
      <c r="C1112" s="154"/>
      <c r="D1112" s="402"/>
      <c r="E1112" s="402"/>
      <c r="F1112" s="402"/>
      <c r="G1112" s="402"/>
      <c r="H1112" s="402"/>
      <c r="I1112" s="402"/>
      <c r="J1112" s="402"/>
      <c r="K1112" s="154"/>
      <c r="L1112" s="154"/>
      <c r="M1112" s="148"/>
      <c r="N1112" s="154"/>
      <c r="O1112" s="154"/>
      <c r="P1112" s="154"/>
      <c r="Q1112" s="154"/>
    </row>
    <row r="1113" ht="15.75" customHeight="1">
      <c r="A1113" s="154"/>
      <c r="B1113" s="154"/>
      <c r="C1113" s="154"/>
      <c r="D1113" s="402"/>
      <c r="E1113" s="402"/>
      <c r="F1113" s="402"/>
      <c r="G1113" s="402"/>
      <c r="H1113" s="402"/>
      <c r="I1113" s="402"/>
      <c r="J1113" s="402"/>
      <c r="K1113" s="154"/>
      <c r="L1113" s="154"/>
      <c r="M1113" s="148"/>
      <c r="N1113" s="154"/>
      <c r="O1113" s="154"/>
      <c r="P1113" s="154"/>
      <c r="Q1113" s="154"/>
    </row>
    <row r="1114" ht="15.75" customHeight="1">
      <c r="A1114" s="154"/>
      <c r="B1114" s="154"/>
      <c r="C1114" s="154"/>
      <c r="D1114" s="402"/>
      <c r="E1114" s="402"/>
      <c r="F1114" s="402"/>
      <c r="G1114" s="402"/>
      <c r="H1114" s="402"/>
      <c r="I1114" s="402"/>
      <c r="J1114" s="402"/>
      <c r="K1114" s="154"/>
      <c r="L1114" s="154"/>
      <c r="M1114" s="148"/>
      <c r="N1114" s="154"/>
      <c r="O1114" s="154"/>
      <c r="P1114" s="154"/>
      <c r="Q1114" s="154"/>
    </row>
    <row r="1115" ht="15.75" customHeight="1">
      <c r="A1115" s="154"/>
      <c r="B1115" s="154"/>
      <c r="C1115" s="154"/>
      <c r="D1115" s="402"/>
      <c r="E1115" s="402"/>
      <c r="F1115" s="402"/>
      <c r="G1115" s="402"/>
      <c r="H1115" s="402"/>
      <c r="I1115" s="402"/>
      <c r="J1115" s="402"/>
      <c r="K1115" s="154"/>
      <c r="L1115" s="154"/>
      <c r="M1115" s="148"/>
      <c r="N1115" s="154"/>
      <c r="O1115" s="154"/>
      <c r="P1115" s="154"/>
      <c r="Q1115" s="154"/>
    </row>
    <row r="1116" ht="15.75" customHeight="1">
      <c r="A1116" s="154"/>
      <c r="B1116" s="154"/>
      <c r="C1116" s="154"/>
      <c r="D1116" s="402"/>
      <c r="E1116" s="402"/>
      <c r="F1116" s="402"/>
      <c r="G1116" s="402"/>
      <c r="H1116" s="402"/>
      <c r="I1116" s="402"/>
      <c r="J1116" s="402"/>
      <c r="K1116" s="154"/>
      <c r="L1116" s="154"/>
      <c r="M1116" s="148"/>
      <c r="N1116" s="154"/>
      <c r="O1116" s="154"/>
      <c r="P1116" s="154"/>
      <c r="Q1116" s="154"/>
    </row>
    <row r="1117" ht="15.75" customHeight="1">
      <c r="A1117" s="154"/>
      <c r="B1117" s="154"/>
      <c r="C1117" s="154"/>
      <c r="D1117" s="402"/>
      <c r="E1117" s="402"/>
      <c r="F1117" s="402"/>
      <c r="G1117" s="402"/>
      <c r="H1117" s="402"/>
      <c r="I1117" s="402"/>
      <c r="J1117" s="402"/>
      <c r="K1117" s="154"/>
      <c r="L1117" s="154"/>
      <c r="M1117" s="148"/>
      <c r="N1117" s="154"/>
      <c r="O1117" s="154"/>
      <c r="P1117" s="154"/>
      <c r="Q1117" s="154"/>
    </row>
    <row r="1118" ht="15.75" customHeight="1">
      <c r="A1118" s="154"/>
      <c r="B1118" s="154"/>
      <c r="C1118" s="154"/>
      <c r="D1118" s="402"/>
      <c r="E1118" s="402"/>
      <c r="F1118" s="402"/>
      <c r="G1118" s="402"/>
      <c r="H1118" s="402"/>
      <c r="I1118" s="402"/>
      <c r="J1118" s="402"/>
      <c r="K1118" s="154"/>
      <c r="L1118" s="154"/>
      <c r="M1118" s="148"/>
      <c r="N1118" s="154"/>
      <c r="O1118" s="154"/>
      <c r="P1118" s="154"/>
      <c r="Q1118" s="154"/>
    </row>
    <row r="1119" ht="15.75" customHeight="1">
      <c r="A1119" s="154"/>
      <c r="B1119" s="154"/>
      <c r="C1119" s="154"/>
      <c r="D1119" s="402"/>
      <c r="E1119" s="402"/>
      <c r="F1119" s="402"/>
      <c r="G1119" s="402"/>
      <c r="H1119" s="402"/>
      <c r="I1119" s="402"/>
      <c r="J1119" s="402"/>
      <c r="K1119" s="154"/>
      <c r="L1119" s="154"/>
      <c r="M1119" s="148"/>
      <c r="N1119" s="154"/>
      <c r="O1119" s="154"/>
      <c r="P1119" s="154"/>
      <c r="Q1119" s="154"/>
    </row>
    <row r="1120" ht="15.75" customHeight="1">
      <c r="A1120" s="154"/>
      <c r="B1120" s="154"/>
      <c r="C1120" s="154"/>
      <c r="D1120" s="402"/>
      <c r="E1120" s="402"/>
      <c r="F1120" s="402"/>
      <c r="G1120" s="402"/>
      <c r="H1120" s="402"/>
      <c r="I1120" s="402"/>
      <c r="J1120" s="402"/>
      <c r="K1120" s="154"/>
      <c r="L1120" s="154"/>
      <c r="M1120" s="148"/>
      <c r="N1120" s="154"/>
      <c r="O1120" s="154"/>
      <c r="P1120" s="154"/>
      <c r="Q1120" s="154"/>
    </row>
    <row r="1121" ht="15.75" customHeight="1">
      <c r="A1121" s="154"/>
      <c r="B1121" s="154"/>
      <c r="C1121" s="154"/>
      <c r="D1121" s="402"/>
      <c r="E1121" s="402"/>
      <c r="F1121" s="402"/>
      <c r="G1121" s="402"/>
      <c r="H1121" s="402"/>
      <c r="I1121" s="402"/>
      <c r="J1121" s="402"/>
      <c r="K1121" s="154"/>
      <c r="L1121" s="154"/>
      <c r="M1121" s="148"/>
      <c r="N1121" s="154"/>
      <c r="O1121" s="154"/>
      <c r="P1121" s="154"/>
      <c r="Q1121" s="154"/>
    </row>
    <row r="1122" ht="15.75" customHeight="1">
      <c r="A1122" s="154"/>
      <c r="B1122" s="154"/>
      <c r="C1122" s="154"/>
      <c r="D1122" s="402"/>
      <c r="E1122" s="402"/>
      <c r="F1122" s="402"/>
      <c r="G1122" s="402"/>
      <c r="H1122" s="402"/>
      <c r="I1122" s="402"/>
      <c r="J1122" s="402"/>
      <c r="K1122" s="154"/>
      <c r="L1122" s="154"/>
      <c r="M1122" s="148"/>
      <c r="N1122" s="154"/>
      <c r="O1122" s="154"/>
      <c r="P1122" s="154"/>
      <c r="Q1122" s="154"/>
    </row>
    <row r="1123" ht="15.75" customHeight="1">
      <c r="A1123" s="154"/>
      <c r="B1123" s="154"/>
      <c r="C1123" s="154"/>
      <c r="D1123" s="402"/>
      <c r="E1123" s="402"/>
      <c r="F1123" s="402"/>
      <c r="G1123" s="402"/>
      <c r="H1123" s="402"/>
      <c r="I1123" s="402"/>
      <c r="J1123" s="402"/>
      <c r="K1123" s="154"/>
      <c r="L1123" s="154"/>
      <c r="M1123" s="148"/>
      <c r="N1123" s="154"/>
      <c r="O1123" s="154"/>
      <c r="P1123" s="154"/>
      <c r="Q1123" s="154"/>
    </row>
    <row r="1124" ht="15.75" customHeight="1">
      <c r="A1124" s="154"/>
      <c r="B1124" s="154"/>
      <c r="C1124" s="154"/>
      <c r="D1124" s="402"/>
      <c r="E1124" s="402"/>
      <c r="F1124" s="402"/>
      <c r="G1124" s="402"/>
      <c r="H1124" s="402"/>
      <c r="I1124" s="402"/>
      <c r="J1124" s="402"/>
      <c r="K1124" s="154"/>
      <c r="L1124" s="154"/>
      <c r="M1124" s="148"/>
      <c r="N1124" s="154"/>
      <c r="O1124" s="154"/>
      <c r="P1124" s="154"/>
      <c r="Q1124" s="154"/>
    </row>
    <row r="1125" ht="15.75" customHeight="1">
      <c r="A1125" s="154"/>
      <c r="B1125" s="154"/>
      <c r="C1125" s="154"/>
      <c r="D1125" s="402"/>
      <c r="E1125" s="402"/>
      <c r="F1125" s="402"/>
      <c r="G1125" s="402"/>
      <c r="H1125" s="402"/>
      <c r="I1125" s="402"/>
      <c r="J1125" s="402"/>
      <c r="K1125" s="154"/>
      <c r="L1125" s="154"/>
      <c r="M1125" s="148"/>
      <c r="N1125" s="154"/>
      <c r="O1125" s="154"/>
      <c r="P1125" s="154"/>
      <c r="Q1125" s="154"/>
    </row>
    <row r="1126" ht="15.75" customHeight="1">
      <c r="A1126" s="154"/>
      <c r="B1126" s="154"/>
      <c r="C1126" s="154"/>
      <c r="D1126" s="402"/>
      <c r="E1126" s="402"/>
      <c r="F1126" s="402"/>
      <c r="G1126" s="402"/>
      <c r="H1126" s="402"/>
      <c r="I1126" s="402"/>
      <c r="J1126" s="402"/>
      <c r="K1126" s="154"/>
      <c r="L1126" s="154"/>
      <c r="M1126" s="148"/>
      <c r="N1126" s="154"/>
      <c r="O1126" s="154"/>
      <c r="P1126" s="154"/>
      <c r="Q1126" s="154"/>
    </row>
    <row r="1127" ht="15.75" customHeight="1">
      <c r="A1127" s="154"/>
      <c r="B1127" s="154"/>
      <c r="C1127" s="154"/>
      <c r="D1127" s="402"/>
      <c r="E1127" s="402"/>
      <c r="F1127" s="402"/>
      <c r="G1127" s="402"/>
      <c r="H1127" s="402"/>
      <c r="I1127" s="402"/>
      <c r="J1127" s="402"/>
      <c r="K1127" s="154"/>
      <c r="L1127" s="154"/>
      <c r="M1127" s="148"/>
      <c r="N1127" s="154"/>
      <c r="O1127" s="154"/>
      <c r="P1127" s="154"/>
      <c r="Q1127" s="154"/>
    </row>
    <row r="1128" ht="15.75" customHeight="1">
      <c r="A1128" s="154"/>
      <c r="B1128" s="154"/>
      <c r="C1128" s="154"/>
      <c r="D1128" s="402"/>
      <c r="E1128" s="402"/>
      <c r="F1128" s="402"/>
      <c r="G1128" s="402"/>
      <c r="H1128" s="402"/>
      <c r="I1128" s="402"/>
      <c r="J1128" s="402"/>
      <c r="K1128" s="154"/>
      <c r="L1128" s="154"/>
      <c r="M1128" s="148"/>
      <c r="N1128" s="154"/>
      <c r="O1128" s="154"/>
      <c r="P1128" s="154"/>
      <c r="Q1128" s="154"/>
    </row>
    <row r="1129" ht="15.75" customHeight="1">
      <c r="A1129" s="154"/>
      <c r="B1129" s="154"/>
      <c r="C1129" s="154"/>
      <c r="D1129" s="402"/>
      <c r="E1129" s="402"/>
      <c r="F1129" s="402"/>
      <c r="G1129" s="402"/>
      <c r="H1129" s="402"/>
      <c r="I1129" s="402"/>
      <c r="J1129" s="402"/>
      <c r="K1129" s="154"/>
      <c r="L1129" s="154"/>
      <c r="M1129" s="148"/>
      <c r="N1129" s="154"/>
      <c r="O1129" s="154"/>
      <c r="P1129" s="154"/>
      <c r="Q1129" s="154"/>
    </row>
    <row r="1130" ht="15.75" customHeight="1">
      <c r="A1130" s="154"/>
      <c r="B1130" s="154"/>
      <c r="C1130" s="154"/>
      <c r="D1130" s="402"/>
      <c r="E1130" s="402"/>
      <c r="F1130" s="402"/>
      <c r="G1130" s="402"/>
      <c r="H1130" s="402"/>
      <c r="I1130" s="402"/>
      <c r="J1130" s="402"/>
      <c r="K1130" s="154"/>
      <c r="L1130" s="154"/>
      <c r="M1130" s="148"/>
      <c r="N1130" s="154"/>
      <c r="O1130" s="154"/>
      <c r="P1130" s="154"/>
      <c r="Q1130" s="154"/>
    </row>
    <row r="1131" ht="15.75" customHeight="1">
      <c r="A1131" s="154"/>
      <c r="B1131" s="154"/>
      <c r="C1131" s="154"/>
      <c r="D1131" s="402"/>
      <c r="E1131" s="402"/>
      <c r="F1131" s="402"/>
      <c r="G1131" s="402"/>
      <c r="H1131" s="402"/>
      <c r="I1131" s="402"/>
      <c r="J1131" s="402"/>
      <c r="K1131" s="154"/>
      <c r="L1131" s="154"/>
      <c r="M1131" s="148"/>
      <c r="N1131" s="154"/>
      <c r="O1131" s="154"/>
      <c r="P1131" s="154"/>
      <c r="Q1131" s="154"/>
    </row>
    <row r="1132" ht="15.75" customHeight="1">
      <c r="A1132" s="154"/>
      <c r="B1132" s="154"/>
      <c r="C1132" s="154"/>
      <c r="D1132" s="402"/>
      <c r="E1132" s="402"/>
      <c r="F1132" s="402"/>
      <c r="G1132" s="402"/>
      <c r="H1132" s="402"/>
      <c r="I1132" s="402"/>
      <c r="J1132" s="402"/>
      <c r="K1132" s="154"/>
      <c r="L1132" s="154"/>
      <c r="M1132" s="148"/>
      <c r="N1132" s="154"/>
      <c r="O1132" s="154"/>
      <c r="P1132" s="154"/>
      <c r="Q1132" s="154"/>
    </row>
    <row r="1133" ht="15.75" customHeight="1">
      <c r="A1133" s="154"/>
      <c r="B1133" s="154"/>
      <c r="C1133" s="154"/>
      <c r="D1133" s="402"/>
      <c r="E1133" s="402"/>
      <c r="F1133" s="402"/>
      <c r="G1133" s="402"/>
      <c r="H1133" s="402"/>
      <c r="I1133" s="402"/>
      <c r="J1133" s="402"/>
      <c r="K1133" s="154"/>
      <c r="L1133" s="154"/>
      <c r="M1133" s="148"/>
      <c r="N1133" s="154"/>
      <c r="O1133" s="154"/>
      <c r="P1133" s="154"/>
      <c r="Q1133" s="154"/>
    </row>
    <row r="1134" ht="15.75" customHeight="1">
      <c r="A1134" s="154"/>
      <c r="B1134" s="154"/>
      <c r="C1134" s="154"/>
      <c r="D1134" s="402"/>
      <c r="E1134" s="402"/>
      <c r="F1134" s="402"/>
      <c r="G1134" s="402"/>
      <c r="H1134" s="402"/>
      <c r="I1134" s="402"/>
      <c r="J1134" s="402"/>
      <c r="K1134" s="154"/>
      <c r="L1134" s="154"/>
      <c r="M1134" s="148"/>
      <c r="N1134" s="154"/>
      <c r="O1134" s="154"/>
      <c r="P1134" s="154"/>
      <c r="Q1134" s="154"/>
    </row>
    <row r="1135" ht="15.75" customHeight="1">
      <c r="A1135" s="154"/>
      <c r="B1135" s="154"/>
      <c r="C1135" s="154"/>
      <c r="D1135" s="402"/>
      <c r="E1135" s="402"/>
      <c r="F1135" s="402"/>
      <c r="G1135" s="402"/>
      <c r="H1135" s="402"/>
      <c r="I1135" s="402"/>
      <c r="J1135" s="402"/>
      <c r="K1135" s="154"/>
      <c r="L1135" s="154"/>
      <c r="M1135" s="148"/>
      <c r="N1135" s="154"/>
      <c r="O1135" s="154"/>
      <c r="P1135" s="154"/>
      <c r="Q1135" s="154"/>
    </row>
    <row r="1136" ht="15.75" customHeight="1">
      <c r="A1136" s="154"/>
      <c r="B1136" s="154"/>
      <c r="C1136" s="154"/>
      <c r="D1136" s="402"/>
      <c r="E1136" s="402"/>
      <c r="F1136" s="402"/>
      <c r="G1136" s="402"/>
      <c r="H1136" s="402"/>
      <c r="I1136" s="402"/>
      <c r="J1136" s="402"/>
      <c r="K1136" s="154"/>
      <c r="L1136" s="154"/>
      <c r="M1136" s="148"/>
      <c r="N1136" s="154"/>
      <c r="O1136" s="154"/>
      <c r="P1136" s="154"/>
      <c r="Q1136" s="154"/>
    </row>
    <row r="1137" ht="15.75" customHeight="1">
      <c r="A1137" s="154"/>
      <c r="B1137" s="154"/>
      <c r="C1137" s="154"/>
      <c r="D1137" s="402"/>
      <c r="E1137" s="402"/>
      <c r="F1137" s="402"/>
      <c r="G1137" s="402"/>
      <c r="H1137" s="402"/>
      <c r="I1137" s="402"/>
      <c r="J1137" s="402"/>
      <c r="K1137" s="154"/>
      <c r="L1137" s="154"/>
      <c r="M1137" s="148"/>
      <c r="N1137" s="154"/>
      <c r="O1137" s="154"/>
      <c r="P1137" s="154"/>
      <c r="Q1137" s="154"/>
    </row>
    <row r="1138" ht="15.75" customHeight="1">
      <c r="A1138" s="154"/>
      <c r="B1138" s="154"/>
      <c r="C1138" s="154"/>
      <c r="D1138" s="402"/>
      <c r="E1138" s="402"/>
      <c r="F1138" s="402"/>
      <c r="G1138" s="402"/>
      <c r="H1138" s="402"/>
      <c r="I1138" s="402"/>
      <c r="J1138" s="402"/>
      <c r="K1138" s="154"/>
      <c r="L1138" s="154"/>
      <c r="M1138" s="148"/>
      <c r="N1138" s="154"/>
      <c r="O1138" s="154"/>
      <c r="P1138" s="154"/>
      <c r="Q1138" s="154"/>
    </row>
    <row r="1139" ht="15.75" customHeight="1">
      <c r="A1139" s="154"/>
      <c r="B1139" s="154"/>
      <c r="C1139" s="154"/>
      <c r="D1139" s="402"/>
      <c r="E1139" s="402"/>
      <c r="F1139" s="402"/>
      <c r="G1139" s="402"/>
      <c r="H1139" s="402"/>
      <c r="I1139" s="402"/>
      <c r="J1139" s="402"/>
      <c r="K1139" s="154"/>
      <c r="L1139" s="154"/>
      <c r="M1139" s="148"/>
      <c r="N1139" s="154"/>
      <c r="O1139" s="154"/>
      <c r="P1139" s="154"/>
      <c r="Q1139" s="154"/>
    </row>
    <row r="1140" ht="15.75" customHeight="1">
      <c r="A1140" s="154"/>
      <c r="B1140" s="154"/>
      <c r="C1140" s="154"/>
      <c r="D1140" s="402"/>
      <c r="E1140" s="402"/>
      <c r="F1140" s="402"/>
      <c r="G1140" s="402"/>
      <c r="H1140" s="402"/>
      <c r="I1140" s="402"/>
      <c r="J1140" s="402"/>
      <c r="K1140" s="154"/>
      <c r="L1140" s="154"/>
      <c r="M1140" s="148"/>
      <c r="N1140" s="154"/>
      <c r="O1140" s="154"/>
      <c r="P1140" s="154"/>
      <c r="Q1140" s="154"/>
    </row>
    <row r="1141" ht="15.75" customHeight="1">
      <c r="A1141" s="154"/>
      <c r="B1141" s="154"/>
      <c r="C1141" s="154"/>
      <c r="D1141" s="402"/>
      <c r="E1141" s="402"/>
      <c r="F1141" s="402"/>
      <c r="G1141" s="402"/>
      <c r="H1141" s="402"/>
      <c r="I1141" s="402"/>
      <c r="J1141" s="402"/>
      <c r="K1141" s="154"/>
      <c r="L1141" s="154"/>
      <c r="M1141" s="148"/>
      <c r="N1141" s="154"/>
      <c r="O1141" s="154"/>
      <c r="P1141" s="154"/>
      <c r="Q1141" s="154"/>
    </row>
    <row r="1142" ht="15.75" customHeight="1">
      <c r="A1142" s="154"/>
      <c r="B1142" s="154"/>
      <c r="C1142" s="154"/>
      <c r="D1142" s="402"/>
      <c r="E1142" s="402"/>
      <c r="F1142" s="402"/>
      <c r="G1142" s="402"/>
      <c r="H1142" s="402"/>
      <c r="I1142" s="402"/>
      <c r="J1142" s="402"/>
      <c r="K1142" s="154"/>
      <c r="L1142" s="154"/>
      <c r="M1142" s="148"/>
      <c r="N1142" s="154"/>
      <c r="O1142" s="154"/>
      <c r="P1142" s="154"/>
      <c r="Q1142" s="154"/>
    </row>
    <row r="1143" ht="15.75" customHeight="1">
      <c r="A1143" s="154"/>
      <c r="B1143" s="154"/>
      <c r="C1143" s="154"/>
      <c r="D1143" s="402"/>
      <c r="E1143" s="402"/>
      <c r="F1143" s="402"/>
      <c r="G1143" s="402"/>
      <c r="H1143" s="402"/>
      <c r="I1143" s="402"/>
      <c r="J1143" s="402"/>
      <c r="K1143" s="154"/>
      <c r="L1143" s="154"/>
      <c r="M1143" s="148"/>
      <c r="N1143" s="154"/>
      <c r="O1143" s="154"/>
      <c r="P1143" s="154"/>
      <c r="Q1143" s="154"/>
    </row>
    <row r="1144" ht="15.75" customHeight="1">
      <c r="A1144" s="154"/>
      <c r="B1144" s="154"/>
      <c r="C1144" s="154"/>
      <c r="D1144" s="402"/>
      <c r="E1144" s="402"/>
      <c r="F1144" s="402"/>
      <c r="G1144" s="402"/>
      <c r="H1144" s="402"/>
      <c r="I1144" s="402"/>
      <c r="J1144" s="402"/>
      <c r="K1144" s="154"/>
      <c r="L1144" s="154"/>
      <c r="M1144" s="148"/>
      <c r="N1144" s="154"/>
      <c r="O1144" s="154"/>
      <c r="P1144" s="154"/>
      <c r="Q1144" s="154"/>
    </row>
    <row r="1145" ht="15.75" customHeight="1">
      <c r="A1145" s="154"/>
      <c r="B1145" s="154"/>
      <c r="C1145" s="154"/>
      <c r="D1145" s="402"/>
      <c r="E1145" s="402"/>
      <c r="F1145" s="402"/>
      <c r="G1145" s="402"/>
      <c r="H1145" s="402"/>
      <c r="I1145" s="402"/>
      <c r="J1145" s="402"/>
      <c r="K1145" s="154"/>
      <c r="L1145" s="154"/>
      <c r="M1145" s="148"/>
      <c r="N1145" s="154"/>
      <c r="O1145" s="154"/>
      <c r="P1145" s="154"/>
      <c r="Q1145" s="154"/>
    </row>
    <row r="1146" ht="15.75" customHeight="1">
      <c r="A1146" s="154"/>
      <c r="B1146" s="154"/>
      <c r="C1146" s="154"/>
      <c r="D1146" s="402"/>
      <c r="E1146" s="402"/>
      <c r="F1146" s="402"/>
      <c r="G1146" s="402"/>
      <c r="H1146" s="402"/>
      <c r="I1146" s="402"/>
      <c r="J1146" s="402"/>
      <c r="K1146" s="154"/>
      <c r="L1146" s="154"/>
      <c r="M1146" s="148"/>
      <c r="N1146" s="154"/>
      <c r="O1146" s="154"/>
      <c r="P1146" s="154"/>
      <c r="Q1146" s="154"/>
    </row>
    <row r="1147" ht="15.75" customHeight="1">
      <c r="A1147" s="154"/>
      <c r="B1147" s="154"/>
      <c r="C1147" s="154"/>
      <c r="D1147" s="402"/>
      <c r="E1147" s="402"/>
      <c r="F1147" s="402"/>
      <c r="G1147" s="402"/>
      <c r="H1147" s="402"/>
      <c r="I1147" s="402"/>
      <c r="J1147" s="402"/>
      <c r="K1147" s="154"/>
      <c r="L1147" s="154"/>
      <c r="M1147" s="148"/>
      <c r="N1147" s="154"/>
      <c r="O1147" s="154"/>
      <c r="P1147" s="154"/>
      <c r="Q1147" s="154"/>
    </row>
    <row r="1148" ht="15.75" customHeight="1">
      <c r="A1148" s="154"/>
      <c r="B1148" s="154"/>
      <c r="C1148" s="154"/>
      <c r="D1148" s="402"/>
      <c r="E1148" s="402"/>
      <c r="F1148" s="402"/>
      <c r="G1148" s="402"/>
      <c r="H1148" s="402"/>
      <c r="I1148" s="402"/>
      <c r="J1148" s="402"/>
      <c r="K1148" s="154"/>
      <c r="L1148" s="154"/>
      <c r="M1148" s="148"/>
      <c r="N1148" s="154"/>
      <c r="O1148" s="154"/>
      <c r="P1148" s="154"/>
      <c r="Q1148" s="154"/>
    </row>
    <row r="1149" ht="15.75" customHeight="1">
      <c r="A1149" s="154"/>
      <c r="B1149" s="154"/>
      <c r="C1149" s="154"/>
      <c r="D1149" s="402"/>
      <c r="E1149" s="402"/>
      <c r="F1149" s="402"/>
      <c r="G1149" s="402"/>
      <c r="H1149" s="402"/>
      <c r="I1149" s="402"/>
      <c r="J1149" s="402"/>
      <c r="K1149" s="154"/>
      <c r="L1149" s="154"/>
      <c r="M1149" s="148"/>
      <c r="N1149" s="154"/>
      <c r="O1149" s="154"/>
      <c r="P1149" s="154"/>
      <c r="Q1149" s="154"/>
    </row>
    <row r="1150" ht="15.75" customHeight="1">
      <c r="A1150" s="154"/>
      <c r="B1150" s="154"/>
      <c r="C1150" s="154"/>
      <c r="D1150" s="402"/>
      <c r="E1150" s="402"/>
      <c r="F1150" s="402"/>
      <c r="G1150" s="402"/>
      <c r="H1150" s="402"/>
      <c r="I1150" s="402"/>
      <c r="J1150" s="402"/>
      <c r="K1150" s="154"/>
      <c r="L1150" s="154"/>
      <c r="M1150" s="148"/>
      <c r="N1150" s="154"/>
      <c r="O1150" s="154"/>
      <c r="P1150" s="154"/>
      <c r="Q1150" s="154"/>
    </row>
    <row r="1151" ht="15.75" customHeight="1">
      <c r="A1151" s="154"/>
      <c r="B1151" s="154"/>
      <c r="C1151" s="154"/>
      <c r="D1151" s="402"/>
      <c r="E1151" s="402"/>
      <c r="F1151" s="402"/>
      <c r="G1151" s="402"/>
      <c r="H1151" s="402"/>
      <c r="I1151" s="402"/>
      <c r="J1151" s="402"/>
      <c r="K1151" s="154"/>
      <c r="L1151" s="154"/>
      <c r="M1151" s="148"/>
      <c r="N1151" s="154"/>
      <c r="O1151" s="154"/>
      <c r="P1151" s="154"/>
      <c r="Q1151" s="154"/>
    </row>
    <row r="1152" ht="15.75" customHeight="1">
      <c r="A1152" s="154"/>
      <c r="B1152" s="154"/>
      <c r="C1152" s="154"/>
      <c r="D1152" s="402"/>
      <c r="E1152" s="402"/>
      <c r="F1152" s="402"/>
      <c r="G1152" s="402"/>
      <c r="H1152" s="402"/>
      <c r="I1152" s="402"/>
      <c r="J1152" s="402"/>
      <c r="K1152" s="154"/>
      <c r="L1152" s="154"/>
      <c r="M1152" s="148"/>
      <c r="N1152" s="154"/>
      <c r="O1152" s="154"/>
      <c r="P1152" s="154"/>
      <c r="Q1152" s="154"/>
    </row>
    <row r="1153" ht="15.75" customHeight="1">
      <c r="A1153" s="154"/>
      <c r="B1153" s="154"/>
      <c r="C1153" s="154"/>
      <c r="D1153" s="402"/>
      <c r="E1153" s="402"/>
      <c r="F1153" s="402"/>
      <c r="G1153" s="402"/>
      <c r="H1153" s="402"/>
      <c r="I1153" s="402"/>
      <c r="J1153" s="402"/>
      <c r="K1153" s="154"/>
      <c r="L1153" s="154"/>
      <c r="M1153" s="148"/>
      <c r="N1153" s="154"/>
      <c r="O1153" s="154"/>
      <c r="P1153" s="154"/>
      <c r="Q1153" s="154"/>
    </row>
    <row r="1154" ht="15.75" customHeight="1">
      <c r="A1154" s="154"/>
      <c r="B1154" s="154"/>
      <c r="C1154" s="154"/>
      <c r="D1154" s="402"/>
      <c r="E1154" s="402"/>
      <c r="F1154" s="402"/>
      <c r="G1154" s="402"/>
      <c r="H1154" s="402"/>
      <c r="I1154" s="402"/>
      <c r="J1154" s="402"/>
      <c r="K1154" s="154"/>
      <c r="L1154" s="154"/>
      <c r="M1154" s="148"/>
      <c r="N1154" s="154"/>
      <c r="O1154" s="154"/>
      <c r="P1154" s="154"/>
      <c r="Q1154" s="154"/>
    </row>
    <row r="1155" ht="15.75" customHeight="1">
      <c r="A1155" s="154"/>
      <c r="B1155" s="154"/>
      <c r="C1155" s="154"/>
      <c r="D1155" s="402"/>
      <c r="E1155" s="402"/>
      <c r="F1155" s="402"/>
      <c r="G1155" s="402"/>
      <c r="H1155" s="402"/>
      <c r="I1155" s="402"/>
      <c r="J1155" s="402"/>
      <c r="K1155" s="154"/>
      <c r="L1155" s="154"/>
      <c r="M1155" s="148"/>
      <c r="N1155" s="154"/>
      <c r="O1155" s="154"/>
      <c r="P1155" s="154"/>
      <c r="Q1155" s="154"/>
    </row>
    <row r="1156" ht="15.75" customHeight="1">
      <c r="A1156" s="154"/>
      <c r="B1156" s="154"/>
      <c r="C1156" s="154"/>
      <c r="D1156" s="402"/>
      <c r="E1156" s="402"/>
      <c r="F1156" s="402"/>
      <c r="G1156" s="402"/>
      <c r="H1156" s="402"/>
      <c r="I1156" s="402"/>
      <c r="J1156" s="402"/>
      <c r="K1156" s="154"/>
      <c r="L1156" s="154"/>
      <c r="M1156" s="148"/>
      <c r="N1156" s="154"/>
      <c r="O1156" s="154"/>
      <c r="P1156" s="154"/>
      <c r="Q1156" s="154"/>
    </row>
    <row r="1157" ht="15.75" customHeight="1">
      <c r="A1157" s="154"/>
      <c r="B1157" s="154"/>
      <c r="C1157" s="154"/>
      <c r="D1157" s="402"/>
      <c r="E1157" s="402"/>
      <c r="F1157" s="402"/>
      <c r="G1157" s="402"/>
      <c r="H1157" s="402"/>
      <c r="I1157" s="402"/>
      <c r="J1157" s="402"/>
      <c r="K1157" s="154"/>
      <c r="L1157" s="154"/>
      <c r="M1157" s="148"/>
      <c r="N1157" s="154"/>
      <c r="O1157" s="154"/>
      <c r="P1157" s="154"/>
      <c r="Q1157" s="154"/>
    </row>
    <row r="1158" ht="15.75" customHeight="1">
      <c r="A1158" s="154"/>
      <c r="B1158" s="154"/>
      <c r="C1158" s="154"/>
      <c r="D1158" s="402"/>
      <c r="E1158" s="402"/>
      <c r="F1158" s="402"/>
      <c r="G1158" s="402"/>
      <c r="H1158" s="402"/>
      <c r="I1158" s="402"/>
      <c r="J1158" s="402"/>
      <c r="K1158" s="154"/>
      <c r="L1158" s="154"/>
      <c r="M1158" s="148"/>
      <c r="N1158" s="154"/>
      <c r="O1158" s="154"/>
      <c r="P1158" s="154"/>
      <c r="Q1158" s="154"/>
    </row>
    <row r="1159" ht="15.75" customHeight="1">
      <c r="A1159" s="154"/>
      <c r="B1159" s="154"/>
      <c r="C1159" s="154"/>
      <c r="D1159" s="402"/>
      <c r="E1159" s="402"/>
      <c r="F1159" s="402"/>
      <c r="G1159" s="402"/>
      <c r="H1159" s="402"/>
      <c r="I1159" s="402"/>
      <c r="J1159" s="402"/>
      <c r="K1159" s="154"/>
      <c r="L1159" s="154"/>
      <c r="M1159" s="148"/>
      <c r="N1159" s="154"/>
      <c r="O1159" s="154"/>
      <c r="P1159" s="154"/>
      <c r="Q1159" s="154"/>
    </row>
  </sheetData>
  <mergeCells count="10">
    <mergeCell ref="M1:N1"/>
    <mergeCell ref="O1:O2"/>
    <mergeCell ref="P1:Q1"/>
    <mergeCell ref="A1:A2"/>
    <mergeCell ref="B1:B2"/>
    <mergeCell ref="C1:C2"/>
    <mergeCell ref="D1:F1"/>
    <mergeCell ref="G1:G2"/>
    <mergeCell ref="H1:I1"/>
    <mergeCell ref="J1:L1"/>
  </mergeCells>
  <conditionalFormatting sqref="A4:E4 G4:P4 A6:E6 G6:P6 A128:E159 G128:P159 A161:E163 G161:P163 A165:E225 G165:P225 A227:E263 G227:P263 A265:E319 G265:P319 A321:E367 G321:P367 A369:E369 G369:P369 A371:E388 G371:P388 A390:E479 G390:P479 A481:E570 G481:P570 A572:E595 G572:P595 A597:E654 G597:P654 A656:E775 G656:P775 A777:E808 G777:P808 A810:E825 G810:P825 A827:E853 G827:P853 A855:E898 G855:P898 A900:E928 G900:P928 A930:E972 G930:P972">
    <cfRule type="containsBlanks" dxfId="0" priority="1">
      <formula>LEN(TRIM(A4))=0</formula>
    </cfRule>
  </conditionalFormatting>
  <dataValidations>
    <dataValidation type="list" allowBlank="1" showErrorMessage="1" sqref="P4 P6:P126 P128:P159 P161:P163 P165:P225 P227:P263 P265:P319 P321:P367 P369 P371:P388 P390:P479 P481:P570 P572:P595 P597:P654 P777:P808 P810:P825 P827:P853 P855:P898 P900:P928 P930:P972">
      <formula1>"YES,NO"</formula1>
    </dataValidation>
  </dataValidations>
  <printOptions horizontalCentered="1"/>
  <pageMargins bottom="0.0" footer="0.0" header="0.0" left="0.35" right="0.35" top="0.11217173272335373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.57"/>
    <col customWidth="1" min="2" max="2" width="34.14"/>
    <col customWidth="1" min="3" max="3" width="41.14"/>
    <col customWidth="1" min="4" max="5" width="25.86"/>
    <col customWidth="1" min="6" max="6" width="12.71"/>
    <col customWidth="1" min="7" max="8" width="13.71"/>
    <col customWidth="1" min="9" max="9" width="18.43"/>
    <col customWidth="1" min="10" max="12" width="12.29"/>
    <col customWidth="1" min="13" max="13" width="18.57"/>
    <col customWidth="1" min="14" max="15" width="18.29"/>
    <col customWidth="1" min="16" max="17" width="15.43"/>
    <col customWidth="1" min="18" max="18" width="26.43"/>
    <col customWidth="1" min="19" max="30" width="14.43"/>
  </cols>
  <sheetData>
    <row r="1" ht="14.25" customHeight="1">
      <c r="A1" s="199" t="s">
        <v>2696</v>
      </c>
      <c r="B1" s="200" t="s">
        <v>2697</v>
      </c>
      <c r="C1" s="200" t="s">
        <v>2698</v>
      </c>
      <c r="D1" s="201" t="s">
        <v>3</v>
      </c>
      <c r="E1" s="5"/>
      <c r="F1" s="6"/>
      <c r="G1" s="309" t="s">
        <v>7003</v>
      </c>
      <c r="H1" s="203" t="s">
        <v>5</v>
      </c>
      <c r="I1" s="9"/>
      <c r="J1" s="203" t="s">
        <v>6</v>
      </c>
      <c r="K1" s="10"/>
      <c r="L1" s="9"/>
      <c r="M1" s="203" t="s">
        <v>7</v>
      </c>
      <c r="N1" s="9"/>
      <c r="O1" s="204" t="s">
        <v>7004</v>
      </c>
      <c r="P1" s="203" t="s">
        <v>9</v>
      </c>
      <c r="Q1" s="10"/>
      <c r="R1" s="9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</row>
    <row r="2" ht="86.25" customHeight="1">
      <c r="A2" s="12"/>
      <c r="B2" s="13"/>
      <c r="C2" s="13"/>
      <c r="D2" s="206" t="s">
        <v>10</v>
      </c>
      <c r="E2" s="206" t="s">
        <v>11</v>
      </c>
      <c r="F2" s="207" t="s">
        <v>12</v>
      </c>
      <c r="G2" s="16"/>
      <c r="H2" s="208" t="s">
        <v>7005</v>
      </c>
      <c r="I2" s="208" t="s">
        <v>7006</v>
      </c>
      <c r="J2" s="208" t="s">
        <v>7007</v>
      </c>
      <c r="K2" s="208" t="s">
        <v>7008</v>
      </c>
      <c r="L2" s="208" t="s">
        <v>7009</v>
      </c>
      <c r="M2" s="208" t="s">
        <v>7010</v>
      </c>
      <c r="N2" s="208" t="s">
        <v>7011</v>
      </c>
      <c r="O2" s="13"/>
      <c r="P2" s="208" t="s">
        <v>7012</v>
      </c>
      <c r="Q2" s="208"/>
      <c r="R2" s="208" t="s">
        <v>7013</v>
      </c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</row>
    <row r="3">
      <c r="A3" s="181"/>
      <c r="B3" s="182" t="s">
        <v>7014</v>
      </c>
      <c r="C3" s="182"/>
      <c r="D3" s="182"/>
      <c r="E3" s="182"/>
      <c r="F3" s="403"/>
      <c r="G3" s="404"/>
      <c r="H3" s="182"/>
      <c r="I3" s="182"/>
      <c r="J3" s="91"/>
      <c r="K3" s="91"/>
      <c r="L3" s="91"/>
      <c r="M3" s="91"/>
      <c r="N3" s="91"/>
      <c r="O3" s="91"/>
      <c r="P3" s="182"/>
      <c r="Q3" s="91"/>
      <c r="R3" s="218"/>
      <c r="S3" s="405"/>
      <c r="T3" s="405"/>
      <c r="U3" s="405"/>
      <c r="V3" s="405"/>
      <c r="W3" s="405"/>
      <c r="X3" s="405"/>
      <c r="Y3" s="405"/>
      <c r="Z3" s="405"/>
      <c r="AA3" s="405"/>
      <c r="AB3" s="405"/>
      <c r="AC3" s="405"/>
      <c r="AD3" s="405"/>
    </row>
    <row r="4">
      <c r="A4" s="211">
        <v>1.0</v>
      </c>
      <c r="B4" s="133"/>
      <c r="C4" s="133"/>
      <c r="D4" s="133"/>
      <c r="E4" s="133"/>
      <c r="F4" s="390"/>
      <c r="G4" s="275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</row>
    <row r="5" ht="14.25" customHeight="1">
      <c r="A5" s="211">
        <v>2.0</v>
      </c>
      <c r="B5" s="46"/>
      <c r="C5" s="46"/>
      <c r="D5" s="46"/>
      <c r="E5" s="46"/>
      <c r="F5" s="50"/>
      <c r="G5" s="275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</row>
    <row r="6" ht="14.25" customHeight="1">
      <c r="A6" s="211">
        <v>3.0</v>
      </c>
      <c r="B6" s="46"/>
      <c r="C6" s="46"/>
      <c r="D6" s="46"/>
      <c r="E6" s="46"/>
      <c r="F6" s="50"/>
      <c r="G6" s="275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</row>
    <row r="7">
      <c r="A7" s="181"/>
      <c r="B7" s="182" t="s">
        <v>2715</v>
      </c>
      <c r="C7" s="182"/>
      <c r="D7" s="182"/>
      <c r="E7" s="182"/>
      <c r="F7" s="403"/>
      <c r="G7" s="404"/>
      <c r="H7" s="182"/>
      <c r="I7" s="182"/>
      <c r="J7" s="91"/>
      <c r="K7" s="91"/>
      <c r="L7" s="91"/>
      <c r="M7" s="91"/>
      <c r="N7" s="91"/>
      <c r="O7" s="91"/>
      <c r="P7" s="182"/>
      <c r="Q7" s="91"/>
      <c r="R7" s="218"/>
      <c r="S7" s="405"/>
      <c r="T7" s="405"/>
      <c r="U7" s="405"/>
      <c r="V7" s="405"/>
      <c r="W7" s="405"/>
      <c r="X7" s="405"/>
      <c r="Y7" s="405"/>
      <c r="Z7" s="405"/>
      <c r="AA7" s="405"/>
      <c r="AB7" s="405"/>
      <c r="AC7" s="405"/>
      <c r="AD7" s="405"/>
    </row>
    <row r="8" ht="14.25" customHeight="1">
      <c r="A8" s="211">
        <v>1.0</v>
      </c>
      <c r="B8" s="46" t="s">
        <v>2716</v>
      </c>
      <c r="C8" s="46" t="s">
        <v>2717</v>
      </c>
      <c r="D8" s="46"/>
      <c r="E8" s="46"/>
      <c r="F8" s="50"/>
      <c r="G8" s="275">
        <v>375.0</v>
      </c>
      <c r="H8" s="46">
        <v>45.0</v>
      </c>
      <c r="I8" s="46">
        <v>180.0</v>
      </c>
      <c r="J8" s="46">
        <v>1.0</v>
      </c>
      <c r="K8" s="46">
        <v>1.0</v>
      </c>
      <c r="L8" s="46">
        <v>0.0</v>
      </c>
      <c r="M8" s="46" t="s">
        <v>396</v>
      </c>
      <c r="N8" s="46" t="s">
        <v>449</v>
      </c>
      <c r="O8" s="46">
        <v>540.0</v>
      </c>
      <c r="P8" s="46" t="s">
        <v>66</v>
      </c>
      <c r="Q8" s="46">
        <v>1.0</v>
      </c>
      <c r="R8" s="46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</row>
    <row r="9">
      <c r="A9" s="181"/>
      <c r="B9" s="182" t="s">
        <v>2720</v>
      </c>
      <c r="C9" s="182" t="s">
        <v>2722</v>
      </c>
      <c r="D9" s="182"/>
      <c r="E9" s="182"/>
      <c r="F9" s="403"/>
      <c r="G9" s="404" t="s">
        <v>7015</v>
      </c>
      <c r="H9" s="182" t="s">
        <v>7016</v>
      </c>
      <c r="I9" s="182" t="s">
        <v>7017</v>
      </c>
      <c r="J9" s="91">
        <v>2.0</v>
      </c>
      <c r="K9" s="91">
        <v>2.0</v>
      </c>
      <c r="L9" s="91"/>
      <c r="M9" s="91"/>
      <c r="N9" s="91"/>
      <c r="O9" s="91"/>
      <c r="P9" s="182"/>
      <c r="Q9" s="91"/>
      <c r="R9" s="218"/>
      <c r="S9" s="405"/>
      <c r="T9" s="405"/>
      <c r="U9" s="405"/>
      <c r="V9" s="405"/>
      <c r="W9" s="405"/>
      <c r="X9" s="405"/>
      <c r="Y9" s="405"/>
      <c r="Z9" s="405"/>
      <c r="AA9" s="405"/>
      <c r="AB9" s="405"/>
      <c r="AC9" s="405"/>
      <c r="AD9" s="405"/>
    </row>
    <row r="10" ht="14.25" customHeight="1">
      <c r="A10" s="211">
        <v>1.0</v>
      </c>
      <c r="B10" s="46" t="s">
        <v>7018</v>
      </c>
      <c r="C10" s="46" t="s">
        <v>1552</v>
      </c>
      <c r="D10" s="46"/>
      <c r="E10" s="46"/>
      <c r="F10" s="50"/>
      <c r="G10" s="275" t="s">
        <v>7019</v>
      </c>
      <c r="H10" s="46">
        <v>40.0</v>
      </c>
      <c r="I10" s="46">
        <v>300.0</v>
      </c>
      <c r="J10" s="46">
        <v>2.0</v>
      </c>
      <c r="K10" s="46">
        <v>2.0</v>
      </c>
      <c r="L10" s="46">
        <v>10.0</v>
      </c>
      <c r="M10" s="46" t="s">
        <v>82</v>
      </c>
      <c r="N10" s="46"/>
      <c r="O10" s="46">
        <v>50000.0</v>
      </c>
      <c r="P10" s="46" t="s">
        <v>29</v>
      </c>
      <c r="Q10" s="46">
        <v>30.0</v>
      </c>
      <c r="R10" s="46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</row>
    <row r="11">
      <c r="A11" s="181"/>
      <c r="B11" s="182" t="s">
        <v>2724</v>
      </c>
      <c r="C11" s="182"/>
      <c r="D11" s="182"/>
      <c r="E11" s="182"/>
      <c r="F11" s="403"/>
      <c r="G11" s="404"/>
      <c r="H11" s="182"/>
      <c r="I11" s="182"/>
      <c r="J11" s="91"/>
      <c r="K11" s="91"/>
      <c r="L11" s="91"/>
      <c r="M11" s="91"/>
      <c r="N11" s="91"/>
      <c r="O11" s="91"/>
      <c r="P11" s="182"/>
      <c r="Q11" s="91"/>
      <c r="R11" s="218"/>
      <c r="S11" s="405"/>
      <c r="T11" s="405"/>
      <c r="U11" s="405"/>
      <c r="V11" s="405"/>
      <c r="W11" s="405"/>
      <c r="X11" s="405"/>
      <c r="Y11" s="405"/>
      <c r="Z11" s="405"/>
      <c r="AA11" s="405"/>
      <c r="AB11" s="405"/>
      <c r="AC11" s="405"/>
      <c r="AD11" s="405"/>
    </row>
    <row r="12" ht="22.5" customHeight="1">
      <c r="A12" s="211">
        <v>1.0</v>
      </c>
      <c r="B12" s="46" t="s">
        <v>2725</v>
      </c>
      <c r="C12" s="46" t="s">
        <v>2726</v>
      </c>
      <c r="D12" s="46"/>
      <c r="E12" s="46"/>
      <c r="F12" s="50"/>
      <c r="G12" s="275" t="s">
        <v>2729</v>
      </c>
      <c r="H12" s="223">
        <v>200.0</v>
      </c>
      <c r="I12" s="223">
        <v>800.0</v>
      </c>
      <c r="J12" s="223">
        <v>5.0</v>
      </c>
      <c r="K12" s="223">
        <v>10.0</v>
      </c>
      <c r="L12" s="46"/>
      <c r="M12" s="46" t="s">
        <v>2714</v>
      </c>
      <c r="N12" s="46" t="s">
        <v>1046</v>
      </c>
      <c r="O12" s="223">
        <v>1000.0</v>
      </c>
      <c r="P12" s="46" t="s">
        <v>29</v>
      </c>
      <c r="Q12" s="223">
        <v>0.0</v>
      </c>
      <c r="R12" s="46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</row>
    <row r="13" ht="24.0" customHeight="1">
      <c r="A13" s="211">
        <v>2.0</v>
      </c>
      <c r="B13" s="46" t="s">
        <v>2730</v>
      </c>
      <c r="C13" s="46" t="s">
        <v>2731</v>
      </c>
      <c r="D13" s="46"/>
      <c r="E13" s="46"/>
      <c r="F13" s="50"/>
      <c r="G13" s="275" t="s">
        <v>2732</v>
      </c>
      <c r="H13" s="223">
        <v>125.0</v>
      </c>
      <c r="I13" s="223">
        <v>250.0</v>
      </c>
      <c r="J13" s="223">
        <v>6.0</v>
      </c>
      <c r="K13" s="223">
        <v>6.0</v>
      </c>
      <c r="L13" s="46"/>
      <c r="M13" s="33" t="s">
        <v>2714</v>
      </c>
      <c r="N13" s="46" t="s">
        <v>1046</v>
      </c>
      <c r="O13" s="223">
        <v>300.0</v>
      </c>
      <c r="P13" s="46" t="s">
        <v>66</v>
      </c>
      <c r="Q13" s="223">
        <v>7.0</v>
      </c>
      <c r="R13" s="46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</row>
    <row r="14" ht="20.25" customHeight="1">
      <c r="A14" s="211">
        <v>3.0</v>
      </c>
      <c r="B14" s="46" t="s">
        <v>2733</v>
      </c>
      <c r="C14" s="46" t="s">
        <v>2734</v>
      </c>
      <c r="D14" s="46"/>
      <c r="E14" s="46"/>
      <c r="F14" s="50"/>
      <c r="G14" s="275" t="s">
        <v>2735</v>
      </c>
      <c r="H14" s="46"/>
      <c r="I14" s="223">
        <v>24.0</v>
      </c>
      <c r="J14" s="223">
        <v>2.0</v>
      </c>
      <c r="K14" s="223">
        <v>4.0</v>
      </c>
      <c r="L14" s="46"/>
      <c r="M14" s="46" t="s">
        <v>2714</v>
      </c>
      <c r="N14" s="46" t="s">
        <v>1046</v>
      </c>
      <c r="O14" s="46"/>
      <c r="P14" s="46" t="s">
        <v>66</v>
      </c>
      <c r="Q14" s="223">
        <v>24.0</v>
      </c>
      <c r="R14" s="46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</row>
    <row r="15" ht="19.5" customHeight="1">
      <c r="A15" s="211">
        <v>4.0</v>
      </c>
      <c r="B15" s="46" t="s">
        <v>2736</v>
      </c>
      <c r="C15" s="46" t="s">
        <v>2737</v>
      </c>
      <c r="D15" s="46"/>
      <c r="E15" s="46"/>
      <c r="F15" s="50"/>
      <c r="G15" s="275" t="s">
        <v>2738</v>
      </c>
      <c r="H15" s="223">
        <v>90.0</v>
      </c>
      <c r="I15" s="223">
        <v>450.0</v>
      </c>
      <c r="J15" s="223">
        <v>2.0</v>
      </c>
      <c r="K15" s="223">
        <v>5.0</v>
      </c>
      <c r="L15" s="46"/>
      <c r="M15" s="46" t="s">
        <v>2714</v>
      </c>
      <c r="N15" s="46" t="s">
        <v>1046</v>
      </c>
      <c r="O15" s="223">
        <v>400.0</v>
      </c>
      <c r="P15" s="46" t="s">
        <v>29</v>
      </c>
      <c r="Q15" s="223">
        <v>0.0</v>
      </c>
      <c r="R15" s="46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</row>
    <row r="16" ht="19.5" customHeight="1">
      <c r="A16" s="211">
        <v>5.0</v>
      </c>
      <c r="B16" s="46" t="s">
        <v>2739</v>
      </c>
      <c r="C16" s="46" t="s">
        <v>2737</v>
      </c>
      <c r="D16" s="46"/>
      <c r="E16" s="46"/>
      <c r="F16" s="50"/>
      <c r="G16" s="275" t="s">
        <v>2738</v>
      </c>
      <c r="H16" s="223">
        <v>50.0</v>
      </c>
      <c r="I16" s="223">
        <v>300.0</v>
      </c>
      <c r="J16" s="223">
        <v>4.0</v>
      </c>
      <c r="K16" s="223">
        <v>4.0</v>
      </c>
      <c r="L16" s="46"/>
      <c r="M16" s="46" t="s">
        <v>2714</v>
      </c>
      <c r="N16" s="46" t="s">
        <v>1046</v>
      </c>
      <c r="O16" s="223">
        <v>500.0</v>
      </c>
      <c r="P16" s="46" t="s">
        <v>29</v>
      </c>
      <c r="Q16" s="223">
        <v>0.0</v>
      </c>
      <c r="R16" s="46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</row>
    <row r="17" ht="20.25" customHeight="1">
      <c r="A17" s="211">
        <v>6.0</v>
      </c>
      <c r="B17" s="46" t="s">
        <v>63</v>
      </c>
      <c r="C17" s="46" t="s">
        <v>2740</v>
      </c>
      <c r="D17" s="46"/>
      <c r="E17" s="46"/>
      <c r="F17" s="50"/>
      <c r="G17" s="275" t="s">
        <v>2742</v>
      </c>
      <c r="H17" s="223">
        <v>200.0</v>
      </c>
      <c r="I17" s="223">
        <v>1000.0</v>
      </c>
      <c r="J17" s="223">
        <v>16.0</v>
      </c>
      <c r="K17" s="223">
        <v>22.0</v>
      </c>
      <c r="L17" s="223">
        <v>5.0</v>
      </c>
      <c r="M17" s="46" t="s">
        <v>2714</v>
      </c>
      <c r="N17" s="46" t="s">
        <v>1046</v>
      </c>
      <c r="O17" s="223">
        <v>500.0</v>
      </c>
      <c r="P17" s="46" t="s">
        <v>66</v>
      </c>
      <c r="Q17" s="223">
        <v>41.0</v>
      </c>
      <c r="R17" s="46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</row>
    <row r="18" ht="24.75" customHeight="1">
      <c r="A18" s="211">
        <v>7.0</v>
      </c>
      <c r="B18" s="46" t="s">
        <v>2743</v>
      </c>
      <c r="C18" s="46" t="s">
        <v>2737</v>
      </c>
      <c r="D18" s="46"/>
      <c r="E18" s="46"/>
      <c r="F18" s="50"/>
      <c r="G18" s="275" t="s">
        <v>2744</v>
      </c>
      <c r="H18" s="223">
        <v>250.0</v>
      </c>
      <c r="I18" s="223">
        <v>1250.0</v>
      </c>
      <c r="J18" s="223">
        <v>3.0</v>
      </c>
      <c r="K18" s="223">
        <v>5.0</v>
      </c>
      <c r="L18" s="46"/>
      <c r="M18" s="46" t="s">
        <v>2714</v>
      </c>
      <c r="N18" s="46" t="s">
        <v>1046</v>
      </c>
      <c r="O18" s="223">
        <v>200.0</v>
      </c>
      <c r="P18" s="46" t="s">
        <v>29</v>
      </c>
      <c r="Q18" s="223">
        <v>0.0</v>
      </c>
      <c r="R18" s="46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</row>
    <row r="19" ht="14.25" customHeight="1">
      <c r="A19" s="211">
        <v>8.0</v>
      </c>
      <c r="B19" s="46" t="s">
        <v>2745</v>
      </c>
      <c r="C19" s="46" t="s">
        <v>2746</v>
      </c>
      <c r="D19" s="46"/>
      <c r="E19" s="46"/>
      <c r="F19" s="50"/>
      <c r="G19" s="275"/>
      <c r="H19" s="46"/>
      <c r="I19" s="223">
        <v>120.0</v>
      </c>
      <c r="J19" s="46"/>
      <c r="K19" s="46"/>
      <c r="L19" s="223">
        <v>2.0</v>
      </c>
      <c r="M19" s="46"/>
      <c r="N19" s="46"/>
      <c r="O19" s="46"/>
      <c r="P19" s="46" t="s">
        <v>29</v>
      </c>
      <c r="Q19" s="46"/>
      <c r="R19" s="46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</row>
    <row r="20" ht="14.25" customHeight="1">
      <c r="A20" s="211">
        <v>9.0</v>
      </c>
      <c r="B20" s="46" t="s">
        <v>2755</v>
      </c>
      <c r="C20" s="46" t="s">
        <v>2746</v>
      </c>
      <c r="D20" s="46"/>
      <c r="E20" s="46"/>
      <c r="F20" s="50"/>
      <c r="G20" s="275"/>
      <c r="H20" s="46"/>
      <c r="I20" s="223">
        <v>50.0</v>
      </c>
      <c r="J20" s="46"/>
      <c r="K20" s="46"/>
      <c r="L20" s="223">
        <v>1.0</v>
      </c>
      <c r="M20" s="46"/>
      <c r="N20" s="46"/>
      <c r="O20" s="46"/>
      <c r="P20" s="46" t="s">
        <v>29</v>
      </c>
      <c r="Q20" s="46"/>
      <c r="R20" s="46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</row>
    <row r="21" ht="14.25" customHeight="1">
      <c r="A21" s="211">
        <v>10.0</v>
      </c>
      <c r="B21" s="46" t="s">
        <v>2750</v>
      </c>
      <c r="C21" s="46" t="s">
        <v>2746</v>
      </c>
      <c r="D21" s="46"/>
      <c r="E21" s="46"/>
      <c r="F21" s="50"/>
      <c r="G21" s="275"/>
      <c r="H21" s="46"/>
      <c r="I21" s="223">
        <v>400.0</v>
      </c>
      <c r="J21" s="46"/>
      <c r="K21" s="46"/>
      <c r="L21" s="223">
        <v>15.0</v>
      </c>
      <c r="M21" s="46"/>
      <c r="N21" s="46"/>
      <c r="O21" s="46"/>
      <c r="P21" s="46" t="s">
        <v>29</v>
      </c>
      <c r="Q21" s="46"/>
      <c r="R21" s="46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</row>
    <row r="22" ht="14.25" customHeight="1">
      <c r="A22" s="211">
        <v>11.0</v>
      </c>
      <c r="B22" s="46" t="s">
        <v>2752</v>
      </c>
      <c r="C22" s="46" t="s">
        <v>2753</v>
      </c>
      <c r="D22" s="46"/>
      <c r="E22" s="46"/>
      <c r="F22" s="50"/>
      <c r="G22" s="275"/>
      <c r="H22" s="46"/>
      <c r="I22" s="223">
        <v>100.0</v>
      </c>
      <c r="J22" s="46"/>
      <c r="K22" s="46"/>
      <c r="L22" s="223">
        <v>6.0</v>
      </c>
      <c r="M22" s="46"/>
      <c r="N22" s="46"/>
      <c r="O22" s="46"/>
      <c r="P22" s="46" t="s">
        <v>29</v>
      </c>
      <c r="Q22" s="46"/>
      <c r="R22" s="46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</row>
    <row r="23" ht="14.25" customHeight="1">
      <c r="A23" s="211">
        <v>12.0</v>
      </c>
      <c r="B23" s="46" t="s">
        <v>2755</v>
      </c>
      <c r="C23" s="46" t="s">
        <v>2753</v>
      </c>
      <c r="D23" s="46"/>
      <c r="E23" s="46"/>
      <c r="F23" s="50"/>
      <c r="G23" s="275"/>
      <c r="H23" s="46"/>
      <c r="I23" s="223">
        <v>100.0</v>
      </c>
      <c r="J23" s="46"/>
      <c r="K23" s="46"/>
      <c r="L23" s="223">
        <v>6.0</v>
      </c>
      <c r="M23" s="46"/>
      <c r="N23" s="46"/>
      <c r="O23" s="46"/>
      <c r="P23" s="46" t="s">
        <v>29</v>
      </c>
      <c r="Q23" s="46"/>
      <c r="R23" s="46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</row>
    <row r="24" ht="14.25" customHeight="1">
      <c r="A24" s="211">
        <v>13.0</v>
      </c>
      <c r="B24" s="46" t="s">
        <v>878</v>
      </c>
      <c r="C24" s="46" t="s">
        <v>2753</v>
      </c>
      <c r="D24" s="46"/>
      <c r="E24" s="46"/>
      <c r="F24" s="50"/>
      <c r="G24" s="275"/>
      <c r="H24" s="46"/>
      <c r="I24" s="223">
        <v>100.0</v>
      </c>
      <c r="J24" s="46"/>
      <c r="K24" s="46"/>
      <c r="L24" s="223">
        <v>2.0</v>
      </c>
      <c r="M24" s="46"/>
      <c r="N24" s="46"/>
      <c r="O24" s="46"/>
      <c r="P24" s="46" t="s">
        <v>29</v>
      </c>
      <c r="Q24" s="46"/>
      <c r="R24" s="46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</row>
    <row r="25" ht="14.25" customHeight="1">
      <c r="A25" s="211">
        <v>14.0</v>
      </c>
      <c r="B25" s="46" t="s">
        <v>2757</v>
      </c>
      <c r="C25" s="46" t="s">
        <v>2753</v>
      </c>
      <c r="D25" s="46"/>
      <c r="E25" s="46"/>
      <c r="F25" s="50"/>
      <c r="G25" s="275"/>
      <c r="H25" s="46"/>
      <c r="I25" s="223">
        <v>20.0</v>
      </c>
      <c r="J25" s="46"/>
      <c r="K25" s="46"/>
      <c r="L25" s="223">
        <v>10.0</v>
      </c>
      <c r="M25" s="46"/>
      <c r="N25" s="46"/>
      <c r="O25" s="46"/>
      <c r="P25" s="46" t="s">
        <v>29</v>
      </c>
      <c r="Q25" s="46"/>
      <c r="R25" s="46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</row>
    <row r="26" ht="14.25" customHeight="1">
      <c r="A26" s="211">
        <v>15.0</v>
      </c>
      <c r="B26" s="46" t="s">
        <v>2759</v>
      </c>
      <c r="C26" s="46" t="s">
        <v>2753</v>
      </c>
      <c r="D26" s="46"/>
      <c r="E26" s="46"/>
      <c r="F26" s="50"/>
      <c r="G26" s="275"/>
      <c r="H26" s="46"/>
      <c r="I26" s="223">
        <v>200.0</v>
      </c>
      <c r="J26" s="46"/>
      <c r="K26" s="46"/>
      <c r="L26" s="223">
        <v>20.0</v>
      </c>
      <c r="M26" s="46"/>
      <c r="N26" s="46"/>
      <c r="O26" s="46"/>
      <c r="P26" s="46" t="s">
        <v>29</v>
      </c>
      <c r="Q26" s="46"/>
      <c r="R26" s="46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</row>
    <row r="27" ht="14.25" customHeight="1">
      <c r="A27" s="211">
        <v>16.0</v>
      </c>
      <c r="B27" s="46" t="s">
        <v>2761</v>
      </c>
      <c r="C27" s="46" t="s">
        <v>2762</v>
      </c>
      <c r="D27" s="46"/>
      <c r="E27" s="46"/>
      <c r="F27" s="50"/>
      <c r="G27" s="275"/>
      <c r="H27" s="46"/>
      <c r="I27" s="223">
        <v>60.0</v>
      </c>
      <c r="J27" s="46"/>
      <c r="K27" s="46"/>
      <c r="L27" s="223">
        <v>18.0</v>
      </c>
      <c r="M27" s="46"/>
      <c r="N27" s="46"/>
      <c r="O27" s="46"/>
      <c r="P27" s="46" t="s">
        <v>29</v>
      </c>
      <c r="Q27" s="46"/>
      <c r="R27" s="46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</row>
    <row r="28" ht="14.25" customHeight="1">
      <c r="A28" s="211">
        <v>17.0</v>
      </c>
      <c r="B28" s="46" t="s">
        <v>1171</v>
      </c>
      <c r="C28" s="46" t="s">
        <v>2764</v>
      </c>
      <c r="D28" s="46"/>
      <c r="E28" s="46"/>
      <c r="F28" s="50"/>
      <c r="G28" s="275"/>
      <c r="H28" s="46"/>
      <c r="I28" s="223">
        <v>30.0</v>
      </c>
      <c r="J28" s="46"/>
      <c r="K28" s="46"/>
      <c r="L28" s="223">
        <v>2.0</v>
      </c>
      <c r="M28" s="46"/>
      <c r="N28" s="46"/>
      <c r="O28" s="46"/>
      <c r="P28" s="46" t="s">
        <v>29</v>
      </c>
      <c r="Q28" s="46"/>
      <c r="R28" s="46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</row>
    <row r="29" ht="14.25" customHeight="1">
      <c r="A29" s="211">
        <v>18.0</v>
      </c>
      <c r="B29" s="46" t="s">
        <v>2766</v>
      </c>
      <c r="C29" s="46" t="s">
        <v>2767</v>
      </c>
      <c r="D29" s="46"/>
      <c r="E29" s="46"/>
      <c r="F29" s="50"/>
      <c r="G29" s="275"/>
      <c r="H29" s="46"/>
      <c r="I29" s="223">
        <v>20.0</v>
      </c>
      <c r="J29" s="46"/>
      <c r="K29" s="46"/>
      <c r="L29" s="223">
        <v>1.0</v>
      </c>
      <c r="M29" s="46"/>
      <c r="N29" s="46"/>
      <c r="O29" s="46"/>
      <c r="P29" s="46" t="s">
        <v>29</v>
      </c>
      <c r="Q29" s="46"/>
      <c r="R29" s="46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</row>
    <row r="30" ht="14.25" customHeight="1">
      <c r="A30" s="211">
        <v>19.0</v>
      </c>
      <c r="B30" s="46" t="s">
        <v>2755</v>
      </c>
      <c r="C30" s="46" t="s">
        <v>2762</v>
      </c>
      <c r="D30" s="46"/>
      <c r="E30" s="46"/>
      <c r="F30" s="50"/>
      <c r="G30" s="275"/>
      <c r="H30" s="46"/>
      <c r="I30" s="223">
        <v>60.0</v>
      </c>
      <c r="J30" s="46"/>
      <c r="K30" s="46"/>
      <c r="L30" s="223">
        <v>1.0</v>
      </c>
      <c r="M30" s="46"/>
      <c r="N30" s="46"/>
      <c r="O30" s="46"/>
      <c r="P30" s="46" t="s">
        <v>29</v>
      </c>
      <c r="Q30" s="46"/>
      <c r="R30" s="46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</row>
    <row r="31" ht="14.25" customHeight="1">
      <c r="A31" s="211">
        <v>20.0</v>
      </c>
      <c r="B31" s="46" t="s">
        <v>2768</v>
      </c>
      <c r="C31" s="46" t="s">
        <v>2769</v>
      </c>
      <c r="D31" s="46"/>
      <c r="E31" s="46"/>
      <c r="F31" s="50"/>
      <c r="G31" s="275"/>
      <c r="H31" s="46"/>
      <c r="I31" s="223">
        <v>130.0</v>
      </c>
      <c r="J31" s="46"/>
      <c r="K31" s="46"/>
      <c r="L31" s="223">
        <v>7.0</v>
      </c>
      <c r="M31" s="46"/>
      <c r="N31" s="46"/>
      <c r="O31" s="46"/>
      <c r="P31" s="46" t="s">
        <v>29</v>
      </c>
      <c r="Q31" s="46"/>
      <c r="R31" s="46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</row>
    <row r="32" ht="14.25" customHeight="1">
      <c r="A32" s="211">
        <v>21.0</v>
      </c>
      <c r="B32" s="46" t="s">
        <v>2771</v>
      </c>
      <c r="C32" s="46" t="s">
        <v>2769</v>
      </c>
      <c r="D32" s="46"/>
      <c r="E32" s="46"/>
      <c r="F32" s="50"/>
      <c r="G32" s="275"/>
      <c r="H32" s="46"/>
      <c r="I32" s="223">
        <v>50.0</v>
      </c>
      <c r="J32" s="46"/>
      <c r="K32" s="46"/>
      <c r="L32" s="223">
        <v>1.0</v>
      </c>
      <c r="M32" s="46"/>
      <c r="N32" s="46"/>
      <c r="O32" s="46"/>
      <c r="P32" s="46" t="s">
        <v>29</v>
      </c>
      <c r="Q32" s="46"/>
      <c r="R32" s="46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</row>
    <row r="33" ht="14.25" customHeight="1">
      <c r="A33" s="211">
        <v>22.0</v>
      </c>
      <c r="B33" s="46" t="s">
        <v>2772</v>
      </c>
      <c r="C33" s="46" t="s">
        <v>2773</v>
      </c>
      <c r="D33" s="46"/>
      <c r="E33" s="46"/>
      <c r="F33" s="50"/>
      <c r="G33" s="275"/>
      <c r="H33" s="46"/>
      <c r="I33" s="223">
        <v>30.0</v>
      </c>
      <c r="J33" s="46"/>
      <c r="K33" s="46"/>
      <c r="L33" s="223">
        <v>1.0</v>
      </c>
      <c r="M33" s="46"/>
      <c r="N33" s="46"/>
      <c r="O33" s="46"/>
      <c r="P33" s="46" t="s">
        <v>29</v>
      </c>
      <c r="Q33" s="46"/>
      <c r="R33" s="46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</row>
    <row r="34" ht="14.25" customHeight="1">
      <c r="A34" s="211">
        <v>23.0</v>
      </c>
      <c r="B34" s="46" t="s">
        <v>878</v>
      </c>
      <c r="C34" s="46" t="s">
        <v>2773</v>
      </c>
      <c r="D34" s="46"/>
      <c r="E34" s="46"/>
      <c r="F34" s="50"/>
      <c r="G34" s="275"/>
      <c r="H34" s="46"/>
      <c r="I34" s="223">
        <v>15.0</v>
      </c>
      <c r="J34" s="46"/>
      <c r="K34" s="46"/>
      <c r="L34" s="223">
        <v>1.0</v>
      </c>
      <c r="M34" s="46"/>
      <c r="N34" s="46"/>
      <c r="O34" s="46"/>
      <c r="P34" s="46" t="s">
        <v>29</v>
      </c>
      <c r="Q34" s="46"/>
      <c r="R34" s="46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</row>
    <row r="35" ht="14.25" customHeight="1">
      <c r="A35" s="211">
        <v>24.0</v>
      </c>
      <c r="B35" s="46" t="s">
        <v>2776</v>
      </c>
      <c r="C35" s="46" t="s">
        <v>2773</v>
      </c>
      <c r="D35" s="46"/>
      <c r="E35" s="46"/>
      <c r="F35" s="50"/>
      <c r="G35" s="275"/>
      <c r="H35" s="46"/>
      <c r="I35" s="223">
        <v>15.0</v>
      </c>
      <c r="J35" s="46"/>
      <c r="K35" s="46"/>
      <c r="L35" s="223">
        <v>1.0</v>
      </c>
      <c r="M35" s="46"/>
      <c r="N35" s="46"/>
      <c r="O35" s="46"/>
      <c r="P35" s="46" t="s">
        <v>29</v>
      </c>
      <c r="Q35" s="46"/>
      <c r="R35" s="46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</row>
    <row r="36" ht="14.25" customHeight="1">
      <c r="A36" s="211">
        <v>25.0</v>
      </c>
      <c r="B36" s="46" t="s">
        <v>1139</v>
      </c>
      <c r="C36" s="46" t="s">
        <v>2773</v>
      </c>
      <c r="D36" s="46"/>
      <c r="E36" s="46"/>
      <c r="F36" s="50"/>
      <c r="G36" s="275"/>
      <c r="H36" s="46"/>
      <c r="I36" s="223">
        <v>20.0</v>
      </c>
      <c r="J36" s="46"/>
      <c r="K36" s="46"/>
      <c r="L36" s="223">
        <v>1.0</v>
      </c>
      <c r="M36" s="46"/>
      <c r="N36" s="46"/>
      <c r="O36" s="46"/>
      <c r="P36" s="46" t="s">
        <v>29</v>
      </c>
      <c r="Q36" s="46"/>
      <c r="R36" s="46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</row>
    <row r="37" ht="14.25" customHeight="1">
      <c r="A37" s="211">
        <v>26.0</v>
      </c>
      <c r="B37" s="46" t="s">
        <v>1171</v>
      </c>
      <c r="C37" s="46" t="s">
        <v>2777</v>
      </c>
      <c r="D37" s="46"/>
      <c r="E37" s="46"/>
      <c r="F37" s="50"/>
      <c r="G37" s="275"/>
      <c r="H37" s="46"/>
      <c r="I37" s="223">
        <v>40.0</v>
      </c>
      <c r="J37" s="46"/>
      <c r="K37" s="46"/>
      <c r="L37" s="223">
        <v>2.0</v>
      </c>
      <c r="M37" s="46"/>
      <c r="N37" s="46"/>
      <c r="O37" s="46"/>
      <c r="P37" s="46" t="s">
        <v>29</v>
      </c>
      <c r="Q37" s="46"/>
      <c r="R37" s="46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</row>
    <row r="38" ht="14.25" customHeight="1">
      <c r="A38" s="211">
        <v>27.0</v>
      </c>
      <c r="B38" s="46" t="s">
        <v>2779</v>
      </c>
      <c r="C38" s="46" t="s">
        <v>2777</v>
      </c>
      <c r="D38" s="46"/>
      <c r="E38" s="46"/>
      <c r="F38" s="50"/>
      <c r="G38" s="275"/>
      <c r="H38" s="46"/>
      <c r="I38" s="223">
        <v>200.0</v>
      </c>
      <c r="J38" s="46"/>
      <c r="K38" s="46"/>
      <c r="L38" s="223">
        <v>7.0</v>
      </c>
      <c r="M38" s="46"/>
      <c r="N38" s="46"/>
      <c r="O38" s="46"/>
      <c r="P38" s="46" t="s">
        <v>29</v>
      </c>
      <c r="Q38" s="46"/>
      <c r="R38" s="46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</row>
    <row r="39" ht="14.25" customHeight="1">
      <c r="A39" s="211">
        <v>28.0</v>
      </c>
      <c r="B39" s="46" t="s">
        <v>2780</v>
      </c>
      <c r="C39" s="46" t="s">
        <v>2777</v>
      </c>
      <c r="D39" s="46"/>
      <c r="E39" s="46"/>
      <c r="F39" s="50"/>
      <c r="G39" s="275"/>
      <c r="H39" s="46"/>
      <c r="I39" s="223">
        <v>20.0</v>
      </c>
      <c r="J39" s="46"/>
      <c r="K39" s="46"/>
      <c r="L39" s="223">
        <v>1.0</v>
      </c>
      <c r="M39" s="46"/>
      <c r="N39" s="46"/>
      <c r="O39" s="46"/>
      <c r="P39" s="46" t="s">
        <v>29</v>
      </c>
      <c r="Q39" s="46"/>
      <c r="R39" s="46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</row>
    <row r="40" ht="14.25" customHeight="1">
      <c r="A40" s="211">
        <v>29.0</v>
      </c>
      <c r="B40" s="33" t="s">
        <v>2781</v>
      </c>
      <c r="C40" s="46" t="s">
        <v>2777</v>
      </c>
      <c r="D40" s="46"/>
      <c r="E40" s="46"/>
      <c r="F40" s="50"/>
      <c r="G40" s="275"/>
      <c r="H40" s="46"/>
      <c r="I40" s="223">
        <v>100.0</v>
      </c>
      <c r="J40" s="46"/>
      <c r="K40" s="46"/>
      <c r="L40" s="223">
        <v>1.0</v>
      </c>
      <c r="M40" s="46"/>
      <c r="N40" s="46"/>
      <c r="O40" s="46"/>
      <c r="P40" s="46" t="s">
        <v>29</v>
      </c>
      <c r="Q40" s="46"/>
      <c r="R40" s="46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</row>
    <row r="41" ht="14.25" customHeight="1">
      <c r="A41" s="211">
        <v>30.0</v>
      </c>
      <c r="B41" s="46" t="s">
        <v>2783</v>
      </c>
      <c r="C41" s="46" t="s">
        <v>2777</v>
      </c>
      <c r="D41" s="46"/>
      <c r="E41" s="46"/>
      <c r="F41" s="50"/>
      <c r="G41" s="275"/>
      <c r="H41" s="46"/>
      <c r="I41" s="223">
        <v>20.0</v>
      </c>
      <c r="J41" s="46"/>
      <c r="K41" s="46"/>
      <c r="L41" s="223">
        <v>1.0</v>
      </c>
      <c r="M41" s="46"/>
      <c r="N41" s="46"/>
      <c r="O41" s="46"/>
      <c r="P41" s="46" t="s">
        <v>29</v>
      </c>
      <c r="Q41" s="46"/>
      <c r="R41" s="46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</row>
    <row r="42" ht="14.25" customHeight="1">
      <c r="A42" s="211">
        <v>31.0</v>
      </c>
      <c r="B42" s="46" t="s">
        <v>2785</v>
      </c>
      <c r="C42" s="46" t="s">
        <v>2786</v>
      </c>
      <c r="D42" s="46"/>
      <c r="E42" s="46"/>
      <c r="F42" s="50"/>
      <c r="G42" s="275"/>
      <c r="H42" s="46"/>
      <c r="I42" s="223">
        <v>20.0</v>
      </c>
      <c r="J42" s="46"/>
      <c r="K42" s="46"/>
      <c r="L42" s="223">
        <v>3.0</v>
      </c>
      <c r="M42" s="46"/>
      <c r="N42" s="46"/>
      <c r="O42" s="46"/>
      <c r="P42" s="46" t="s">
        <v>29</v>
      </c>
      <c r="Q42" s="46"/>
      <c r="R42" s="46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</row>
    <row r="43" ht="14.25" customHeight="1">
      <c r="A43" s="211">
        <v>32.0</v>
      </c>
      <c r="B43" s="46" t="s">
        <v>1171</v>
      </c>
      <c r="C43" s="46" t="s">
        <v>2787</v>
      </c>
      <c r="D43" s="46"/>
      <c r="E43" s="46"/>
      <c r="F43" s="50"/>
      <c r="G43" s="275"/>
      <c r="H43" s="46"/>
      <c r="I43" s="223">
        <v>20.0</v>
      </c>
      <c r="J43" s="46"/>
      <c r="K43" s="46"/>
      <c r="L43" s="223">
        <v>1.0</v>
      </c>
      <c r="M43" s="46"/>
      <c r="N43" s="46"/>
      <c r="O43" s="46"/>
      <c r="P43" s="46" t="s">
        <v>29</v>
      </c>
      <c r="Q43" s="46"/>
      <c r="R43" s="46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</row>
    <row r="44" ht="14.25" customHeight="1">
      <c r="A44" s="211">
        <v>33.0</v>
      </c>
      <c r="B44" s="46" t="s">
        <v>2790</v>
      </c>
      <c r="C44" s="46" t="s">
        <v>2787</v>
      </c>
      <c r="D44" s="46"/>
      <c r="E44" s="46"/>
      <c r="F44" s="50"/>
      <c r="G44" s="275"/>
      <c r="H44" s="46"/>
      <c r="I44" s="223">
        <v>80.0</v>
      </c>
      <c r="J44" s="46"/>
      <c r="K44" s="46"/>
      <c r="L44" s="223">
        <v>2.0</v>
      </c>
      <c r="M44" s="46"/>
      <c r="N44" s="46"/>
      <c r="O44" s="46"/>
      <c r="P44" s="46" t="s">
        <v>29</v>
      </c>
      <c r="Q44" s="46"/>
      <c r="R44" s="46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</row>
    <row r="45" ht="14.25" customHeight="1">
      <c r="A45" s="211">
        <v>34.0</v>
      </c>
      <c r="B45" s="46" t="s">
        <v>2755</v>
      </c>
      <c r="C45" s="46" t="s">
        <v>2787</v>
      </c>
      <c r="D45" s="46"/>
      <c r="E45" s="46"/>
      <c r="F45" s="50"/>
      <c r="G45" s="275"/>
      <c r="H45" s="46"/>
      <c r="I45" s="223">
        <v>20.0</v>
      </c>
      <c r="J45" s="46"/>
      <c r="K45" s="46"/>
      <c r="L45" s="223">
        <v>1.0</v>
      </c>
      <c r="M45" s="46"/>
      <c r="N45" s="46"/>
      <c r="O45" s="46"/>
      <c r="P45" s="46" t="s">
        <v>29</v>
      </c>
      <c r="Q45" s="46"/>
      <c r="R45" s="46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</row>
    <row r="46" ht="14.25" customHeight="1">
      <c r="A46" s="211">
        <v>35.0</v>
      </c>
      <c r="B46" s="46" t="s">
        <v>2792</v>
      </c>
      <c r="C46" s="46" t="s">
        <v>2793</v>
      </c>
      <c r="D46" s="46"/>
      <c r="E46" s="46"/>
      <c r="F46" s="50"/>
      <c r="G46" s="275"/>
      <c r="H46" s="46"/>
      <c r="I46" s="223">
        <v>400.0</v>
      </c>
      <c r="J46" s="46"/>
      <c r="K46" s="46"/>
      <c r="L46" s="223">
        <v>11.0</v>
      </c>
      <c r="M46" s="46"/>
      <c r="N46" s="46"/>
      <c r="O46" s="46"/>
      <c r="P46" s="46" t="s">
        <v>29</v>
      </c>
      <c r="Q46" s="46"/>
      <c r="R46" s="46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</row>
    <row r="47" ht="14.25" customHeight="1">
      <c r="A47" s="211">
        <v>36.0</v>
      </c>
      <c r="B47" s="46" t="s">
        <v>2794</v>
      </c>
      <c r="C47" s="46" t="s">
        <v>2795</v>
      </c>
      <c r="D47" s="46"/>
      <c r="E47" s="46"/>
      <c r="F47" s="50"/>
      <c r="G47" s="275"/>
      <c r="H47" s="46"/>
      <c r="I47" s="223">
        <v>300.0</v>
      </c>
      <c r="J47" s="46"/>
      <c r="K47" s="46"/>
      <c r="L47" s="223">
        <v>14.0</v>
      </c>
      <c r="M47" s="46"/>
      <c r="N47" s="46"/>
      <c r="O47" s="46"/>
      <c r="P47" s="46" t="s">
        <v>29</v>
      </c>
      <c r="Q47" s="46"/>
      <c r="R47" s="46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</row>
    <row r="48" ht="14.25" customHeight="1">
      <c r="A48" s="211">
        <v>37.0</v>
      </c>
      <c r="B48" s="46" t="s">
        <v>1171</v>
      </c>
      <c r="C48" s="46" t="s">
        <v>2797</v>
      </c>
      <c r="D48" s="46"/>
      <c r="E48" s="46"/>
      <c r="F48" s="50"/>
      <c r="G48" s="275"/>
      <c r="H48" s="46"/>
      <c r="I48" s="223">
        <v>10.0</v>
      </c>
      <c r="J48" s="46"/>
      <c r="K48" s="46"/>
      <c r="L48" s="223">
        <v>1.0</v>
      </c>
      <c r="M48" s="46"/>
      <c r="N48" s="46"/>
      <c r="O48" s="46"/>
      <c r="P48" s="46" t="s">
        <v>29</v>
      </c>
      <c r="Q48" s="46"/>
      <c r="R48" s="46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</row>
    <row r="49" ht="14.25" customHeight="1">
      <c r="A49" s="211">
        <v>38.0</v>
      </c>
      <c r="B49" s="46" t="s">
        <v>2781</v>
      </c>
      <c r="C49" s="46" t="s">
        <v>2797</v>
      </c>
      <c r="D49" s="46"/>
      <c r="E49" s="46"/>
      <c r="F49" s="50"/>
      <c r="G49" s="275"/>
      <c r="H49" s="46"/>
      <c r="I49" s="223">
        <v>130.0</v>
      </c>
      <c r="J49" s="46"/>
      <c r="K49" s="46"/>
      <c r="L49" s="223">
        <v>4.0</v>
      </c>
      <c r="M49" s="46"/>
      <c r="N49" s="46"/>
      <c r="O49" s="46"/>
      <c r="P49" s="46" t="s">
        <v>29</v>
      </c>
      <c r="Q49" s="46"/>
      <c r="R49" s="46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</row>
    <row r="50" ht="14.25" customHeight="1">
      <c r="A50" s="211">
        <v>39.0</v>
      </c>
      <c r="B50" s="46" t="s">
        <v>1171</v>
      </c>
      <c r="C50" s="46" t="s">
        <v>2798</v>
      </c>
      <c r="D50" s="46"/>
      <c r="E50" s="46"/>
      <c r="F50" s="50"/>
      <c r="G50" s="275"/>
      <c r="H50" s="46"/>
      <c r="I50" s="223">
        <v>100.0</v>
      </c>
      <c r="J50" s="46"/>
      <c r="K50" s="46"/>
      <c r="L50" s="223">
        <v>2.0</v>
      </c>
      <c r="M50" s="46"/>
      <c r="N50" s="46"/>
      <c r="O50" s="46"/>
      <c r="P50" s="46" t="s">
        <v>29</v>
      </c>
      <c r="Q50" s="46"/>
      <c r="R50" s="46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</row>
    <row r="51" ht="14.25" customHeight="1">
      <c r="A51" s="211">
        <v>40.0</v>
      </c>
      <c r="B51" s="46" t="s">
        <v>2772</v>
      </c>
      <c r="C51" s="46" t="s">
        <v>2798</v>
      </c>
      <c r="D51" s="46"/>
      <c r="E51" s="46"/>
      <c r="F51" s="50"/>
      <c r="G51" s="275"/>
      <c r="H51" s="46"/>
      <c r="I51" s="223">
        <v>100.0</v>
      </c>
      <c r="J51" s="46"/>
      <c r="K51" s="46"/>
      <c r="L51" s="223">
        <v>1.0</v>
      </c>
      <c r="M51" s="46"/>
      <c r="N51" s="46"/>
      <c r="O51" s="46"/>
      <c r="P51" s="46" t="s">
        <v>29</v>
      </c>
      <c r="Q51" s="46"/>
      <c r="R51" s="46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</row>
    <row r="52" ht="14.25" customHeight="1">
      <c r="A52" s="211">
        <v>41.0</v>
      </c>
      <c r="B52" s="46" t="s">
        <v>2799</v>
      </c>
      <c r="C52" s="46" t="s">
        <v>2798</v>
      </c>
      <c r="D52" s="46"/>
      <c r="E52" s="46"/>
      <c r="F52" s="50"/>
      <c r="G52" s="275"/>
      <c r="H52" s="46"/>
      <c r="I52" s="223">
        <v>300.0</v>
      </c>
      <c r="J52" s="46"/>
      <c r="K52" s="46"/>
      <c r="L52" s="223">
        <v>8.0</v>
      </c>
      <c r="M52" s="46"/>
      <c r="N52" s="46"/>
      <c r="O52" s="46"/>
      <c r="P52" s="46" t="s">
        <v>29</v>
      </c>
      <c r="Q52" s="46"/>
      <c r="R52" s="46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</row>
    <row r="53" ht="14.25" customHeight="1">
      <c r="A53" s="211">
        <v>42.0</v>
      </c>
      <c r="B53" s="46" t="s">
        <v>2800</v>
      </c>
      <c r="C53" s="46" t="s">
        <v>2798</v>
      </c>
      <c r="D53" s="46"/>
      <c r="E53" s="46"/>
      <c r="F53" s="50"/>
      <c r="G53" s="275"/>
      <c r="H53" s="46"/>
      <c r="I53" s="223">
        <v>300.0</v>
      </c>
      <c r="J53" s="46"/>
      <c r="K53" s="46"/>
      <c r="L53" s="223">
        <v>2.0</v>
      </c>
      <c r="M53" s="46"/>
      <c r="N53" s="46"/>
      <c r="O53" s="46"/>
      <c r="P53" s="46" t="s">
        <v>29</v>
      </c>
      <c r="Q53" s="46"/>
      <c r="R53" s="46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</row>
    <row r="54" ht="14.25" customHeight="1">
      <c r="A54" s="211">
        <v>43.0</v>
      </c>
      <c r="B54" s="46" t="s">
        <v>2801</v>
      </c>
      <c r="C54" s="46" t="s">
        <v>2802</v>
      </c>
      <c r="D54" s="46"/>
      <c r="E54" s="46"/>
      <c r="F54" s="50"/>
      <c r="G54" s="275"/>
      <c r="H54" s="46"/>
      <c r="I54" s="223">
        <v>200.0</v>
      </c>
      <c r="J54" s="46"/>
      <c r="K54" s="46"/>
      <c r="L54" s="223">
        <v>6.0</v>
      </c>
      <c r="M54" s="46"/>
      <c r="N54" s="46"/>
      <c r="O54" s="46"/>
      <c r="P54" s="46" t="s">
        <v>29</v>
      </c>
      <c r="Q54" s="46"/>
      <c r="R54" s="46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</row>
    <row r="55" ht="14.25" customHeight="1">
      <c r="A55" s="211">
        <v>44.0</v>
      </c>
      <c r="B55" s="46" t="s">
        <v>2804</v>
      </c>
      <c r="C55" s="46" t="s">
        <v>2805</v>
      </c>
      <c r="D55" s="46"/>
      <c r="E55" s="46"/>
      <c r="F55" s="50"/>
      <c r="G55" s="275"/>
      <c r="H55" s="46"/>
      <c r="I55" s="223">
        <v>700.0</v>
      </c>
      <c r="J55" s="46"/>
      <c r="K55" s="46"/>
      <c r="L55" s="223">
        <v>21.0</v>
      </c>
      <c r="M55" s="46"/>
      <c r="N55" s="46"/>
      <c r="O55" s="46"/>
      <c r="P55" s="46" t="s">
        <v>29</v>
      </c>
      <c r="Q55" s="46"/>
      <c r="R55" s="46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</row>
    <row r="56" ht="14.25" customHeight="1">
      <c r="A56" s="211">
        <v>45.0</v>
      </c>
      <c r="B56" s="46" t="s">
        <v>1171</v>
      </c>
      <c r="C56" s="46" t="s">
        <v>2806</v>
      </c>
      <c r="D56" s="46"/>
      <c r="E56" s="46"/>
      <c r="F56" s="50"/>
      <c r="G56" s="275"/>
      <c r="H56" s="46"/>
      <c r="I56" s="223">
        <v>30.0</v>
      </c>
      <c r="J56" s="46"/>
      <c r="K56" s="46"/>
      <c r="L56" s="223">
        <v>2.0</v>
      </c>
      <c r="M56" s="46"/>
      <c r="N56" s="46"/>
      <c r="O56" s="46"/>
      <c r="P56" s="46" t="s">
        <v>29</v>
      </c>
      <c r="Q56" s="46"/>
      <c r="R56" s="46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</row>
    <row r="57" ht="14.25" customHeight="1">
      <c r="A57" s="211">
        <v>46.0</v>
      </c>
      <c r="B57" s="46" t="s">
        <v>2807</v>
      </c>
      <c r="C57" s="46" t="s">
        <v>2806</v>
      </c>
      <c r="D57" s="46"/>
      <c r="E57" s="46"/>
      <c r="F57" s="50"/>
      <c r="G57" s="275"/>
      <c r="H57" s="46"/>
      <c r="I57" s="223">
        <v>250.0</v>
      </c>
      <c r="J57" s="46"/>
      <c r="K57" s="46"/>
      <c r="L57" s="223">
        <v>9.0</v>
      </c>
      <c r="M57" s="46"/>
      <c r="N57" s="46"/>
      <c r="O57" s="46"/>
      <c r="P57" s="46" t="s">
        <v>29</v>
      </c>
      <c r="Q57" s="46"/>
      <c r="R57" s="46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</row>
    <row r="58" ht="14.25" customHeight="1">
      <c r="A58" s="211">
        <v>47.0</v>
      </c>
      <c r="B58" s="46" t="s">
        <v>2781</v>
      </c>
      <c r="C58" s="46" t="s">
        <v>2808</v>
      </c>
      <c r="D58" s="46"/>
      <c r="E58" s="46"/>
      <c r="F58" s="50"/>
      <c r="G58" s="275"/>
      <c r="H58" s="46"/>
      <c r="I58" s="223">
        <v>50.0</v>
      </c>
      <c r="J58" s="46"/>
      <c r="K58" s="46"/>
      <c r="L58" s="223">
        <v>1.0</v>
      </c>
      <c r="M58" s="46"/>
      <c r="N58" s="46"/>
      <c r="O58" s="46"/>
      <c r="P58" s="46" t="s">
        <v>29</v>
      </c>
      <c r="Q58" s="46"/>
      <c r="R58" s="46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</row>
    <row r="59" ht="14.25" customHeight="1">
      <c r="A59" s="211">
        <v>48.0</v>
      </c>
      <c r="B59" s="46" t="s">
        <v>2766</v>
      </c>
      <c r="C59" s="46" t="s">
        <v>2808</v>
      </c>
      <c r="D59" s="46"/>
      <c r="E59" s="46"/>
      <c r="F59" s="50"/>
      <c r="G59" s="275"/>
      <c r="H59" s="46"/>
      <c r="I59" s="223">
        <v>15.0</v>
      </c>
      <c r="J59" s="46"/>
      <c r="K59" s="46"/>
      <c r="L59" s="223">
        <v>1.0</v>
      </c>
      <c r="M59" s="46"/>
      <c r="N59" s="46"/>
      <c r="O59" s="46"/>
      <c r="P59" s="46" t="s">
        <v>29</v>
      </c>
      <c r="Q59" s="46"/>
      <c r="R59" s="46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</row>
    <row r="60" ht="14.25" customHeight="1">
      <c r="A60" s="211">
        <v>49.0</v>
      </c>
      <c r="B60" s="46" t="s">
        <v>2772</v>
      </c>
      <c r="C60" s="46" t="s">
        <v>2809</v>
      </c>
      <c r="D60" s="46"/>
      <c r="E60" s="46"/>
      <c r="F60" s="50"/>
      <c r="G60" s="275"/>
      <c r="H60" s="46"/>
      <c r="I60" s="223">
        <v>25.0</v>
      </c>
      <c r="J60" s="46"/>
      <c r="K60" s="46"/>
      <c r="L60" s="223">
        <v>2.0</v>
      </c>
      <c r="M60" s="46"/>
      <c r="N60" s="46"/>
      <c r="O60" s="46"/>
      <c r="P60" s="46" t="s">
        <v>29</v>
      </c>
      <c r="Q60" s="46"/>
      <c r="R60" s="46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</row>
    <row r="61" ht="14.25" customHeight="1">
      <c r="A61" s="211">
        <v>50.0</v>
      </c>
      <c r="B61" s="46" t="s">
        <v>1171</v>
      </c>
      <c r="C61" s="46" t="s">
        <v>2811</v>
      </c>
      <c r="D61" s="46"/>
      <c r="E61" s="46"/>
      <c r="F61" s="50"/>
      <c r="G61" s="275"/>
      <c r="H61" s="46"/>
      <c r="I61" s="223">
        <v>15.0</v>
      </c>
      <c r="J61" s="46"/>
      <c r="K61" s="46"/>
      <c r="L61" s="223">
        <v>4.0</v>
      </c>
      <c r="M61" s="46"/>
      <c r="N61" s="46"/>
      <c r="O61" s="46"/>
      <c r="P61" s="46" t="s">
        <v>29</v>
      </c>
      <c r="Q61" s="46"/>
      <c r="R61" s="46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</row>
    <row r="62" ht="14.25" customHeight="1">
      <c r="A62" s="211">
        <v>51.0</v>
      </c>
      <c r="B62" s="46" t="s">
        <v>2813</v>
      </c>
      <c r="C62" s="46" t="s">
        <v>2811</v>
      </c>
      <c r="D62" s="46"/>
      <c r="E62" s="46"/>
      <c r="F62" s="50"/>
      <c r="G62" s="275"/>
      <c r="H62" s="46"/>
      <c r="I62" s="223">
        <v>20.0</v>
      </c>
      <c r="J62" s="46"/>
      <c r="K62" s="46"/>
      <c r="L62" s="223">
        <v>12.0</v>
      </c>
      <c r="M62" s="46"/>
      <c r="N62" s="46"/>
      <c r="O62" s="46"/>
      <c r="P62" s="46" t="s">
        <v>29</v>
      </c>
      <c r="Q62" s="46"/>
      <c r="R62" s="46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</row>
    <row r="63" ht="14.25" customHeight="1">
      <c r="A63" s="211">
        <v>52.0</v>
      </c>
      <c r="B63" s="46" t="s">
        <v>2814</v>
      </c>
      <c r="C63" s="46" t="s">
        <v>2811</v>
      </c>
      <c r="D63" s="46"/>
      <c r="E63" s="46"/>
      <c r="F63" s="50"/>
      <c r="G63" s="275"/>
      <c r="H63" s="46"/>
      <c r="I63" s="223">
        <v>20.0</v>
      </c>
      <c r="J63" s="46"/>
      <c r="K63" s="46"/>
      <c r="L63" s="223">
        <v>7.0</v>
      </c>
      <c r="M63" s="46"/>
      <c r="N63" s="46"/>
      <c r="O63" s="46"/>
      <c r="P63" s="46" t="s">
        <v>29</v>
      </c>
      <c r="Q63" s="46"/>
      <c r="R63" s="46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</row>
    <row r="64" ht="14.25" customHeight="1">
      <c r="A64" s="211">
        <v>53.0</v>
      </c>
      <c r="B64" s="46" t="s">
        <v>2755</v>
      </c>
      <c r="C64" s="46" t="s">
        <v>2815</v>
      </c>
      <c r="D64" s="46"/>
      <c r="E64" s="46"/>
      <c r="F64" s="50"/>
      <c r="G64" s="275"/>
      <c r="H64" s="46"/>
      <c r="I64" s="223">
        <v>100.0</v>
      </c>
      <c r="J64" s="46"/>
      <c r="K64" s="46"/>
      <c r="L64" s="223">
        <v>1.0</v>
      </c>
      <c r="M64" s="46"/>
      <c r="N64" s="46"/>
      <c r="O64" s="46"/>
      <c r="P64" s="46" t="s">
        <v>29</v>
      </c>
      <c r="Q64" s="46"/>
      <c r="R64" s="46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</row>
    <row r="65" ht="14.25" customHeight="1">
      <c r="A65" s="211">
        <v>54.0</v>
      </c>
      <c r="B65" s="46" t="s">
        <v>2817</v>
      </c>
      <c r="C65" s="46" t="s">
        <v>2815</v>
      </c>
      <c r="D65" s="46"/>
      <c r="E65" s="46"/>
      <c r="F65" s="50"/>
      <c r="G65" s="275"/>
      <c r="H65" s="46"/>
      <c r="I65" s="223">
        <v>100.0</v>
      </c>
      <c r="J65" s="46"/>
      <c r="K65" s="46"/>
      <c r="L65" s="223">
        <v>8.0</v>
      </c>
      <c r="M65" s="46"/>
      <c r="N65" s="46"/>
      <c r="O65" s="46"/>
      <c r="P65" s="46" t="s">
        <v>29</v>
      </c>
      <c r="Q65" s="46"/>
      <c r="R65" s="46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</row>
    <row r="66" ht="14.25" customHeight="1">
      <c r="A66" s="211">
        <v>55.0</v>
      </c>
      <c r="B66" s="46" t="s">
        <v>2818</v>
      </c>
      <c r="C66" s="46" t="s">
        <v>2815</v>
      </c>
      <c r="D66" s="46"/>
      <c r="E66" s="46"/>
      <c r="F66" s="50"/>
      <c r="G66" s="275"/>
      <c r="H66" s="46"/>
      <c r="I66" s="223">
        <v>20.0</v>
      </c>
      <c r="J66" s="46"/>
      <c r="K66" s="46"/>
      <c r="L66" s="223">
        <v>3.0</v>
      </c>
      <c r="M66" s="46"/>
      <c r="N66" s="46"/>
      <c r="O66" s="46"/>
      <c r="P66" s="46" t="s">
        <v>29</v>
      </c>
      <c r="Q66" s="46"/>
      <c r="R66" s="46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</row>
    <row r="67" ht="14.25" customHeight="1">
      <c r="A67" s="211">
        <v>56.0</v>
      </c>
      <c r="B67" s="46" t="s">
        <v>2781</v>
      </c>
      <c r="C67" s="46" t="s">
        <v>2815</v>
      </c>
      <c r="D67" s="46"/>
      <c r="E67" s="46"/>
      <c r="F67" s="50"/>
      <c r="G67" s="275"/>
      <c r="H67" s="46"/>
      <c r="I67" s="223">
        <v>200.0</v>
      </c>
      <c r="J67" s="46"/>
      <c r="K67" s="46"/>
      <c r="L67" s="223">
        <v>2.0</v>
      </c>
      <c r="M67" s="46"/>
      <c r="N67" s="46"/>
      <c r="O67" s="46"/>
      <c r="P67" s="46" t="s">
        <v>29</v>
      </c>
      <c r="Q67" s="46"/>
      <c r="R67" s="46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</row>
    <row r="68" ht="14.25" customHeight="1">
      <c r="A68" s="211">
        <v>57.0</v>
      </c>
      <c r="B68" s="46" t="s">
        <v>2801</v>
      </c>
      <c r="C68" s="46" t="s">
        <v>2819</v>
      </c>
      <c r="D68" s="46"/>
      <c r="E68" s="46"/>
      <c r="F68" s="50"/>
      <c r="G68" s="275"/>
      <c r="H68" s="46"/>
      <c r="I68" s="223">
        <v>150.0</v>
      </c>
      <c r="J68" s="46"/>
      <c r="K68" s="46"/>
      <c r="L68" s="223">
        <v>7.0</v>
      </c>
      <c r="M68" s="46"/>
      <c r="N68" s="46"/>
      <c r="O68" s="46"/>
      <c r="P68" s="46" t="s">
        <v>29</v>
      </c>
      <c r="Q68" s="46"/>
      <c r="R68" s="46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  <c r="AD68" s="129"/>
    </row>
    <row r="69" ht="14.25" customHeight="1">
      <c r="A69" s="211">
        <v>58.0</v>
      </c>
      <c r="B69" s="46" t="s">
        <v>2821</v>
      </c>
      <c r="C69" s="46" t="s">
        <v>2819</v>
      </c>
      <c r="D69" s="46"/>
      <c r="E69" s="46"/>
      <c r="F69" s="50"/>
      <c r="G69" s="275"/>
      <c r="H69" s="46"/>
      <c r="I69" s="223">
        <v>500.0</v>
      </c>
      <c r="J69" s="46"/>
      <c r="K69" s="46"/>
      <c r="L69" s="223">
        <v>23.0</v>
      </c>
      <c r="M69" s="46"/>
      <c r="N69" s="46"/>
      <c r="O69" s="46"/>
      <c r="P69" s="46" t="s">
        <v>29</v>
      </c>
      <c r="Q69" s="46"/>
      <c r="R69" s="46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29"/>
    </row>
    <row r="70" ht="14.25" customHeight="1">
      <c r="A70" s="211">
        <v>59.0</v>
      </c>
      <c r="B70" s="46" t="s">
        <v>2822</v>
      </c>
      <c r="C70" s="46" t="s">
        <v>2823</v>
      </c>
      <c r="D70" s="46"/>
      <c r="E70" s="46"/>
      <c r="F70" s="50"/>
      <c r="G70" s="275"/>
      <c r="H70" s="46"/>
      <c r="I70" s="223">
        <v>500.0</v>
      </c>
      <c r="J70" s="46"/>
      <c r="K70" s="46"/>
      <c r="L70" s="223">
        <v>29.0</v>
      </c>
      <c r="M70" s="46"/>
      <c r="N70" s="46"/>
      <c r="O70" s="46"/>
      <c r="P70" s="46" t="s">
        <v>29</v>
      </c>
      <c r="Q70" s="46"/>
      <c r="R70" s="46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</row>
    <row r="71" ht="14.25" customHeight="1">
      <c r="A71" s="211">
        <v>60.0</v>
      </c>
      <c r="B71" s="46" t="s">
        <v>2801</v>
      </c>
      <c r="C71" s="46" t="s">
        <v>2824</v>
      </c>
      <c r="D71" s="46"/>
      <c r="E71" s="46"/>
      <c r="F71" s="50"/>
      <c r="G71" s="275"/>
      <c r="H71" s="46"/>
      <c r="I71" s="223">
        <v>200.0</v>
      </c>
      <c r="J71" s="46"/>
      <c r="K71" s="46"/>
      <c r="L71" s="223">
        <v>2.0</v>
      </c>
      <c r="M71" s="46"/>
      <c r="N71" s="46"/>
      <c r="O71" s="46"/>
      <c r="P71" s="46" t="s">
        <v>29</v>
      </c>
      <c r="Q71" s="46"/>
      <c r="R71" s="46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  <c r="AD71" s="129"/>
    </row>
    <row r="72" ht="14.25" customHeight="1">
      <c r="A72" s="211">
        <v>61.0</v>
      </c>
      <c r="B72" s="46" t="s">
        <v>2772</v>
      </c>
      <c r="C72" s="46" t="s">
        <v>2824</v>
      </c>
      <c r="D72" s="46"/>
      <c r="E72" s="46"/>
      <c r="F72" s="50"/>
      <c r="G72" s="275"/>
      <c r="H72" s="46"/>
      <c r="I72" s="223">
        <v>20.0</v>
      </c>
      <c r="J72" s="46"/>
      <c r="K72" s="46"/>
      <c r="L72" s="223">
        <v>1.0</v>
      </c>
      <c r="M72" s="46"/>
      <c r="N72" s="46"/>
      <c r="O72" s="46"/>
      <c r="P72" s="46" t="s">
        <v>29</v>
      </c>
      <c r="Q72" s="46"/>
      <c r="R72" s="46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  <c r="AD72" s="129"/>
    </row>
    <row r="73" ht="14.25" customHeight="1">
      <c r="A73" s="211">
        <v>62.0</v>
      </c>
      <c r="B73" s="46" t="s">
        <v>2825</v>
      </c>
      <c r="C73" s="46" t="s">
        <v>2824</v>
      </c>
      <c r="D73" s="46"/>
      <c r="E73" s="46"/>
      <c r="F73" s="50"/>
      <c r="G73" s="275"/>
      <c r="H73" s="46"/>
      <c r="I73" s="223">
        <v>150.0</v>
      </c>
      <c r="J73" s="46"/>
      <c r="K73" s="46"/>
      <c r="L73" s="223">
        <v>10.0</v>
      </c>
      <c r="M73" s="46"/>
      <c r="N73" s="46"/>
      <c r="O73" s="46"/>
      <c r="P73" s="46" t="s">
        <v>29</v>
      </c>
      <c r="Q73" s="46"/>
      <c r="R73" s="46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</row>
    <row r="74" ht="14.25" customHeight="1">
      <c r="A74" s="211">
        <v>63.0</v>
      </c>
      <c r="B74" s="46" t="s">
        <v>1134</v>
      </c>
      <c r="C74" s="46" t="s">
        <v>2824</v>
      </c>
      <c r="D74" s="46"/>
      <c r="E74" s="46"/>
      <c r="F74" s="50"/>
      <c r="G74" s="275"/>
      <c r="H74" s="46"/>
      <c r="I74" s="223">
        <v>50.0</v>
      </c>
      <c r="J74" s="46"/>
      <c r="K74" s="46"/>
      <c r="L74" s="223">
        <v>1.0</v>
      </c>
      <c r="M74" s="46"/>
      <c r="N74" s="46"/>
      <c r="O74" s="46"/>
      <c r="P74" s="46" t="s">
        <v>29</v>
      </c>
      <c r="Q74" s="46"/>
      <c r="R74" s="46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  <c r="AD74" s="129"/>
    </row>
    <row r="75" ht="14.25" customHeight="1">
      <c r="A75" s="211">
        <v>64.0</v>
      </c>
      <c r="B75" s="46" t="s">
        <v>2755</v>
      </c>
      <c r="C75" s="46" t="s">
        <v>2826</v>
      </c>
      <c r="D75" s="46"/>
      <c r="E75" s="46"/>
      <c r="F75" s="50"/>
      <c r="G75" s="275"/>
      <c r="H75" s="46"/>
      <c r="I75" s="223">
        <v>18.0</v>
      </c>
      <c r="J75" s="46"/>
      <c r="K75" s="46"/>
      <c r="L75" s="223">
        <v>1.0</v>
      </c>
      <c r="M75" s="46"/>
      <c r="N75" s="46"/>
      <c r="O75" s="46"/>
      <c r="P75" s="46" t="s">
        <v>29</v>
      </c>
      <c r="Q75" s="46"/>
      <c r="R75" s="46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</row>
    <row r="76" ht="14.25" customHeight="1">
      <c r="A76" s="211">
        <v>65.0</v>
      </c>
      <c r="B76" s="46" t="s">
        <v>2828</v>
      </c>
      <c r="C76" s="46" t="s">
        <v>2826</v>
      </c>
      <c r="D76" s="46"/>
      <c r="E76" s="46"/>
      <c r="F76" s="50"/>
      <c r="G76" s="275"/>
      <c r="H76" s="46"/>
      <c r="I76" s="223">
        <v>210.0</v>
      </c>
      <c r="J76" s="46"/>
      <c r="K76" s="46"/>
      <c r="L76" s="223">
        <v>3.0</v>
      </c>
      <c r="M76" s="46"/>
      <c r="N76" s="46"/>
      <c r="O76" s="46"/>
      <c r="P76" s="46" t="s">
        <v>29</v>
      </c>
      <c r="Q76" s="46"/>
      <c r="R76" s="46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29"/>
      <c r="AD76" s="129"/>
    </row>
    <row r="77" ht="14.25" customHeight="1">
      <c r="A77" s="211">
        <v>66.0</v>
      </c>
      <c r="B77" s="46" t="s">
        <v>1171</v>
      </c>
      <c r="C77" s="46" t="s">
        <v>2826</v>
      </c>
      <c r="D77" s="46"/>
      <c r="E77" s="46"/>
      <c r="F77" s="50"/>
      <c r="G77" s="275"/>
      <c r="H77" s="46"/>
      <c r="I77" s="223">
        <v>10.0</v>
      </c>
      <c r="J77" s="46"/>
      <c r="K77" s="46"/>
      <c r="L77" s="223">
        <v>1.0</v>
      </c>
      <c r="M77" s="46"/>
      <c r="N77" s="46"/>
      <c r="O77" s="46"/>
      <c r="P77" s="46" t="s">
        <v>29</v>
      </c>
      <c r="Q77" s="46"/>
      <c r="R77" s="46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</row>
    <row r="78" ht="14.25" customHeight="1">
      <c r="A78" s="211">
        <v>67.0</v>
      </c>
      <c r="B78" s="46" t="s">
        <v>2829</v>
      </c>
      <c r="C78" s="46" t="s">
        <v>2826</v>
      </c>
      <c r="D78" s="46"/>
      <c r="E78" s="46"/>
      <c r="F78" s="50"/>
      <c r="G78" s="275"/>
      <c r="H78" s="46"/>
      <c r="I78" s="223">
        <v>5.0</v>
      </c>
      <c r="J78" s="46"/>
      <c r="K78" s="46"/>
      <c r="L78" s="223">
        <v>1.0</v>
      </c>
      <c r="M78" s="46"/>
      <c r="N78" s="46"/>
      <c r="O78" s="46"/>
      <c r="P78" s="46" t="s">
        <v>29</v>
      </c>
      <c r="Q78" s="46"/>
      <c r="R78" s="46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  <c r="AD78" s="129"/>
    </row>
    <row r="79" ht="14.25" customHeight="1">
      <c r="A79" s="211">
        <v>68.0</v>
      </c>
      <c r="B79" s="46" t="s">
        <v>878</v>
      </c>
      <c r="C79" s="46" t="s">
        <v>2830</v>
      </c>
      <c r="D79" s="46"/>
      <c r="E79" s="46"/>
      <c r="F79" s="50"/>
      <c r="G79" s="275"/>
      <c r="H79" s="46"/>
      <c r="I79" s="223">
        <v>20.0</v>
      </c>
      <c r="J79" s="46"/>
      <c r="K79" s="46"/>
      <c r="L79" s="223">
        <v>1.0</v>
      </c>
      <c r="M79" s="46"/>
      <c r="N79" s="46"/>
      <c r="O79" s="46"/>
      <c r="P79" s="46" t="s">
        <v>29</v>
      </c>
      <c r="Q79" s="46"/>
      <c r="R79" s="46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  <c r="AD79" s="129"/>
    </row>
    <row r="80" ht="14.25" customHeight="1">
      <c r="A80" s="211">
        <v>69.0</v>
      </c>
      <c r="B80" s="46" t="s">
        <v>1134</v>
      </c>
      <c r="C80" s="46" t="s">
        <v>2830</v>
      </c>
      <c r="D80" s="46"/>
      <c r="E80" s="46"/>
      <c r="F80" s="50"/>
      <c r="G80" s="275"/>
      <c r="H80" s="46"/>
      <c r="I80" s="223">
        <v>15.0</v>
      </c>
      <c r="J80" s="46"/>
      <c r="K80" s="46"/>
      <c r="L80" s="223">
        <v>1.0</v>
      </c>
      <c r="M80" s="46"/>
      <c r="N80" s="46"/>
      <c r="O80" s="46"/>
      <c r="P80" s="46" t="s">
        <v>29</v>
      </c>
      <c r="Q80" s="46"/>
      <c r="R80" s="46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D80" s="129"/>
    </row>
    <row r="81" ht="14.25" customHeight="1">
      <c r="A81" s="211">
        <v>70.0</v>
      </c>
      <c r="B81" s="46" t="s">
        <v>2766</v>
      </c>
      <c r="C81" s="46" t="s">
        <v>2830</v>
      </c>
      <c r="D81" s="46"/>
      <c r="E81" s="46"/>
      <c r="F81" s="50"/>
      <c r="G81" s="275"/>
      <c r="H81" s="46"/>
      <c r="I81" s="223">
        <v>15.0</v>
      </c>
      <c r="J81" s="46"/>
      <c r="K81" s="46"/>
      <c r="L81" s="223">
        <v>1.0</v>
      </c>
      <c r="M81" s="46"/>
      <c r="N81" s="46"/>
      <c r="O81" s="46"/>
      <c r="P81" s="46" t="s">
        <v>29</v>
      </c>
      <c r="Q81" s="46"/>
      <c r="R81" s="46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  <c r="AC81" s="129"/>
      <c r="AD81" s="129"/>
    </row>
    <row r="82" ht="14.25" customHeight="1">
      <c r="A82" s="211">
        <v>71.0</v>
      </c>
      <c r="B82" s="46" t="s">
        <v>2831</v>
      </c>
      <c r="C82" s="46" t="s">
        <v>2832</v>
      </c>
      <c r="D82" s="46"/>
      <c r="E82" s="46"/>
      <c r="F82" s="50"/>
      <c r="G82" s="275"/>
      <c r="H82" s="46"/>
      <c r="I82" s="223">
        <v>500.0</v>
      </c>
      <c r="J82" s="46"/>
      <c r="K82" s="46"/>
      <c r="L82" s="223">
        <v>1.0</v>
      </c>
      <c r="M82" s="46"/>
      <c r="N82" s="46"/>
      <c r="O82" s="46"/>
      <c r="P82" s="46" t="s">
        <v>29</v>
      </c>
      <c r="Q82" s="46"/>
      <c r="R82" s="46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</row>
    <row r="83" ht="14.25" customHeight="1">
      <c r="A83" s="211">
        <v>72.0</v>
      </c>
      <c r="B83" s="46" t="s">
        <v>2755</v>
      </c>
      <c r="C83" s="46" t="s">
        <v>2834</v>
      </c>
      <c r="D83" s="46"/>
      <c r="E83" s="46"/>
      <c r="F83" s="50"/>
      <c r="G83" s="275"/>
      <c r="H83" s="46"/>
      <c r="I83" s="223">
        <v>50.0</v>
      </c>
      <c r="J83" s="46"/>
      <c r="K83" s="46"/>
      <c r="L83" s="223">
        <v>1.0</v>
      </c>
      <c r="M83" s="46"/>
      <c r="N83" s="46"/>
      <c r="O83" s="46"/>
      <c r="P83" s="46" t="s">
        <v>29</v>
      </c>
      <c r="Q83" s="46"/>
      <c r="R83" s="46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</row>
    <row r="84" ht="14.25" customHeight="1">
      <c r="A84" s="211">
        <v>73.0</v>
      </c>
      <c r="B84" s="46" t="s">
        <v>2781</v>
      </c>
      <c r="C84" s="46" t="s">
        <v>2834</v>
      </c>
      <c r="D84" s="46"/>
      <c r="E84" s="46"/>
      <c r="F84" s="50"/>
      <c r="G84" s="275"/>
      <c r="H84" s="46"/>
      <c r="I84" s="223">
        <v>100.0</v>
      </c>
      <c r="J84" s="46"/>
      <c r="K84" s="46"/>
      <c r="L84" s="223">
        <v>4.0</v>
      </c>
      <c r="M84" s="46"/>
      <c r="N84" s="46"/>
      <c r="O84" s="46"/>
      <c r="P84" s="46" t="s">
        <v>29</v>
      </c>
      <c r="Q84" s="46"/>
      <c r="R84" s="46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</row>
    <row r="85" ht="14.25" customHeight="1">
      <c r="A85" s="211">
        <v>74.0</v>
      </c>
      <c r="B85" s="46" t="s">
        <v>1171</v>
      </c>
      <c r="C85" s="46" t="s">
        <v>2834</v>
      </c>
      <c r="D85" s="46"/>
      <c r="E85" s="46"/>
      <c r="F85" s="50"/>
      <c r="G85" s="275"/>
      <c r="H85" s="46"/>
      <c r="I85" s="223">
        <v>30.0</v>
      </c>
      <c r="J85" s="46"/>
      <c r="K85" s="46"/>
      <c r="L85" s="223">
        <v>11.0</v>
      </c>
      <c r="M85" s="46"/>
      <c r="N85" s="46"/>
      <c r="O85" s="46"/>
      <c r="P85" s="46" t="s">
        <v>29</v>
      </c>
      <c r="Q85" s="46"/>
      <c r="R85" s="46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</row>
    <row r="86" ht="14.25" customHeight="1">
      <c r="A86" s="211">
        <v>75.0</v>
      </c>
      <c r="B86" s="46" t="s">
        <v>2835</v>
      </c>
      <c r="C86" s="46" t="s">
        <v>2836</v>
      </c>
      <c r="D86" s="46"/>
      <c r="E86" s="46"/>
      <c r="F86" s="50"/>
      <c r="G86" s="275"/>
      <c r="H86" s="46"/>
      <c r="I86" s="223">
        <v>320.0</v>
      </c>
      <c r="J86" s="46"/>
      <c r="K86" s="46"/>
      <c r="L86" s="223">
        <v>11.0</v>
      </c>
      <c r="M86" s="46"/>
      <c r="N86" s="46"/>
      <c r="O86" s="46"/>
      <c r="P86" s="46" t="s">
        <v>29</v>
      </c>
      <c r="Q86" s="46"/>
      <c r="R86" s="46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</row>
    <row r="87" ht="14.25" customHeight="1">
      <c r="A87" s="211">
        <v>76.0</v>
      </c>
      <c r="B87" s="46" t="s">
        <v>2801</v>
      </c>
      <c r="C87" s="46" t="s">
        <v>2836</v>
      </c>
      <c r="D87" s="46"/>
      <c r="E87" s="46"/>
      <c r="F87" s="50"/>
      <c r="G87" s="275"/>
      <c r="H87" s="46"/>
      <c r="I87" s="223">
        <v>500.0</v>
      </c>
      <c r="J87" s="46"/>
      <c r="K87" s="46"/>
      <c r="L87" s="223">
        <v>3.0</v>
      </c>
      <c r="M87" s="46"/>
      <c r="N87" s="46"/>
      <c r="O87" s="46"/>
      <c r="P87" s="46" t="s">
        <v>29</v>
      </c>
      <c r="Q87" s="46"/>
      <c r="R87" s="46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</row>
    <row r="88" ht="14.25" customHeight="1">
      <c r="A88" s="211">
        <v>77.0</v>
      </c>
      <c r="B88" s="46" t="s">
        <v>2772</v>
      </c>
      <c r="C88" s="46" t="s">
        <v>2836</v>
      </c>
      <c r="D88" s="46"/>
      <c r="E88" s="46"/>
      <c r="F88" s="50"/>
      <c r="G88" s="275"/>
      <c r="H88" s="46"/>
      <c r="I88" s="223">
        <v>50.0</v>
      </c>
      <c r="J88" s="46"/>
      <c r="K88" s="46"/>
      <c r="L88" s="223">
        <v>1.0</v>
      </c>
      <c r="M88" s="46"/>
      <c r="N88" s="46"/>
      <c r="O88" s="46"/>
      <c r="P88" s="46" t="s">
        <v>29</v>
      </c>
      <c r="Q88" s="46"/>
      <c r="R88" s="46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</row>
    <row r="89" ht="14.25" customHeight="1">
      <c r="A89" s="211">
        <v>78.0</v>
      </c>
      <c r="B89" s="46" t="s">
        <v>2801</v>
      </c>
      <c r="C89" s="46" t="s">
        <v>2838</v>
      </c>
      <c r="D89" s="46"/>
      <c r="E89" s="46"/>
      <c r="F89" s="50"/>
      <c r="G89" s="275"/>
      <c r="H89" s="46"/>
      <c r="I89" s="223">
        <v>100.0</v>
      </c>
      <c r="J89" s="46"/>
      <c r="K89" s="46"/>
      <c r="L89" s="223">
        <v>3.0</v>
      </c>
      <c r="M89" s="46"/>
      <c r="N89" s="46"/>
      <c r="O89" s="46"/>
      <c r="P89" s="46" t="s">
        <v>29</v>
      </c>
      <c r="Q89" s="46"/>
      <c r="R89" s="46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</row>
    <row r="90" ht="14.25" customHeight="1">
      <c r="A90" s="211">
        <v>79.0</v>
      </c>
      <c r="B90" s="46" t="s">
        <v>2839</v>
      </c>
      <c r="C90" s="46" t="s">
        <v>2840</v>
      </c>
      <c r="D90" s="46"/>
      <c r="E90" s="46"/>
      <c r="F90" s="50"/>
      <c r="G90" s="275"/>
      <c r="H90" s="46"/>
      <c r="I90" s="223">
        <v>250.0</v>
      </c>
      <c r="J90" s="46"/>
      <c r="K90" s="46"/>
      <c r="L90" s="223">
        <v>8.0</v>
      </c>
      <c r="M90" s="46"/>
      <c r="N90" s="46"/>
      <c r="O90" s="46"/>
      <c r="P90" s="46" t="s">
        <v>29</v>
      </c>
      <c r="Q90" s="46"/>
      <c r="R90" s="46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</row>
    <row r="91" ht="14.25" customHeight="1">
      <c r="A91" s="211">
        <v>80.0</v>
      </c>
      <c r="B91" s="46" t="s">
        <v>1171</v>
      </c>
      <c r="C91" s="46" t="s">
        <v>2841</v>
      </c>
      <c r="D91" s="46"/>
      <c r="E91" s="46"/>
      <c r="F91" s="50"/>
      <c r="G91" s="275"/>
      <c r="H91" s="46"/>
      <c r="I91" s="223">
        <v>20.0</v>
      </c>
      <c r="J91" s="46"/>
      <c r="K91" s="46"/>
      <c r="L91" s="223">
        <v>2.0</v>
      </c>
      <c r="M91" s="46"/>
      <c r="N91" s="46"/>
      <c r="O91" s="46"/>
      <c r="P91" s="46" t="s">
        <v>29</v>
      </c>
      <c r="Q91" s="46"/>
      <c r="R91" s="46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</row>
    <row r="92" ht="14.25" customHeight="1">
      <c r="A92" s="211">
        <v>81.0</v>
      </c>
      <c r="B92" s="46" t="s">
        <v>2843</v>
      </c>
      <c r="C92" s="46" t="s">
        <v>2841</v>
      </c>
      <c r="D92" s="46"/>
      <c r="E92" s="46"/>
      <c r="F92" s="50"/>
      <c r="G92" s="275"/>
      <c r="H92" s="46"/>
      <c r="I92" s="223">
        <v>100.0</v>
      </c>
      <c r="J92" s="46"/>
      <c r="K92" s="46"/>
      <c r="L92" s="223">
        <v>9.0</v>
      </c>
      <c r="M92" s="46"/>
      <c r="N92" s="46"/>
      <c r="O92" s="46"/>
      <c r="P92" s="46" t="s">
        <v>29</v>
      </c>
      <c r="Q92" s="46"/>
      <c r="R92" s="46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</row>
    <row r="93" ht="14.25" customHeight="1">
      <c r="A93" s="211">
        <v>82.0</v>
      </c>
      <c r="B93" s="46" t="s">
        <v>2772</v>
      </c>
      <c r="C93" s="46" t="s">
        <v>2841</v>
      </c>
      <c r="D93" s="46"/>
      <c r="E93" s="46"/>
      <c r="F93" s="50"/>
      <c r="G93" s="275"/>
      <c r="H93" s="46"/>
      <c r="I93" s="223">
        <v>20.0</v>
      </c>
      <c r="J93" s="46"/>
      <c r="K93" s="46"/>
      <c r="L93" s="223">
        <v>2.0</v>
      </c>
      <c r="M93" s="46"/>
      <c r="N93" s="46"/>
      <c r="O93" s="46"/>
      <c r="P93" s="46" t="s">
        <v>29</v>
      </c>
      <c r="Q93" s="46"/>
      <c r="R93" s="46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</row>
    <row r="94" ht="14.25" customHeight="1">
      <c r="A94" s="211">
        <v>83.0</v>
      </c>
      <c r="B94" s="46" t="s">
        <v>1171</v>
      </c>
      <c r="C94" s="46" t="s">
        <v>2844</v>
      </c>
      <c r="D94" s="46"/>
      <c r="E94" s="46"/>
      <c r="F94" s="50"/>
      <c r="G94" s="275"/>
      <c r="H94" s="46"/>
      <c r="I94" s="223">
        <v>100.0</v>
      </c>
      <c r="J94" s="46"/>
      <c r="K94" s="46"/>
      <c r="L94" s="223">
        <v>3.0</v>
      </c>
      <c r="M94" s="46"/>
      <c r="N94" s="46"/>
      <c r="O94" s="46"/>
      <c r="P94" s="46" t="s">
        <v>29</v>
      </c>
      <c r="Q94" s="46"/>
      <c r="R94" s="46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</row>
    <row r="95" ht="14.25" customHeight="1">
      <c r="A95" s="211">
        <v>84.0</v>
      </c>
      <c r="B95" s="46" t="s">
        <v>1134</v>
      </c>
      <c r="C95" s="46" t="s">
        <v>2844</v>
      </c>
      <c r="D95" s="46"/>
      <c r="E95" s="46"/>
      <c r="F95" s="50"/>
      <c r="G95" s="275"/>
      <c r="H95" s="46"/>
      <c r="I95" s="223">
        <v>50.0</v>
      </c>
      <c r="J95" s="46"/>
      <c r="K95" s="46"/>
      <c r="L95" s="223">
        <v>1.0</v>
      </c>
      <c r="M95" s="46"/>
      <c r="N95" s="46"/>
      <c r="O95" s="46"/>
      <c r="P95" s="46" t="s">
        <v>29</v>
      </c>
      <c r="Q95" s="46"/>
      <c r="R95" s="46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</row>
    <row r="96" ht="14.25" customHeight="1">
      <c r="A96" s="211">
        <v>85.0</v>
      </c>
      <c r="B96" s="46" t="s">
        <v>2847</v>
      </c>
      <c r="C96" s="46" t="s">
        <v>2844</v>
      </c>
      <c r="D96" s="46"/>
      <c r="E96" s="46"/>
      <c r="F96" s="50"/>
      <c r="G96" s="275"/>
      <c r="H96" s="46"/>
      <c r="I96" s="223">
        <v>500.0</v>
      </c>
      <c r="J96" s="46"/>
      <c r="K96" s="46"/>
      <c r="L96" s="223">
        <v>21.0</v>
      </c>
      <c r="M96" s="46"/>
      <c r="N96" s="46"/>
      <c r="O96" s="46"/>
      <c r="P96" s="46" t="s">
        <v>29</v>
      </c>
      <c r="Q96" s="46"/>
      <c r="R96" s="46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</row>
    <row r="97" ht="14.25" customHeight="1">
      <c r="A97" s="211">
        <v>86.0</v>
      </c>
      <c r="B97" s="46" t="s">
        <v>2801</v>
      </c>
      <c r="C97" s="46" t="s">
        <v>2848</v>
      </c>
      <c r="D97" s="46"/>
      <c r="E97" s="46"/>
      <c r="F97" s="50"/>
      <c r="G97" s="275"/>
      <c r="H97" s="46"/>
      <c r="I97" s="223">
        <v>100.0</v>
      </c>
      <c r="J97" s="46"/>
      <c r="K97" s="46"/>
      <c r="L97" s="223">
        <v>7.0</v>
      </c>
      <c r="M97" s="46"/>
      <c r="N97" s="46"/>
      <c r="O97" s="46"/>
      <c r="P97" s="46" t="s">
        <v>29</v>
      </c>
      <c r="Q97" s="46"/>
      <c r="R97" s="46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</row>
    <row r="98" ht="14.25" customHeight="1">
      <c r="A98" s="211">
        <v>87.0</v>
      </c>
      <c r="B98" s="46" t="s">
        <v>2850</v>
      </c>
      <c r="C98" s="46" t="s">
        <v>2851</v>
      </c>
      <c r="D98" s="46"/>
      <c r="E98" s="46"/>
      <c r="F98" s="50"/>
      <c r="G98" s="275"/>
      <c r="H98" s="46"/>
      <c r="I98" s="223">
        <v>250.0</v>
      </c>
      <c r="J98" s="46"/>
      <c r="K98" s="46"/>
      <c r="L98" s="223">
        <v>17.0</v>
      </c>
      <c r="M98" s="46"/>
      <c r="N98" s="46"/>
      <c r="O98" s="46"/>
      <c r="P98" s="46" t="s">
        <v>29</v>
      </c>
      <c r="Q98" s="46"/>
      <c r="R98" s="46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  <c r="AD98" s="129"/>
    </row>
    <row r="99" ht="14.25" customHeight="1">
      <c r="A99" s="211">
        <v>88.0</v>
      </c>
      <c r="B99" s="46" t="s">
        <v>2801</v>
      </c>
      <c r="C99" s="46" t="s">
        <v>2852</v>
      </c>
      <c r="D99" s="46"/>
      <c r="E99" s="46"/>
      <c r="F99" s="50"/>
      <c r="G99" s="275"/>
      <c r="H99" s="46"/>
      <c r="I99" s="223">
        <v>300.0</v>
      </c>
      <c r="J99" s="46"/>
      <c r="K99" s="46"/>
      <c r="L99" s="223">
        <v>7.0</v>
      </c>
      <c r="M99" s="46"/>
      <c r="N99" s="46"/>
      <c r="O99" s="46"/>
      <c r="P99" s="46" t="s">
        <v>29</v>
      </c>
      <c r="Q99" s="46"/>
      <c r="R99" s="46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</row>
    <row r="100" ht="14.25" customHeight="1">
      <c r="A100" s="211">
        <v>89.0</v>
      </c>
      <c r="B100" s="46" t="s">
        <v>2772</v>
      </c>
      <c r="C100" s="46" t="s">
        <v>2852</v>
      </c>
      <c r="D100" s="46"/>
      <c r="E100" s="46"/>
      <c r="F100" s="50"/>
      <c r="G100" s="275"/>
      <c r="H100" s="46"/>
      <c r="I100" s="223">
        <v>200.0</v>
      </c>
      <c r="J100" s="46"/>
      <c r="K100" s="46"/>
      <c r="L100" s="223">
        <v>1.0</v>
      </c>
      <c r="M100" s="46"/>
      <c r="N100" s="46"/>
      <c r="O100" s="46"/>
      <c r="P100" s="46" t="s">
        <v>29</v>
      </c>
      <c r="Q100" s="46"/>
      <c r="R100" s="46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</row>
    <row r="101" ht="14.25" customHeight="1">
      <c r="A101" s="211">
        <v>90.0</v>
      </c>
      <c r="B101" s="46" t="s">
        <v>2854</v>
      </c>
      <c r="C101" s="46" t="s">
        <v>2852</v>
      </c>
      <c r="D101" s="46"/>
      <c r="E101" s="46"/>
      <c r="F101" s="50"/>
      <c r="G101" s="275"/>
      <c r="H101" s="46"/>
      <c r="I101" s="223">
        <v>1000.0</v>
      </c>
      <c r="J101" s="46"/>
      <c r="K101" s="46"/>
      <c r="L101" s="223">
        <v>10.0</v>
      </c>
      <c r="M101" s="46"/>
      <c r="N101" s="46"/>
      <c r="O101" s="46"/>
      <c r="P101" s="46" t="s">
        <v>29</v>
      </c>
      <c r="Q101" s="46"/>
      <c r="R101" s="46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</row>
    <row r="102" ht="14.25" customHeight="1">
      <c r="A102" s="211">
        <v>91.0</v>
      </c>
      <c r="B102" s="46" t="s">
        <v>2801</v>
      </c>
      <c r="C102" s="46" t="s">
        <v>2855</v>
      </c>
      <c r="D102" s="46"/>
      <c r="E102" s="46"/>
      <c r="F102" s="50"/>
      <c r="G102" s="275"/>
      <c r="H102" s="46"/>
      <c r="I102" s="223">
        <v>50.0</v>
      </c>
      <c r="J102" s="46"/>
      <c r="K102" s="46"/>
      <c r="L102" s="223">
        <v>2.0</v>
      </c>
      <c r="M102" s="46"/>
      <c r="N102" s="46"/>
      <c r="O102" s="46"/>
      <c r="P102" s="46" t="s">
        <v>29</v>
      </c>
      <c r="Q102" s="46"/>
      <c r="R102" s="46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  <c r="AD102" s="129"/>
    </row>
    <row r="103" ht="14.25" customHeight="1">
      <c r="A103" s="211">
        <v>92.0</v>
      </c>
      <c r="B103" s="46" t="s">
        <v>2772</v>
      </c>
      <c r="C103" s="46" t="s">
        <v>2855</v>
      </c>
      <c r="D103" s="46"/>
      <c r="E103" s="46"/>
      <c r="F103" s="50"/>
      <c r="G103" s="275"/>
      <c r="H103" s="46"/>
      <c r="I103" s="223">
        <v>100.0</v>
      </c>
      <c r="J103" s="46"/>
      <c r="K103" s="46"/>
      <c r="L103" s="223">
        <v>1.0</v>
      </c>
      <c r="M103" s="46"/>
      <c r="N103" s="46"/>
      <c r="O103" s="46"/>
      <c r="P103" s="46" t="s">
        <v>29</v>
      </c>
      <c r="Q103" s="46"/>
      <c r="R103" s="46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</row>
    <row r="104" ht="14.25" customHeight="1">
      <c r="A104" s="211">
        <v>93.0</v>
      </c>
      <c r="B104" s="46" t="s">
        <v>1142</v>
      </c>
      <c r="C104" s="46" t="s">
        <v>2855</v>
      </c>
      <c r="D104" s="46"/>
      <c r="E104" s="46"/>
      <c r="F104" s="50"/>
      <c r="G104" s="275"/>
      <c r="H104" s="46"/>
      <c r="I104" s="223">
        <v>20.0</v>
      </c>
      <c r="J104" s="46"/>
      <c r="K104" s="46"/>
      <c r="L104" s="223">
        <v>1.0</v>
      </c>
      <c r="M104" s="46"/>
      <c r="N104" s="46"/>
      <c r="O104" s="46"/>
      <c r="P104" s="46" t="s">
        <v>29</v>
      </c>
      <c r="Q104" s="46"/>
      <c r="R104" s="46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</row>
    <row r="105" ht="14.25" customHeight="1">
      <c r="A105" s="211">
        <v>94.0</v>
      </c>
      <c r="B105" s="46" t="s">
        <v>2856</v>
      </c>
      <c r="C105" s="46" t="s">
        <v>2857</v>
      </c>
      <c r="D105" s="46"/>
      <c r="E105" s="46"/>
      <c r="F105" s="50"/>
      <c r="G105" s="275"/>
      <c r="H105" s="46"/>
      <c r="I105" s="223">
        <v>700.0</v>
      </c>
      <c r="J105" s="46"/>
      <c r="K105" s="46"/>
      <c r="L105" s="223">
        <v>16.0</v>
      </c>
      <c r="M105" s="46"/>
      <c r="N105" s="46"/>
      <c r="O105" s="46"/>
      <c r="P105" s="46" t="s">
        <v>29</v>
      </c>
      <c r="Q105" s="46"/>
      <c r="R105" s="46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  <c r="AD105" s="129"/>
    </row>
    <row r="106" ht="14.25" customHeight="1">
      <c r="A106" s="211">
        <v>95.0</v>
      </c>
      <c r="B106" s="46" t="s">
        <v>2858</v>
      </c>
      <c r="C106" s="46" t="s">
        <v>2859</v>
      </c>
      <c r="D106" s="46"/>
      <c r="E106" s="46"/>
      <c r="F106" s="50"/>
      <c r="G106" s="275"/>
      <c r="H106" s="46"/>
      <c r="I106" s="223">
        <v>1900.0</v>
      </c>
      <c r="J106" s="46"/>
      <c r="K106" s="46"/>
      <c r="L106" s="223">
        <v>52.0</v>
      </c>
      <c r="M106" s="46"/>
      <c r="N106" s="46"/>
      <c r="O106" s="46"/>
      <c r="P106" s="46" t="s">
        <v>29</v>
      </c>
      <c r="Q106" s="46"/>
      <c r="R106" s="46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</row>
    <row r="107" ht="14.25" customHeight="1">
      <c r="A107" s="211">
        <v>96.0</v>
      </c>
      <c r="B107" s="46" t="s">
        <v>1171</v>
      </c>
      <c r="C107" s="46" t="s">
        <v>2861</v>
      </c>
      <c r="D107" s="46"/>
      <c r="E107" s="46"/>
      <c r="F107" s="50"/>
      <c r="G107" s="275"/>
      <c r="H107" s="46"/>
      <c r="I107" s="223">
        <v>40.0</v>
      </c>
      <c r="J107" s="46"/>
      <c r="K107" s="46"/>
      <c r="L107" s="223">
        <v>4.0</v>
      </c>
      <c r="M107" s="46"/>
      <c r="N107" s="46"/>
      <c r="O107" s="46"/>
      <c r="P107" s="46" t="s">
        <v>29</v>
      </c>
      <c r="Q107" s="46"/>
      <c r="R107" s="46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</row>
    <row r="108" ht="14.25" customHeight="1">
      <c r="A108" s="211">
        <v>97.0</v>
      </c>
      <c r="B108" s="46" t="s">
        <v>1134</v>
      </c>
      <c r="C108" s="46" t="s">
        <v>2861</v>
      </c>
      <c r="D108" s="46"/>
      <c r="E108" s="46"/>
      <c r="F108" s="50"/>
      <c r="G108" s="275"/>
      <c r="H108" s="46"/>
      <c r="I108" s="223">
        <v>20.0</v>
      </c>
      <c r="J108" s="46"/>
      <c r="K108" s="46"/>
      <c r="L108" s="223">
        <v>2.0</v>
      </c>
      <c r="M108" s="46"/>
      <c r="N108" s="46"/>
      <c r="O108" s="46"/>
      <c r="P108" s="46" t="s">
        <v>29</v>
      </c>
      <c r="Q108" s="46"/>
      <c r="R108" s="46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29"/>
    </row>
    <row r="109" ht="14.25" customHeight="1">
      <c r="A109" s="211">
        <v>98.0</v>
      </c>
      <c r="B109" s="46" t="s">
        <v>1171</v>
      </c>
      <c r="C109" s="46" t="s">
        <v>2862</v>
      </c>
      <c r="D109" s="46"/>
      <c r="E109" s="46"/>
      <c r="F109" s="50"/>
      <c r="G109" s="275"/>
      <c r="H109" s="46"/>
      <c r="I109" s="223">
        <v>30.0</v>
      </c>
      <c r="J109" s="46"/>
      <c r="K109" s="46"/>
      <c r="L109" s="223">
        <v>1.0</v>
      </c>
      <c r="M109" s="46"/>
      <c r="N109" s="46"/>
      <c r="O109" s="46"/>
      <c r="P109" s="46" t="s">
        <v>29</v>
      </c>
      <c r="Q109" s="46"/>
      <c r="R109" s="46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  <c r="AD109" s="129"/>
    </row>
    <row r="110" ht="14.25" customHeight="1">
      <c r="A110" s="211">
        <v>99.0</v>
      </c>
      <c r="B110" s="46" t="s">
        <v>2772</v>
      </c>
      <c r="C110" s="46" t="s">
        <v>2862</v>
      </c>
      <c r="D110" s="46"/>
      <c r="E110" s="46"/>
      <c r="F110" s="50"/>
      <c r="G110" s="275"/>
      <c r="H110" s="46"/>
      <c r="I110" s="223">
        <v>40.0</v>
      </c>
      <c r="J110" s="46"/>
      <c r="K110" s="46"/>
      <c r="L110" s="223">
        <v>1.0</v>
      </c>
      <c r="M110" s="46"/>
      <c r="N110" s="46"/>
      <c r="O110" s="46"/>
      <c r="P110" s="46" t="s">
        <v>29</v>
      </c>
      <c r="Q110" s="46"/>
      <c r="R110" s="46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</row>
    <row r="111" ht="14.25" customHeight="1">
      <c r="A111" s="211">
        <v>100.0</v>
      </c>
      <c r="B111" s="46" t="s">
        <v>2864</v>
      </c>
      <c r="C111" s="46" t="s">
        <v>2865</v>
      </c>
      <c r="D111" s="46"/>
      <c r="E111" s="46"/>
      <c r="F111" s="50"/>
      <c r="G111" s="275"/>
      <c r="H111" s="46"/>
      <c r="I111" s="223">
        <v>1000.0</v>
      </c>
      <c r="J111" s="46"/>
      <c r="K111" s="46"/>
      <c r="L111" s="223">
        <v>24.0</v>
      </c>
      <c r="M111" s="46"/>
      <c r="N111" s="46"/>
      <c r="O111" s="46"/>
      <c r="P111" s="46" t="s">
        <v>29</v>
      </c>
      <c r="Q111" s="46"/>
      <c r="R111" s="46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  <c r="AD111" s="129"/>
    </row>
    <row r="112" ht="14.25" customHeight="1">
      <c r="A112" s="211">
        <v>101.0</v>
      </c>
      <c r="B112" s="46" t="s">
        <v>2866</v>
      </c>
      <c r="C112" s="46" t="s">
        <v>2867</v>
      </c>
      <c r="D112" s="46"/>
      <c r="E112" s="46"/>
      <c r="F112" s="50"/>
      <c r="G112" s="275"/>
      <c r="H112" s="46"/>
      <c r="I112" s="223">
        <v>30.0</v>
      </c>
      <c r="J112" s="46"/>
      <c r="K112" s="46"/>
      <c r="L112" s="223">
        <v>1.0</v>
      </c>
      <c r="M112" s="46"/>
      <c r="N112" s="46"/>
      <c r="O112" s="46"/>
      <c r="P112" s="46" t="s">
        <v>29</v>
      </c>
      <c r="Q112" s="46"/>
      <c r="R112" s="46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  <c r="AD112" s="129"/>
    </row>
    <row r="113" ht="14.25" customHeight="1">
      <c r="A113" s="211">
        <v>102.0</v>
      </c>
      <c r="B113" s="46" t="s">
        <v>2772</v>
      </c>
      <c r="C113" s="46" t="s">
        <v>2867</v>
      </c>
      <c r="D113" s="46"/>
      <c r="E113" s="46"/>
      <c r="F113" s="50"/>
      <c r="G113" s="275"/>
      <c r="H113" s="46"/>
      <c r="I113" s="223">
        <v>100.0</v>
      </c>
      <c r="J113" s="46"/>
      <c r="K113" s="46"/>
      <c r="L113" s="223">
        <v>1.0</v>
      </c>
      <c r="M113" s="46"/>
      <c r="N113" s="46"/>
      <c r="O113" s="46"/>
      <c r="P113" s="46" t="s">
        <v>29</v>
      </c>
      <c r="Q113" s="46"/>
      <c r="R113" s="46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</row>
    <row r="114" ht="14.25" customHeight="1">
      <c r="A114" s="211">
        <v>103.0</v>
      </c>
      <c r="B114" s="46" t="s">
        <v>2870</v>
      </c>
      <c r="C114" s="46" t="s">
        <v>2871</v>
      </c>
      <c r="D114" s="46"/>
      <c r="E114" s="46"/>
      <c r="F114" s="50"/>
      <c r="G114" s="275"/>
      <c r="H114" s="46"/>
      <c r="I114" s="223">
        <v>15.0</v>
      </c>
      <c r="J114" s="46"/>
      <c r="K114" s="46"/>
      <c r="L114" s="223">
        <v>1.0</v>
      </c>
      <c r="M114" s="46"/>
      <c r="N114" s="46"/>
      <c r="O114" s="46"/>
      <c r="P114" s="46" t="s">
        <v>29</v>
      </c>
      <c r="Q114" s="46"/>
      <c r="R114" s="46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  <c r="AC114" s="129"/>
      <c r="AD114" s="129"/>
    </row>
    <row r="115" ht="14.25" customHeight="1">
      <c r="A115" s="211">
        <v>104.0</v>
      </c>
      <c r="B115" s="46" t="s">
        <v>2872</v>
      </c>
      <c r="C115" s="46" t="s">
        <v>2867</v>
      </c>
      <c r="D115" s="46"/>
      <c r="E115" s="46"/>
      <c r="F115" s="50"/>
      <c r="G115" s="275"/>
      <c r="H115" s="46"/>
      <c r="I115" s="223">
        <v>150.0</v>
      </c>
      <c r="J115" s="46"/>
      <c r="K115" s="46"/>
      <c r="L115" s="223">
        <v>18.0</v>
      </c>
      <c r="M115" s="46"/>
      <c r="N115" s="46"/>
      <c r="O115" s="46"/>
      <c r="P115" s="46" t="s">
        <v>29</v>
      </c>
      <c r="Q115" s="46"/>
      <c r="R115" s="46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</row>
    <row r="116" ht="14.25" customHeight="1">
      <c r="A116" s="211">
        <v>105.0</v>
      </c>
      <c r="B116" s="46" t="s">
        <v>2873</v>
      </c>
      <c r="C116" s="46" t="s">
        <v>2874</v>
      </c>
      <c r="D116" s="46"/>
      <c r="E116" s="46"/>
      <c r="F116" s="50"/>
      <c r="G116" s="275"/>
      <c r="H116" s="46"/>
      <c r="I116" s="223">
        <v>200.0</v>
      </c>
      <c r="J116" s="46"/>
      <c r="K116" s="46"/>
      <c r="L116" s="223">
        <v>14.0</v>
      </c>
      <c r="M116" s="46"/>
      <c r="N116" s="46"/>
      <c r="O116" s="46"/>
      <c r="P116" s="46" t="s">
        <v>29</v>
      </c>
      <c r="Q116" s="46"/>
      <c r="R116" s="46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  <c r="AD116" s="129"/>
    </row>
    <row r="117" ht="14.25" customHeight="1">
      <c r="A117" s="211">
        <v>106.0</v>
      </c>
      <c r="B117" s="46" t="s">
        <v>2875</v>
      </c>
      <c r="C117" s="46" t="s">
        <v>2867</v>
      </c>
      <c r="D117" s="46"/>
      <c r="E117" s="46"/>
      <c r="F117" s="50"/>
      <c r="G117" s="275"/>
      <c r="H117" s="46"/>
      <c r="I117" s="223">
        <v>50.0</v>
      </c>
      <c r="J117" s="46"/>
      <c r="K117" s="46"/>
      <c r="L117" s="223">
        <v>3.0</v>
      </c>
      <c r="M117" s="46"/>
      <c r="N117" s="46"/>
      <c r="O117" s="46"/>
      <c r="P117" s="46" t="s">
        <v>29</v>
      </c>
      <c r="Q117" s="46"/>
      <c r="R117" s="46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</row>
    <row r="118" ht="14.25" customHeight="1">
      <c r="A118" s="211">
        <v>107.0</v>
      </c>
      <c r="B118" s="46" t="s">
        <v>2781</v>
      </c>
      <c r="C118" s="46" t="s">
        <v>2867</v>
      </c>
      <c r="D118" s="46"/>
      <c r="E118" s="46"/>
      <c r="F118" s="50"/>
      <c r="G118" s="275"/>
      <c r="H118" s="46"/>
      <c r="I118" s="223">
        <v>200.0</v>
      </c>
      <c r="J118" s="46"/>
      <c r="K118" s="46"/>
      <c r="L118" s="223">
        <v>2.0</v>
      </c>
      <c r="M118" s="46"/>
      <c r="N118" s="46"/>
      <c r="O118" s="46"/>
      <c r="P118" s="46" t="s">
        <v>29</v>
      </c>
      <c r="Q118" s="46"/>
      <c r="R118" s="46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</row>
    <row r="119" ht="14.25" customHeight="1">
      <c r="A119" s="211">
        <v>108.0</v>
      </c>
      <c r="B119" s="46" t="s">
        <v>1139</v>
      </c>
      <c r="C119" s="46" t="s">
        <v>2876</v>
      </c>
      <c r="D119" s="46"/>
      <c r="E119" s="46"/>
      <c r="F119" s="50"/>
      <c r="G119" s="275"/>
      <c r="H119" s="46"/>
      <c r="I119" s="223">
        <v>100.0</v>
      </c>
      <c r="J119" s="46"/>
      <c r="K119" s="46"/>
      <c r="L119" s="223">
        <v>3.0</v>
      </c>
      <c r="M119" s="46"/>
      <c r="N119" s="46"/>
      <c r="O119" s="46"/>
      <c r="P119" s="46" t="s">
        <v>29</v>
      </c>
      <c r="Q119" s="46"/>
      <c r="R119" s="46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</row>
    <row r="120" ht="14.25" customHeight="1">
      <c r="A120" s="211">
        <v>109.0</v>
      </c>
      <c r="B120" s="46" t="s">
        <v>1171</v>
      </c>
      <c r="C120" s="46" t="s">
        <v>2878</v>
      </c>
      <c r="D120" s="46"/>
      <c r="E120" s="46"/>
      <c r="F120" s="50"/>
      <c r="G120" s="275"/>
      <c r="H120" s="46"/>
      <c r="I120" s="223">
        <v>70.0</v>
      </c>
      <c r="J120" s="46"/>
      <c r="K120" s="46"/>
      <c r="L120" s="223">
        <v>3.0</v>
      </c>
      <c r="M120" s="46"/>
      <c r="N120" s="46"/>
      <c r="O120" s="46"/>
      <c r="P120" s="46" t="s">
        <v>29</v>
      </c>
      <c r="Q120" s="46"/>
      <c r="R120" s="46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</row>
    <row r="121" ht="14.25" customHeight="1">
      <c r="A121" s="211">
        <v>110.0</v>
      </c>
      <c r="B121" s="46" t="s">
        <v>2879</v>
      </c>
      <c r="C121" s="46" t="s">
        <v>2880</v>
      </c>
      <c r="D121" s="46"/>
      <c r="E121" s="46"/>
      <c r="F121" s="50"/>
      <c r="G121" s="275"/>
      <c r="H121" s="46"/>
      <c r="I121" s="223">
        <v>250.0</v>
      </c>
      <c r="J121" s="46"/>
      <c r="K121" s="46"/>
      <c r="L121" s="223">
        <v>8.0</v>
      </c>
      <c r="M121" s="46"/>
      <c r="N121" s="46"/>
      <c r="O121" s="46"/>
      <c r="P121" s="46" t="s">
        <v>29</v>
      </c>
      <c r="Q121" s="46"/>
      <c r="R121" s="46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</row>
    <row r="122" ht="14.25" customHeight="1">
      <c r="A122" s="211">
        <v>111.0</v>
      </c>
      <c r="B122" s="46" t="s">
        <v>2881</v>
      </c>
      <c r="C122" s="46" t="s">
        <v>2882</v>
      </c>
      <c r="D122" s="46"/>
      <c r="E122" s="46"/>
      <c r="F122" s="50"/>
      <c r="G122" s="275"/>
      <c r="H122" s="46"/>
      <c r="I122" s="223">
        <v>45.0</v>
      </c>
      <c r="J122" s="46"/>
      <c r="K122" s="46"/>
      <c r="L122" s="223">
        <v>1.0</v>
      </c>
      <c r="M122" s="46"/>
      <c r="N122" s="46"/>
      <c r="O122" s="46"/>
      <c r="P122" s="46" t="s">
        <v>29</v>
      </c>
      <c r="Q122" s="46"/>
      <c r="R122" s="46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</row>
    <row r="123" ht="14.25" customHeight="1">
      <c r="A123" s="211">
        <v>112.0</v>
      </c>
      <c r="B123" s="46" t="s">
        <v>2801</v>
      </c>
      <c r="C123" s="46" t="s">
        <v>2883</v>
      </c>
      <c r="D123" s="46"/>
      <c r="E123" s="46"/>
      <c r="F123" s="50"/>
      <c r="G123" s="275"/>
      <c r="H123" s="46"/>
      <c r="I123" s="223">
        <v>500.0</v>
      </c>
      <c r="J123" s="46"/>
      <c r="K123" s="46"/>
      <c r="L123" s="223">
        <v>1.0</v>
      </c>
      <c r="M123" s="46"/>
      <c r="N123" s="46"/>
      <c r="O123" s="46"/>
      <c r="P123" s="46" t="s">
        <v>29</v>
      </c>
      <c r="Q123" s="46"/>
      <c r="R123" s="46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</row>
    <row r="124" ht="14.25" customHeight="1">
      <c r="A124" s="211">
        <v>113.0</v>
      </c>
      <c r="B124" s="46" t="s">
        <v>2881</v>
      </c>
      <c r="C124" s="46" t="s">
        <v>2883</v>
      </c>
      <c r="D124" s="46"/>
      <c r="E124" s="46"/>
      <c r="F124" s="50"/>
      <c r="G124" s="275"/>
      <c r="H124" s="46"/>
      <c r="I124" s="223">
        <v>200.0</v>
      </c>
      <c r="J124" s="46"/>
      <c r="K124" s="46"/>
      <c r="L124" s="223">
        <v>2.0</v>
      </c>
      <c r="M124" s="46"/>
      <c r="N124" s="46"/>
      <c r="O124" s="46"/>
      <c r="P124" s="46" t="s">
        <v>29</v>
      </c>
      <c r="Q124" s="46"/>
      <c r="R124" s="46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</row>
    <row r="125" ht="14.25" customHeight="1">
      <c r="A125" s="211">
        <v>114.0</v>
      </c>
      <c r="B125" s="46" t="s">
        <v>2246</v>
      </c>
      <c r="C125" s="46" t="s">
        <v>2884</v>
      </c>
      <c r="D125" s="46"/>
      <c r="E125" s="46"/>
      <c r="F125" s="50"/>
      <c r="G125" s="275"/>
      <c r="H125" s="46"/>
      <c r="I125" s="223">
        <v>1000.0</v>
      </c>
      <c r="J125" s="46"/>
      <c r="K125" s="46"/>
      <c r="L125" s="223">
        <v>14.0</v>
      </c>
      <c r="M125" s="46"/>
      <c r="N125" s="46"/>
      <c r="O125" s="46"/>
      <c r="P125" s="46" t="s">
        <v>29</v>
      </c>
      <c r="Q125" s="46"/>
      <c r="R125" s="46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</row>
    <row r="126" ht="14.25" customHeight="1">
      <c r="A126" s="211">
        <v>115.0</v>
      </c>
      <c r="B126" s="46" t="s">
        <v>1171</v>
      </c>
      <c r="C126" s="46" t="s">
        <v>2885</v>
      </c>
      <c r="D126" s="46"/>
      <c r="E126" s="46"/>
      <c r="F126" s="50"/>
      <c r="G126" s="275"/>
      <c r="H126" s="46"/>
      <c r="I126" s="223">
        <v>20.0</v>
      </c>
      <c r="J126" s="46"/>
      <c r="K126" s="46"/>
      <c r="L126" s="223">
        <v>2.0</v>
      </c>
      <c r="M126" s="46"/>
      <c r="N126" s="46"/>
      <c r="O126" s="46"/>
      <c r="P126" s="46" t="s">
        <v>29</v>
      </c>
      <c r="Q126" s="46"/>
      <c r="R126" s="46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</row>
    <row r="127" ht="14.25" customHeight="1">
      <c r="A127" s="211">
        <v>116.0</v>
      </c>
      <c r="B127" s="46" t="s">
        <v>2887</v>
      </c>
      <c r="C127" s="46" t="s">
        <v>2885</v>
      </c>
      <c r="D127" s="46"/>
      <c r="E127" s="46"/>
      <c r="F127" s="50"/>
      <c r="G127" s="275"/>
      <c r="H127" s="46"/>
      <c r="I127" s="223">
        <v>50.0</v>
      </c>
      <c r="J127" s="46"/>
      <c r="K127" s="46"/>
      <c r="L127" s="223">
        <v>2.0</v>
      </c>
      <c r="M127" s="46"/>
      <c r="N127" s="46"/>
      <c r="O127" s="46"/>
      <c r="P127" s="46" t="s">
        <v>29</v>
      </c>
      <c r="Q127" s="46"/>
      <c r="R127" s="46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</row>
    <row r="128" ht="14.25" customHeight="1">
      <c r="A128" s="211">
        <v>117.0</v>
      </c>
      <c r="B128" s="46" t="s">
        <v>1134</v>
      </c>
      <c r="C128" s="46" t="s">
        <v>2888</v>
      </c>
      <c r="D128" s="46"/>
      <c r="E128" s="46"/>
      <c r="F128" s="50"/>
      <c r="G128" s="275"/>
      <c r="H128" s="46"/>
      <c r="I128" s="223">
        <v>30.0</v>
      </c>
      <c r="J128" s="46"/>
      <c r="K128" s="46"/>
      <c r="L128" s="223">
        <v>1.0</v>
      </c>
      <c r="M128" s="46"/>
      <c r="N128" s="46"/>
      <c r="O128" s="46"/>
      <c r="P128" s="46" t="s">
        <v>29</v>
      </c>
      <c r="Q128" s="46"/>
      <c r="R128" s="46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</row>
    <row r="129" ht="14.25" customHeight="1">
      <c r="A129" s="211">
        <v>118.0</v>
      </c>
      <c r="B129" s="46" t="s">
        <v>1171</v>
      </c>
      <c r="C129" s="46" t="s">
        <v>2889</v>
      </c>
      <c r="D129" s="46"/>
      <c r="E129" s="46"/>
      <c r="F129" s="50"/>
      <c r="G129" s="275"/>
      <c r="H129" s="46"/>
      <c r="I129" s="223">
        <v>200.0</v>
      </c>
      <c r="J129" s="46"/>
      <c r="K129" s="46"/>
      <c r="L129" s="223">
        <v>8.0</v>
      </c>
      <c r="M129" s="46"/>
      <c r="N129" s="46"/>
      <c r="O129" s="46"/>
      <c r="P129" s="46" t="s">
        <v>29</v>
      </c>
      <c r="Q129" s="46"/>
      <c r="R129" s="46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</row>
    <row r="130" ht="14.25" customHeight="1">
      <c r="A130" s="211">
        <v>119.0</v>
      </c>
      <c r="B130" s="46" t="s">
        <v>2130</v>
      </c>
      <c r="C130" s="46" t="s">
        <v>2889</v>
      </c>
      <c r="D130" s="46"/>
      <c r="E130" s="46"/>
      <c r="F130" s="50"/>
      <c r="G130" s="275"/>
      <c r="H130" s="46"/>
      <c r="I130" s="223">
        <v>250.0</v>
      </c>
      <c r="J130" s="46"/>
      <c r="K130" s="46"/>
      <c r="L130" s="223">
        <v>14.0</v>
      </c>
      <c r="M130" s="46"/>
      <c r="N130" s="46"/>
      <c r="O130" s="46"/>
      <c r="P130" s="46" t="s">
        <v>29</v>
      </c>
      <c r="Q130" s="46"/>
      <c r="R130" s="46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</row>
    <row r="131" ht="14.25" customHeight="1">
      <c r="A131" s="211">
        <v>120.0</v>
      </c>
      <c r="B131" s="46" t="s">
        <v>1171</v>
      </c>
      <c r="C131" s="46" t="s">
        <v>2891</v>
      </c>
      <c r="D131" s="46"/>
      <c r="E131" s="46"/>
      <c r="F131" s="50"/>
      <c r="G131" s="275"/>
      <c r="H131" s="46"/>
      <c r="I131" s="223">
        <v>50.0</v>
      </c>
      <c r="J131" s="46"/>
      <c r="K131" s="46"/>
      <c r="L131" s="223">
        <v>1.0</v>
      </c>
      <c r="M131" s="46"/>
      <c r="N131" s="46"/>
      <c r="O131" s="46"/>
      <c r="P131" s="46" t="s">
        <v>29</v>
      </c>
      <c r="Q131" s="46"/>
      <c r="R131" s="46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</row>
    <row r="132" ht="14.25" customHeight="1">
      <c r="A132" s="211">
        <v>121.0</v>
      </c>
      <c r="B132" s="46" t="s">
        <v>2772</v>
      </c>
      <c r="C132" s="46" t="s">
        <v>2892</v>
      </c>
      <c r="D132" s="46"/>
      <c r="E132" s="46"/>
      <c r="F132" s="50"/>
      <c r="G132" s="275"/>
      <c r="H132" s="46"/>
      <c r="I132" s="223">
        <v>50.0</v>
      </c>
      <c r="J132" s="46"/>
      <c r="K132" s="46"/>
      <c r="L132" s="223">
        <v>1.0</v>
      </c>
      <c r="M132" s="46"/>
      <c r="N132" s="46"/>
      <c r="O132" s="46"/>
      <c r="P132" s="46" t="s">
        <v>29</v>
      </c>
      <c r="Q132" s="46"/>
      <c r="R132" s="46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</row>
    <row r="133" ht="14.25" customHeight="1">
      <c r="A133" s="211">
        <v>122.0</v>
      </c>
      <c r="B133" s="46" t="s">
        <v>2252</v>
      </c>
      <c r="C133" s="46" t="s">
        <v>2893</v>
      </c>
      <c r="D133" s="46"/>
      <c r="E133" s="46"/>
      <c r="F133" s="50"/>
      <c r="G133" s="275"/>
      <c r="H133" s="46"/>
      <c r="I133" s="223">
        <v>400.0</v>
      </c>
      <c r="J133" s="46"/>
      <c r="K133" s="46"/>
      <c r="L133" s="223">
        <v>21.0</v>
      </c>
      <c r="M133" s="46"/>
      <c r="N133" s="46"/>
      <c r="O133" s="46"/>
      <c r="P133" s="46" t="s">
        <v>29</v>
      </c>
      <c r="Q133" s="46"/>
      <c r="R133" s="46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</row>
    <row r="134" ht="14.25" customHeight="1">
      <c r="A134" s="211">
        <v>123.0</v>
      </c>
      <c r="B134" s="46" t="s">
        <v>1134</v>
      </c>
      <c r="C134" s="46" t="s">
        <v>1134</v>
      </c>
      <c r="D134" s="46"/>
      <c r="E134" s="46"/>
      <c r="F134" s="50"/>
      <c r="G134" s="275"/>
      <c r="H134" s="46"/>
      <c r="I134" s="223">
        <v>20.0</v>
      </c>
      <c r="J134" s="46"/>
      <c r="K134" s="46"/>
      <c r="L134" s="223">
        <v>32.0</v>
      </c>
      <c r="M134" s="46"/>
      <c r="N134" s="46"/>
      <c r="O134" s="46"/>
      <c r="P134" s="46" t="s">
        <v>29</v>
      </c>
      <c r="Q134" s="46"/>
      <c r="R134" s="46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</row>
    <row r="135" ht="14.25" customHeight="1">
      <c r="A135" s="211">
        <v>124.0</v>
      </c>
      <c r="B135" s="46" t="s">
        <v>1171</v>
      </c>
      <c r="C135" s="46" t="s">
        <v>2894</v>
      </c>
      <c r="D135" s="46"/>
      <c r="E135" s="46"/>
      <c r="F135" s="50"/>
      <c r="G135" s="275"/>
      <c r="H135" s="46"/>
      <c r="I135" s="223">
        <v>50.0</v>
      </c>
      <c r="J135" s="46"/>
      <c r="K135" s="46"/>
      <c r="L135" s="223">
        <v>1.0</v>
      </c>
      <c r="M135" s="46"/>
      <c r="N135" s="46"/>
      <c r="O135" s="46"/>
      <c r="P135" s="46" t="s">
        <v>29</v>
      </c>
      <c r="Q135" s="46"/>
      <c r="R135" s="46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</row>
    <row r="136" ht="14.25" customHeight="1">
      <c r="A136" s="211">
        <v>125.0</v>
      </c>
      <c r="B136" s="46" t="s">
        <v>2895</v>
      </c>
      <c r="C136" s="46" t="s">
        <v>2896</v>
      </c>
      <c r="D136" s="46"/>
      <c r="E136" s="46"/>
      <c r="F136" s="50"/>
      <c r="G136" s="275"/>
      <c r="H136" s="46"/>
      <c r="I136" s="223">
        <v>400.0</v>
      </c>
      <c r="J136" s="46"/>
      <c r="K136" s="46"/>
      <c r="L136" s="223">
        <v>21.0</v>
      </c>
      <c r="M136" s="46"/>
      <c r="N136" s="46"/>
      <c r="O136" s="46"/>
      <c r="P136" s="46" t="s">
        <v>29</v>
      </c>
      <c r="Q136" s="46"/>
      <c r="R136" s="46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</row>
    <row r="137" ht="14.25" customHeight="1">
      <c r="A137" s="211">
        <v>126.0</v>
      </c>
      <c r="B137" s="46" t="s">
        <v>2897</v>
      </c>
      <c r="C137" s="46" t="s">
        <v>2898</v>
      </c>
      <c r="D137" s="46"/>
      <c r="E137" s="46"/>
      <c r="F137" s="50"/>
      <c r="G137" s="275"/>
      <c r="H137" s="46"/>
      <c r="I137" s="223">
        <v>700.0</v>
      </c>
      <c r="J137" s="46"/>
      <c r="K137" s="46"/>
      <c r="L137" s="223">
        <v>32.0</v>
      </c>
      <c r="M137" s="46"/>
      <c r="N137" s="46"/>
      <c r="O137" s="46"/>
      <c r="P137" s="46" t="s">
        <v>29</v>
      </c>
      <c r="Q137" s="46"/>
      <c r="R137" s="46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</row>
    <row r="138" ht="14.25" customHeight="1">
      <c r="A138" s="211">
        <v>127.0</v>
      </c>
      <c r="B138" s="46" t="s">
        <v>2801</v>
      </c>
      <c r="C138" s="46" t="s">
        <v>2899</v>
      </c>
      <c r="D138" s="46"/>
      <c r="E138" s="46"/>
      <c r="F138" s="50"/>
      <c r="G138" s="275"/>
      <c r="H138" s="46"/>
      <c r="I138" s="223">
        <v>40.0</v>
      </c>
      <c r="J138" s="46"/>
      <c r="K138" s="46"/>
      <c r="L138" s="223">
        <v>7.0</v>
      </c>
      <c r="M138" s="46"/>
      <c r="N138" s="46"/>
      <c r="O138" s="46"/>
      <c r="P138" s="46" t="s">
        <v>29</v>
      </c>
      <c r="Q138" s="46"/>
      <c r="R138" s="46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</row>
    <row r="139" ht="14.25" customHeight="1">
      <c r="A139" s="211">
        <v>128.0</v>
      </c>
      <c r="B139" s="46" t="s">
        <v>2900</v>
      </c>
      <c r="C139" s="46" t="s">
        <v>2899</v>
      </c>
      <c r="D139" s="46"/>
      <c r="E139" s="46"/>
      <c r="F139" s="50"/>
      <c r="G139" s="275"/>
      <c r="H139" s="46"/>
      <c r="I139" s="223">
        <v>150.0</v>
      </c>
      <c r="J139" s="46"/>
      <c r="K139" s="46"/>
      <c r="L139" s="223">
        <v>15.0</v>
      </c>
      <c r="M139" s="46"/>
      <c r="N139" s="46"/>
      <c r="O139" s="46"/>
      <c r="P139" s="46" t="s">
        <v>29</v>
      </c>
      <c r="Q139" s="46"/>
      <c r="R139" s="46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</row>
    <row r="140" ht="14.25" customHeight="1">
      <c r="A140" s="211">
        <v>129.0</v>
      </c>
      <c r="B140" s="46" t="s">
        <v>2881</v>
      </c>
      <c r="C140" s="46" t="s">
        <v>2899</v>
      </c>
      <c r="D140" s="46"/>
      <c r="E140" s="46"/>
      <c r="F140" s="50"/>
      <c r="G140" s="275"/>
      <c r="H140" s="46"/>
      <c r="I140" s="223">
        <v>30.0</v>
      </c>
      <c r="J140" s="46"/>
      <c r="K140" s="46"/>
      <c r="L140" s="223">
        <v>1.0</v>
      </c>
      <c r="M140" s="46"/>
      <c r="N140" s="46"/>
      <c r="O140" s="46"/>
      <c r="P140" s="46" t="s">
        <v>29</v>
      </c>
      <c r="Q140" s="46"/>
      <c r="R140" s="46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</row>
    <row r="141" ht="14.25" customHeight="1">
      <c r="A141" s="211">
        <v>130.0</v>
      </c>
      <c r="B141" s="46" t="s">
        <v>2766</v>
      </c>
      <c r="C141" s="46" t="s">
        <v>2899</v>
      </c>
      <c r="D141" s="46"/>
      <c r="E141" s="46"/>
      <c r="F141" s="50"/>
      <c r="G141" s="275"/>
      <c r="H141" s="46"/>
      <c r="I141" s="223">
        <v>10.0</v>
      </c>
      <c r="J141" s="46"/>
      <c r="K141" s="46"/>
      <c r="L141" s="223">
        <v>1.0</v>
      </c>
      <c r="M141" s="46"/>
      <c r="N141" s="46"/>
      <c r="O141" s="46"/>
      <c r="P141" s="46" t="s">
        <v>29</v>
      </c>
      <c r="Q141" s="46"/>
      <c r="R141" s="46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</row>
    <row r="142" ht="14.25" customHeight="1">
      <c r="A142" s="211">
        <v>131.0</v>
      </c>
      <c r="B142" s="46" t="s">
        <v>1171</v>
      </c>
      <c r="C142" s="46" t="s">
        <v>2901</v>
      </c>
      <c r="D142" s="46"/>
      <c r="E142" s="46"/>
      <c r="F142" s="50"/>
      <c r="G142" s="275"/>
      <c r="H142" s="46"/>
      <c r="I142" s="223">
        <v>200.0</v>
      </c>
      <c r="J142" s="46"/>
      <c r="K142" s="46"/>
      <c r="L142" s="223">
        <v>2.0</v>
      </c>
      <c r="M142" s="46"/>
      <c r="N142" s="46"/>
      <c r="O142" s="46"/>
      <c r="P142" s="46" t="s">
        <v>29</v>
      </c>
      <c r="Q142" s="46"/>
      <c r="R142" s="46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</row>
    <row r="143" ht="14.25" customHeight="1">
      <c r="A143" s="211">
        <v>132.0</v>
      </c>
      <c r="B143" s="46" t="s">
        <v>2881</v>
      </c>
      <c r="C143" s="46" t="s">
        <v>2901</v>
      </c>
      <c r="D143" s="46"/>
      <c r="E143" s="46"/>
      <c r="F143" s="50"/>
      <c r="G143" s="275"/>
      <c r="H143" s="46"/>
      <c r="I143" s="223">
        <v>100.0</v>
      </c>
      <c r="J143" s="46"/>
      <c r="K143" s="46"/>
      <c r="L143" s="223">
        <v>1.0</v>
      </c>
      <c r="M143" s="46"/>
      <c r="N143" s="46"/>
      <c r="O143" s="46"/>
      <c r="P143" s="46" t="s">
        <v>29</v>
      </c>
      <c r="Q143" s="46"/>
      <c r="R143" s="46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</row>
    <row r="144" ht="14.25" customHeight="1">
      <c r="A144" s="211">
        <v>133.0</v>
      </c>
      <c r="B144" s="46" t="s">
        <v>2904</v>
      </c>
      <c r="C144" s="46" t="s">
        <v>2905</v>
      </c>
      <c r="D144" s="46"/>
      <c r="E144" s="46"/>
      <c r="F144" s="50"/>
      <c r="G144" s="275"/>
      <c r="H144" s="46"/>
      <c r="I144" s="223">
        <v>1000.0</v>
      </c>
      <c r="J144" s="46"/>
      <c r="K144" s="46"/>
      <c r="L144" s="223">
        <v>23.0</v>
      </c>
      <c r="M144" s="46"/>
      <c r="N144" s="46"/>
      <c r="O144" s="46"/>
      <c r="P144" s="46" t="s">
        <v>29</v>
      </c>
      <c r="Q144" s="46"/>
      <c r="R144" s="46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</row>
    <row r="145" ht="14.25" customHeight="1">
      <c r="A145" s="211">
        <v>134.0</v>
      </c>
      <c r="B145" s="46" t="s">
        <v>2906</v>
      </c>
      <c r="C145" s="46" t="s">
        <v>2907</v>
      </c>
      <c r="D145" s="46"/>
      <c r="E145" s="46"/>
      <c r="F145" s="50"/>
      <c r="G145" s="275"/>
      <c r="H145" s="46"/>
      <c r="I145" s="223">
        <v>50.0</v>
      </c>
      <c r="J145" s="46"/>
      <c r="K145" s="46"/>
      <c r="L145" s="223">
        <v>10.0</v>
      </c>
      <c r="M145" s="46"/>
      <c r="N145" s="46"/>
      <c r="O145" s="46"/>
      <c r="P145" s="46" t="s">
        <v>29</v>
      </c>
      <c r="Q145" s="46"/>
      <c r="R145" s="46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</row>
    <row r="146" ht="14.25" customHeight="1">
      <c r="A146" s="211">
        <v>135.0</v>
      </c>
      <c r="B146" s="46" t="s">
        <v>2908</v>
      </c>
      <c r="C146" s="46" t="s">
        <v>2907</v>
      </c>
      <c r="D146" s="46"/>
      <c r="E146" s="46"/>
      <c r="F146" s="50"/>
      <c r="G146" s="275"/>
      <c r="H146" s="46"/>
      <c r="I146" s="223">
        <v>30.0</v>
      </c>
      <c r="J146" s="46"/>
      <c r="K146" s="46"/>
      <c r="L146" s="223">
        <v>10.0</v>
      </c>
      <c r="M146" s="46"/>
      <c r="N146" s="46"/>
      <c r="O146" s="46"/>
      <c r="P146" s="46" t="s">
        <v>29</v>
      </c>
      <c r="Q146" s="46"/>
      <c r="R146" s="46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</row>
    <row r="147" ht="14.25" customHeight="1">
      <c r="A147" s="211">
        <v>136.0</v>
      </c>
      <c r="B147" s="46" t="s">
        <v>1134</v>
      </c>
      <c r="C147" s="46" t="s">
        <v>2907</v>
      </c>
      <c r="D147" s="46"/>
      <c r="E147" s="46"/>
      <c r="F147" s="50"/>
      <c r="G147" s="275"/>
      <c r="H147" s="46"/>
      <c r="I147" s="223">
        <v>230.0</v>
      </c>
      <c r="J147" s="46"/>
      <c r="K147" s="46"/>
      <c r="L147" s="223">
        <v>2.0</v>
      </c>
      <c r="M147" s="46"/>
      <c r="N147" s="46"/>
      <c r="O147" s="46"/>
      <c r="P147" s="46" t="s">
        <v>29</v>
      </c>
      <c r="Q147" s="46"/>
      <c r="R147" s="46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</row>
    <row r="148" ht="14.25" customHeight="1">
      <c r="A148" s="211">
        <v>137.0</v>
      </c>
      <c r="B148" s="46" t="s">
        <v>2801</v>
      </c>
      <c r="C148" s="46" t="s">
        <v>2907</v>
      </c>
      <c r="D148" s="46"/>
      <c r="E148" s="46"/>
      <c r="F148" s="50"/>
      <c r="G148" s="275"/>
      <c r="H148" s="46"/>
      <c r="I148" s="223">
        <v>20.0</v>
      </c>
      <c r="J148" s="46"/>
      <c r="K148" s="46"/>
      <c r="L148" s="223">
        <v>1.0</v>
      </c>
      <c r="M148" s="46"/>
      <c r="N148" s="46"/>
      <c r="O148" s="46"/>
      <c r="P148" s="46" t="s">
        <v>29</v>
      </c>
      <c r="Q148" s="46"/>
      <c r="R148" s="46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</row>
    <row r="149" ht="14.25" customHeight="1">
      <c r="A149" s="211">
        <v>138.0</v>
      </c>
      <c r="B149" s="46" t="s">
        <v>2776</v>
      </c>
      <c r="C149" s="46" t="s">
        <v>2907</v>
      </c>
      <c r="D149" s="46"/>
      <c r="E149" s="46"/>
      <c r="F149" s="50"/>
      <c r="G149" s="275"/>
      <c r="H149" s="46"/>
      <c r="I149" s="223">
        <v>20.0</v>
      </c>
      <c r="J149" s="46"/>
      <c r="K149" s="46"/>
      <c r="L149" s="223">
        <v>1.0</v>
      </c>
      <c r="M149" s="46"/>
      <c r="N149" s="46"/>
      <c r="O149" s="46"/>
      <c r="P149" s="46" t="s">
        <v>29</v>
      </c>
      <c r="Q149" s="46"/>
      <c r="R149" s="46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</row>
    <row r="150" ht="14.25" customHeight="1">
      <c r="A150" s="211">
        <v>139.0</v>
      </c>
      <c r="B150" s="46" t="s">
        <v>2909</v>
      </c>
      <c r="C150" s="46" t="s">
        <v>2910</v>
      </c>
      <c r="D150" s="46"/>
      <c r="E150" s="46"/>
      <c r="F150" s="50"/>
      <c r="G150" s="275"/>
      <c r="H150" s="46"/>
      <c r="I150" s="223">
        <v>20.0</v>
      </c>
      <c r="J150" s="46"/>
      <c r="K150" s="46"/>
      <c r="L150" s="223">
        <v>1.0</v>
      </c>
      <c r="M150" s="46"/>
      <c r="N150" s="46"/>
      <c r="O150" s="46"/>
      <c r="P150" s="46" t="s">
        <v>29</v>
      </c>
      <c r="Q150" s="46"/>
      <c r="R150" s="46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</row>
    <row r="151" ht="14.25" customHeight="1">
      <c r="A151" s="211">
        <v>140.0</v>
      </c>
      <c r="B151" s="46" t="s">
        <v>1171</v>
      </c>
      <c r="C151" s="46" t="s">
        <v>2911</v>
      </c>
      <c r="D151" s="46"/>
      <c r="E151" s="46"/>
      <c r="F151" s="50"/>
      <c r="G151" s="275"/>
      <c r="H151" s="46"/>
      <c r="I151" s="223">
        <v>50.0</v>
      </c>
      <c r="J151" s="46"/>
      <c r="K151" s="46"/>
      <c r="L151" s="223">
        <v>2.0</v>
      </c>
      <c r="M151" s="46"/>
      <c r="N151" s="46"/>
      <c r="O151" s="46"/>
      <c r="P151" s="46" t="s">
        <v>29</v>
      </c>
      <c r="Q151" s="46"/>
      <c r="R151" s="46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</row>
    <row r="152" ht="14.25" customHeight="1">
      <c r="A152" s="211">
        <v>141.0</v>
      </c>
      <c r="B152" s="46" t="s">
        <v>2881</v>
      </c>
      <c r="C152" s="46" t="s">
        <v>2913</v>
      </c>
      <c r="D152" s="46"/>
      <c r="E152" s="46"/>
      <c r="F152" s="50"/>
      <c r="G152" s="275"/>
      <c r="H152" s="46"/>
      <c r="I152" s="223">
        <v>50.0</v>
      </c>
      <c r="J152" s="46"/>
      <c r="K152" s="46"/>
      <c r="L152" s="223">
        <v>1.0</v>
      </c>
      <c r="M152" s="46"/>
      <c r="N152" s="46"/>
      <c r="O152" s="46"/>
      <c r="P152" s="46" t="s">
        <v>29</v>
      </c>
      <c r="Q152" s="46"/>
      <c r="R152" s="46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</row>
    <row r="153" ht="14.25" customHeight="1">
      <c r="A153" s="211">
        <v>142.0</v>
      </c>
      <c r="B153" s="46" t="s">
        <v>2914</v>
      </c>
      <c r="C153" s="46" t="s">
        <v>2915</v>
      </c>
      <c r="D153" s="46"/>
      <c r="E153" s="46"/>
      <c r="F153" s="50"/>
      <c r="G153" s="275"/>
      <c r="H153" s="46"/>
      <c r="I153" s="223">
        <v>300.0</v>
      </c>
      <c r="J153" s="46"/>
      <c r="K153" s="46"/>
      <c r="L153" s="223">
        <v>19.0</v>
      </c>
      <c r="M153" s="46"/>
      <c r="N153" s="46"/>
      <c r="O153" s="46"/>
      <c r="P153" s="46" t="s">
        <v>29</v>
      </c>
      <c r="Q153" s="46"/>
      <c r="R153" s="46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</row>
    <row r="154" ht="14.25" customHeight="1">
      <c r="A154" s="211">
        <v>143.0</v>
      </c>
      <c r="B154" s="46" t="s">
        <v>2781</v>
      </c>
      <c r="C154" s="46" t="s">
        <v>2913</v>
      </c>
      <c r="D154" s="46"/>
      <c r="E154" s="46"/>
      <c r="F154" s="50"/>
      <c r="G154" s="275"/>
      <c r="H154" s="46"/>
      <c r="I154" s="223">
        <v>100.0</v>
      </c>
      <c r="J154" s="46"/>
      <c r="K154" s="46"/>
      <c r="L154" s="223">
        <v>2.0</v>
      </c>
      <c r="M154" s="46"/>
      <c r="N154" s="46"/>
      <c r="O154" s="46"/>
      <c r="P154" s="46" t="s">
        <v>29</v>
      </c>
      <c r="Q154" s="46"/>
      <c r="R154" s="46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</row>
    <row r="155" ht="14.25" customHeight="1">
      <c r="A155" s="211">
        <v>144.0</v>
      </c>
      <c r="B155" s="46" t="s">
        <v>2801</v>
      </c>
      <c r="C155" s="46" t="s">
        <v>2916</v>
      </c>
      <c r="D155" s="46"/>
      <c r="E155" s="46"/>
      <c r="F155" s="50"/>
      <c r="G155" s="275"/>
      <c r="H155" s="46"/>
      <c r="I155" s="223">
        <v>100.0</v>
      </c>
      <c r="J155" s="46"/>
      <c r="K155" s="46"/>
      <c r="L155" s="223">
        <v>5.0</v>
      </c>
      <c r="M155" s="46"/>
      <c r="N155" s="46"/>
      <c r="O155" s="46"/>
      <c r="P155" s="46" t="s">
        <v>29</v>
      </c>
      <c r="Q155" s="46"/>
      <c r="R155" s="46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</row>
    <row r="156" ht="14.25" customHeight="1">
      <c r="A156" s="211">
        <v>145.0</v>
      </c>
      <c r="B156" s="46" t="s">
        <v>2918</v>
      </c>
      <c r="C156" s="46" t="s">
        <v>2916</v>
      </c>
      <c r="D156" s="46"/>
      <c r="E156" s="46"/>
      <c r="F156" s="50"/>
      <c r="G156" s="275"/>
      <c r="H156" s="46"/>
      <c r="I156" s="223">
        <v>300.0</v>
      </c>
      <c r="J156" s="46"/>
      <c r="K156" s="46"/>
      <c r="L156" s="223">
        <v>10.0</v>
      </c>
      <c r="M156" s="46"/>
      <c r="N156" s="46"/>
      <c r="O156" s="46"/>
      <c r="P156" s="46" t="s">
        <v>29</v>
      </c>
      <c r="Q156" s="46"/>
      <c r="R156" s="46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</row>
    <row r="157" ht="14.25" customHeight="1">
      <c r="A157" s="211">
        <v>146.0</v>
      </c>
      <c r="B157" s="46" t="s">
        <v>2919</v>
      </c>
      <c r="C157" s="46" t="s">
        <v>2916</v>
      </c>
      <c r="D157" s="46"/>
      <c r="E157" s="46"/>
      <c r="F157" s="50"/>
      <c r="G157" s="275"/>
      <c r="H157" s="46"/>
      <c r="I157" s="223">
        <v>800.0</v>
      </c>
      <c r="J157" s="46"/>
      <c r="K157" s="46"/>
      <c r="L157" s="223">
        <v>30.0</v>
      </c>
      <c r="M157" s="46"/>
      <c r="N157" s="46"/>
      <c r="O157" s="46"/>
      <c r="P157" s="46" t="s">
        <v>29</v>
      </c>
      <c r="Q157" s="46"/>
      <c r="R157" s="46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</row>
    <row r="158" ht="14.25" customHeight="1">
      <c r="A158" s="211">
        <v>147.0</v>
      </c>
      <c r="B158" s="46" t="s">
        <v>2801</v>
      </c>
      <c r="C158" s="46" t="s">
        <v>2920</v>
      </c>
      <c r="D158" s="46"/>
      <c r="E158" s="46"/>
      <c r="F158" s="50"/>
      <c r="G158" s="275"/>
      <c r="H158" s="46"/>
      <c r="I158" s="223">
        <v>150.0</v>
      </c>
      <c r="J158" s="46"/>
      <c r="K158" s="46"/>
      <c r="L158" s="223">
        <v>3.0</v>
      </c>
      <c r="M158" s="46"/>
      <c r="N158" s="46"/>
      <c r="O158" s="46"/>
      <c r="P158" s="46" t="s">
        <v>29</v>
      </c>
      <c r="Q158" s="46"/>
      <c r="R158" s="46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</row>
    <row r="159" ht="14.25" customHeight="1">
      <c r="A159" s="211">
        <v>148.0</v>
      </c>
      <c r="B159" s="46" t="s">
        <v>2921</v>
      </c>
      <c r="C159" s="46" t="s">
        <v>2922</v>
      </c>
      <c r="D159" s="46"/>
      <c r="E159" s="46"/>
      <c r="F159" s="50"/>
      <c r="G159" s="275"/>
      <c r="H159" s="46"/>
      <c r="I159" s="223">
        <v>400.0</v>
      </c>
      <c r="J159" s="46"/>
      <c r="K159" s="46"/>
      <c r="L159" s="223">
        <v>16.0</v>
      </c>
      <c r="M159" s="46"/>
      <c r="N159" s="46"/>
      <c r="O159" s="46"/>
      <c r="P159" s="46" t="s">
        <v>29</v>
      </c>
      <c r="Q159" s="46"/>
      <c r="R159" s="46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</row>
    <row r="160" ht="15.75" customHeight="1">
      <c r="A160" s="181"/>
      <c r="B160" s="182" t="s">
        <v>2923</v>
      </c>
      <c r="C160" s="182"/>
      <c r="D160" s="182"/>
      <c r="E160" s="182"/>
      <c r="F160" s="403"/>
      <c r="G160" s="404"/>
      <c r="H160" s="182"/>
      <c r="I160" s="182"/>
      <c r="J160" s="91"/>
      <c r="K160" s="91"/>
      <c r="L160" s="91"/>
      <c r="M160" s="91"/>
      <c r="N160" s="91"/>
      <c r="O160" s="91"/>
      <c r="P160" s="182"/>
      <c r="Q160" s="91"/>
      <c r="R160" s="218"/>
      <c r="S160" s="405"/>
      <c r="T160" s="405"/>
      <c r="U160" s="405"/>
      <c r="V160" s="405"/>
      <c r="W160" s="405"/>
      <c r="X160" s="405"/>
      <c r="Y160" s="405"/>
      <c r="Z160" s="405"/>
      <c r="AA160" s="405"/>
      <c r="AB160" s="405"/>
      <c r="AC160" s="405"/>
      <c r="AD160" s="405"/>
    </row>
    <row r="161" ht="14.25" customHeight="1">
      <c r="A161" s="211">
        <v>1.0</v>
      </c>
      <c r="B161" s="33" t="s">
        <v>2924</v>
      </c>
      <c r="C161" s="26" t="s">
        <v>2925</v>
      </c>
      <c r="D161" s="26"/>
      <c r="E161" s="26"/>
      <c r="F161" s="29"/>
      <c r="G161" s="89" t="s">
        <v>2926</v>
      </c>
      <c r="H161" s="223">
        <v>108.0</v>
      </c>
      <c r="I161" s="81">
        <v>544.0</v>
      </c>
      <c r="J161" s="223">
        <v>1.0</v>
      </c>
      <c r="K161" s="223">
        <v>1.0</v>
      </c>
      <c r="L161" s="223">
        <v>2.0</v>
      </c>
      <c r="M161" s="81" t="s">
        <v>2927</v>
      </c>
      <c r="N161" s="46">
        <v>0.0</v>
      </c>
      <c r="O161" s="81">
        <v>108.0</v>
      </c>
      <c r="P161" s="81" t="s">
        <v>29</v>
      </c>
      <c r="Q161" s="46">
        <v>0.0</v>
      </c>
      <c r="R161" s="46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</row>
    <row r="162" ht="14.25" customHeight="1">
      <c r="A162" s="211">
        <v>2.0</v>
      </c>
      <c r="B162" s="46" t="s">
        <v>2928</v>
      </c>
      <c r="C162" s="82" t="s">
        <v>2925</v>
      </c>
      <c r="D162" s="82"/>
      <c r="E162" s="82"/>
      <c r="F162" s="406"/>
      <c r="G162" s="89" t="s">
        <v>2929</v>
      </c>
      <c r="H162" s="223">
        <v>67.0</v>
      </c>
      <c r="I162" s="81">
        <v>338.0</v>
      </c>
      <c r="J162" s="223">
        <v>3.0</v>
      </c>
      <c r="K162" s="223">
        <v>3.0</v>
      </c>
      <c r="L162" s="223">
        <v>6.0</v>
      </c>
      <c r="M162" s="81" t="s">
        <v>2927</v>
      </c>
      <c r="N162" s="46">
        <v>0.0</v>
      </c>
      <c r="O162" s="81">
        <v>67.0</v>
      </c>
      <c r="P162" s="81" t="s">
        <v>29</v>
      </c>
      <c r="Q162" s="46">
        <v>0.0</v>
      </c>
      <c r="R162" s="46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</row>
    <row r="163" ht="14.25" customHeight="1">
      <c r="A163" s="211">
        <v>3.0</v>
      </c>
      <c r="B163" s="46" t="s">
        <v>2930</v>
      </c>
      <c r="C163" s="82" t="s">
        <v>2925</v>
      </c>
      <c r="D163" s="82"/>
      <c r="E163" s="82"/>
      <c r="F163" s="406"/>
      <c r="G163" s="89" t="s">
        <v>2931</v>
      </c>
      <c r="H163" s="223">
        <v>60.0</v>
      </c>
      <c r="I163" s="81">
        <v>300.0</v>
      </c>
      <c r="J163" s="223">
        <v>3.0</v>
      </c>
      <c r="K163" s="223">
        <v>3.0</v>
      </c>
      <c r="L163" s="223">
        <v>6.0</v>
      </c>
      <c r="M163" s="81" t="s">
        <v>2927</v>
      </c>
      <c r="N163" s="46">
        <v>0.0</v>
      </c>
      <c r="O163" s="81">
        <v>60.0</v>
      </c>
      <c r="P163" s="81" t="s">
        <v>29</v>
      </c>
      <c r="Q163" s="46">
        <v>0.0</v>
      </c>
      <c r="R163" s="46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</row>
    <row r="164" ht="14.25" customHeight="1">
      <c r="A164" s="211">
        <v>4.0</v>
      </c>
      <c r="B164" s="46" t="s">
        <v>2932</v>
      </c>
      <c r="C164" s="82" t="s">
        <v>2925</v>
      </c>
      <c r="D164" s="82"/>
      <c r="E164" s="82"/>
      <c r="F164" s="406"/>
      <c r="G164" s="89" t="s">
        <v>2933</v>
      </c>
      <c r="H164" s="223">
        <v>35.0</v>
      </c>
      <c r="I164" s="81">
        <v>178.0</v>
      </c>
      <c r="J164" s="223">
        <v>2.0</v>
      </c>
      <c r="K164" s="223">
        <v>2.0</v>
      </c>
      <c r="L164" s="223">
        <v>2.0</v>
      </c>
      <c r="M164" s="81" t="s">
        <v>2927</v>
      </c>
      <c r="N164" s="46">
        <v>0.0</v>
      </c>
      <c r="O164" s="81">
        <v>35.0</v>
      </c>
      <c r="P164" s="81" t="s">
        <v>29</v>
      </c>
      <c r="Q164" s="46">
        <v>0.0</v>
      </c>
      <c r="R164" s="46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</row>
    <row r="165" ht="14.25" customHeight="1">
      <c r="A165" s="211">
        <v>5.0</v>
      </c>
      <c r="B165" s="46" t="s">
        <v>2934</v>
      </c>
      <c r="C165" s="82" t="s">
        <v>2925</v>
      </c>
      <c r="D165" s="82"/>
      <c r="E165" s="82"/>
      <c r="F165" s="406"/>
      <c r="G165" s="89" t="s">
        <v>2935</v>
      </c>
      <c r="H165" s="223">
        <v>82.0</v>
      </c>
      <c r="I165" s="81">
        <v>410.0</v>
      </c>
      <c r="J165" s="223">
        <v>2.0</v>
      </c>
      <c r="K165" s="223">
        <v>2.0</v>
      </c>
      <c r="L165" s="223">
        <v>4.0</v>
      </c>
      <c r="M165" s="81" t="s">
        <v>2927</v>
      </c>
      <c r="N165" s="46">
        <v>0.0</v>
      </c>
      <c r="O165" s="81">
        <v>82.0</v>
      </c>
      <c r="P165" s="81" t="s">
        <v>29</v>
      </c>
      <c r="Q165" s="46">
        <v>0.0</v>
      </c>
      <c r="R165" s="46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</row>
    <row r="166" ht="14.25" customHeight="1">
      <c r="A166" s="211">
        <v>6.0</v>
      </c>
      <c r="B166" s="46" t="s">
        <v>2936</v>
      </c>
      <c r="C166" s="82" t="s">
        <v>2925</v>
      </c>
      <c r="D166" s="82"/>
      <c r="E166" s="82"/>
      <c r="F166" s="406"/>
      <c r="G166" s="89" t="s">
        <v>2937</v>
      </c>
      <c r="H166" s="223">
        <v>11.0</v>
      </c>
      <c r="I166" s="81">
        <v>59.0</v>
      </c>
      <c r="J166" s="223">
        <v>2.0</v>
      </c>
      <c r="K166" s="223">
        <v>2.0</v>
      </c>
      <c r="L166" s="223">
        <v>4.0</v>
      </c>
      <c r="M166" s="81" t="s">
        <v>2927</v>
      </c>
      <c r="N166" s="46">
        <v>0.0</v>
      </c>
      <c r="O166" s="81">
        <v>11.0</v>
      </c>
      <c r="P166" s="81" t="s">
        <v>29</v>
      </c>
      <c r="Q166" s="46">
        <v>0.0</v>
      </c>
      <c r="R166" s="46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</row>
    <row r="167" ht="14.25" customHeight="1">
      <c r="A167" s="211">
        <v>7.0</v>
      </c>
      <c r="B167" s="46" t="s">
        <v>2938</v>
      </c>
      <c r="C167" s="82" t="s">
        <v>2925</v>
      </c>
      <c r="D167" s="82"/>
      <c r="E167" s="82"/>
      <c r="F167" s="406"/>
      <c r="G167" s="89" t="s">
        <v>2939</v>
      </c>
      <c r="H167" s="223">
        <v>9.0</v>
      </c>
      <c r="I167" s="81">
        <v>49.0</v>
      </c>
      <c r="J167" s="223">
        <v>3.0</v>
      </c>
      <c r="K167" s="223">
        <v>3.0</v>
      </c>
      <c r="L167" s="223">
        <v>2.0</v>
      </c>
      <c r="M167" s="81" t="s">
        <v>2927</v>
      </c>
      <c r="N167" s="46">
        <v>0.0</v>
      </c>
      <c r="O167" s="81">
        <v>9.0</v>
      </c>
      <c r="P167" s="81" t="s">
        <v>29</v>
      </c>
      <c r="Q167" s="46">
        <v>0.0</v>
      </c>
      <c r="R167" s="46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</row>
    <row r="168" ht="14.25" customHeight="1">
      <c r="A168" s="211">
        <v>8.0</v>
      </c>
      <c r="B168" s="46" t="s">
        <v>2940</v>
      </c>
      <c r="C168" s="82" t="s">
        <v>2941</v>
      </c>
      <c r="D168" s="82"/>
      <c r="E168" s="82"/>
      <c r="F168" s="406"/>
      <c r="G168" s="89" t="s">
        <v>2942</v>
      </c>
      <c r="H168" s="223">
        <v>6.0</v>
      </c>
      <c r="I168" s="81">
        <v>31.0</v>
      </c>
      <c r="J168" s="223">
        <v>2.0</v>
      </c>
      <c r="K168" s="223">
        <v>2.0</v>
      </c>
      <c r="L168" s="223">
        <v>4.0</v>
      </c>
      <c r="M168" s="81" t="s">
        <v>2927</v>
      </c>
      <c r="N168" s="46">
        <v>0.0</v>
      </c>
      <c r="O168" s="81">
        <v>6.0</v>
      </c>
      <c r="P168" s="81" t="s">
        <v>29</v>
      </c>
      <c r="Q168" s="46">
        <v>0.0</v>
      </c>
      <c r="R168" s="46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</row>
    <row r="169" ht="14.25" customHeight="1">
      <c r="A169" s="211">
        <v>9.0</v>
      </c>
      <c r="B169" s="46" t="s">
        <v>2943</v>
      </c>
      <c r="C169" s="82" t="s">
        <v>2941</v>
      </c>
      <c r="D169" s="82"/>
      <c r="E169" s="82"/>
      <c r="F169" s="406"/>
      <c r="G169" s="89" t="s">
        <v>2944</v>
      </c>
      <c r="H169" s="223">
        <v>77.0</v>
      </c>
      <c r="I169" s="81">
        <v>387.0</v>
      </c>
      <c r="J169" s="223">
        <v>10.0</v>
      </c>
      <c r="K169" s="223">
        <v>10.0</v>
      </c>
      <c r="L169" s="46">
        <v>0.0</v>
      </c>
      <c r="M169" s="81" t="s">
        <v>2927</v>
      </c>
      <c r="N169" s="46">
        <v>0.0</v>
      </c>
      <c r="O169" s="81">
        <v>77.0</v>
      </c>
      <c r="P169" s="81" t="s">
        <v>29</v>
      </c>
      <c r="Q169" s="46">
        <v>0.0</v>
      </c>
      <c r="R169" s="46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</row>
    <row r="170" ht="14.25" customHeight="1">
      <c r="A170" s="211">
        <v>10.0</v>
      </c>
      <c r="B170" s="46" t="s">
        <v>2945</v>
      </c>
      <c r="C170" s="82" t="s">
        <v>2946</v>
      </c>
      <c r="D170" s="82"/>
      <c r="E170" s="82"/>
      <c r="F170" s="406"/>
      <c r="G170" s="89" t="s">
        <v>2947</v>
      </c>
      <c r="H170" s="223">
        <v>6.0</v>
      </c>
      <c r="I170" s="81">
        <v>33.0</v>
      </c>
      <c r="J170" s="223">
        <v>4.0</v>
      </c>
      <c r="K170" s="223">
        <v>4.0</v>
      </c>
      <c r="L170" s="223">
        <v>4.0</v>
      </c>
      <c r="M170" s="81" t="s">
        <v>2927</v>
      </c>
      <c r="N170" s="46">
        <v>0.0</v>
      </c>
      <c r="O170" s="81">
        <v>6.0</v>
      </c>
      <c r="P170" s="81" t="s">
        <v>29</v>
      </c>
      <c r="Q170" s="46">
        <v>0.0</v>
      </c>
      <c r="R170" s="46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</row>
    <row r="171" ht="14.25" customHeight="1">
      <c r="A171" s="211">
        <v>11.0</v>
      </c>
      <c r="B171" s="46" t="s">
        <v>2948</v>
      </c>
      <c r="C171" s="82" t="s">
        <v>2946</v>
      </c>
      <c r="D171" s="82"/>
      <c r="E171" s="82"/>
      <c r="F171" s="406"/>
      <c r="G171" s="89">
        <v>672.0</v>
      </c>
      <c r="H171" s="223">
        <v>49.0</v>
      </c>
      <c r="I171" s="81">
        <v>245.0</v>
      </c>
      <c r="J171" s="46">
        <v>0.0</v>
      </c>
      <c r="K171" s="46">
        <v>0.0</v>
      </c>
      <c r="L171" s="223">
        <v>12.0</v>
      </c>
      <c r="M171" s="81" t="s">
        <v>2927</v>
      </c>
      <c r="N171" s="46">
        <v>0.0</v>
      </c>
      <c r="O171" s="81">
        <v>49.0</v>
      </c>
      <c r="P171" s="81" t="s">
        <v>29</v>
      </c>
      <c r="Q171" s="46">
        <v>0.0</v>
      </c>
      <c r="R171" s="46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</row>
    <row r="172" ht="14.25" customHeight="1">
      <c r="A172" s="211">
        <v>12.0</v>
      </c>
      <c r="B172" s="46" t="s">
        <v>2949</v>
      </c>
      <c r="C172" s="82" t="s">
        <v>2950</v>
      </c>
      <c r="D172" s="82"/>
      <c r="E172" s="82"/>
      <c r="F172" s="406"/>
      <c r="G172" s="89" t="s">
        <v>2951</v>
      </c>
      <c r="H172" s="223">
        <v>3.0</v>
      </c>
      <c r="I172" s="81">
        <v>18.0</v>
      </c>
      <c r="J172" s="223">
        <v>2.0</v>
      </c>
      <c r="K172" s="223">
        <v>2.0</v>
      </c>
      <c r="L172" s="223">
        <v>2.0</v>
      </c>
      <c r="M172" s="81" t="s">
        <v>2927</v>
      </c>
      <c r="N172" s="46">
        <v>0.0</v>
      </c>
      <c r="O172" s="81">
        <v>3.0</v>
      </c>
      <c r="P172" s="81" t="s">
        <v>29</v>
      </c>
      <c r="Q172" s="46">
        <v>0.0</v>
      </c>
      <c r="R172" s="46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</row>
    <row r="173" ht="14.25" customHeight="1">
      <c r="A173" s="211">
        <v>13.0</v>
      </c>
      <c r="B173" s="46" t="s">
        <v>2952</v>
      </c>
      <c r="C173" s="82" t="s">
        <v>2950</v>
      </c>
      <c r="D173" s="82"/>
      <c r="E173" s="82"/>
      <c r="F173" s="406"/>
      <c r="G173" s="89" t="s">
        <v>2953</v>
      </c>
      <c r="H173" s="223">
        <v>93.0</v>
      </c>
      <c r="I173" s="81">
        <v>468.0</v>
      </c>
      <c r="J173" s="46">
        <v>0.0</v>
      </c>
      <c r="K173" s="46">
        <v>0.0</v>
      </c>
      <c r="L173" s="223">
        <v>11.0</v>
      </c>
      <c r="M173" s="81" t="s">
        <v>2927</v>
      </c>
      <c r="N173" s="46">
        <v>0.0</v>
      </c>
      <c r="O173" s="81">
        <v>93.0</v>
      </c>
      <c r="P173" s="81" t="s">
        <v>29</v>
      </c>
      <c r="Q173" s="46">
        <v>0.0</v>
      </c>
      <c r="R173" s="46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</row>
    <row r="174" ht="14.25" customHeight="1">
      <c r="A174" s="211">
        <v>14.0</v>
      </c>
      <c r="B174" s="46" t="s">
        <v>2954</v>
      </c>
      <c r="C174" s="82" t="s">
        <v>2950</v>
      </c>
      <c r="D174" s="82"/>
      <c r="E174" s="82"/>
      <c r="F174" s="406"/>
      <c r="G174" s="89" t="s">
        <v>2955</v>
      </c>
      <c r="H174" s="223">
        <v>36.0</v>
      </c>
      <c r="I174" s="81">
        <v>180.0</v>
      </c>
      <c r="J174" s="223">
        <v>2.0</v>
      </c>
      <c r="K174" s="223">
        <v>2.0</v>
      </c>
      <c r="L174" s="223">
        <v>4.0</v>
      </c>
      <c r="M174" s="81" t="s">
        <v>2927</v>
      </c>
      <c r="N174" s="46">
        <v>0.0</v>
      </c>
      <c r="O174" s="81">
        <v>36.0</v>
      </c>
      <c r="P174" s="81" t="s">
        <v>29</v>
      </c>
      <c r="Q174" s="46">
        <v>0.0</v>
      </c>
      <c r="R174" s="46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</row>
    <row r="175" ht="14.25" customHeight="1">
      <c r="A175" s="211">
        <v>15.0</v>
      </c>
      <c r="B175" s="46" t="s">
        <v>2956</v>
      </c>
      <c r="C175" s="82" t="s">
        <v>2957</v>
      </c>
      <c r="D175" s="82"/>
      <c r="E175" s="82"/>
      <c r="F175" s="406"/>
      <c r="G175" s="89" t="s">
        <v>2939</v>
      </c>
      <c r="H175" s="223">
        <v>9.0</v>
      </c>
      <c r="I175" s="81">
        <v>46.0</v>
      </c>
      <c r="J175" s="46">
        <v>0.0</v>
      </c>
      <c r="K175" s="46">
        <v>0.0</v>
      </c>
      <c r="L175" s="223">
        <v>6.0</v>
      </c>
      <c r="M175" s="81" t="s">
        <v>2927</v>
      </c>
      <c r="N175" s="46">
        <v>0.0</v>
      </c>
      <c r="O175" s="81">
        <v>9.0</v>
      </c>
      <c r="P175" s="81" t="s">
        <v>29</v>
      </c>
      <c r="Q175" s="46">
        <v>0.0</v>
      </c>
      <c r="R175" s="46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</row>
    <row r="176" ht="14.25" customHeight="1">
      <c r="A176" s="211">
        <v>16.0</v>
      </c>
      <c r="B176" s="46" t="s">
        <v>2406</v>
      </c>
      <c r="C176" s="82" t="s">
        <v>2957</v>
      </c>
      <c r="D176" s="82"/>
      <c r="E176" s="82"/>
      <c r="F176" s="406"/>
      <c r="G176" s="89">
        <v>616.0</v>
      </c>
      <c r="H176" s="223">
        <v>44.0</v>
      </c>
      <c r="I176" s="81">
        <v>224.0</v>
      </c>
      <c r="J176" s="46">
        <v>0.0</v>
      </c>
      <c r="K176" s="46">
        <v>0.0</v>
      </c>
      <c r="L176" s="223">
        <v>12.0</v>
      </c>
      <c r="M176" s="81" t="s">
        <v>2927</v>
      </c>
      <c r="N176" s="46">
        <v>0.0</v>
      </c>
      <c r="O176" s="81">
        <v>44.0</v>
      </c>
      <c r="P176" s="81" t="s">
        <v>29</v>
      </c>
      <c r="Q176" s="46">
        <v>0.0</v>
      </c>
      <c r="R176" s="46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</row>
    <row r="177" ht="14.25" customHeight="1">
      <c r="A177" s="211">
        <v>17.0</v>
      </c>
      <c r="B177" s="46" t="s">
        <v>2958</v>
      </c>
      <c r="C177" s="82" t="s">
        <v>2957</v>
      </c>
      <c r="D177" s="82"/>
      <c r="E177" s="82"/>
      <c r="F177" s="406"/>
      <c r="G177" s="89" t="s">
        <v>2959</v>
      </c>
      <c r="H177" s="223">
        <v>87.0</v>
      </c>
      <c r="I177" s="81">
        <v>436.0</v>
      </c>
      <c r="J177" s="46">
        <v>0.0</v>
      </c>
      <c r="K177" s="46">
        <v>0.0</v>
      </c>
      <c r="L177" s="223">
        <v>7.0</v>
      </c>
      <c r="M177" s="81" t="s">
        <v>2927</v>
      </c>
      <c r="N177" s="46">
        <v>0.0</v>
      </c>
      <c r="O177" s="81">
        <v>87.0</v>
      </c>
      <c r="P177" s="81" t="s">
        <v>29</v>
      </c>
      <c r="Q177" s="46">
        <v>0.0</v>
      </c>
      <c r="R177" s="46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</row>
    <row r="178" ht="14.25" customHeight="1">
      <c r="A178" s="211">
        <v>18.0</v>
      </c>
      <c r="B178" s="46" t="s">
        <v>2960</v>
      </c>
      <c r="C178" s="82" t="s">
        <v>2961</v>
      </c>
      <c r="D178" s="82"/>
      <c r="E178" s="82"/>
      <c r="F178" s="406"/>
      <c r="G178" s="89" t="s">
        <v>2962</v>
      </c>
      <c r="H178" s="223">
        <v>4.0</v>
      </c>
      <c r="I178" s="81">
        <v>20.0</v>
      </c>
      <c r="J178" s="223">
        <v>2.0</v>
      </c>
      <c r="K178" s="223">
        <v>2.0</v>
      </c>
      <c r="L178" s="223">
        <v>4.0</v>
      </c>
      <c r="M178" s="81" t="s">
        <v>2927</v>
      </c>
      <c r="N178" s="46">
        <v>0.0</v>
      </c>
      <c r="O178" s="81">
        <v>4.0</v>
      </c>
      <c r="P178" s="81" t="s">
        <v>29</v>
      </c>
      <c r="Q178" s="46">
        <v>0.0</v>
      </c>
      <c r="R178" s="46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</row>
    <row r="179" ht="14.25" customHeight="1">
      <c r="A179" s="211">
        <v>19.0</v>
      </c>
      <c r="B179" s="46" t="s">
        <v>2963</v>
      </c>
      <c r="C179" s="82" t="s">
        <v>2964</v>
      </c>
      <c r="D179" s="82"/>
      <c r="E179" s="82"/>
      <c r="F179" s="406"/>
      <c r="G179" s="89" t="s">
        <v>2965</v>
      </c>
      <c r="H179" s="223">
        <v>5.0</v>
      </c>
      <c r="I179" s="81">
        <v>27.0</v>
      </c>
      <c r="J179" s="46">
        <v>0.0</v>
      </c>
      <c r="K179" s="46">
        <v>0.0</v>
      </c>
      <c r="L179" s="223">
        <v>6.0</v>
      </c>
      <c r="M179" s="81" t="s">
        <v>2927</v>
      </c>
      <c r="N179" s="46">
        <v>0.0</v>
      </c>
      <c r="O179" s="81">
        <v>5.0</v>
      </c>
      <c r="P179" s="81" t="s">
        <v>29</v>
      </c>
      <c r="Q179" s="46">
        <v>0.0</v>
      </c>
      <c r="R179" s="46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</row>
    <row r="180" ht="14.25" customHeight="1">
      <c r="A180" s="211">
        <v>20.0</v>
      </c>
      <c r="B180" s="46" t="s">
        <v>2966</v>
      </c>
      <c r="C180" s="82" t="s">
        <v>2967</v>
      </c>
      <c r="D180" s="82"/>
      <c r="E180" s="82"/>
      <c r="F180" s="406"/>
      <c r="G180" s="89" t="s">
        <v>2951</v>
      </c>
      <c r="H180" s="223">
        <v>3.0</v>
      </c>
      <c r="I180" s="81">
        <v>18.0</v>
      </c>
      <c r="J180" s="46">
        <v>0.0</v>
      </c>
      <c r="K180" s="46">
        <v>0.0</v>
      </c>
      <c r="L180" s="223">
        <v>4.0</v>
      </c>
      <c r="M180" s="81" t="s">
        <v>2927</v>
      </c>
      <c r="N180" s="46">
        <v>0.0</v>
      </c>
      <c r="O180" s="81">
        <v>3.0</v>
      </c>
      <c r="P180" s="81" t="s">
        <v>29</v>
      </c>
      <c r="Q180" s="46">
        <v>0.0</v>
      </c>
      <c r="R180" s="46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</row>
    <row r="181" ht="14.25" customHeight="1">
      <c r="A181" s="211">
        <v>21.0</v>
      </c>
      <c r="B181" s="46" t="s">
        <v>2968</v>
      </c>
      <c r="C181" s="82" t="s">
        <v>2967</v>
      </c>
      <c r="D181" s="82"/>
      <c r="E181" s="82"/>
      <c r="F181" s="406"/>
      <c r="G181" s="89" t="s">
        <v>2969</v>
      </c>
      <c r="H181" s="223">
        <v>40.0</v>
      </c>
      <c r="I181" s="81">
        <v>203.0</v>
      </c>
      <c r="J181" s="46">
        <v>0.0</v>
      </c>
      <c r="K181" s="46">
        <v>0.0</v>
      </c>
      <c r="L181" s="223">
        <v>11.0</v>
      </c>
      <c r="M181" s="81" t="s">
        <v>2927</v>
      </c>
      <c r="N181" s="46">
        <v>0.0</v>
      </c>
      <c r="O181" s="81">
        <v>40.0</v>
      </c>
      <c r="P181" s="81" t="s">
        <v>29</v>
      </c>
      <c r="Q181" s="46">
        <v>0.0</v>
      </c>
      <c r="R181" s="46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</row>
    <row r="182" ht="14.25" customHeight="1">
      <c r="A182" s="211">
        <v>22.0</v>
      </c>
      <c r="B182" s="46" t="s">
        <v>2970</v>
      </c>
      <c r="C182" s="82" t="s">
        <v>2971</v>
      </c>
      <c r="D182" s="82"/>
      <c r="E182" s="82"/>
      <c r="F182" s="406"/>
      <c r="G182" s="89" t="s">
        <v>2972</v>
      </c>
      <c r="H182" s="223">
        <v>9.0</v>
      </c>
      <c r="I182" s="81">
        <v>44.0</v>
      </c>
      <c r="J182" s="223">
        <v>2.0</v>
      </c>
      <c r="K182" s="223">
        <v>2.0</v>
      </c>
      <c r="L182" s="223">
        <v>4.0</v>
      </c>
      <c r="M182" s="81" t="s">
        <v>2927</v>
      </c>
      <c r="N182" s="46">
        <v>0.0</v>
      </c>
      <c r="O182" s="81">
        <v>9.0</v>
      </c>
      <c r="P182" s="81" t="s">
        <v>29</v>
      </c>
      <c r="Q182" s="46">
        <v>0.0</v>
      </c>
      <c r="R182" s="46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</row>
    <row r="183" ht="14.25" customHeight="1">
      <c r="A183" s="211">
        <v>23.0</v>
      </c>
      <c r="B183" s="46" t="s">
        <v>2973</v>
      </c>
      <c r="C183" s="82" t="s">
        <v>2974</v>
      </c>
      <c r="D183" s="82"/>
      <c r="E183" s="82"/>
      <c r="F183" s="406"/>
      <c r="G183" s="89" t="s">
        <v>2965</v>
      </c>
      <c r="H183" s="223">
        <v>5.0</v>
      </c>
      <c r="I183" s="81">
        <v>27.0</v>
      </c>
      <c r="J183" s="46">
        <v>0.0</v>
      </c>
      <c r="K183" s="46">
        <v>0.0</v>
      </c>
      <c r="L183" s="223">
        <v>4.0</v>
      </c>
      <c r="M183" s="81" t="s">
        <v>2927</v>
      </c>
      <c r="N183" s="46">
        <v>0.0</v>
      </c>
      <c r="O183" s="81">
        <v>5.0</v>
      </c>
      <c r="P183" s="81" t="s">
        <v>29</v>
      </c>
      <c r="Q183" s="46">
        <v>0.0</v>
      </c>
      <c r="R183" s="46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</row>
    <row r="184" ht="14.25" customHeight="1">
      <c r="A184" s="211">
        <v>24.0</v>
      </c>
      <c r="B184" s="46" t="s">
        <v>2975</v>
      </c>
      <c r="C184" s="82" t="s">
        <v>2974</v>
      </c>
      <c r="D184" s="82"/>
      <c r="E184" s="82"/>
      <c r="F184" s="406"/>
      <c r="G184" s="89" t="s">
        <v>2976</v>
      </c>
      <c r="H184" s="223">
        <v>81.0</v>
      </c>
      <c r="I184" s="81">
        <v>407.0</v>
      </c>
      <c r="J184" s="46">
        <v>0.0</v>
      </c>
      <c r="K184" s="46">
        <v>0.0</v>
      </c>
      <c r="L184" s="223">
        <v>19.0</v>
      </c>
      <c r="M184" s="81" t="s">
        <v>2927</v>
      </c>
      <c r="N184" s="46">
        <v>0.0</v>
      </c>
      <c r="O184" s="81">
        <v>81.0</v>
      </c>
      <c r="P184" s="81" t="s">
        <v>29</v>
      </c>
      <c r="Q184" s="46">
        <v>0.0</v>
      </c>
      <c r="R184" s="46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</row>
    <row r="185" ht="14.25" customHeight="1">
      <c r="A185" s="211">
        <v>25.0</v>
      </c>
      <c r="B185" s="46" t="s">
        <v>2977</v>
      </c>
      <c r="C185" s="82" t="s">
        <v>2978</v>
      </c>
      <c r="D185" s="82"/>
      <c r="E185" s="82"/>
      <c r="F185" s="406"/>
      <c r="G185" s="89" t="s">
        <v>2979</v>
      </c>
      <c r="H185" s="223">
        <v>69.0</v>
      </c>
      <c r="I185" s="81">
        <v>346.0</v>
      </c>
      <c r="J185" s="46">
        <v>0.0</v>
      </c>
      <c r="K185" s="46">
        <v>0.0</v>
      </c>
      <c r="L185" s="223">
        <v>17.0</v>
      </c>
      <c r="M185" s="81" t="s">
        <v>2927</v>
      </c>
      <c r="N185" s="46">
        <v>0.0</v>
      </c>
      <c r="O185" s="81">
        <v>69.0</v>
      </c>
      <c r="P185" s="81" t="s">
        <v>29</v>
      </c>
      <c r="Q185" s="46">
        <v>0.0</v>
      </c>
      <c r="R185" s="46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</row>
    <row r="186" ht="14.25" customHeight="1">
      <c r="A186" s="211">
        <v>26.0</v>
      </c>
      <c r="B186" s="46" t="s">
        <v>2980</v>
      </c>
      <c r="C186" s="82" t="s">
        <v>2981</v>
      </c>
      <c r="D186" s="82"/>
      <c r="E186" s="82"/>
      <c r="F186" s="406"/>
      <c r="G186" s="89" t="s">
        <v>2951</v>
      </c>
      <c r="H186" s="223">
        <v>3.0</v>
      </c>
      <c r="I186" s="81">
        <v>18.0</v>
      </c>
      <c r="J186" s="223">
        <v>2.0</v>
      </c>
      <c r="K186" s="223">
        <v>2.0</v>
      </c>
      <c r="L186" s="223">
        <v>2.0</v>
      </c>
      <c r="M186" s="81" t="s">
        <v>2927</v>
      </c>
      <c r="N186" s="46">
        <v>0.0</v>
      </c>
      <c r="O186" s="81">
        <v>3.0</v>
      </c>
      <c r="P186" s="81" t="s">
        <v>29</v>
      </c>
      <c r="Q186" s="46">
        <v>0.0</v>
      </c>
      <c r="R186" s="46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</row>
    <row r="187" ht="14.25" customHeight="1">
      <c r="A187" s="211">
        <v>27.0</v>
      </c>
      <c r="B187" s="46" t="s">
        <v>2982</v>
      </c>
      <c r="C187" s="82" t="s">
        <v>2983</v>
      </c>
      <c r="D187" s="82"/>
      <c r="E187" s="82"/>
      <c r="F187" s="406"/>
      <c r="G187" s="89" t="s">
        <v>2984</v>
      </c>
      <c r="H187" s="223">
        <v>7.0</v>
      </c>
      <c r="I187" s="81">
        <v>35.0</v>
      </c>
      <c r="J187" s="223">
        <v>1.0</v>
      </c>
      <c r="K187" s="223">
        <v>1.0</v>
      </c>
      <c r="L187" s="223">
        <v>1.0</v>
      </c>
      <c r="M187" s="81" t="s">
        <v>2927</v>
      </c>
      <c r="N187" s="46">
        <v>0.0</v>
      </c>
      <c r="O187" s="81">
        <v>7.0</v>
      </c>
      <c r="P187" s="81" t="s">
        <v>29</v>
      </c>
      <c r="Q187" s="46">
        <v>0.0</v>
      </c>
      <c r="R187" s="46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</row>
    <row r="188" ht="14.25" customHeight="1">
      <c r="A188" s="211">
        <v>28.0</v>
      </c>
      <c r="B188" s="46" t="s">
        <v>2985</v>
      </c>
      <c r="C188" s="82" t="s">
        <v>2986</v>
      </c>
      <c r="D188" s="82"/>
      <c r="E188" s="82"/>
      <c r="F188" s="406"/>
      <c r="G188" s="89" t="s">
        <v>2987</v>
      </c>
      <c r="H188" s="223">
        <v>49.0</v>
      </c>
      <c r="I188" s="81">
        <v>244.0</v>
      </c>
      <c r="J188" s="46">
        <v>0.0</v>
      </c>
      <c r="K188" s="46">
        <v>0.0</v>
      </c>
      <c r="L188" s="223">
        <v>9.0</v>
      </c>
      <c r="M188" s="81" t="s">
        <v>2927</v>
      </c>
      <c r="N188" s="46">
        <v>0.0</v>
      </c>
      <c r="O188" s="81">
        <v>49.0</v>
      </c>
      <c r="P188" s="81" t="s">
        <v>29</v>
      </c>
      <c r="Q188" s="46">
        <v>0.0</v>
      </c>
      <c r="R188" s="46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</row>
    <row r="189" ht="14.25" customHeight="1">
      <c r="A189" s="211">
        <v>29.0</v>
      </c>
      <c r="B189" s="46" t="s">
        <v>2988</v>
      </c>
      <c r="C189" s="82" t="s">
        <v>2986</v>
      </c>
      <c r="D189" s="82"/>
      <c r="E189" s="82"/>
      <c r="F189" s="406"/>
      <c r="G189" s="89" t="s">
        <v>2972</v>
      </c>
      <c r="H189" s="223">
        <v>9.0</v>
      </c>
      <c r="I189" s="81">
        <v>44.0</v>
      </c>
      <c r="J189" s="223">
        <v>2.0</v>
      </c>
      <c r="K189" s="223">
        <v>2.0</v>
      </c>
      <c r="L189" s="223">
        <v>2.0</v>
      </c>
      <c r="M189" s="81" t="s">
        <v>2927</v>
      </c>
      <c r="N189" s="46">
        <v>0.0</v>
      </c>
      <c r="O189" s="81">
        <v>9.0</v>
      </c>
      <c r="P189" s="81" t="s">
        <v>29</v>
      </c>
      <c r="Q189" s="46">
        <v>0.0</v>
      </c>
      <c r="R189" s="46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</row>
    <row r="190" ht="14.25" customHeight="1">
      <c r="A190" s="211">
        <v>30.0</v>
      </c>
      <c r="B190" s="46" t="s">
        <v>2989</v>
      </c>
      <c r="C190" s="82" t="s">
        <v>2990</v>
      </c>
      <c r="D190" s="82"/>
      <c r="E190" s="82"/>
      <c r="F190" s="406"/>
      <c r="G190" s="89" t="s">
        <v>2991</v>
      </c>
      <c r="H190" s="223">
        <v>61.0</v>
      </c>
      <c r="I190" s="81">
        <v>305.0</v>
      </c>
      <c r="J190" s="46">
        <v>0.0</v>
      </c>
      <c r="K190" s="46">
        <v>0.0</v>
      </c>
      <c r="L190" s="223">
        <v>21.0</v>
      </c>
      <c r="M190" s="81" t="s">
        <v>2927</v>
      </c>
      <c r="N190" s="46">
        <v>0.0</v>
      </c>
      <c r="O190" s="81">
        <v>61.0</v>
      </c>
      <c r="P190" s="81" t="s">
        <v>29</v>
      </c>
      <c r="Q190" s="46">
        <v>0.0</v>
      </c>
      <c r="R190" s="46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</row>
    <row r="191" ht="14.25" customHeight="1">
      <c r="A191" s="211">
        <v>31.0</v>
      </c>
      <c r="B191" s="46" t="s">
        <v>2992</v>
      </c>
      <c r="C191" s="82" t="s">
        <v>2990</v>
      </c>
      <c r="D191" s="82"/>
      <c r="E191" s="82"/>
      <c r="F191" s="406"/>
      <c r="G191" s="89" t="s">
        <v>2993</v>
      </c>
      <c r="H191" s="223">
        <v>94.0</v>
      </c>
      <c r="I191" s="81">
        <v>473.0</v>
      </c>
      <c r="J191" s="223">
        <v>3.0</v>
      </c>
      <c r="K191" s="223">
        <v>3.0</v>
      </c>
      <c r="L191" s="223">
        <v>10.0</v>
      </c>
      <c r="M191" s="81" t="s">
        <v>2927</v>
      </c>
      <c r="N191" s="46">
        <v>0.0</v>
      </c>
      <c r="O191" s="81">
        <v>94.0</v>
      </c>
      <c r="P191" s="81" t="s">
        <v>29</v>
      </c>
      <c r="Q191" s="46">
        <v>0.0</v>
      </c>
      <c r="R191" s="46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</row>
    <row r="192" ht="14.25" customHeight="1">
      <c r="A192" s="211">
        <v>32.0</v>
      </c>
      <c r="B192" s="46" t="s">
        <v>2994</v>
      </c>
      <c r="C192" s="82" t="s">
        <v>2990</v>
      </c>
      <c r="D192" s="82"/>
      <c r="E192" s="82"/>
      <c r="F192" s="406"/>
      <c r="G192" s="89" t="s">
        <v>2972</v>
      </c>
      <c r="H192" s="223">
        <v>9.0</v>
      </c>
      <c r="I192" s="81">
        <v>44.0</v>
      </c>
      <c r="J192" s="223">
        <v>2.0</v>
      </c>
      <c r="K192" s="223">
        <v>2.0</v>
      </c>
      <c r="L192" s="223">
        <v>2.0</v>
      </c>
      <c r="M192" s="81" t="s">
        <v>2927</v>
      </c>
      <c r="N192" s="46">
        <v>0.0</v>
      </c>
      <c r="O192" s="81">
        <v>9.0</v>
      </c>
      <c r="P192" s="81" t="s">
        <v>29</v>
      </c>
      <c r="Q192" s="46">
        <v>0.0</v>
      </c>
      <c r="R192" s="46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</row>
    <row r="193" ht="14.25" customHeight="1">
      <c r="A193" s="211">
        <v>33.0</v>
      </c>
      <c r="B193" s="46" t="s">
        <v>2995</v>
      </c>
      <c r="C193" s="82" t="s">
        <v>2925</v>
      </c>
      <c r="D193" s="82"/>
      <c r="E193" s="82"/>
      <c r="F193" s="406"/>
      <c r="G193" s="89" t="s">
        <v>2996</v>
      </c>
      <c r="H193" s="223">
        <v>11.0</v>
      </c>
      <c r="I193" s="81">
        <v>55.0</v>
      </c>
      <c r="J193" s="46">
        <v>0.0</v>
      </c>
      <c r="K193" s="46">
        <v>0.0</v>
      </c>
      <c r="L193" s="223">
        <v>4.0</v>
      </c>
      <c r="M193" s="81" t="s">
        <v>2927</v>
      </c>
      <c r="N193" s="46">
        <v>0.0</v>
      </c>
      <c r="O193" s="81">
        <v>11.0</v>
      </c>
      <c r="P193" s="81" t="s">
        <v>29</v>
      </c>
      <c r="Q193" s="46">
        <v>0.0</v>
      </c>
      <c r="R193" s="46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</row>
    <row r="194" ht="14.25" customHeight="1">
      <c r="A194" s="211">
        <v>34.0</v>
      </c>
      <c r="B194" s="46" t="s">
        <v>2997</v>
      </c>
      <c r="C194" s="82" t="s">
        <v>2925</v>
      </c>
      <c r="D194" s="82"/>
      <c r="E194" s="82"/>
      <c r="F194" s="406"/>
      <c r="G194" s="89" t="s">
        <v>2998</v>
      </c>
      <c r="H194" s="223">
        <v>142.0</v>
      </c>
      <c r="I194" s="81">
        <v>713.0</v>
      </c>
      <c r="J194" s="46">
        <v>0.0</v>
      </c>
      <c r="K194" s="46">
        <v>0.0</v>
      </c>
      <c r="L194" s="223">
        <v>23.0</v>
      </c>
      <c r="M194" s="81" t="s">
        <v>2927</v>
      </c>
      <c r="N194" s="46">
        <v>0.0</v>
      </c>
      <c r="O194" s="81">
        <v>142.0</v>
      </c>
      <c r="P194" s="81" t="s">
        <v>29</v>
      </c>
      <c r="Q194" s="46">
        <v>0.0</v>
      </c>
      <c r="R194" s="46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</row>
    <row r="195" ht="14.25" customHeight="1">
      <c r="A195" s="211">
        <v>35.0</v>
      </c>
      <c r="B195" s="46" t="s">
        <v>2999</v>
      </c>
      <c r="C195" s="82" t="s">
        <v>3000</v>
      </c>
      <c r="D195" s="82"/>
      <c r="E195" s="82"/>
      <c r="F195" s="406"/>
      <c r="G195" s="89" t="s">
        <v>2972</v>
      </c>
      <c r="H195" s="223">
        <v>9.0</v>
      </c>
      <c r="I195" s="81">
        <v>44.0</v>
      </c>
      <c r="J195" s="46">
        <v>0.0</v>
      </c>
      <c r="K195" s="46">
        <v>0.0</v>
      </c>
      <c r="L195" s="223">
        <v>2.0</v>
      </c>
      <c r="M195" s="81" t="s">
        <v>2927</v>
      </c>
      <c r="N195" s="46">
        <v>0.0</v>
      </c>
      <c r="O195" s="81">
        <v>9.0</v>
      </c>
      <c r="P195" s="81" t="s">
        <v>29</v>
      </c>
      <c r="Q195" s="46">
        <v>0.0</v>
      </c>
      <c r="R195" s="46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</row>
    <row r="196" ht="14.25" customHeight="1">
      <c r="A196" s="211">
        <v>36.0</v>
      </c>
      <c r="B196" s="49" t="s">
        <v>3001</v>
      </c>
      <c r="C196" s="49" t="s">
        <v>3002</v>
      </c>
      <c r="D196" s="49"/>
      <c r="E196" s="49"/>
      <c r="F196" s="51"/>
      <c r="G196" s="89" t="s">
        <v>2976</v>
      </c>
      <c r="H196" s="223">
        <v>81.0</v>
      </c>
      <c r="I196" s="81">
        <v>407.0</v>
      </c>
      <c r="J196" s="46">
        <v>0.0</v>
      </c>
      <c r="K196" s="46">
        <v>0.0</v>
      </c>
      <c r="L196" s="223">
        <v>8.0</v>
      </c>
      <c r="M196" s="81" t="s">
        <v>2927</v>
      </c>
      <c r="N196" s="46">
        <v>0.0</v>
      </c>
      <c r="O196" s="81">
        <v>81.0</v>
      </c>
      <c r="P196" s="81" t="s">
        <v>29</v>
      </c>
      <c r="Q196" s="46">
        <v>0.0</v>
      </c>
      <c r="R196" s="46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</row>
    <row r="197" ht="14.25" customHeight="1">
      <c r="A197" s="211">
        <v>37.0</v>
      </c>
      <c r="B197" s="49" t="s">
        <v>3003</v>
      </c>
      <c r="C197" s="49" t="s">
        <v>3002</v>
      </c>
      <c r="D197" s="49"/>
      <c r="E197" s="49"/>
      <c r="F197" s="51"/>
      <c r="G197" s="89" t="s">
        <v>2951</v>
      </c>
      <c r="H197" s="223">
        <v>3.0</v>
      </c>
      <c r="I197" s="81">
        <v>18.0</v>
      </c>
      <c r="J197" s="46">
        <v>0.0</v>
      </c>
      <c r="K197" s="46">
        <v>0.0</v>
      </c>
      <c r="L197" s="223">
        <v>2.0</v>
      </c>
      <c r="M197" s="81" t="s">
        <v>2927</v>
      </c>
      <c r="N197" s="46">
        <v>0.0</v>
      </c>
      <c r="O197" s="81">
        <v>3.0</v>
      </c>
      <c r="P197" s="81" t="s">
        <v>29</v>
      </c>
      <c r="Q197" s="46">
        <v>0.0</v>
      </c>
      <c r="R197" s="46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</row>
    <row r="198" ht="14.25" customHeight="1">
      <c r="A198" s="211">
        <v>38.0</v>
      </c>
      <c r="B198" s="49" t="s">
        <v>3004</v>
      </c>
      <c r="C198" s="49" t="s">
        <v>3005</v>
      </c>
      <c r="D198" s="49"/>
      <c r="E198" s="49"/>
      <c r="F198" s="51"/>
      <c r="G198" s="89" t="s">
        <v>3006</v>
      </c>
      <c r="H198" s="223">
        <v>7.0</v>
      </c>
      <c r="I198" s="81">
        <v>36.0</v>
      </c>
      <c r="J198" s="46">
        <v>0.0</v>
      </c>
      <c r="K198" s="46">
        <v>0.0</v>
      </c>
      <c r="L198" s="223">
        <v>2.0</v>
      </c>
      <c r="M198" s="81" t="s">
        <v>2927</v>
      </c>
      <c r="N198" s="46">
        <v>0.0</v>
      </c>
      <c r="O198" s="81">
        <v>7.0</v>
      </c>
      <c r="P198" s="81" t="s">
        <v>29</v>
      </c>
      <c r="Q198" s="46">
        <v>0.0</v>
      </c>
      <c r="R198" s="46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</row>
    <row r="199" ht="14.25" customHeight="1">
      <c r="A199" s="211">
        <v>39.0</v>
      </c>
      <c r="B199" s="49" t="s">
        <v>3007</v>
      </c>
      <c r="C199" s="49" t="s">
        <v>3008</v>
      </c>
      <c r="D199" s="49"/>
      <c r="E199" s="49"/>
      <c r="F199" s="51"/>
      <c r="G199" s="89" t="s">
        <v>3009</v>
      </c>
      <c r="H199" s="223">
        <v>80.0</v>
      </c>
      <c r="I199" s="81">
        <v>402.0</v>
      </c>
      <c r="J199" s="223">
        <v>3.0</v>
      </c>
      <c r="K199" s="223">
        <v>3.0</v>
      </c>
      <c r="L199" s="223">
        <v>10.0</v>
      </c>
      <c r="M199" s="81" t="s">
        <v>2927</v>
      </c>
      <c r="N199" s="46">
        <v>0.0</v>
      </c>
      <c r="O199" s="81">
        <v>80.0</v>
      </c>
      <c r="P199" s="81" t="s">
        <v>29</v>
      </c>
      <c r="Q199" s="46">
        <v>0.0</v>
      </c>
      <c r="R199" s="46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</row>
    <row r="200" ht="14.25" customHeight="1">
      <c r="A200" s="211">
        <v>40.0</v>
      </c>
      <c r="B200" s="49" t="s">
        <v>3010</v>
      </c>
      <c r="C200" s="49" t="s">
        <v>3008</v>
      </c>
      <c r="D200" s="49"/>
      <c r="E200" s="49"/>
      <c r="F200" s="51"/>
      <c r="G200" s="89" t="s">
        <v>3006</v>
      </c>
      <c r="H200" s="223">
        <v>7.0</v>
      </c>
      <c r="I200" s="81">
        <v>36.0</v>
      </c>
      <c r="J200" s="223">
        <v>2.0</v>
      </c>
      <c r="K200" s="223">
        <v>2.0</v>
      </c>
      <c r="L200" s="223">
        <v>2.0</v>
      </c>
      <c r="M200" s="81" t="s">
        <v>2927</v>
      </c>
      <c r="N200" s="46">
        <v>0.0</v>
      </c>
      <c r="O200" s="81">
        <v>7.0</v>
      </c>
      <c r="P200" s="81" t="s">
        <v>29</v>
      </c>
      <c r="Q200" s="46">
        <v>0.0</v>
      </c>
      <c r="R200" s="46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</row>
    <row r="201" ht="14.25" customHeight="1">
      <c r="A201" s="211">
        <v>41.0</v>
      </c>
      <c r="B201" s="49" t="s">
        <v>3011</v>
      </c>
      <c r="C201" s="49" t="s">
        <v>3012</v>
      </c>
      <c r="D201" s="49"/>
      <c r="E201" s="49"/>
      <c r="F201" s="51"/>
      <c r="G201" s="89" t="s">
        <v>3013</v>
      </c>
      <c r="H201" s="223">
        <v>37.0</v>
      </c>
      <c r="I201" s="81">
        <v>185.0</v>
      </c>
      <c r="J201" s="46">
        <v>0.0</v>
      </c>
      <c r="K201" s="46">
        <v>0.0</v>
      </c>
      <c r="L201" s="223">
        <v>7.0</v>
      </c>
      <c r="M201" s="81" t="s">
        <v>2927</v>
      </c>
      <c r="N201" s="46">
        <v>0.0</v>
      </c>
      <c r="O201" s="81">
        <v>37.0</v>
      </c>
      <c r="P201" s="81" t="s">
        <v>29</v>
      </c>
      <c r="Q201" s="46">
        <v>0.0</v>
      </c>
      <c r="R201" s="46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</row>
    <row r="202" ht="14.25" customHeight="1">
      <c r="A202" s="211">
        <v>42.0</v>
      </c>
      <c r="B202" s="49" t="s">
        <v>3014</v>
      </c>
      <c r="C202" s="49" t="s">
        <v>3008</v>
      </c>
      <c r="D202" s="49"/>
      <c r="E202" s="49"/>
      <c r="F202" s="51"/>
      <c r="G202" s="89" t="s">
        <v>3015</v>
      </c>
      <c r="H202" s="223">
        <v>32.0</v>
      </c>
      <c r="I202" s="81">
        <v>163.0</v>
      </c>
      <c r="J202" s="46">
        <v>0.0</v>
      </c>
      <c r="K202" s="46">
        <v>0.0</v>
      </c>
      <c r="L202" s="223">
        <v>11.0</v>
      </c>
      <c r="M202" s="81" t="s">
        <v>2927</v>
      </c>
      <c r="N202" s="46">
        <v>0.0</v>
      </c>
      <c r="O202" s="81">
        <v>32.0</v>
      </c>
      <c r="P202" s="81" t="s">
        <v>29</v>
      </c>
      <c r="Q202" s="46">
        <v>0.0</v>
      </c>
      <c r="R202" s="46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</row>
    <row r="203" ht="14.25" customHeight="1">
      <c r="A203" s="211">
        <v>43.0</v>
      </c>
      <c r="B203" s="49" t="s">
        <v>3016</v>
      </c>
      <c r="C203" s="49" t="s">
        <v>3017</v>
      </c>
      <c r="D203" s="49"/>
      <c r="E203" s="49"/>
      <c r="F203" s="51"/>
      <c r="G203" s="89" t="s">
        <v>2969</v>
      </c>
      <c r="H203" s="223">
        <v>41.0</v>
      </c>
      <c r="I203" s="81">
        <v>207.0</v>
      </c>
      <c r="J203" s="223">
        <v>2.0</v>
      </c>
      <c r="K203" s="223">
        <v>2.0</v>
      </c>
      <c r="L203" s="223">
        <v>18.0</v>
      </c>
      <c r="M203" s="81" t="s">
        <v>2927</v>
      </c>
      <c r="N203" s="46">
        <v>0.0</v>
      </c>
      <c r="O203" s="81">
        <v>41.0</v>
      </c>
      <c r="P203" s="81" t="s">
        <v>29</v>
      </c>
      <c r="Q203" s="46">
        <v>0.0</v>
      </c>
      <c r="R203" s="46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</row>
    <row r="204" ht="14.25" customHeight="1">
      <c r="A204" s="211">
        <v>44.0</v>
      </c>
      <c r="B204" s="49" t="s">
        <v>3018</v>
      </c>
      <c r="C204" s="49" t="s">
        <v>3017</v>
      </c>
      <c r="D204" s="49"/>
      <c r="E204" s="49"/>
      <c r="F204" s="51"/>
      <c r="G204" s="89" t="s">
        <v>3019</v>
      </c>
      <c r="H204" s="223">
        <v>109.0</v>
      </c>
      <c r="I204" s="81">
        <v>545.0</v>
      </c>
      <c r="J204" s="46">
        <v>0.0</v>
      </c>
      <c r="K204" s="46">
        <v>0.0</v>
      </c>
      <c r="L204" s="223">
        <v>7.0</v>
      </c>
      <c r="M204" s="81" t="s">
        <v>2927</v>
      </c>
      <c r="N204" s="46">
        <v>0.0</v>
      </c>
      <c r="O204" s="81">
        <v>109.0</v>
      </c>
      <c r="P204" s="81" t="s">
        <v>29</v>
      </c>
      <c r="Q204" s="46">
        <v>0.0</v>
      </c>
      <c r="R204" s="46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</row>
    <row r="205" ht="14.25" customHeight="1">
      <c r="A205" s="211">
        <v>45.0</v>
      </c>
      <c r="B205" s="49" t="s">
        <v>3020</v>
      </c>
      <c r="C205" s="49" t="s">
        <v>3017</v>
      </c>
      <c r="D205" s="49"/>
      <c r="E205" s="49"/>
      <c r="F205" s="51"/>
      <c r="G205" s="89" t="s">
        <v>2965</v>
      </c>
      <c r="H205" s="223">
        <v>5.0</v>
      </c>
      <c r="I205" s="81">
        <v>27.0</v>
      </c>
      <c r="J205" s="223">
        <v>2.0</v>
      </c>
      <c r="K205" s="223">
        <v>2.0</v>
      </c>
      <c r="L205" s="223">
        <v>2.0</v>
      </c>
      <c r="M205" s="81" t="s">
        <v>2927</v>
      </c>
      <c r="N205" s="46">
        <v>0.0</v>
      </c>
      <c r="O205" s="81">
        <v>5.0</v>
      </c>
      <c r="P205" s="81" t="s">
        <v>29</v>
      </c>
      <c r="Q205" s="46">
        <v>0.0</v>
      </c>
      <c r="R205" s="46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</row>
    <row r="206" ht="14.25" customHeight="1">
      <c r="A206" s="211">
        <v>46.0</v>
      </c>
      <c r="B206" s="49" t="s">
        <v>2895</v>
      </c>
      <c r="C206" s="49" t="s">
        <v>3021</v>
      </c>
      <c r="D206" s="49"/>
      <c r="E206" s="49"/>
      <c r="F206" s="51"/>
      <c r="G206" s="89" t="s">
        <v>2987</v>
      </c>
      <c r="H206" s="223">
        <v>49.0</v>
      </c>
      <c r="I206" s="81">
        <v>245.0</v>
      </c>
      <c r="J206" s="46">
        <v>0.0</v>
      </c>
      <c r="K206" s="46">
        <v>0.0</v>
      </c>
      <c r="L206" s="223">
        <v>9.0</v>
      </c>
      <c r="M206" s="81" t="s">
        <v>2927</v>
      </c>
      <c r="N206" s="46">
        <v>0.0</v>
      </c>
      <c r="O206" s="81">
        <v>49.0</v>
      </c>
      <c r="P206" s="81" t="s">
        <v>29</v>
      </c>
      <c r="Q206" s="46">
        <v>0.0</v>
      </c>
      <c r="R206" s="46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</row>
    <row r="207" ht="14.25" customHeight="1">
      <c r="A207" s="211">
        <v>47.0</v>
      </c>
      <c r="B207" s="49" t="s">
        <v>3022</v>
      </c>
      <c r="C207" s="49" t="s">
        <v>3021</v>
      </c>
      <c r="D207" s="49"/>
      <c r="E207" s="49"/>
      <c r="F207" s="51"/>
      <c r="G207" s="89" t="s">
        <v>3023</v>
      </c>
      <c r="H207" s="223">
        <v>181.0</v>
      </c>
      <c r="I207" s="81">
        <v>907.0</v>
      </c>
      <c r="J207" s="223">
        <v>8.0</v>
      </c>
      <c r="K207" s="223">
        <v>8.0</v>
      </c>
      <c r="L207" s="223">
        <v>6.0</v>
      </c>
      <c r="M207" s="81" t="s">
        <v>2927</v>
      </c>
      <c r="N207" s="46">
        <v>0.0</v>
      </c>
      <c r="O207" s="81">
        <v>181.0</v>
      </c>
      <c r="P207" s="81" t="s">
        <v>29</v>
      </c>
      <c r="Q207" s="46">
        <v>0.0</v>
      </c>
      <c r="R207" s="46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</row>
    <row r="208" ht="14.25" customHeight="1">
      <c r="A208" s="211">
        <v>48.0</v>
      </c>
      <c r="B208" s="49" t="s">
        <v>1563</v>
      </c>
      <c r="C208" s="49" t="s">
        <v>3024</v>
      </c>
      <c r="D208" s="49"/>
      <c r="E208" s="49"/>
      <c r="F208" s="51"/>
      <c r="G208" s="89" t="s">
        <v>3025</v>
      </c>
      <c r="H208" s="223">
        <v>6.0</v>
      </c>
      <c r="I208" s="81">
        <v>29.0</v>
      </c>
      <c r="J208" s="223">
        <v>2.0</v>
      </c>
      <c r="K208" s="223">
        <v>2.0</v>
      </c>
      <c r="L208" s="223">
        <v>2.0</v>
      </c>
      <c r="M208" s="81" t="s">
        <v>2927</v>
      </c>
      <c r="N208" s="46">
        <v>0.0</v>
      </c>
      <c r="O208" s="81">
        <v>6.0</v>
      </c>
      <c r="P208" s="81" t="s">
        <v>29</v>
      </c>
      <c r="Q208" s="46">
        <v>0.0</v>
      </c>
      <c r="R208" s="46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</row>
    <row r="209" ht="14.25" customHeight="1">
      <c r="A209" s="211">
        <v>49.0</v>
      </c>
      <c r="B209" s="49" t="s">
        <v>3026</v>
      </c>
      <c r="C209" s="49" t="s">
        <v>3027</v>
      </c>
      <c r="D209" s="49"/>
      <c r="E209" s="49"/>
      <c r="F209" s="51"/>
      <c r="G209" s="275" t="s">
        <v>3028</v>
      </c>
      <c r="H209" s="223">
        <v>57.0</v>
      </c>
      <c r="I209" s="81">
        <v>285.0</v>
      </c>
      <c r="J209" s="46">
        <v>0.0</v>
      </c>
      <c r="K209" s="46">
        <v>0.0</v>
      </c>
      <c r="L209" s="223">
        <v>12.0</v>
      </c>
      <c r="M209" s="81" t="s">
        <v>2927</v>
      </c>
      <c r="N209" s="46">
        <v>0.0</v>
      </c>
      <c r="O209" s="81">
        <v>57.0</v>
      </c>
      <c r="P209" s="81" t="s">
        <v>29</v>
      </c>
      <c r="Q209" s="46">
        <v>0.0</v>
      </c>
      <c r="R209" s="46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</row>
    <row r="210" ht="14.25" customHeight="1">
      <c r="A210" s="211">
        <v>50.0</v>
      </c>
      <c r="B210" s="49" t="s">
        <v>3029</v>
      </c>
      <c r="C210" s="49" t="s">
        <v>3027</v>
      </c>
      <c r="D210" s="49"/>
      <c r="E210" s="49"/>
      <c r="F210" s="51"/>
      <c r="G210" s="275" t="s">
        <v>2951</v>
      </c>
      <c r="H210" s="223">
        <v>3.0</v>
      </c>
      <c r="I210" s="81">
        <v>18.0</v>
      </c>
      <c r="J210" s="223">
        <v>2.0</v>
      </c>
      <c r="K210" s="223">
        <v>2.0</v>
      </c>
      <c r="L210" s="223">
        <v>2.0</v>
      </c>
      <c r="M210" s="81" t="s">
        <v>2927</v>
      </c>
      <c r="N210" s="46">
        <v>0.0</v>
      </c>
      <c r="O210" s="81">
        <v>3.0</v>
      </c>
      <c r="P210" s="81" t="s">
        <v>29</v>
      </c>
      <c r="Q210" s="46">
        <v>0.0</v>
      </c>
      <c r="R210" s="46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</row>
    <row r="211" ht="15.75" customHeight="1">
      <c r="A211" s="181"/>
      <c r="B211" s="182" t="s">
        <v>3030</v>
      </c>
      <c r="C211" s="182"/>
      <c r="D211" s="182"/>
      <c r="E211" s="182"/>
      <c r="F211" s="403"/>
      <c r="G211" s="404"/>
      <c r="H211" s="182"/>
      <c r="I211" s="182"/>
      <c r="J211" s="91"/>
      <c r="K211" s="91"/>
      <c r="L211" s="91"/>
      <c r="M211" s="91"/>
      <c r="N211" s="91"/>
      <c r="O211" s="91"/>
      <c r="P211" s="182"/>
      <c r="Q211" s="91"/>
      <c r="R211" s="218"/>
      <c r="S211" s="405"/>
      <c r="T211" s="405"/>
      <c r="U211" s="405"/>
      <c r="V211" s="405"/>
      <c r="W211" s="405"/>
      <c r="X211" s="405"/>
      <c r="Y211" s="405"/>
      <c r="Z211" s="405"/>
      <c r="AA211" s="405"/>
      <c r="AB211" s="405"/>
      <c r="AC211" s="405"/>
      <c r="AD211" s="405"/>
    </row>
    <row r="212" ht="14.25" customHeight="1">
      <c r="A212" s="211">
        <v>1.0</v>
      </c>
      <c r="B212" s="46" t="s">
        <v>3031</v>
      </c>
      <c r="C212" s="46" t="s">
        <v>3032</v>
      </c>
      <c r="D212" s="46"/>
      <c r="E212" s="46"/>
      <c r="F212" s="50"/>
      <c r="G212" s="275">
        <v>375.0</v>
      </c>
      <c r="H212" s="46">
        <v>15.0</v>
      </c>
      <c r="I212" s="46">
        <v>50.0</v>
      </c>
      <c r="J212" s="46">
        <v>1.0</v>
      </c>
      <c r="K212" s="46">
        <v>1.0</v>
      </c>
      <c r="L212" s="46">
        <v>0.0</v>
      </c>
      <c r="M212" s="46" t="s">
        <v>3033</v>
      </c>
      <c r="N212" s="46" t="s">
        <v>1046</v>
      </c>
      <c r="O212" s="46">
        <v>1000.0</v>
      </c>
      <c r="P212" s="46" t="s">
        <v>29</v>
      </c>
      <c r="Q212" s="46"/>
      <c r="R212" s="46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</row>
    <row r="213" ht="14.25" customHeight="1">
      <c r="A213" s="211">
        <v>2.0</v>
      </c>
      <c r="B213" s="27" t="s">
        <v>63</v>
      </c>
      <c r="C213" s="27" t="s">
        <v>3034</v>
      </c>
      <c r="D213" s="27"/>
      <c r="E213" s="27"/>
      <c r="F213" s="38"/>
      <c r="G213" s="407">
        <v>3000.0</v>
      </c>
      <c r="H213" s="42">
        <v>100.0</v>
      </c>
      <c r="I213" s="42">
        <v>500.0</v>
      </c>
      <c r="J213" s="42">
        <v>5.0</v>
      </c>
      <c r="K213" s="42">
        <v>5.0</v>
      </c>
      <c r="L213" s="27">
        <v>0.0</v>
      </c>
      <c r="M213" s="27" t="s">
        <v>3033</v>
      </c>
      <c r="N213" s="27" t="s">
        <v>1046</v>
      </c>
      <c r="O213" s="42">
        <v>1000.0</v>
      </c>
      <c r="P213" s="46" t="s">
        <v>29</v>
      </c>
      <c r="Q213" s="46"/>
      <c r="R213" s="46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</row>
    <row r="214" ht="14.25" customHeight="1">
      <c r="A214" s="211">
        <v>3.0</v>
      </c>
      <c r="B214" s="27" t="s">
        <v>3035</v>
      </c>
      <c r="C214" s="27" t="s">
        <v>3032</v>
      </c>
      <c r="D214" s="27"/>
      <c r="E214" s="27"/>
      <c r="F214" s="38"/>
      <c r="G214" s="407">
        <v>450.0</v>
      </c>
      <c r="H214" s="42">
        <v>15.0</v>
      </c>
      <c r="I214" s="42">
        <v>50.0</v>
      </c>
      <c r="J214" s="42">
        <v>1.0</v>
      </c>
      <c r="K214" s="42">
        <v>1.0</v>
      </c>
      <c r="L214" s="42">
        <v>0.0</v>
      </c>
      <c r="M214" s="27" t="s">
        <v>3033</v>
      </c>
      <c r="N214" s="27" t="s">
        <v>1046</v>
      </c>
      <c r="O214" s="42">
        <v>1000.0</v>
      </c>
      <c r="P214" s="46" t="s">
        <v>66</v>
      </c>
      <c r="Q214" s="46">
        <v>13.0</v>
      </c>
      <c r="R214" s="46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</row>
    <row r="215" ht="14.25" customHeight="1">
      <c r="A215" s="211">
        <v>4.0</v>
      </c>
      <c r="B215" s="27" t="s">
        <v>1439</v>
      </c>
      <c r="C215" s="27" t="s">
        <v>3032</v>
      </c>
      <c r="D215" s="27"/>
      <c r="E215" s="27"/>
      <c r="F215" s="38"/>
      <c r="G215" s="407">
        <v>600.0</v>
      </c>
      <c r="H215" s="42">
        <v>15.0</v>
      </c>
      <c r="I215" s="42">
        <v>50.0</v>
      </c>
      <c r="J215" s="42">
        <v>1.0</v>
      </c>
      <c r="K215" s="42">
        <v>1.0</v>
      </c>
      <c r="L215" s="42">
        <v>0.0</v>
      </c>
      <c r="M215" s="27" t="s">
        <v>3033</v>
      </c>
      <c r="N215" s="27" t="s">
        <v>1046</v>
      </c>
      <c r="O215" s="42">
        <v>1000.0</v>
      </c>
      <c r="P215" s="46" t="s">
        <v>29</v>
      </c>
      <c r="Q215" s="46"/>
      <c r="R215" s="46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</row>
    <row r="216" ht="14.25" customHeight="1">
      <c r="A216" s="211">
        <v>5.0</v>
      </c>
      <c r="B216" s="27" t="s">
        <v>878</v>
      </c>
      <c r="C216" s="27" t="s">
        <v>3032</v>
      </c>
      <c r="D216" s="27"/>
      <c r="E216" s="27"/>
      <c r="F216" s="38"/>
      <c r="G216" s="407">
        <v>200.0</v>
      </c>
      <c r="H216" s="42">
        <v>15.0</v>
      </c>
      <c r="I216" s="42">
        <v>50.0</v>
      </c>
      <c r="J216" s="42">
        <v>1.0</v>
      </c>
      <c r="K216" s="42">
        <v>1.0</v>
      </c>
      <c r="L216" s="42">
        <v>0.0</v>
      </c>
      <c r="M216" s="27" t="s">
        <v>3033</v>
      </c>
      <c r="N216" s="27" t="s">
        <v>1046</v>
      </c>
      <c r="O216" s="42">
        <v>1000.0</v>
      </c>
      <c r="P216" s="46" t="s">
        <v>29</v>
      </c>
      <c r="Q216" s="46"/>
      <c r="R216" s="46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</row>
    <row r="217" ht="14.25" customHeight="1">
      <c r="A217" s="211">
        <v>6.0</v>
      </c>
      <c r="B217" s="27" t="s">
        <v>3036</v>
      </c>
      <c r="C217" s="27" t="s">
        <v>3037</v>
      </c>
      <c r="D217" s="27"/>
      <c r="E217" s="27"/>
      <c r="F217" s="38"/>
      <c r="G217" s="407">
        <v>500.0</v>
      </c>
      <c r="H217" s="42">
        <v>15.0</v>
      </c>
      <c r="I217" s="42">
        <v>50.0</v>
      </c>
      <c r="J217" s="42">
        <v>1.0</v>
      </c>
      <c r="K217" s="42">
        <v>1.0</v>
      </c>
      <c r="L217" s="42">
        <v>0.0</v>
      </c>
      <c r="M217" s="27" t="s">
        <v>3033</v>
      </c>
      <c r="N217" s="27" t="s">
        <v>1046</v>
      </c>
      <c r="O217" s="42">
        <v>1000.0</v>
      </c>
      <c r="P217" s="46" t="s">
        <v>29</v>
      </c>
      <c r="Q217" s="46"/>
      <c r="R217" s="46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</row>
    <row r="218" ht="14.25" customHeight="1">
      <c r="A218" s="211">
        <v>7.0</v>
      </c>
      <c r="B218" s="27" t="s">
        <v>3038</v>
      </c>
      <c r="C218" s="27" t="s">
        <v>3039</v>
      </c>
      <c r="D218" s="27"/>
      <c r="E218" s="27"/>
      <c r="F218" s="38"/>
      <c r="G218" s="407">
        <v>500.0</v>
      </c>
      <c r="H218" s="42">
        <v>15.0</v>
      </c>
      <c r="I218" s="42">
        <v>50.0</v>
      </c>
      <c r="J218" s="42">
        <v>1.0</v>
      </c>
      <c r="K218" s="42">
        <v>1.0</v>
      </c>
      <c r="L218" s="42">
        <v>0.0</v>
      </c>
      <c r="M218" s="27" t="s">
        <v>3033</v>
      </c>
      <c r="N218" s="27" t="s">
        <v>1046</v>
      </c>
      <c r="O218" s="42">
        <v>1000.0</v>
      </c>
      <c r="P218" s="46" t="s">
        <v>29</v>
      </c>
      <c r="Q218" s="46"/>
      <c r="R218" s="46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</row>
    <row r="219" ht="14.25" customHeight="1">
      <c r="A219" s="211">
        <v>8.0</v>
      </c>
      <c r="B219" s="27" t="s">
        <v>3040</v>
      </c>
      <c r="C219" s="27" t="s">
        <v>3041</v>
      </c>
      <c r="D219" s="27"/>
      <c r="E219" s="27"/>
      <c r="F219" s="38"/>
      <c r="G219" s="407">
        <v>500.0</v>
      </c>
      <c r="H219" s="42">
        <v>15.0</v>
      </c>
      <c r="I219" s="42">
        <v>50.0</v>
      </c>
      <c r="J219" s="42">
        <v>1.0</v>
      </c>
      <c r="K219" s="42">
        <v>1.0</v>
      </c>
      <c r="L219" s="42">
        <v>0.0</v>
      </c>
      <c r="M219" s="27" t="s">
        <v>3033</v>
      </c>
      <c r="N219" s="27" t="s">
        <v>1046</v>
      </c>
      <c r="O219" s="42">
        <v>1000.0</v>
      </c>
      <c r="P219" s="46" t="s">
        <v>29</v>
      </c>
      <c r="Q219" s="46"/>
      <c r="R219" s="46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</row>
    <row r="220" ht="14.25" customHeight="1">
      <c r="A220" s="211">
        <v>9.0</v>
      </c>
      <c r="B220" s="27" t="s">
        <v>3042</v>
      </c>
      <c r="C220" s="27" t="s">
        <v>3043</v>
      </c>
      <c r="D220" s="27"/>
      <c r="E220" s="27"/>
      <c r="F220" s="38"/>
      <c r="G220" s="407">
        <v>500.0</v>
      </c>
      <c r="H220" s="42">
        <v>15.0</v>
      </c>
      <c r="I220" s="42">
        <v>50.0</v>
      </c>
      <c r="J220" s="42">
        <v>1.0</v>
      </c>
      <c r="K220" s="42">
        <v>1.0</v>
      </c>
      <c r="L220" s="42">
        <v>0.0</v>
      </c>
      <c r="M220" s="27" t="s">
        <v>3033</v>
      </c>
      <c r="N220" s="27" t="s">
        <v>1046</v>
      </c>
      <c r="O220" s="42">
        <v>1000.0</v>
      </c>
      <c r="P220" s="46" t="s">
        <v>29</v>
      </c>
      <c r="Q220" s="46"/>
      <c r="R220" s="46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</row>
    <row r="221" ht="14.25" customHeight="1">
      <c r="A221" s="211">
        <v>10.0</v>
      </c>
      <c r="B221" s="27" t="s">
        <v>3044</v>
      </c>
      <c r="C221" s="27" t="s">
        <v>3045</v>
      </c>
      <c r="D221" s="27"/>
      <c r="E221" s="27"/>
      <c r="F221" s="38"/>
      <c r="G221" s="407">
        <v>500.0</v>
      </c>
      <c r="H221" s="42">
        <v>15.0</v>
      </c>
      <c r="I221" s="42">
        <v>50.0</v>
      </c>
      <c r="J221" s="42">
        <v>1.0</v>
      </c>
      <c r="K221" s="42">
        <v>1.0</v>
      </c>
      <c r="L221" s="42">
        <v>0.0</v>
      </c>
      <c r="M221" s="27" t="s">
        <v>3033</v>
      </c>
      <c r="N221" s="27" t="s">
        <v>1046</v>
      </c>
      <c r="O221" s="42">
        <v>1000.0</v>
      </c>
      <c r="P221" s="46" t="s">
        <v>29</v>
      </c>
      <c r="Q221" s="46"/>
      <c r="R221" s="46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</row>
    <row r="222" ht="14.25" customHeight="1">
      <c r="A222" s="211">
        <v>11.0</v>
      </c>
      <c r="B222" s="27" t="s">
        <v>3046</v>
      </c>
      <c r="C222" s="27" t="s">
        <v>3047</v>
      </c>
      <c r="D222" s="27"/>
      <c r="E222" s="27"/>
      <c r="F222" s="38"/>
      <c r="G222" s="407">
        <v>500.0</v>
      </c>
      <c r="H222" s="42">
        <v>15.0</v>
      </c>
      <c r="I222" s="42">
        <v>50.0</v>
      </c>
      <c r="J222" s="42">
        <v>1.0</v>
      </c>
      <c r="K222" s="42">
        <v>1.0</v>
      </c>
      <c r="L222" s="42">
        <v>0.0</v>
      </c>
      <c r="M222" s="27" t="s">
        <v>3033</v>
      </c>
      <c r="N222" s="27" t="s">
        <v>1046</v>
      </c>
      <c r="O222" s="42">
        <v>1000.0</v>
      </c>
      <c r="P222" s="46" t="s">
        <v>29</v>
      </c>
      <c r="Q222" s="46"/>
      <c r="R222" s="46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</row>
    <row r="223" ht="14.25" customHeight="1">
      <c r="A223" s="211">
        <v>12.0</v>
      </c>
      <c r="B223" s="27" t="s">
        <v>3048</v>
      </c>
      <c r="C223" s="27" t="s">
        <v>3049</v>
      </c>
      <c r="D223" s="27"/>
      <c r="E223" s="27"/>
      <c r="F223" s="38"/>
      <c r="G223" s="407">
        <v>500.0</v>
      </c>
      <c r="H223" s="42">
        <v>15.0</v>
      </c>
      <c r="I223" s="42">
        <v>50.0</v>
      </c>
      <c r="J223" s="42">
        <v>1.0</v>
      </c>
      <c r="K223" s="42">
        <v>1.0</v>
      </c>
      <c r="L223" s="42">
        <v>0.0</v>
      </c>
      <c r="M223" s="27" t="s">
        <v>3033</v>
      </c>
      <c r="N223" s="27" t="s">
        <v>1046</v>
      </c>
      <c r="O223" s="42">
        <v>1000.0</v>
      </c>
      <c r="P223" s="46" t="s">
        <v>29</v>
      </c>
      <c r="Q223" s="46"/>
      <c r="R223" s="46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</row>
    <row r="224" ht="14.25" customHeight="1">
      <c r="A224" s="211">
        <v>13.0</v>
      </c>
      <c r="B224" s="27" t="s">
        <v>3050</v>
      </c>
      <c r="C224" s="27" t="s">
        <v>3051</v>
      </c>
      <c r="D224" s="27"/>
      <c r="E224" s="27"/>
      <c r="F224" s="38"/>
      <c r="G224" s="407">
        <v>500.0</v>
      </c>
      <c r="H224" s="42">
        <v>15.0</v>
      </c>
      <c r="I224" s="42">
        <v>50.0</v>
      </c>
      <c r="J224" s="42">
        <v>1.0</v>
      </c>
      <c r="K224" s="42">
        <v>1.0</v>
      </c>
      <c r="L224" s="42">
        <v>0.0</v>
      </c>
      <c r="M224" s="27" t="s">
        <v>3033</v>
      </c>
      <c r="N224" s="27" t="s">
        <v>1046</v>
      </c>
      <c r="O224" s="42">
        <v>1000.0</v>
      </c>
      <c r="P224" s="46" t="s">
        <v>29</v>
      </c>
      <c r="Q224" s="46"/>
      <c r="R224" s="46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</row>
    <row r="225" ht="14.25" customHeight="1">
      <c r="A225" s="211">
        <v>14.0</v>
      </c>
      <c r="B225" s="27" t="s">
        <v>3052</v>
      </c>
      <c r="C225" s="27" t="s">
        <v>3053</v>
      </c>
      <c r="D225" s="27"/>
      <c r="E225" s="27"/>
      <c r="F225" s="38"/>
      <c r="G225" s="407">
        <v>500.0</v>
      </c>
      <c r="H225" s="42">
        <v>15.0</v>
      </c>
      <c r="I225" s="42">
        <v>50.0</v>
      </c>
      <c r="J225" s="42">
        <v>1.0</v>
      </c>
      <c r="K225" s="42">
        <v>1.0</v>
      </c>
      <c r="L225" s="42">
        <v>0.0</v>
      </c>
      <c r="M225" s="27" t="s">
        <v>3033</v>
      </c>
      <c r="N225" s="27" t="s">
        <v>1046</v>
      </c>
      <c r="O225" s="42">
        <v>1000.0</v>
      </c>
      <c r="P225" s="46" t="s">
        <v>29</v>
      </c>
      <c r="Q225" s="46"/>
      <c r="R225" s="46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</row>
    <row r="226" ht="14.25" customHeight="1">
      <c r="A226" s="211">
        <v>15.0</v>
      </c>
      <c r="B226" s="27" t="s">
        <v>3054</v>
      </c>
      <c r="C226" s="27" t="s">
        <v>3055</v>
      </c>
      <c r="D226" s="27"/>
      <c r="E226" s="27"/>
      <c r="F226" s="38"/>
      <c r="G226" s="407">
        <v>500.0</v>
      </c>
      <c r="H226" s="42">
        <v>15.0</v>
      </c>
      <c r="I226" s="42">
        <v>50.0</v>
      </c>
      <c r="J226" s="42">
        <v>1.0</v>
      </c>
      <c r="K226" s="42">
        <v>1.0</v>
      </c>
      <c r="L226" s="42">
        <v>0.0</v>
      </c>
      <c r="M226" s="27" t="s">
        <v>3033</v>
      </c>
      <c r="N226" s="27" t="s">
        <v>1046</v>
      </c>
      <c r="O226" s="42">
        <v>1000.0</v>
      </c>
      <c r="P226" s="46" t="s">
        <v>29</v>
      </c>
      <c r="Q226" s="46"/>
      <c r="R226" s="46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</row>
    <row r="227" ht="14.25" customHeight="1">
      <c r="A227" s="211">
        <v>16.0</v>
      </c>
      <c r="B227" s="27" t="s">
        <v>3056</v>
      </c>
      <c r="C227" s="27" t="s">
        <v>3057</v>
      </c>
      <c r="D227" s="27"/>
      <c r="E227" s="27"/>
      <c r="F227" s="38"/>
      <c r="G227" s="407">
        <v>500.0</v>
      </c>
      <c r="H227" s="42">
        <v>15.0</v>
      </c>
      <c r="I227" s="42">
        <v>50.0</v>
      </c>
      <c r="J227" s="42">
        <v>1.0</v>
      </c>
      <c r="K227" s="42">
        <v>1.0</v>
      </c>
      <c r="L227" s="42">
        <v>0.0</v>
      </c>
      <c r="M227" s="27" t="s">
        <v>3033</v>
      </c>
      <c r="N227" s="27" t="s">
        <v>1046</v>
      </c>
      <c r="O227" s="42">
        <v>1000.0</v>
      </c>
      <c r="P227" s="46" t="s">
        <v>29</v>
      </c>
      <c r="Q227" s="46"/>
      <c r="R227" s="46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</row>
    <row r="228" ht="14.25" customHeight="1">
      <c r="A228" s="211">
        <v>17.0</v>
      </c>
      <c r="B228" s="27" t="s">
        <v>3058</v>
      </c>
      <c r="C228" s="27" t="s">
        <v>3032</v>
      </c>
      <c r="D228" s="27"/>
      <c r="E228" s="27"/>
      <c r="F228" s="38"/>
      <c r="G228" s="407">
        <v>500.0</v>
      </c>
      <c r="H228" s="42">
        <v>15.0</v>
      </c>
      <c r="I228" s="42">
        <v>50.0</v>
      </c>
      <c r="J228" s="42">
        <v>1.0</v>
      </c>
      <c r="K228" s="42">
        <v>1.0</v>
      </c>
      <c r="L228" s="42">
        <v>0.0</v>
      </c>
      <c r="M228" s="27" t="s">
        <v>3033</v>
      </c>
      <c r="N228" s="27" t="s">
        <v>1046</v>
      </c>
      <c r="O228" s="42">
        <v>1000.0</v>
      </c>
      <c r="P228" s="46" t="s">
        <v>29</v>
      </c>
      <c r="Q228" s="46"/>
      <c r="R228" s="46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</row>
    <row r="229" ht="14.25" customHeight="1">
      <c r="A229" s="211">
        <v>18.0</v>
      </c>
      <c r="B229" s="27" t="s">
        <v>3059</v>
      </c>
      <c r="C229" s="27" t="s">
        <v>3034</v>
      </c>
      <c r="D229" s="27"/>
      <c r="E229" s="27"/>
      <c r="F229" s="38"/>
      <c r="G229" s="407">
        <v>500.0</v>
      </c>
      <c r="H229" s="42">
        <v>15.0</v>
      </c>
      <c r="I229" s="42">
        <v>50.0</v>
      </c>
      <c r="J229" s="42">
        <v>1.0</v>
      </c>
      <c r="K229" s="42">
        <v>1.0</v>
      </c>
      <c r="L229" s="42">
        <v>0.0</v>
      </c>
      <c r="M229" s="27" t="s">
        <v>3033</v>
      </c>
      <c r="N229" s="27" t="s">
        <v>1046</v>
      </c>
      <c r="O229" s="42">
        <v>1000.0</v>
      </c>
      <c r="P229" s="46" t="s">
        <v>29</v>
      </c>
      <c r="Q229" s="46"/>
      <c r="R229" s="46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</row>
    <row r="230" ht="14.25" customHeight="1">
      <c r="A230" s="211">
        <v>19.0</v>
      </c>
      <c r="B230" s="27" t="s">
        <v>3060</v>
      </c>
      <c r="C230" s="27" t="s">
        <v>3061</v>
      </c>
      <c r="D230" s="27"/>
      <c r="E230" s="27"/>
      <c r="F230" s="38"/>
      <c r="G230" s="407">
        <v>500.0</v>
      </c>
      <c r="H230" s="42">
        <v>15.0</v>
      </c>
      <c r="I230" s="42">
        <v>50.0</v>
      </c>
      <c r="J230" s="42">
        <v>1.0</v>
      </c>
      <c r="K230" s="42">
        <v>1.0</v>
      </c>
      <c r="L230" s="42">
        <v>0.0</v>
      </c>
      <c r="M230" s="27" t="s">
        <v>3033</v>
      </c>
      <c r="N230" s="27" t="s">
        <v>1046</v>
      </c>
      <c r="O230" s="42">
        <v>1000.0</v>
      </c>
      <c r="P230" s="46" t="s">
        <v>29</v>
      </c>
      <c r="Q230" s="46"/>
      <c r="R230" s="46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</row>
    <row r="231" ht="14.25" customHeight="1">
      <c r="A231" s="211">
        <v>20.0</v>
      </c>
      <c r="B231" s="27" t="s">
        <v>3062</v>
      </c>
      <c r="C231" s="27" t="s">
        <v>3063</v>
      </c>
      <c r="D231" s="27"/>
      <c r="E231" s="27"/>
      <c r="F231" s="38"/>
      <c r="G231" s="407">
        <v>500.0</v>
      </c>
      <c r="H231" s="42">
        <v>15.0</v>
      </c>
      <c r="I231" s="42">
        <v>50.0</v>
      </c>
      <c r="J231" s="42">
        <v>1.0</v>
      </c>
      <c r="K231" s="42">
        <v>1.0</v>
      </c>
      <c r="L231" s="42">
        <v>0.0</v>
      </c>
      <c r="M231" s="27" t="s">
        <v>3033</v>
      </c>
      <c r="N231" s="27" t="s">
        <v>1046</v>
      </c>
      <c r="O231" s="42">
        <v>1000.0</v>
      </c>
      <c r="P231" s="46" t="s">
        <v>29</v>
      </c>
      <c r="Q231" s="46"/>
      <c r="R231" s="46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</row>
    <row r="232" ht="14.25" customHeight="1">
      <c r="A232" s="211">
        <v>21.0</v>
      </c>
      <c r="B232" s="27" t="s">
        <v>3064</v>
      </c>
      <c r="C232" s="27" t="s">
        <v>3065</v>
      </c>
      <c r="D232" s="27"/>
      <c r="E232" s="27"/>
      <c r="F232" s="38"/>
      <c r="G232" s="407">
        <v>500.0</v>
      </c>
      <c r="H232" s="42">
        <v>15.0</v>
      </c>
      <c r="I232" s="42">
        <v>50.0</v>
      </c>
      <c r="J232" s="42">
        <v>1.0</v>
      </c>
      <c r="K232" s="42">
        <v>1.0</v>
      </c>
      <c r="L232" s="42">
        <v>0.0</v>
      </c>
      <c r="M232" s="27" t="s">
        <v>3033</v>
      </c>
      <c r="N232" s="27" t="s">
        <v>1046</v>
      </c>
      <c r="O232" s="42">
        <v>1000.0</v>
      </c>
      <c r="P232" s="46" t="s">
        <v>29</v>
      </c>
      <c r="Q232" s="46"/>
      <c r="R232" s="46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</row>
    <row r="233" ht="14.25" customHeight="1">
      <c r="A233" s="211">
        <v>22.0</v>
      </c>
      <c r="B233" s="27" t="s">
        <v>3066</v>
      </c>
      <c r="C233" s="27" t="s">
        <v>3067</v>
      </c>
      <c r="D233" s="27"/>
      <c r="E233" s="27"/>
      <c r="F233" s="38"/>
      <c r="G233" s="407">
        <v>500.0</v>
      </c>
      <c r="H233" s="42">
        <v>15.0</v>
      </c>
      <c r="I233" s="42">
        <v>50.0</v>
      </c>
      <c r="J233" s="42">
        <v>1.0</v>
      </c>
      <c r="K233" s="42">
        <v>1.0</v>
      </c>
      <c r="L233" s="42">
        <v>0.0</v>
      </c>
      <c r="M233" s="27" t="s">
        <v>3033</v>
      </c>
      <c r="N233" s="27" t="s">
        <v>1046</v>
      </c>
      <c r="O233" s="42">
        <v>1000.0</v>
      </c>
      <c r="P233" s="46" t="s">
        <v>29</v>
      </c>
      <c r="Q233" s="46"/>
      <c r="R233" s="46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</row>
    <row r="234" ht="14.25" customHeight="1">
      <c r="A234" s="211">
        <v>23.0</v>
      </c>
      <c r="B234" s="27" t="s">
        <v>3068</v>
      </c>
      <c r="C234" s="27" t="s">
        <v>3069</v>
      </c>
      <c r="D234" s="27"/>
      <c r="E234" s="27"/>
      <c r="F234" s="38"/>
      <c r="G234" s="407">
        <v>500.0</v>
      </c>
      <c r="H234" s="42">
        <v>15.0</v>
      </c>
      <c r="I234" s="42">
        <v>50.0</v>
      </c>
      <c r="J234" s="42">
        <v>1.0</v>
      </c>
      <c r="K234" s="42">
        <v>1.0</v>
      </c>
      <c r="L234" s="42">
        <v>0.0</v>
      </c>
      <c r="M234" s="27" t="s">
        <v>3033</v>
      </c>
      <c r="N234" s="27" t="s">
        <v>1046</v>
      </c>
      <c r="O234" s="42">
        <v>1000.0</v>
      </c>
      <c r="P234" s="46" t="s">
        <v>29</v>
      </c>
      <c r="Q234" s="46"/>
      <c r="R234" s="46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</row>
    <row r="235" ht="14.25" customHeight="1">
      <c r="A235" s="211">
        <v>24.0</v>
      </c>
      <c r="B235" s="27" t="s">
        <v>3070</v>
      </c>
      <c r="C235" s="27" t="s">
        <v>3032</v>
      </c>
      <c r="D235" s="27"/>
      <c r="E235" s="27"/>
      <c r="F235" s="38"/>
      <c r="G235" s="407">
        <v>350.0</v>
      </c>
      <c r="H235" s="42">
        <v>15.0</v>
      </c>
      <c r="I235" s="42">
        <v>50.0</v>
      </c>
      <c r="J235" s="42">
        <v>1.0</v>
      </c>
      <c r="K235" s="42">
        <v>1.0</v>
      </c>
      <c r="L235" s="42">
        <v>0.0</v>
      </c>
      <c r="M235" s="27" t="s">
        <v>3033</v>
      </c>
      <c r="N235" s="27" t="s">
        <v>1046</v>
      </c>
      <c r="O235" s="42">
        <v>1000.0</v>
      </c>
      <c r="P235" s="46" t="s">
        <v>29</v>
      </c>
      <c r="Q235" s="46"/>
      <c r="R235" s="46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</row>
    <row r="236" ht="14.25" customHeight="1">
      <c r="A236" s="211">
        <v>25.0</v>
      </c>
      <c r="B236" s="27" t="s">
        <v>3071</v>
      </c>
      <c r="C236" s="27" t="s">
        <v>3061</v>
      </c>
      <c r="D236" s="27"/>
      <c r="E236" s="27"/>
      <c r="F236" s="38"/>
      <c r="G236" s="407">
        <v>350.0</v>
      </c>
      <c r="H236" s="42">
        <v>15.0</v>
      </c>
      <c r="I236" s="42">
        <v>50.0</v>
      </c>
      <c r="J236" s="42">
        <v>1.0</v>
      </c>
      <c r="K236" s="42">
        <v>1.0</v>
      </c>
      <c r="L236" s="42">
        <v>0.0</v>
      </c>
      <c r="M236" s="27" t="s">
        <v>3033</v>
      </c>
      <c r="N236" s="27" t="s">
        <v>1046</v>
      </c>
      <c r="O236" s="42">
        <v>1000.0</v>
      </c>
      <c r="P236" s="46" t="s">
        <v>29</v>
      </c>
      <c r="Q236" s="46"/>
      <c r="R236" s="46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</row>
    <row r="237" ht="14.25" customHeight="1">
      <c r="A237" s="211">
        <v>26.0</v>
      </c>
      <c r="B237" s="27" t="s">
        <v>3072</v>
      </c>
      <c r="C237" s="27" t="s">
        <v>3034</v>
      </c>
      <c r="D237" s="27"/>
      <c r="E237" s="27"/>
      <c r="F237" s="38"/>
      <c r="G237" s="407">
        <v>350.0</v>
      </c>
      <c r="H237" s="42">
        <v>15.0</v>
      </c>
      <c r="I237" s="42">
        <v>50.0</v>
      </c>
      <c r="J237" s="42">
        <v>1.0</v>
      </c>
      <c r="K237" s="42">
        <v>1.0</v>
      </c>
      <c r="L237" s="42">
        <v>0.0</v>
      </c>
      <c r="M237" s="27" t="s">
        <v>3033</v>
      </c>
      <c r="N237" s="27" t="s">
        <v>1046</v>
      </c>
      <c r="O237" s="42">
        <v>1000.0</v>
      </c>
      <c r="P237" s="46" t="s">
        <v>29</v>
      </c>
      <c r="Q237" s="46"/>
      <c r="R237" s="46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</row>
    <row r="238" ht="14.25" customHeight="1">
      <c r="A238" s="211">
        <v>27.0</v>
      </c>
      <c r="B238" s="27" t="s">
        <v>3073</v>
      </c>
      <c r="C238" s="27" t="s">
        <v>3037</v>
      </c>
      <c r="D238" s="27"/>
      <c r="E238" s="27"/>
      <c r="F238" s="38"/>
      <c r="G238" s="407">
        <v>350.0</v>
      </c>
      <c r="H238" s="42">
        <v>15.0</v>
      </c>
      <c r="I238" s="42">
        <v>50.0</v>
      </c>
      <c r="J238" s="42">
        <v>1.0</v>
      </c>
      <c r="K238" s="42">
        <v>1.0</v>
      </c>
      <c r="L238" s="42">
        <v>0.0</v>
      </c>
      <c r="M238" s="27" t="s">
        <v>3033</v>
      </c>
      <c r="N238" s="27" t="s">
        <v>1046</v>
      </c>
      <c r="O238" s="42">
        <v>1000.0</v>
      </c>
      <c r="P238" s="46" t="s">
        <v>29</v>
      </c>
      <c r="Q238" s="46"/>
      <c r="R238" s="46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</row>
    <row r="239" ht="14.25" customHeight="1">
      <c r="A239" s="211">
        <v>28.0</v>
      </c>
      <c r="B239" s="27" t="s">
        <v>3074</v>
      </c>
      <c r="C239" s="27" t="s">
        <v>3039</v>
      </c>
      <c r="D239" s="27"/>
      <c r="E239" s="27"/>
      <c r="F239" s="38"/>
      <c r="G239" s="407">
        <v>350.0</v>
      </c>
      <c r="H239" s="42">
        <v>15.0</v>
      </c>
      <c r="I239" s="42">
        <v>50.0</v>
      </c>
      <c r="J239" s="42">
        <v>1.0</v>
      </c>
      <c r="K239" s="42">
        <v>1.0</v>
      </c>
      <c r="L239" s="42">
        <v>0.0</v>
      </c>
      <c r="M239" s="27" t="s">
        <v>3033</v>
      </c>
      <c r="N239" s="27" t="s">
        <v>1046</v>
      </c>
      <c r="O239" s="42">
        <v>1000.0</v>
      </c>
      <c r="P239" s="46" t="s">
        <v>29</v>
      </c>
      <c r="Q239" s="46"/>
      <c r="R239" s="46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</row>
    <row r="240" ht="14.25" customHeight="1">
      <c r="A240" s="211">
        <v>29.0</v>
      </c>
      <c r="B240" s="27" t="s">
        <v>3075</v>
      </c>
      <c r="C240" s="27" t="s">
        <v>3041</v>
      </c>
      <c r="D240" s="27"/>
      <c r="E240" s="27"/>
      <c r="F240" s="38"/>
      <c r="G240" s="407">
        <v>350.0</v>
      </c>
      <c r="H240" s="42">
        <v>15.0</v>
      </c>
      <c r="I240" s="42">
        <v>50.0</v>
      </c>
      <c r="J240" s="42">
        <v>1.0</v>
      </c>
      <c r="K240" s="42">
        <v>1.0</v>
      </c>
      <c r="L240" s="42">
        <v>0.0</v>
      </c>
      <c r="M240" s="27" t="s">
        <v>3033</v>
      </c>
      <c r="N240" s="27" t="s">
        <v>1046</v>
      </c>
      <c r="O240" s="42">
        <v>1000.0</v>
      </c>
      <c r="P240" s="46" t="s">
        <v>29</v>
      </c>
      <c r="Q240" s="46"/>
      <c r="R240" s="46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</row>
    <row r="241" ht="14.25" customHeight="1">
      <c r="A241" s="211">
        <v>30.0</v>
      </c>
      <c r="B241" s="27" t="s">
        <v>3076</v>
      </c>
      <c r="C241" s="27" t="s">
        <v>3043</v>
      </c>
      <c r="D241" s="27"/>
      <c r="E241" s="27"/>
      <c r="F241" s="38"/>
      <c r="G241" s="407">
        <v>350.0</v>
      </c>
      <c r="H241" s="42">
        <v>15.0</v>
      </c>
      <c r="I241" s="42">
        <v>50.0</v>
      </c>
      <c r="J241" s="42">
        <v>1.0</v>
      </c>
      <c r="K241" s="42">
        <v>1.0</v>
      </c>
      <c r="L241" s="42">
        <v>0.0</v>
      </c>
      <c r="M241" s="27" t="s">
        <v>3033</v>
      </c>
      <c r="N241" s="27" t="s">
        <v>1046</v>
      </c>
      <c r="O241" s="42">
        <v>1000.0</v>
      </c>
      <c r="P241" s="46" t="s">
        <v>29</v>
      </c>
      <c r="Q241" s="46"/>
      <c r="R241" s="46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</row>
    <row r="242" ht="14.25" customHeight="1">
      <c r="A242" s="211">
        <v>31.0</v>
      </c>
      <c r="B242" s="27" t="s">
        <v>3077</v>
      </c>
      <c r="C242" s="27" t="s">
        <v>3043</v>
      </c>
      <c r="D242" s="27"/>
      <c r="E242" s="27"/>
      <c r="F242" s="38"/>
      <c r="G242" s="407">
        <v>350.0</v>
      </c>
      <c r="H242" s="42">
        <v>15.0</v>
      </c>
      <c r="I242" s="42">
        <v>50.0</v>
      </c>
      <c r="J242" s="42">
        <v>1.0</v>
      </c>
      <c r="K242" s="42">
        <v>1.0</v>
      </c>
      <c r="L242" s="42">
        <v>0.0</v>
      </c>
      <c r="M242" s="27" t="s">
        <v>3033</v>
      </c>
      <c r="N242" s="27" t="s">
        <v>1046</v>
      </c>
      <c r="O242" s="42">
        <v>1000.0</v>
      </c>
      <c r="P242" s="46" t="s">
        <v>29</v>
      </c>
      <c r="Q242" s="46"/>
      <c r="R242" s="46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</row>
    <row r="243" ht="14.25" customHeight="1">
      <c r="A243" s="211">
        <v>32.0</v>
      </c>
      <c r="B243" s="27" t="s">
        <v>3078</v>
      </c>
      <c r="C243" s="27" t="s">
        <v>3045</v>
      </c>
      <c r="D243" s="27"/>
      <c r="E243" s="27"/>
      <c r="F243" s="38"/>
      <c r="G243" s="407">
        <v>350.0</v>
      </c>
      <c r="H243" s="42">
        <v>15.0</v>
      </c>
      <c r="I243" s="42">
        <v>50.0</v>
      </c>
      <c r="J243" s="42">
        <v>1.0</v>
      </c>
      <c r="K243" s="42">
        <v>1.0</v>
      </c>
      <c r="L243" s="42">
        <v>0.0</v>
      </c>
      <c r="M243" s="27" t="s">
        <v>3033</v>
      </c>
      <c r="N243" s="27" t="s">
        <v>1046</v>
      </c>
      <c r="O243" s="42">
        <v>1000.0</v>
      </c>
      <c r="P243" s="46" t="s">
        <v>29</v>
      </c>
      <c r="Q243" s="46"/>
      <c r="R243" s="46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</row>
    <row r="244" ht="14.25" customHeight="1">
      <c r="A244" s="211">
        <v>33.0</v>
      </c>
      <c r="B244" s="27" t="s">
        <v>3079</v>
      </c>
      <c r="C244" s="27" t="s">
        <v>3047</v>
      </c>
      <c r="D244" s="27"/>
      <c r="E244" s="27"/>
      <c r="F244" s="38"/>
      <c r="G244" s="407">
        <v>350.0</v>
      </c>
      <c r="H244" s="42">
        <v>15.0</v>
      </c>
      <c r="I244" s="42">
        <v>50.0</v>
      </c>
      <c r="J244" s="42">
        <v>1.0</v>
      </c>
      <c r="K244" s="42">
        <v>1.0</v>
      </c>
      <c r="L244" s="42">
        <v>0.0</v>
      </c>
      <c r="M244" s="27" t="s">
        <v>3033</v>
      </c>
      <c r="N244" s="27" t="s">
        <v>1046</v>
      </c>
      <c r="O244" s="42">
        <v>1000.0</v>
      </c>
      <c r="P244" s="46" t="s">
        <v>29</v>
      </c>
      <c r="Q244" s="46"/>
      <c r="R244" s="46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</row>
    <row r="245" ht="14.25" customHeight="1">
      <c r="A245" s="211">
        <v>34.0</v>
      </c>
      <c r="B245" s="27" t="s">
        <v>3080</v>
      </c>
      <c r="C245" s="27" t="s">
        <v>3049</v>
      </c>
      <c r="D245" s="27"/>
      <c r="E245" s="27"/>
      <c r="F245" s="38"/>
      <c r="G245" s="407">
        <v>350.0</v>
      </c>
      <c r="H245" s="42">
        <v>15.0</v>
      </c>
      <c r="I245" s="42">
        <v>50.0</v>
      </c>
      <c r="J245" s="42">
        <v>1.0</v>
      </c>
      <c r="K245" s="42">
        <v>1.0</v>
      </c>
      <c r="L245" s="42">
        <v>0.0</v>
      </c>
      <c r="M245" s="27" t="s">
        <v>3033</v>
      </c>
      <c r="N245" s="27" t="s">
        <v>1046</v>
      </c>
      <c r="O245" s="42">
        <v>1000.0</v>
      </c>
      <c r="P245" s="46" t="s">
        <v>29</v>
      </c>
      <c r="Q245" s="46"/>
      <c r="R245" s="46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</row>
    <row r="246" ht="14.25" customHeight="1">
      <c r="A246" s="211">
        <v>35.0</v>
      </c>
      <c r="B246" s="27" t="s">
        <v>3081</v>
      </c>
      <c r="C246" s="27" t="s">
        <v>3051</v>
      </c>
      <c r="D246" s="27"/>
      <c r="E246" s="27"/>
      <c r="F246" s="38"/>
      <c r="G246" s="407">
        <v>350.0</v>
      </c>
      <c r="H246" s="42">
        <v>15.0</v>
      </c>
      <c r="I246" s="42">
        <v>50.0</v>
      </c>
      <c r="J246" s="42">
        <v>1.0</v>
      </c>
      <c r="K246" s="42">
        <v>1.0</v>
      </c>
      <c r="L246" s="42">
        <v>0.0</v>
      </c>
      <c r="M246" s="27" t="s">
        <v>3033</v>
      </c>
      <c r="N246" s="27" t="s">
        <v>1046</v>
      </c>
      <c r="O246" s="42">
        <v>1000.0</v>
      </c>
      <c r="P246" s="46" t="s">
        <v>29</v>
      </c>
      <c r="Q246" s="46"/>
      <c r="R246" s="46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</row>
    <row r="247" ht="14.25" customHeight="1">
      <c r="A247" s="211">
        <v>36.0</v>
      </c>
      <c r="B247" s="27" t="s">
        <v>3082</v>
      </c>
      <c r="C247" s="27" t="s">
        <v>3051</v>
      </c>
      <c r="D247" s="27"/>
      <c r="E247" s="27"/>
      <c r="F247" s="38"/>
      <c r="G247" s="407">
        <v>350.0</v>
      </c>
      <c r="H247" s="42">
        <v>15.0</v>
      </c>
      <c r="I247" s="42">
        <v>50.0</v>
      </c>
      <c r="J247" s="42">
        <v>1.0</v>
      </c>
      <c r="K247" s="42">
        <v>1.0</v>
      </c>
      <c r="L247" s="42">
        <v>0.0</v>
      </c>
      <c r="M247" s="27" t="s">
        <v>3033</v>
      </c>
      <c r="N247" s="27" t="s">
        <v>1046</v>
      </c>
      <c r="O247" s="42">
        <v>1000.0</v>
      </c>
      <c r="P247" s="46" t="s">
        <v>29</v>
      </c>
      <c r="Q247" s="46"/>
      <c r="R247" s="46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</row>
    <row r="248" ht="14.25" customHeight="1">
      <c r="A248" s="211">
        <v>37.0</v>
      </c>
      <c r="B248" s="27" t="s">
        <v>3083</v>
      </c>
      <c r="C248" s="27" t="s">
        <v>3053</v>
      </c>
      <c r="D248" s="27"/>
      <c r="E248" s="27"/>
      <c r="F248" s="38"/>
      <c r="G248" s="407">
        <v>350.0</v>
      </c>
      <c r="H248" s="42">
        <v>15.0</v>
      </c>
      <c r="I248" s="42">
        <v>50.0</v>
      </c>
      <c r="J248" s="42">
        <v>1.0</v>
      </c>
      <c r="K248" s="42">
        <v>1.0</v>
      </c>
      <c r="L248" s="42">
        <v>0.0</v>
      </c>
      <c r="M248" s="27" t="s">
        <v>3033</v>
      </c>
      <c r="N248" s="27" t="s">
        <v>1046</v>
      </c>
      <c r="O248" s="42">
        <v>1000.0</v>
      </c>
      <c r="P248" s="46" t="s">
        <v>29</v>
      </c>
      <c r="Q248" s="46"/>
      <c r="R248" s="46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  <c r="AD248" s="129"/>
    </row>
    <row r="249" ht="14.25" customHeight="1">
      <c r="A249" s="211">
        <v>38.0</v>
      </c>
      <c r="B249" s="27" t="s">
        <v>3084</v>
      </c>
      <c r="C249" s="27" t="s">
        <v>3055</v>
      </c>
      <c r="D249" s="27"/>
      <c r="E249" s="27"/>
      <c r="F249" s="38"/>
      <c r="G249" s="407">
        <v>350.0</v>
      </c>
      <c r="H249" s="42">
        <v>15.0</v>
      </c>
      <c r="I249" s="42">
        <v>50.0</v>
      </c>
      <c r="J249" s="42">
        <v>1.0</v>
      </c>
      <c r="K249" s="42">
        <v>1.0</v>
      </c>
      <c r="L249" s="42">
        <v>0.0</v>
      </c>
      <c r="M249" s="27" t="s">
        <v>3033</v>
      </c>
      <c r="N249" s="27" t="s">
        <v>1046</v>
      </c>
      <c r="O249" s="42">
        <v>1000.0</v>
      </c>
      <c r="P249" s="46" t="s">
        <v>29</v>
      </c>
      <c r="Q249" s="46"/>
      <c r="R249" s="46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  <c r="AD249" s="129"/>
    </row>
    <row r="250" ht="14.25" customHeight="1">
      <c r="A250" s="211">
        <v>39.0</v>
      </c>
      <c r="B250" s="27" t="s">
        <v>3085</v>
      </c>
      <c r="C250" s="27" t="s">
        <v>3057</v>
      </c>
      <c r="D250" s="27"/>
      <c r="E250" s="27"/>
      <c r="F250" s="38"/>
      <c r="G250" s="407">
        <v>350.0</v>
      </c>
      <c r="H250" s="42">
        <v>15.0</v>
      </c>
      <c r="I250" s="42">
        <v>50.0</v>
      </c>
      <c r="J250" s="42">
        <v>1.0</v>
      </c>
      <c r="K250" s="42">
        <v>1.0</v>
      </c>
      <c r="L250" s="42">
        <v>0.0</v>
      </c>
      <c r="M250" s="27" t="s">
        <v>3033</v>
      </c>
      <c r="N250" s="27" t="s">
        <v>1046</v>
      </c>
      <c r="O250" s="42">
        <v>1000.0</v>
      </c>
      <c r="P250" s="46" t="s">
        <v>29</v>
      </c>
      <c r="Q250" s="46"/>
      <c r="R250" s="46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  <c r="AD250" s="129"/>
    </row>
    <row r="251" ht="14.25" customHeight="1">
      <c r="A251" s="211">
        <v>40.0</v>
      </c>
      <c r="B251" s="27" t="s">
        <v>3086</v>
      </c>
      <c r="C251" s="27" t="s">
        <v>3061</v>
      </c>
      <c r="D251" s="27"/>
      <c r="E251" s="27"/>
      <c r="F251" s="38"/>
      <c r="G251" s="407">
        <v>350.0</v>
      </c>
      <c r="H251" s="42">
        <v>15.0</v>
      </c>
      <c r="I251" s="42">
        <v>50.0</v>
      </c>
      <c r="J251" s="42">
        <v>1.0</v>
      </c>
      <c r="K251" s="42">
        <v>1.0</v>
      </c>
      <c r="L251" s="42">
        <v>0.0</v>
      </c>
      <c r="M251" s="27" t="s">
        <v>3033</v>
      </c>
      <c r="N251" s="27" t="s">
        <v>1046</v>
      </c>
      <c r="O251" s="42">
        <v>1000.0</v>
      </c>
      <c r="P251" s="46" t="s">
        <v>29</v>
      </c>
      <c r="Q251" s="46"/>
      <c r="R251" s="46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  <c r="AD251" s="129"/>
    </row>
    <row r="252" ht="14.25" customHeight="1">
      <c r="A252" s="211">
        <v>41.0</v>
      </c>
      <c r="B252" s="27" t="s">
        <v>2130</v>
      </c>
      <c r="C252" s="27" t="s">
        <v>3063</v>
      </c>
      <c r="D252" s="27"/>
      <c r="E252" s="27"/>
      <c r="F252" s="38"/>
      <c r="G252" s="407">
        <v>350.0</v>
      </c>
      <c r="H252" s="42">
        <v>15.0</v>
      </c>
      <c r="I252" s="42">
        <v>50.0</v>
      </c>
      <c r="J252" s="42">
        <v>1.0</v>
      </c>
      <c r="K252" s="42">
        <v>1.0</v>
      </c>
      <c r="L252" s="42">
        <v>0.0</v>
      </c>
      <c r="M252" s="27" t="s">
        <v>3033</v>
      </c>
      <c r="N252" s="27" t="s">
        <v>1046</v>
      </c>
      <c r="O252" s="42">
        <v>1000.0</v>
      </c>
      <c r="P252" s="46" t="s">
        <v>29</v>
      </c>
      <c r="Q252" s="46"/>
      <c r="R252" s="46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  <c r="AD252" s="129"/>
    </row>
    <row r="253" ht="14.25" customHeight="1">
      <c r="A253" s="211">
        <v>42.0</v>
      </c>
      <c r="B253" s="27" t="s">
        <v>3087</v>
      </c>
      <c r="C253" s="27" t="s">
        <v>3063</v>
      </c>
      <c r="D253" s="27"/>
      <c r="E253" s="27"/>
      <c r="F253" s="38"/>
      <c r="G253" s="407">
        <v>350.0</v>
      </c>
      <c r="H253" s="42">
        <v>15.0</v>
      </c>
      <c r="I253" s="42">
        <v>50.0</v>
      </c>
      <c r="J253" s="42">
        <v>1.0</v>
      </c>
      <c r="K253" s="42">
        <v>1.0</v>
      </c>
      <c r="L253" s="42">
        <v>0.0</v>
      </c>
      <c r="M253" s="27" t="s">
        <v>3033</v>
      </c>
      <c r="N253" s="27" t="s">
        <v>1046</v>
      </c>
      <c r="O253" s="42">
        <v>1000.0</v>
      </c>
      <c r="P253" s="46" t="s">
        <v>29</v>
      </c>
      <c r="Q253" s="46"/>
      <c r="R253" s="46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  <c r="AD253" s="129"/>
    </row>
    <row r="254" ht="14.25" customHeight="1">
      <c r="A254" s="211">
        <v>43.0</v>
      </c>
      <c r="B254" s="27" t="s">
        <v>3088</v>
      </c>
      <c r="C254" s="27" t="s">
        <v>3065</v>
      </c>
      <c r="D254" s="27"/>
      <c r="E254" s="27"/>
      <c r="F254" s="38"/>
      <c r="G254" s="407">
        <v>350.0</v>
      </c>
      <c r="H254" s="42">
        <v>15.0</v>
      </c>
      <c r="I254" s="42">
        <v>50.0</v>
      </c>
      <c r="J254" s="42">
        <v>1.0</v>
      </c>
      <c r="K254" s="42">
        <v>1.0</v>
      </c>
      <c r="L254" s="42">
        <v>0.0</v>
      </c>
      <c r="M254" s="27" t="s">
        <v>3033</v>
      </c>
      <c r="N254" s="27" t="s">
        <v>1046</v>
      </c>
      <c r="O254" s="42">
        <v>1000.0</v>
      </c>
      <c r="P254" s="46" t="s">
        <v>29</v>
      </c>
      <c r="Q254" s="46"/>
      <c r="R254" s="46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  <c r="AD254" s="129"/>
    </row>
    <row r="255" ht="14.25" customHeight="1">
      <c r="A255" s="211">
        <v>44.0</v>
      </c>
      <c r="B255" s="27" t="s">
        <v>3089</v>
      </c>
      <c r="C255" s="27" t="s">
        <v>3067</v>
      </c>
      <c r="D255" s="27"/>
      <c r="E255" s="27"/>
      <c r="F255" s="38"/>
      <c r="G255" s="407">
        <v>350.0</v>
      </c>
      <c r="H255" s="42">
        <v>15.0</v>
      </c>
      <c r="I255" s="42">
        <v>50.0</v>
      </c>
      <c r="J255" s="42">
        <v>1.0</v>
      </c>
      <c r="K255" s="42">
        <v>1.0</v>
      </c>
      <c r="L255" s="42">
        <v>0.0</v>
      </c>
      <c r="M255" s="27" t="s">
        <v>3033</v>
      </c>
      <c r="N255" s="27" t="s">
        <v>1046</v>
      </c>
      <c r="O255" s="42">
        <v>1000.0</v>
      </c>
      <c r="P255" s="46" t="s">
        <v>29</v>
      </c>
      <c r="Q255" s="46"/>
      <c r="R255" s="46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  <c r="AD255" s="129"/>
    </row>
    <row r="256" ht="14.25" customHeight="1">
      <c r="A256" s="211">
        <v>45.0</v>
      </c>
      <c r="B256" s="27" t="s">
        <v>3090</v>
      </c>
      <c r="C256" s="27" t="s">
        <v>3067</v>
      </c>
      <c r="D256" s="27"/>
      <c r="E256" s="27"/>
      <c r="F256" s="38"/>
      <c r="G256" s="407">
        <v>350.0</v>
      </c>
      <c r="H256" s="42">
        <v>15.0</v>
      </c>
      <c r="I256" s="42">
        <v>50.0</v>
      </c>
      <c r="J256" s="42">
        <v>1.0</v>
      </c>
      <c r="K256" s="42">
        <v>1.0</v>
      </c>
      <c r="L256" s="42">
        <v>0.0</v>
      </c>
      <c r="M256" s="27" t="s">
        <v>3033</v>
      </c>
      <c r="N256" s="27" t="s">
        <v>1046</v>
      </c>
      <c r="O256" s="42">
        <v>1000.0</v>
      </c>
      <c r="P256" s="46" t="s">
        <v>29</v>
      </c>
      <c r="Q256" s="46"/>
      <c r="R256" s="46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  <c r="AD256" s="129"/>
    </row>
    <row r="257" ht="14.25" customHeight="1">
      <c r="A257" s="211">
        <v>46.0</v>
      </c>
      <c r="B257" s="27" t="s">
        <v>3091</v>
      </c>
      <c r="C257" s="27" t="s">
        <v>3069</v>
      </c>
      <c r="D257" s="27"/>
      <c r="E257" s="27"/>
      <c r="F257" s="38"/>
      <c r="G257" s="407">
        <v>350.0</v>
      </c>
      <c r="H257" s="42">
        <v>15.0</v>
      </c>
      <c r="I257" s="42">
        <v>50.0</v>
      </c>
      <c r="J257" s="42">
        <v>1.0</v>
      </c>
      <c r="K257" s="42">
        <v>1.0</v>
      </c>
      <c r="L257" s="42">
        <v>0.0</v>
      </c>
      <c r="M257" s="27" t="s">
        <v>3033</v>
      </c>
      <c r="N257" s="27" t="s">
        <v>1046</v>
      </c>
      <c r="O257" s="42">
        <v>1000.0</v>
      </c>
      <c r="P257" s="46" t="s">
        <v>29</v>
      </c>
      <c r="Q257" s="46"/>
      <c r="R257" s="46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</row>
    <row r="258" ht="15.75" customHeight="1">
      <c r="A258" s="181"/>
      <c r="B258" s="182" t="s">
        <v>3092</v>
      </c>
      <c r="C258" s="182"/>
      <c r="D258" s="182"/>
      <c r="E258" s="182"/>
      <c r="F258" s="403"/>
      <c r="G258" s="404"/>
      <c r="H258" s="182"/>
      <c r="I258" s="182"/>
      <c r="J258" s="91"/>
      <c r="K258" s="91"/>
      <c r="L258" s="91"/>
      <c r="M258" s="91"/>
      <c r="N258" s="91"/>
      <c r="O258" s="91"/>
      <c r="P258" s="182"/>
      <c r="Q258" s="91"/>
      <c r="R258" s="218"/>
      <c r="S258" s="405"/>
      <c r="T258" s="405"/>
      <c r="U258" s="405"/>
      <c r="V258" s="405"/>
      <c r="W258" s="405"/>
      <c r="X258" s="405"/>
      <c r="Y258" s="405"/>
      <c r="Z258" s="405"/>
      <c r="AA258" s="405"/>
      <c r="AB258" s="405"/>
      <c r="AC258" s="405"/>
      <c r="AD258" s="405"/>
    </row>
    <row r="259" ht="14.25" customHeight="1">
      <c r="A259" s="211">
        <v>1.0</v>
      </c>
      <c r="B259" s="228" t="s">
        <v>3093</v>
      </c>
      <c r="C259" s="49" t="s">
        <v>3094</v>
      </c>
      <c r="D259" s="49"/>
      <c r="E259" s="49"/>
      <c r="F259" s="51"/>
      <c r="G259" s="275">
        <v>1590.0</v>
      </c>
      <c r="H259" s="46">
        <v>160.0</v>
      </c>
      <c r="I259" s="81">
        <v>800.0</v>
      </c>
      <c r="J259" s="46">
        <v>1.0</v>
      </c>
      <c r="K259" s="46">
        <v>1.0</v>
      </c>
      <c r="L259" s="46">
        <v>0.0</v>
      </c>
      <c r="M259" s="46" t="s">
        <v>3095</v>
      </c>
      <c r="N259" s="46" t="s">
        <v>449</v>
      </c>
      <c r="O259" s="46">
        <v>0.0</v>
      </c>
      <c r="P259" s="46" t="s">
        <v>29</v>
      </c>
      <c r="Q259" s="46">
        <v>0.0</v>
      </c>
      <c r="R259" s="46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</row>
    <row r="260" ht="14.25" customHeight="1">
      <c r="A260" s="211">
        <v>2.0</v>
      </c>
      <c r="B260" s="46" t="s">
        <v>3096</v>
      </c>
      <c r="C260" s="49" t="s">
        <v>3097</v>
      </c>
      <c r="D260" s="49"/>
      <c r="E260" s="49"/>
      <c r="F260" s="51"/>
      <c r="G260" s="271" t="s">
        <v>7020</v>
      </c>
      <c r="H260" s="46">
        <v>80.0</v>
      </c>
      <c r="I260" s="81">
        <v>400.0</v>
      </c>
      <c r="J260" s="46">
        <v>0.0</v>
      </c>
      <c r="K260" s="46">
        <v>0.0</v>
      </c>
      <c r="L260" s="223">
        <v>20.0</v>
      </c>
      <c r="M260" s="46" t="s">
        <v>3095</v>
      </c>
      <c r="N260" s="46" t="s">
        <v>449</v>
      </c>
      <c r="O260" s="46">
        <v>0.0</v>
      </c>
      <c r="P260" s="46" t="s">
        <v>29</v>
      </c>
      <c r="Q260" s="46">
        <v>0.0</v>
      </c>
      <c r="R260" s="46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  <c r="AD260" s="129"/>
    </row>
    <row r="261" ht="14.25" customHeight="1">
      <c r="A261" s="211">
        <v>3.0</v>
      </c>
      <c r="B261" s="49" t="s">
        <v>3098</v>
      </c>
      <c r="C261" s="49" t="s">
        <v>3099</v>
      </c>
      <c r="D261" s="49"/>
      <c r="E261" s="49"/>
      <c r="F261" s="51"/>
      <c r="G261" s="271" t="s">
        <v>7020</v>
      </c>
      <c r="H261" s="46">
        <v>40.0</v>
      </c>
      <c r="I261" s="81">
        <v>200.0</v>
      </c>
      <c r="J261" s="46">
        <v>0.0</v>
      </c>
      <c r="K261" s="46">
        <v>0.0</v>
      </c>
      <c r="L261" s="223">
        <v>10.0</v>
      </c>
      <c r="M261" s="46" t="s">
        <v>3095</v>
      </c>
      <c r="N261" s="46" t="s">
        <v>449</v>
      </c>
      <c r="O261" s="46">
        <v>0.0</v>
      </c>
      <c r="P261" s="46" t="s">
        <v>29</v>
      </c>
      <c r="Q261" s="46">
        <v>0.0</v>
      </c>
      <c r="R261" s="46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  <c r="AD261" s="129"/>
    </row>
    <row r="262" ht="14.25" customHeight="1">
      <c r="A262" s="211">
        <v>4.0</v>
      </c>
      <c r="B262" s="46" t="s">
        <v>3100</v>
      </c>
      <c r="C262" s="46" t="s">
        <v>3101</v>
      </c>
      <c r="D262" s="46"/>
      <c r="E262" s="46"/>
      <c r="F262" s="50"/>
      <c r="G262" s="89" t="s">
        <v>7020</v>
      </c>
      <c r="H262" s="46">
        <v>24.0</v>
      </c>
      <c r="I262" s="81">
        <v>120.0</v>
      </c>
      <c r="J262" s="46">
        <v>0.0</v>
      </c>
      <c r="K262" s="46">
        <v>0.0</v>
      </c>
      <c r="L262" s="223">
        <v>6.0</v>
      </c>
      <c r="M262" s="46" t="s">
        <v>3095</v>
      </c>
      <c r="N262" s="46" t="s">
        <v>449</v>
      </c>
      <c r="O262" s="46">
        <v>0.0</v>
      </c>
      <c r="P262" s="46" t="s">
        <v>29</v>
      </c>
      <c r="Q262" s="46">
        <v>0.0</v>
      </c>
      <c r="R262" s="46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  <c r="AD262" s="129"/>
    </row>
    <row r="263" ht="14.25" customHeight="1">
      <c r="A263" s="211">
        <v>5.0</v>
      </c>
      <c r="B263" s="49" t="s">
        <v>3102</v>
      </c>
      <c r="C263" s="49" t="s">
        <v>3101</v>
      </c>
      <c r="D263" s="49"/>
      <c r="E263" s="49"/>
      <c r="F263" s="51"/>
      <c r="G263" s="271" t="s">
        <v>7020</v>
      </c>
      <c r="H263" s="46">
        <v>40.0</v>
      </c>
      <c r="I263" s="81">
        <v>200.0</v>
      </c>
      <c r="J263" s="46">
        <v>0.0</v>
      </c>
      <c r="K263" s="46">
        <v>0.0</v>
      </c>
      <c r="L263" s="223">
        <v>10.0</v>
      </c>
      <c r="M263" s="46" t="s">
        <v>3095</v>
      </c>
      <c r="N263" s="46" t="s">
        <v>449</v>
      </c>
      <c r="O263" s="46">
        <v>0.0</v>
      </c>
      <c r="P263" s="46" t="s">
        <v>29</v>
      </c>
      <c r="Q263" s="46">
        <v>0.0</v>
      </c>
      <c r="R263" s="46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  <c r="AD263" s="129"/>
    </row>
    <row r="264" ht="14.25" customHeight="1">
      <c r="A264" s="211">
        <v>6.0</v>
      </c>
      <c r="B264" s="46" t="s">
        <v>3103</v>
      </c>
      <c r="C264" s="46" t="s">
        <v>3104</v>
      </c>
      <c r="D264" s="46"/>
      <c r="E264" s="46"/>
      <c r="F264" s="50"/>
      <c r="G264" s="89" t="s">
        <v>7020</v>
      </c>
      <c r="H264" s="46">
        <v>40.0</v>
      </c>
      <c r="I264" s="81">
        <v>200.0</v>
      </c>
      <c r="J264" s="46">
        <v>0.0</v>
      </c>
      <c r="K264" s="46">
        <v>0.0</v>
      </c>
      <c r="L264" s="223">
        <v>10.0</v>
      </c>
      <c r="M264" s="46" t="s">
        <v>3095</v>
      </c>
      <c r="N264" s="46" t="s">
        <v>449</v>
      </c>
      <c r="O264" s="46">
        <v>0.0</v>
      </c>
      <c r="P264" s="46" t="s">
        <v>29</v>
      </c>
      <c r="Q264" s="46">
        <v>0.0</v>
      </c>
      <c r="R264" s="46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  <c r="AD264" s="129"/>
    </row>
    <row r="265" ht="14.25" customHeight="1">
      <c r="A265" s="211">
        <v>7.0</v>
      </c>
      <c r="B265" s="46" t="s">
        <v>3105</v>
      </c>
      <c r="C265" s="46" t="s">
        <v>3106</v>
      </c>
      <c r="D265" s="46"/>
      <c r="E265" s="46"/>
      <c r="F265" s="50"/>
      <c r="G265" s="89" t="s">
        <v>7020</v>
      </c>
      <c r="H265" s="46">
        <v>60.0</v>
      </c>
      <c r="I265" s="81">
        <v>300.0</v>
      </c>
      <c r="J265" s="46">
        <v>0.0</v>
      </c>
      <c r="K265" s="46">
        <v>0.0</v>
      </c>
      <c r="L265" s="223">
        <v>15.0</v>
      </c>
      <c r="M265" s="46" t="s">
        <v>3095</v>
      </c>
      <c r="N265" s="46" t="s">
        <v>449</v>
      </c>
      <c r="O265" s="46">
        <v>0.0</v>
      </c>
      <c r="P265" s="46" t="s">
        <v>29</v>
      </c>
      <c r="Q265" s="46">
        <v>0.0</v>
      </c>
      <c r="R265" s="46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  <c r="AD265" s="129"/>
    </row>
    <row r="266" ht="14.25" customHeight="1">
      <c r="A266" s="211">
        <v>8.0</v>
      </c>
      <c r="B266" s="46" t="s">
        <v>3107</v>
      </c>
      <c r="C266" s="46" t="s">
        <v>3108</v>
      </c>
      <c r="D266" s="46"/>
      <c r="E266" s="46"/>
      <c r="F266" s="50"/>
      <c r="G266" s="89" t="s">
        <v>7020</v>
      </c>
      <c r="H266" s="46">
        <v>40.0</v>
      </c>
      <c r="I266" s="81">
        <v>200.0</v>
      </c>
      <c r="J266" s="46">
        <v>0.0</v>
      </c>
      <c r="K266" s="46">
        <v>0.0</v>
      </c>
      <c r="L266" s="223">
        <v>6.0</v>
      </c>
      <c r="M266" s="46" t="s">
        <v>3095</v>
      </c>
      <c r="N266" s="46" t="s">
        <v>449</v>
      </c>
      <c r="O266" s="46">
        <v>0.0</v>
      </c>
      <c r="P266" s="46" t="s">
        <v>29</v>
      </c>
      <c r="Q266" s="46">
        <v>0.0</v>
      </c>
      <c r="R266" s="46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  <c r="AD266" s="129"/>
    </row>
    <row r="267" ht="14.25" customHeight="1">
      <c r="A267" s="211">
        <v>9.0</v>
      </c>
      <c r="B267" s="46" t="s">
        <v>3109</v>
      </c>
      <c r="C267" s="46" t="s">
        <v>3110</v>
      </c>
      <c r="D267" s="46"/>
      <c r="E267" s="46"/>
      <c r="F267" s="50"/>
      <c r="G267" s="89" t="s">
        <v>7020</v>
      </c>
      <c r="H267" s="46">
        <v>40.0</v>
      </c>
      <c r="I267" s="81">
        <v>200.0</v>
      </c>
      <c r="J267" s="46">
        <v>0.0</v>
      </c>
      <c r="K267" s="46">
        <v>0.0</v>
      </c>
      <c r="L267" s="223">
        <v>6.0</v>
      </c>
      <c r="M267" s="46" t="s">
        <v>3095</v>
      </c>
      <c r="N267" s="46" t="s">
        <v>449</v>
      </c>
      <c r="O267" s="46">
        <v>0.0</v>
      </c>
      <c r="P267" s="46" t="s">
        <v>29</v>
      </c>
      <c r="Q267" s="46">
        <v>0.0</v>
      </c>
      <c r="R267" s="46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  <c r="AD267" s="129"/>
    </row>
    <row r="268" ht="14.25" customHeight="1">
      <c r="A268" s="211">
        <v>10.0</v>
      </c>
      <c r="B268" s="49" t="s">
        <v>3111</v>
      </c>
      <c r="C268" s="49" t="s">
        <v>3112</v>
      </c>
      <c r="D268" s="49"/>
      <c r="E268" s="49"/>
      <c r="F268" s="51"/>
      <c r="G268" s="271" t="s">
        <v>7020</v>
      </c>
      <c r="H268" s="46">
        <v>40.0</v>
      </c>
      <c r="I268" s="81">
        <v>200.0</v>
      </c>
      <c r="J268" s="46">
        <v>0.0</v>
      </c>
      <c r="K268" s="46">
        <v>0.0</v>
      </c>
      <c r="L268" s="223">
        <v>6.0</v>
      </c>
      <c r="M268" s="46" t="s">
        <v>3113</v>
      </c>
      <c r="N268" s="46" t="s">
        <v>449</v>
      </c>
      <c r="O268" s="46">
        <v>0.0</v>
      </c>
      <c r="P268" s="46" t="s">
        <v>29</v>
      </c>
      <c r="Q268" s="46">
        <v>0.0</v>
      </c>
      <c r="R268" s="46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  <c r="AD268" s="129"/>
    </row>
    <row r="269" ht="14.25" customHeight="1">
      <c r="A269" s="211">
        <v>11.0</v>
      </c>
      <c r="B269" s="46" t="s">
        <v>3114</v>
      </c>
      <c r="C269" s="46" t="s">
        <v>3115</v>
      </c>
      <c r="D269" s="46"/>
      <c r="E269" s="46"/>
      <c r="F269" s="50"/>
      <c r="G269" s="89" t="s">
        <v>7021</v>
      </c>
      <c r="H269" s="46">
        <v>32.0</v>
      </c>
      <c r="I269" s="81">
        <v>160.0</v>
      </c>
      <c r="J269" s="46">
        <v>0.0</v>
      </c>
      <c r="K269" s="46">
        <v>0.0</v>
      </c>
      <c r="L269" s="223">
        <v>8.0</v>
      </c>
      <c r="M269" s="46" t="s">
        <v>3095</v>
      </c>
      <c r="N269" s="46" t="s">
        <v>449</v>
      </c>
      <c r="O269" s="46">
        <v>0.0</v>
      </c>
      <c r="P269" s="46" t="s">
        <v>29</v>
      </c>
      <c r="Q269" s="46">
        <v>0.0</v>
      </c>
      <c r="R269" s="46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  <c r="AD269" s="129"/>
    </row>
    <row r="270" ht="14.25" customHeight="1">
      <c r="A270" s="211">
        <v>12.0</v>
      </c>
      <c r="B270" s="46" t="s">
        <v>3116</v>
      </c>
      <c r="C270" s="46" t="s">
        <v>3117</v>
      </c>
      <c r="D270" s="46"/>
      <c r="E270" s="46"/>
      <c r="F270" s="50"/>
      <c r="G270" s="89" t="s">
        <v>7022</v>
      </c>
      <c r="H270" s="46">
        <v>36.0</v>
      </c>
      <c r="I270" s="81">
        <v>180.0</v>
      </c>
      <c r="J270" s="46">
        <v>0.0</v>
      </c>
      <c r="K270" s="46">
        <v>0.0</v>
      </c>
      <c r="L270" s="223">
        <v>9.0</v>
      </c>
      <c r="M270" s="46" t="s">
        <v>3118</v>
      </c>
      <c r="N270" s="46" t="s">
        <v>449</v>
      </c>
      <c r="O270" s="46">
        <v>0.0</v>
      </c>
      <c r="P270" s="46" t="s">
        <v>29</v>
      </c>
      <c r="Q270" s="46">
        <v>0.0</v>
      </c>
      <c r="R270" s="46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  <c r="AD270" s="129"/>
    </row>
    <row r="271" ht="14.25" customHeight="1">
      <c r="A271" s="211">
        <v>13.0</v>
      </c>
      <c r="B271" s="46" t="s">
        <v>3119</v>
      </c>
      <c r="C271" s="46" t="s">
        <v>3120</v>
      </c>
      <c r="D271" s="46"/>
      <c r="E271" s="46"/>
      <c r="F271" s="50"/>
      <c r="G271" s="89" t="s">
        <v>7023</v>
      </c>
      <c r="H271" s="46">
        <v>12.0</v>
      </c>
      <c r="I271" s="81">
        <v>60.0</v>
      </c>
      <c r="J271" s="46">
        <v>0.0</v>
      </c>
      <c r="K271" s="46">
        <v>0.0</v>
      </c>
      <c r="L271" s="223">
        <v>3.0</v>
      </c>
      <c r="M271" s="46" t="s">
        <v>3118</v>
      </c>
      <c r="N271" s="46" t="s">
        <v>449</v>
      </c>
      <c r="O271" s="46">
        <v>0.0</v>
      </c>
      <c r="P271" s="46" t="s">
        <v>29</v>
      </c>
      <c r="Q271" s="46">
        <v>0.0</v>
      </c>
      <c r="R271" s="46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  <c r="AD271" s="129"/>
    </row>
    <row r="272" ht="14.25" customHeight="1">
      <c r="A272" s="211">
        <v>14.0</v>
      </c>
      <c r="B272" s="49" t="s">
        <v>3121</v>
      </c>
      <c r="C272" s="49" t="s">
        <v>3122</v>
      </c>
      <c r="D272" s="49"/>
      <c r="E272" s="49"/>
      <c r="F272" s="51"/>
      <c r="G272" s="271" t="s">
        <v>7024</v>
      </c>
      <c r="H272" s="46">
        <v>8.0</v>
      </c>
      <c r="I272" s="81">
        <v>40.0</v>
      </c>
      <c r="J272" s="46">
        <v>0.0</v>
      </c>
      <c r="K272" s="46">
        <v>0.0</v>
      </c>
      <c r="L272" s="223">
        <v>2.0</v>
      </c>
      <c r="M272" s="46" t="s">
        <v>3113</v>
      </c>
      <c r="N272" s="46" t="s">
        <v>449</v>
      </c>
      <c r="O272" s="46">
        <v>0.0</v>
      </c>
      <c r="P272" s="46" t="s">
        <v>29</v>
      </c>
      <c r="Q272" s="46">
        <v>0.0</v>
      </c>
      <c r="R272" s="46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</row>
    <row r="273" ht="14.25" customHeight="1">
      <c r="A273" s="211">
        <v>15.0</v>
      </c>
      <c r="B273" s="46" t="s">
        <v>3123</v>
      </c>
      <c r="C273" s="49" t="s">
        <v>3124</v>
      </c>
      <c r="D273" s="49"/>
      <c r="E273" s="49"/>
      <c r="F273" s="51"/>
      <c r="G273" s="271" t="s">
        <v>7025</v>
      </c>
      <c r="H273" s="46">
        <v>32.0</v>
      </c>
      <c r="I273" s="81">
        <v>160.0</v>
      </c>
      <c r="J273" s="46">
        <v>0.0</v>
      </c>
      <c r="K273" s="46">
        <v>0.0</v>
      </c>
      <c r="L273" s="223">
        <v>8.0</v>
      </c>
      <c r="M273" s="46" t="s">
        <v>3113</v>
      </c>
      <c r="N273" s="46" t="s">
        <v>449</v>
      </c>
      <c r="O273" s="46">
        <v>0.0</v>
      </c>
      <c r="P273" s="46" t="s">
        <v>29</v>
      </c>
      <c r="Q273" s="46">
        <v>0.0</v>
      </c>
      <c r="R273" s="46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</row>
    <row r="274" ht="14.25" customHeight="1">
      <c r="A274" s="211">
        <v>16.0</v>
      </c>
      <c r="B274" s="46" t="s">
        <v>3125</v>
      </c>
      <c r="C274" s="46" t="s">
        <v>3126</v>
      </c>
      <c r="D274" s="46"/>
      <c r="E274" s="46"/>
      <c r="F274" s="50"/>
      <c r="G274" s="89" t="s">
        <v>7026</v>
      </c>
      <c r="H274" s="46">
        <v>12.0</v>
      </c>
      <c r="I274" s="81">
        <v>60.0</v>
      </c>
      <c r="J274" s="46">
        <v>0.0</v>
      </c>
      <c r="K274" s="46">
        <v>0.0</v>
      </c>
      <c r="L274" s="223">
        <v>3.0</v>
      </c>
      <c r="M274" s="46" t="s">
        <v>3095</v>
      </c>
      <c r="N274" s="46" t="s">
        <v>449</v>
      </c>
      <c r="O274" s="46">
        <v>0.0</v>
      </c>
      <c r="P274" s="46" t="s">
        <v>29</v>
      </c>
      <c r="Q274" s="46">
        <v>0.0</v>
      </c>
      <c r="R274" s="46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  <c r="AD274" s="129"/>
    </row>
    <row r="275" ht="14.25" customHeight="1">
      <c r="A275" s="211">
        <v>17.0</v>
      </c>
      <c r="B275" s="49" t="s">
        <v>3127</v>
      </c>
      <c r="C275" s="49" t="s">
        <v>3128</v>
      </c>
      <c r="D275" s="49"/>
      <c r="E275" s="49"/>
      <c r="F275" s="51"/>
      <c r="G275" s="271" t="s">
        <v>7027</v>
      </c>
      <c r="H275" s="46">
        <v>12.0</v>
      </c>
      <c r="I275" s="81">
        <v>60.0</v>
      </c>
      <c r="J275" s="46">
        <v>0.0</v>
      </c>
      <c r="K275" s="46">
        <v>0.0</v>
      </c>
      <c r="L275" s="223">
        <v>3.0</v>
      </c>
      <c r="M275" s="46" t="s">
        <v>3095</v>
      </c>
      <c r="N275" s="46" t="s">
        <v>449</v>
      </c>
      <c r="O275" s="46">
        <v>0.0</v>
      </c>
      <c r="P275" s="46" t="s">
        <v>29</v>
      </c>
      <c r="Q275" s="46">
        <v>0.0</v>
      </c>
      <c r="R275" s="46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</row>
    <row r="276" ht="14.25" customHeight="1">
      <c r="A276" s="211">
        <v>18.0</v>
      </c>
      <c r="B276" s="49" t="s">
        <v>3129</v>
      </c>
      <c r="C276" s="49" t="s">
        <v>3130</v>
      </c>
      <c r="D276" s="49"/>
      <c r="E276" s="49"/>
      <c r="F276" s="51"/>
      <c r="G276" s="271" t="s">
        <v>7028</v>
      </c>
      <c r="H276" s="46">
        <v>12.0</v>
      </c>
      <c r="I276" s="81">
        <v>60.0</v>
      </c>
      <c r="J276" s="46">
        <v>0.0</v>
      </c>
      <c r="K276" s="46">
        <v>0.0</v>
      </c>
      <c r="L276" s="223">
        <v>3.0</v>
      </c>
      <c r="M276" s="46" t="s">
        <v>3095</v>
      </c>
      <c r="N276" s="46" t="s">
        <v>449</v>
      </c>
      <c r="O276" s="46">
        <v>0.0</v>
      </c>
      <c r="P276" s="46" t="s">
        <v>29</v>
      </c>
      <c r="Q276" s="46">
        <v>0.0</v>
      </c>
      <c r="R276" s="46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</row>
    <row r="277" ht="14.25" customHeight="1">
      <c r="A277" s="211">
        <v>19.0</v>
      </c>
      <c r="B277" s="46" t="s">
        <v>3131</v>
      </c>
      <c r="C277" s="49" t="s">
        <v>3132</v>
      </c>
      <c r="D277" s="49"/>
      <c r="E277" s="49"/>
      <c r="F277" s="51"/>
      <c r="G277" s="271" t="s">
        <v>7029</v>
      </c>
      <c r="H277" s="46">
        <v>12.0</v>
      </c>
      <c r="I277" s="81">
        <v>60.0</v>
      </c>
      <c r="J277" s="46">
        <v>0.0</v>
      </c>
      <c r="K277" s="46">
        <v>0.0</v>
      </c>
      <c r="L277" s="223">
        <v>3.0</v>
      </c>
      <c r="M277" s="46" t="s">
        <v>3095</v>
      </c>
      <c r="N277" s="46" t="s">
        <v>449</v>
      </c>
      <c r="O277" s="46">
        <v>0.0</v>
      </c>
      <c r="P277" s="46" t="s">
        <v>29</v>
      </c>
      <c r="Q277" s="46">
        <v>0.0</v>
      </c>
      <c r="R277" s="46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</row>
    <row r="278" ht="14.25" customHeight="1">
      <c r="A278" s="211">
        <v>20.0</v>
      </c>
      <c r="B278" s="49" t="s">
        <v>3133</v>
      </c>
      <c r="C278" s="49" t="s">
        <v>3134</v>
      </c>
      <c r="D278" s="49"/>
      <c r="E278" s="49"/>
      <c r="F278" s="51"/>
      <c r="G278" s="271" t="s">
        <v>7030</v>
      </c>
      <c r="H278" s="46">
        <v>12.0</v>
      </c>
      <c r="I278" s="81">
        <v>60.0</v>
      </c>
      <c r="J278" s="46">
        <v>0.0</v>
      </c>
      <c r="K278" s="46">
        <v>0.0</v>
      </c>
      <c r="L278" s="223">
        <v>3.0</v>
      </c>
      <c r="M278" s="46" t="s">
        <v>3113</v>
      </c>
      <c r="N278" s="46" t="s">
        <v>449</v>
      </c>
      <c r="O278" s="46">
        <v>0.0</v>
      </c>
      <c r="P278" s="46" t="s">
        <v>29</v>
      </c>
      <c r="Q278" s="46">
        <v>0.0</v>
      </c>
      <c r="R278" s="46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</row>
    <row r="279" ht="15.75" customHeight="1">
      <c r="A279" s="181"/>
      <c r="B279" s="182" t="s">
        <v>3135</v>
      </c>
      <c r="C279" s="182"/>
      <c r="D279" s="182"/>
      <c r="E279" s="182"/>
      <c r="F279" s="403"/>
      <c r="G279" s="404"/>
      <c r="H279" s="182"/>
      <c r="I279" s="182"/>
      <c r="J279" s="91"/>
      <c r="K279" s="91"/>
      <c r="L279" s="91"/>
      <c r="M279" s="91"/>
      <c r="N279" s="91"/>
      <c r="O279" s="91"/>
      <c r="P279" s="182"/>
      <c r="Q279" s="91"/>
      <c r="R279" s="218"/>
      <c r="S279" s="405"/>
      <c r="T279" s="405"/>
      <c r="U279" s="405"/>
      <c r="V279" s="405"/>
      <c r="W279" s="405"/>
      <c r="X279" s="405"/>
      <c r="Y279" s="405"/>
      <c r="Z279" s="405"/>
      <c r="AA279" s="405"/>
      <c r="AB279" s="405"/>
      <c r="AC279" s="405"/>
      <c r="AD279" s="405"/>
    </row>
    <row r="280" ht="14.25" customHeight="1">
      <c r="A280" s="211">
        <v>1.0</v>
      </c>
      <c r="B280" s="46" t="s">
        <v>3136</v>
      </c>
      <c r="C280" s="81" t="s">
        <v>1552</v>
      </c>
      <c r="D280" s="81"/>
      <c r="E280" s="81"/>
      <c r="F280" s="213"/>
      <c r="G280" s="89">
        <v>2000.0</v>
      </c>
      <c r="H280" s="81">
        <v>50.0</v>
      </c>
      <c r="I280" s="81">
        <v>200.0</v>
      </c>
      <c r="J280" s="81">
        <v>1.0</v>
      </c>
      <c r="K280" s="81">
        <v>1.0</v>
      </c>
      <c r="L280" s="81">
        <v>0.0</v>
      </c>
      <c r="M280" s="81" t="s">
        <v>7031</v>
      </c>
      <c r="N280" s="81"/>
      <c r="O280" s="81">
        <v>1000.0</v>
      </c>
      <c r="P280" s="81" t="s">
        <v>66</v>
      </c>
      <c r="Q280" s="81">
        <v>10.0</v>
      </c>
      <c r="R280" s="46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</row>
    <row r="281" ht="15.75" customHeight="1">
      <c r="A281" s="181"/>
      <c r="B281" s="182" t="s">
        <v>3163</v>
      </c>
      <c r="C281" s="182"/>
      <c r="D281" s="182"/>
      <c r="E281" s="182"/>
      <c r="F281" s="403"/>
      <c r="G281" s="404"/>
      <c r="H281" s="182"/>
      <c r="I281" s="182"/>
      <c r="J281" s="91"/>
      <c r="K281" s="91"/>
      <c r="L281" s="91"/>
      <c r="M281" s="91"/>
      <c r="N281" s="91"/>
      <c r="O281" s="91"/>
      <c r="P281" s="182"/>
      <c r="Q281" s="91"/>
      <c r="R281" s="218"/>
      <c r="S281" s="405"/>
      <c r="T281" s="405"/>
      <c r="U281" s="405"/>
      <c r="V281" s="405"/>
      <c r="W281" s="405"/>
      <c r="X281" s="405"/>
      <c r="Y281" s="405"/>
      <c r="Z281" s="405"/>
      <c r="AA281" s="405"/>
      <c r="AB281" s="405"/>
      <c r="AC281" s="405"/>
      <c r="AD281" s="405"/>
    </row>
    <row r="282" ht="14.25" customHeight="1">
      <c r="A282" s="211">
        <v>1.0</v>
      </c>
      <c r="B282" s="49" t="s">
        <v>3164</v>
      </c>
      <c r="C282" s="46" t="s">
        <v>3165</v>
      </c>
      <c r="D282" s="46"/>
      <c r="E282" s="46"/>
      <c r="F282" s="50"/>
      <c r="G282" s="271" t="s">
        <v>3166</v>
      </c>
      <c r="H282" s="223">
        <v>5.0</v>
      </c>
      <c r="I282" s="237">
        <v>60.0</v>
      </c>
      <c r="J282" s="49"/>
      <c r="K282" s="49"/>
      <c r="L282" s="49">
        <v>1.0</v>
      </c>
      <c r="M282" s="49">
        <v>1.0</v>
      </c>
      <c r="N282" s="46"/>
      <c r="O282" s="223">
        <v>1500.0</v>
      </c>
      <c r="P282" s="46" t="s">
        <v>29</v>
      </c>
      <c r="Q282" s="223">
        <v>6.0</v>
      </c>
      <c r="R282" s="46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</row>
    <row r="283" ht="14.25" customHeight="1">
      <c r="A283" s="211">
        <v>2.0</v>
      </c>
      <c r="B283" s="49" t="s">
        <v>3168</v>
      </c>
      <c r="C283" s="46" t="s">
        <v>3165</v>
      </c>
      <c r="D283" s="46"/>
      <c r="E283" s="46"/>
      <c r="F283" s="50"/>
      <c r="G283" s="271" t="s">
        <v>3169</v>
      </c>
      <c r="H283" s="223">
        <v>50.0</v>
      </c>
      <c r="I283" s="237">
        <v>600.0</v>
      </c>
      <c r="J283" s="49"/>
      <c r="K283" s="49"/>
      <c r="L283" s="49">
        <v>3.0</v>
      </c>
      <c r="M283" s="49">
        <v>1.0</v>
      </c>
      <c r="N283" s="46"/>
      <c r="O283" s="223">
        <v>1500.0</v>
      </c>
      <c r="P283" s="46" t="s">
        <v>29</v>
      </c>
      <c r="Q283" s="223">
        <v>20.0</v>
      </c>
      <c r="R283" s="46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</row>
    <row r="284" ht="14.25" customHeight="1">
      <c r="A284" s="211">
        <v>3.0</v>
      </c>
      <c r="B284" s="49" t="s">
        <v>3170</v>
      </c>
      <c r="C284" s="46" t="s">
        <v>3171</v>
      </c>
      <c r="D284" s="46"/>
      <c r="E284" s="46"/>
      <c r="F284" s="50"/>
      <c r="G284" s="271" t="s">
        <v>3172</v>
      </c>
      <c r="H284" s="223">
        <v>6.0</v>
      </c>
      <c r="I284" s="237">
        <v>24.0</v>
      </c>
      <c r="J284" s="49">
        <v>1.0</v>
      </c>
      <c r="K284" s="49">
        <v>1.0</v>
      </c>
      <c r="L284" s="49"/>
      <c r="M284" s="49">
        <v>1.0</v>
      </c>
      <c r="N284" s="46"/>
      <c r="O284" s="223">
        <v>1500.0</v>
      </c>
      <c r="P284" s="46" t="s">
        <v>29</v>
      </c>
      <c r="Q284" s="223">
        <v>6.0</v>
      </c>
      <c r="R284" s="46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</row>
    <row r="285" ht="14.25" customHeight="1">
      <c r="A285" s="211">
        <v>4.0</v>
      </c>
      <c r="B285" s="49" t="s">
        <v>3173</v>
      </c>
      <c r="C285" s="46" t="s">
        <v>3171</v>
      </c>
      <c r="D285" s="46"/>
      <c r="E285" s="46"/>
      <c r="F285" s="50"/>
      <c r="G285" s="271" t="s">
        <v>3174</v>
      </c>
      <c r="H285" s="223">
        <v>250.0</v>
      </c>
      <c r="I285" s="237">
        <v>500.0</v>
      </c>
      <c r="J285" s="49">
        <v>1.0</v>
      </c>
      <c r="K285" s="49">
        <v>1.0</v>
      </c>
      <c r="L285" s="49"/>
      <c r="M285" s="49">
        <v>1.0</v>
      </c>
      <c r="N285" s="46"/>
      <c r="O285" s="223">
        <v>1500.0</v>
      </c>
      <c r="P285" s="46" t="s">
        <v>29</v>
      </c>
      <c r="Q285" s="223">
        <v>24.0</v>
      </c>
      <c r="R285" s="46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</row>
    <row r="286" ht="14.25" customHeight="1">
      <c r="A286" s="211">
        <v>5.0</v>
      </c>
      <c r="B286" s="49" t="s">
        <v>3175</v>
      </c>
      <c r="C286" s="46" t="s">
        <v>3176</v>
      </c>
      <c r="D286" s="46"/>
      <c r="E286" s="46"/>
      <c r="F286" s="50"/>
      <c r="G286" s="271" t="s">
        <v>3166</v>
      </c>
      <c r="H286" s="223">
        <v>5.0</v>
      </c>
      <c r="I286" s="237">
        <v>20.0</v>
      </c>
      <c r="J286" s="49">
        <v>1.0</v>
      </c>
      <c r="K286" s="49">
        <v>1.0</v>
      </c>
      <c r="L286" s="49"/>
      <c r="M286" s="49">
        <v>1.0</v>
      </c>
      <c r="N286" s="223">
        <v>1.0</v>
      </c>
      <c r="O286" s="223">
        <v>600.0</v>
      </c>
      <c r="P286" s="46" t="s">
        <v>29</v>
      </c>
      <c r="Q286" s="223">
        <v>5.0</v>
      </c>
      <c r="R286" s="46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  <c r="AD286" s="129"/>
    </row>
    <row r="287" ht="14.25" customHeight="1">
      <c r="A287" s="211">
        <v>6.0</v>
      </c>
      <c r="B287" s="49" t="s">
        <v>3177</v>
      </c>
      <c r="C287" s="46" t="s">
        <v>3176</v>
      </c>
      <c r="D287" s="46"/>
      <c r="E287" s="46"/>
      <c r="F287" s="50"/>
      <c r="G287" s="271" t="s">
        <v>3169</v>
      </c>
      <c r="H287" s="223">
        <v>5.0</v>
      </c>
      <c r="I287" s="237">
        <v>20.0</v>
      </c>
      <c r="J287" s="49"/>
      <c r="K287" s="49"/>
      <c r="L287" s="49">
        <v>1.0</v>
      </c>
      <c r="M287" s="49">
        <v>1.0</v>
      </c>
      <c r="N287" s="46"/>
      <c r="O287" s="223">
        <v>600.0</v>
      </c>
      <c r="P287" s="46" t="s">
        <v>29</v>
      </c>
      <c r="Q287" s="223">
        <v>20.0</v>
      </c>
      <c r="R287" s="46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  <c r="AD287" s="129"/>
    </row>
    <row r="288" ht="14.25" customHeight="1">
      <c r="A288" s="211">
        <v>7.0</v>
      </c>
      <c r="B288" s="49" t="s">
        <v>3178</v>
      </c>
      <c r="C288" s="46" t="s">
        <v>3179</v>
      </c>
      <c r="D288" s="46"/>
      <c r="E288" s="46"/>
      <c r="F288" s="50"/>
      <c r="G288" s="271">
        <v>1500.0</v>
      </c>
      <c r="H288" s="223">
        <v>200.0</v>
      </c>
      <c r="I288" s="237">
        <v>600.0</v>
      </c>
      <c r="J288" s="49">
        <v>5.0</v>
      </c>
      <c r="K288" s="49">
        <v>5.0</v>
      </c>
      <c r="L288" s="49">
        <v>1.0</v>
      </c>
      <c r="M288" s="49">
        <v>1.0</v>
      </c>
      <c r="N288" s="223">
        <v>1.0</v>
      </c>
      <c r="O288" s="223">
        <v>600.0</v>
      </c>
      <c r="P288" s="46" t="s">
        <v>29</v>
      </c>
      <c r="Q288" s="223">
        <v>6.0</v>
      </c>
      <c r="R288" s="46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</row>
    <row r="289" ht="14.25" customHeight="1">
      <c r="A289" s="211">
        <v>8.0</v>
      </c>
      <c r="B289" s="49" t="s">
        <v>3180</v>
      </c>
      <c r="C289" s="46" t="s">
        <v>3179</v>
      </c>
      <c r="D289" s="46"/>
      <c r="E289" s="46"/>
      <c r="F289" s="50"/>
      <c r="G289" s="271">
        <v>1500.0</v>
      </c>
      <c r="H289" s="223">
        <v>200.0</v>
      </c>
      <c r="I289" s="237">
        <v>600.0</v>
      </c>
      <c r="J289" s="49">
        <v>1.0</v>
      </c>
      <c r="K289" s="49">
        <v>1.0</v>
      </c>
      <c r="L289" s="49"/>
      <c r="M289" s="49">
        <v>1.0</v>
      </c>
      <c r="N289" s="223">
        <v>1.0</v>
      </c>
      <c r="O289" s="223">
        <v>600.0</v>
      </c>
      <c r="P289" s="46" t="s">
        <v>29</v>
      </c>
      <c r="Q289" s="223">
        <v>20.0</v>
      </c>
      <c r="R289" s="46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</row>
    <row r="290" ht="14.25" customHeight="1">
      <c r="A290" s="211">
        <v>9.0</v>
      </c>
      <c r="B290" s="49" t="s">
        <v>3181</v>
      </c>
      <c r="C290" s="46" t="s">
        <v>3182</v>
      </c>
      <c r="D290" s="46"/>
      <c r="E290" s="46"/>
      <c r="F290" s="50"/>
      <c r="G290" s="271" t="s">
        <v>3183</v>
      </c>
      <c r="H290" s="223">
        <v>4.0</v>
      </c>
      <c r="I290" s="237">
        <v>16.0</v>
      </c>
      <c r="J290" s="49"/>
      <c r="K290" s="49"/>
      <c r="L290" s="49">
        <v>1.0</v>
      </c>
      <c r="M290" s="49">
        <v>1.0</v>
      </c>
      <c r="N290" s="46"/>
      <c r="O290" s="223">
        <v>600.0</v>
      </c>
      <c r="P290" s="46" t="s">
        <v>29</v>
      </c>
      <c r="Q290" s="223">
        <v>2.0</v>
      </c>
      <c r="R290" s="46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  <c r="AD290" s="129"/>
    </row>
    <row r="291" ht="14.25" customHeight="1">
      <c r="A291" s="211">
        <v>10.0</v>
      </c>
      <c r="B291" s="49" t="s">
        <v>3184</v>
      </c>
      <c r="C291" s="46" t="s">
        <v>3182</v>
      </c>
      <c r="D291" s="46"/>
      <c r="E291" s="46"/>
      <c r="F291" s="50"/>
      <c r="G291" s="271" t="s">
        <v>3169</v>
      </c>
      <c r="H291" s="223">
        <v>200.0</v>
      </c>
      <c r="I291" s="237">
        <v>600.0</v>
      </c>
      <c r="J291" s="49"/>
      <c r="K291" s="49"/>
      <c r="L291" s="49">
        <v>2.0</v>
      </c>
      <c r="M291" s="49">
        <v>1.0</v>
      </c>
      <c r="N291" s="46"/>
      <c r="O291" s="223">
        <v>600.0</v>
      </c>
      <c r="P291" s="46" t="s">
        <v>29</v>
      </c>
      <c r="Q291" s="223">
        <v>20.0</v>
      </c>
      <c r="R291" s="46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  <c r="AD291" s="129"/>
    </row>
    <row r="292" ht="14.25" customHeight="1">
      <c r="A292" s="211">
        <v>11.0</v>
      </c>
      <c r="B292" s="49" t="s">
        <v>3185</v>
      </c>
      <c r="C292" s="46" t="s">
        <v>3186</v>
      </c>
      <c r="D292" s="46"/>
      <c r="E292" s="46"/>
      <c r="F292" s="50"/>
      <c r="G292" s="271" t="s">
        <v>3166</v>
      </c>
      <c r="H292" s="223">
        <v>7.0</v>
      </c>
      <c r="I292" s="237">
        <v>21.0</v>
      </c>
      <c r="J292" s="49">
        <v>1.0</v>
      </c>
      <c r="K292" s="49">
        <v>1.0</v>
      </c>
      <c r="L292" s="49">
        <v>2.0</v>
      </c>
      <c r="M292" s="49">
        <v>1.0</v>
      </c>
      <c r="N292" s="223">
        <v>1.0</v>
      </c>
      <c r="O292" s="46" t="s">
        <v>401</v>
      </c>
      <c r="P292" s="46" t="s">
        <v>29</v>
      </c>
      <c r="Q292" s="223">
        <v>4.0</v>
      </c>
      <c r="R292" s="46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  <c r="AD292" s="129"/>
    </row>
    <row r="293" ht="14.25" customHeight="1">
      <c r="A293" s="211">
        <v>12.0</v>
      </c>
      <c r="B293" s="49" t="s">
        <v>3187</v>
      </c>
      <c r="C293" s="46" t="s">
        <v>3186</v>
      </c>
      <c r="D293" s="46"/>
      <c r="E293" s="46"/>
      <c r="F293" s="50"/>
      <c r="G293" s="271" t="s">
        <v>3169</v>
      </c>
      <c r="H293" s="223">
        <v>200.0</v>
      </c>
      <c r="I293" s="237">
        <v>600.0</v>
      </c>
      <c r="J293" s="49">
        <v>1.0</v>
      </c>
      <c r="K293" s="49">
        <v>1.0</v>
      </c>
      <c r="L293" s="49">
        <v>1.0</v>
      </c>
      <c r="M293" s="49">
        <v>1.0</v>
      </c>
      <c r="N293" s="46"/>
      <c r="O293" s="223">
        <v>600.0</v>
      </c>
      <c r="P293" s="46" t="s">
        <v>29</v>
      </c>
      <c r="Q293" s="223">
        <v>20.0</v>
      </c>
      <c r="R293" s="46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</row>
    <row r="294" ht="14.25" customHeight="1">
      <c r="A294" s="211">
        <v>13.0</v>
      </c>
      <c r="B294" s="49" t="s">
        <v>3188</v>
      </c>
      <c r="C294" s="46" t="s">
        <v>3189</v>
      </c>
      <c r="D294" s="46"/>
      <c r="E294" s="46"/>
      <c r="F294" s="50"/>
      <c r="G294" s="271" t="s">
        <v>3190</v>
      </c>
      <c r="H294" s="223">
        <v>10.0</v>
      </c>
      <c r="I294" s="237">
        <v>50.0</v>
      </c>
      <c r="J294" s="49">
        <v>1.0</v>
      </c>
      <c r="K294" s="49">
        <v>1.0</v>
      </c>
      <c r="L294" s="49"/>
      <c r="M294" s="49">
        <v>1.0</v>
      </c>
      <c r="N294" s="46"/>
      <c r="O294" s="223">
        <v>500.0</v>
      </c>
      <c r="P294" s="46" t="s">
        <v>29</v>
      </c>
      <c r="Q294" s="223">
        <v>3.0</v>
      </c>
      <c r="R294" s="46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  <c r="AD294" s="129"/>
    </row>
    <row r="295" ht="14.25" customHeight="1">
      <c r="A295" s="211">
        <v>14.0</v>
      </c>
      <c r="B295" s="49" t="s">
        <v>3191</v>
      </c>
      <c r="C295" s="46" t="s">
        <v>3189</v>
      </c>
      <c r="D295" s="46"/>
      <c r="E295" s="46"/>
      <c r="F295" s="50"/>
      <c r="G295" s="271" t="s">
        <v>3169</v>
      </c>
      <c r="H295" s="223">
        <v>200.0</v>
      </c>
      <c r="I295" s="237">
        <v>600.0</v>
      </c>
      <c r="J295" s="49">
        <v>1.0</v>
      </c>
      <c r="K295" s="49">
        <v>1.0</v>
      </c>
      <c r="L295" s="49"/>
      <c r="M295" s="49">
        <v>1.0</v>
      </c>
      <c r="N295" s="46"/>
      <c r="O295" s="223">
        <v>600.0</v>
      </c>
      <c r="P295" s="46" t="s">
        <v>29</v>
      </c>
      <c r="Q295" s="223">
        <v>20.0</v>
      </c>
      <c r="R295" s="46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  <c r="AD295" s="129"/>
    </row>
    <row r="296" ht="14.25" customHeight="1">
      <c r="A296" s="211">
        <v>15.0</v>
      </c>
      <c r="B296" s="49" t="s">
        <v>3192</v>
      </c>
      <c r="C296" s="46" t="s">
        <v>3193</v>
      </c>
      <c r="D296" s="46"/>
      <c r="E296" s="46"/>
      <c r="F296" s="50"/>
      <c r="G296" s="271" t="s">
        <v>3183</v>
      </c>
      <c r="H296" s="223">
        <v>4.0</v>
      </c>
      <c r="I296" s="237">
        <v>16.0</v>
      </c>
      <c r="J296" s="49"/>
      <c r="K296" s="49"/>
      <c r="L296" s="49">
        <v>1.0</v>
      </c>
      <c r="M296" s="49">
        <v>1.0</v>
      </c>
      <c r="N296" s="46"/>
      <c r="O296" s="223">
        <v>600.0</v>
      </c>
      <c r="P296" s="46" t="s">
        <v>29</v>
      </c>
      <c r="Q296" s="223">
        <v>2.0</v>
      </c>
      <c r="R296" s="46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</row>
    <row r="297" ht="14.25" customHeight="1">
      <c r="A297" s="211">
        <v>16.0</v>
      </c>
      <c r="B297" s="49" t="s">
        <v>3194</v>
      </c>
      <c r="C297" s="46" t="s">
        <v>3193</v>
      </c>
      <c r="D297" s="46"/>
      <c r="E297" s="46"/>
      <c r="F297" s="50"/>
      <c r="G297" s="271" t="s">
        <v>3169</v>
      </c>
      <c r="H297" s="223">
        <v>200.0</v>
      </c>
      <c r="I297" s="237">
        <v>600.0</v>
      </c>
      <c r="J297" s="49"/>
      <c r="K297" s="49"/>
      <c r="L297" s="49">
        <v>3.0</v>
      </c>
      <c r="M297" s="49">
        <v>1.0</v>
      </c>
      <c r="N297" s="46"/>
      <c r="O297" s="223">
        <v>600.0</v>
      </c>
      <c r="P297" s="46" t="s">
        <v>29</v>
      </c>
      <c r="Q297" s="223">
        <v>20.0</v>
      </c>
      <c r="R297" s="46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  <c r="AD297" s="129"/>
    </row>
    <row r="298" ht="14.25" customHeight="1">
      <c r="A298" s="211">
        <v>17.0</v>
      </c>
      <c r="B298" s="49" t="s">
        <v>3195</v>
      </c>
      <c r="C298" s="46" t="s">
        <v>3196</v>
      </c>
      <c r="D298" s="46"/>
      <c r="E298" s="46"/>
      <c r="F298" s="50"/>
      <c r="G298" s="271" t="s">
        <v>3197</v>
      </c>
      <c r="H298" s="223">
        <v>25.0</v>
      </c>
      <c r="I298" s="237">
        <v>800.0</v>
      </c>
      <c r="J298" s="49"/>
      <c r="K298" s="49"/>
      <c r="L298" s="49">
        <v>4.0</v>
      </c>
      <c r="M298" s="49">
        <v>1.0</v>
      </c>
      <c r="N298" s="46"/>
      <c r="O298" s="223">
        <v>350.0</v>
      </c>
      <c r="P298" s="46" t="s">
        <v>29</v>
      </c>
      <c r="Q298" s="223">
        <v>18.0</v>
      </c>
      <c r="R298" s="46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  <c r="AD298" s="129"/>
    </row>
    <row r="299" ht="14.25" customHeight="1">
      <c r="A299" s="211">
        <v>18.0</v>
      </c>
      <c r="B299" s="49" t="s">
        <v>3198</v>
      </c>
      <c r="C299" s="46" t="s">
        <v>3196</v>
      </c>
      <c r="D299" s="46"/>
      <c r="E299" s="46"/>
      <c r="F299" s="50"/>
      <c r="G299" s="271" t="s">
        <v>3169</v>
      </c>
      <c r="H299" s="223">
        <v>200.0</v>
      </c>
      <c r="I299" s="237">
        <v>600.0</v>
      </c>
      <c r="J299" s="49"/>
      <c r="K299" s="49"/>
      <c r="L299" s="49">
        <v>1.0</v>
      </c>
      <c r="M299" s="49">
        <v>1.0</v>
      </c>
      <c r="N299" s="46"/>
      <c r="O299" s="223">
        <v>600.0</v>
      </c>
      <c r="P299" s="46" t="s">
        <v>29</v>
      </c>
      <c r="Q299" s="223">
        <v>20.0</v>
      </c>
      <c r="R299" s="46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</row>
    <row r="300" ht="14.25" customHeight="1">
      <c r="A300" s="211">
        <v>19.0</v>
      </c>
      <c r="B300" s="49" t="s">
        <v>3199</v>
      </c>
      <c r="C300" s="46" t="s">
        <v>3200</v>
      </c>
      <c r="D300" s="46"/>
      <c r="E300" s="46"/>
      <c r="F300" s="50"/>
      <c r="G300" s="271" t="s">
        <v>3201</v>
      </c>
      <c r="H300" s="223">
        <v>8.0</v>
      </c>
      <c r="I300" s="237">
        <v>40.0</v>
      </c>
      <c r="J300" s="49"/>
      <c r="K300" s="49"/>
      <c r="L300" s="49">
        <v>2.0</v>
      </c>
      <c r="M300" s="49">
        <v>1.0</v>
      </c>
      <c r="N300" s="46"/>
      <c r="O300" s="223">
        <v>1500.0</v>
      </c>
      <c r="P300" s="46" t="s">
        <v>29</v>
      </c>
      <c r="Q300" s="223">
        <v>6.0</v>
      </c>
      <c r="R300" s="46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</row>
    <row r="301" ht="14.25" customHeight="1">
      <c r="A301" s="211">
        <v>20.0</v>
      </c>
      <c r="B301" s="49" t="s">
        <v>3202</v>
      </c>
      <c r="C301" s="46" t="s">
        <v>3203</v>
      </c>
      <c r="D301" s="46"/>
      <c r="E301" s="46"/>
      <c r="F301" s="50"/>
      <c r="G301" s="271" t="s">
        <v>3166</v>
      </c>
      <c r="H301" s="223">
        <v>3.0</v>
      </c>
      <c r="I301" s="237">
        <v>15.0</v>
      </c>
      <c r="J301" s="49"/>
      <c r="K301" s="49"/>
      <c r="L301" s="49">
        <v>1.0</v>
      </c>
      <c r="M301" s="49"/>
      <c r="N301" s="223">
        <v>1.0</v>
      </c>
      <c r="O301" s="223">
        <v>500.0</v>
      </c>
      <c r="P301" s="46" t="s">
        <v>29</v>
      </c>
      <c r="Q301" s="223">
        <v>3.0</v>
      </c>
      <c r="R301" s="46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  <c r="AD301" s="129"/>
    </row>
    <row r="302" ht="14.25" customHeight="1">
      <c r="A302" s="211">
        <v>21.0</v>
      </c>
      <c r="B302" s="49" t="s">
        <v>3204</v>
      </c>
      <c r="C302" s="46" t="s">
        <v>3203</v>
      </c>
      <c r="D302" s="46"/>
      <c r="E302" s="46"/>
      <c r="F302" s="50"/>
      <c r="G302" s="271">
        <v>1500.0</v>
      </c>
      <c r="H302" s="223">
        <v>100.0</v>
      </c>
      <c r="I302" s="237">
        <v>300.0</v>
      </c>
      <c r="J302" s="49"/>
      <c r="K302" s="49"/>
      <c r="L302" s="49">
        <v>2.0</v>
      </c>
      <c r="M302" s="49">
        <v>1.0</v>
      </c>
      <c r="N302" s="46"/>
      <c r="O302" s="223">
        <v>500.0</v>
      </c>
      <c r="P302" s="46" t="s">
        <v>29</v>
      </c>
      <c r="Q302" s="223">
        <v>20.0</v>
      </c>
      <c r="R302" s="46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  <c r="AD302" s="129"/>
    </row>
    <row r="303" ht="14.25" customHeight="1">
      <c r="A303" s="211">
        <v>22.0</v>
      </c>
      <c r="B303" s="49" t="s">
        <v>3205</v>
      </c>
      <c r="C303" s="46" t="s">
        <v>3206</v>
      </c>
      <c r="D303" s="46"/>
      <c r="E303" s="46"/>
      <c r="F303" s="50"/>
      <c r="G303" s="271" t="s">
        <v>3207</v>
      </c>
      <c r="H303" s="223">
        <v>10.0</v>
      </c>
      <c r="I303" s="237">
        <v>300.0</v>
      </c>
      <c r="J303" s="49"/>
      <c r="K303" s="49"/>
      <c r="L303" s="49">
        <v>4.0</v>
      </c>
      <c r="M303" s="49">
        <v>1.0</v>
      </c>
      <c r="N303" s="46"/>
      <c r="O303" s="223">
        <v>1500.0</v>
      </c>
      <c r="P303" s="46" t="s">
        <v>29</v>
      </c>
      <c r="Q303" s="223">
        <v>8.0</v>
      </c>
      <c r="R303" s="46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  <c r="AD303" s="129"/>
    </row>
    <row r="304" ht="14.25" customHeight="1">
      <c r="A304" s="211">
        <v>23.0</v>
      </c>
      <c r="B304" s="49" t="s">
        <v>3208</v>
      </c>
      <c r="C304" s="46" t="s">
        <v>3206</v>
      </c>
      <c r="D304" s="46"/>
      <c r="E304" s="46"/>
      <c r="F304" s="50"/>
      <c r="G304" s="271" t="s">
        <v>3169</v>
      </c>
      <c r="H304" s="223">
        <v>200.0</v>
      </c>
      <c r="I304" s="237">
        <v>600.0</v>
      </c>
      <c r="J304" s="49"/>
      <c r="K304" s="49"/>
      <c r="L304" s="49">
        <v>4.0</v>
      </c>
      <c r="M304" s="49">
        <v>1.0</v>
      </c>
      <c r="N304" s="46"/>
      <c r="O304" s="223">
        <v>1500.0</v>
      </c>
      <c r="P304" s="46" t="s">
        <v>29</v>
      </c>
      <c r="Q304" s="223">
        <v>24.0</v>
      </c>
      <c r="R304" s="46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  <c r="AD304" s="129"/>
    </row>
    <row r="305" ht="14.25" customHeight="1">
      <c r="A305" s="211">
        <v>24.0</v>
      </c>
      <c r="B305" s="49" t="s">
        <v>3209</v>
      </c>
      <c r="C305" s="46" t="s">
        <v>3210</v>
      </c>
      <c r="D305" s="46"/>
      <c r="E305" s="46"/>
      <c r="F305" s="50"/>
      <c r="G305" s="271" t="s">
        <v>3207</v>
      </c>
      <c r="H305" s="223">
        <v>5.0</v>
      </c>
      <c r="I305" s="237">
        <v>20.0</v>
      </c>
      <c r="J305" s="49"/>
      <c r="K305" s="49"/>
      <c r="L305" s="49">
        <v>2.0</v>
      </c>
      <c r="M305" s="49">
        <v>1.0</v>
      </c>
      <c r="N305" s="46"/>
      <c r="O305" s="223">
        <v>1500.0</v>
      </c>
      <c r="P305" s="46" t="s">
        <v>29</v>
      </c>
      <c r="Q305" s="223">
        <v>3.0</v>
      </c>
      <c r="R305" s="46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  <c r="AD305" s="129"/>
    </row>
    <row r="306" ht="14.25" customHeight="1">
      <c r="A306" s="211">
        <v>25.0</v>
      </c>
      <c r="B306" s="46" t="s">
        <v>3211</v>
      </c>
      <c r="C306" s="46" t="s">
        <v>3210</v>
      </c>
      <c r="D306" s="46"/>
      <c r="E306" s="46"/>
      <c r="F306" s="50"/>
      <c r="G306" s="275" t="s">
        <v>3212</v>
      </c>
      <c r="H306" s="223">
        <v>300.0</v>
      </c>
      <c r="I306" s="223">
        <v>700.0</v>
      </c>
      <c r="J306" s="223">
        <v>3.0</v>
      </c>
      <c r="K306" s="223">
        <v>3.0</v>
      </c>
      <c r="L306" s="46"/>
      <c r="M306" s="223">
        <v>3.0</v>
      </c>
      <c r="N306" s="46"/>
      <c r="O306" s="223">
        <v>2000.0</v>
      </c>
      <c r="P306" s="46" t="s">
        <v>29</v>
      </c>
      <c r="Q306" s="223">
        <v>40.0</v>
      </c>
      <c r="R306" s="46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  <c r="AD306" s="129"/>
    </row>
    <row r="307" ht="15.75" customHeight="1">
      <c r="A307" s="181"/>
      <c r="B307" s="182" t="s">
        <v>3213</v>
      </c>
      <c r="C307" s="182"/>
      <c r="D307" s="182"/>
      <c r="E307" s="182"/>
      <c r="F307" s="403"/>
      <c r="G307" s="404"/>
      <c r="H307" s="182"/>
      <c r="I307" s="182"/>
      <c r="J307" s="91"/>
      <c r="K307" s="91"/>
      <c r="L307" s="91"/>
      <c r="M307" s="91"/>
      <c r="N307" s="91"/>
      <c r="O307" s="91"/>
      <c r="P307" s="182"/>
      <c r="Q307" s="91"/>
      <c r="R307" s="218"/>
      <c r="S307" s="405"/>
      <c r="T307" s="405"/>
      <c r="U307" s="405"/>
      <c r="V307" s="405"/>
      <c r="W307" s="405"/>
      <c r="X307" s="405"/>
      <c r="Y307" s="405"/>
      <c r="Z307" s="405"/>
      <c r="AA307" s="405"/>
      <c r="AB307" s="405"/>
      <c r="AC307" s="405"/>
      <c r="AD307" s="405"/>
    </row>
    <row r="308" ht="14.25" customHeight="1">
      <c r="A308" s="211">
        <v>1.0</v>
      </c>
      <c r="B308" s="46" t="s">
        <v>3214</v>
      </c>
      <c r="C308" s="46" t="s">
        <v>3215</v>
      </c>
      <c r="D308" s="46"/>
      <c r="E308" s="46"/>
      <c r="F308" s="50"/>
      <c r="G308" s="89" t="s">
        <v>3216</v>
      </c>
      <c r="H308" s="81">
        <v>4.0</v>
      </c>
      <c r="I308" s="81">
        <v>20.0</v>
      </c>
      <c r="J308" s="81">
        <v>0.0</v>
      </c>
      <c r="K308" s="81">
        <v>0.0</v>
      </c>
      <c r="L308" s="81">
        <v>1.0</v>
      </c>
      <c r="M308" s="48" t="s">
        <v>3217</v>
      </c>
      <c r="N308" s="81" t="s">
        <v>1609</v>
      </c>
      <c r="O308" s="81" t="s">
        <v>3218</v>
      </c>
      <c r="P308" s="81" t="s">
        <v>335</v>
      </c>
      <c r="Q308" s="46"/>
      <c r="R308" s="46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9"/>
    </row>
    <row r="309" ht="14.25" customHeight="1">
      <c r="A309" s="211">
        <v>2.0</v>
      </c>
      <c r="B309" s="46" t="s">
        <v>3219</v>
      </c>
      <c r="C309" s="46" t="s">
        <v>3215</v>
      </c>
      <c r="D309" s="46"/>
      <c r="E309" s="46"/>
      <c r="F309" s="50"/>
      <c r="G309" s="89" t="s">
        <v>3220</v>
      </c>
      <c r="H309" s="81">
        <v>6.0</v>
      </c>
      <c r="I309" s="81">
        <v>30.0</v>
      </c>
      <c r="J309" s="81">
        <v>0.0</v>
      </c>
      <c r="K309" s="81">
        <v>0.0</v>
      </c>
      <c r="L309" s="81">
        <v>1.0</v>
      </c>
      <c r="M309" s="48" t="s">
        <v>3217</v>
      </c>
      <c r="N309" s="81" t="s">
        <v>1609</v>
      </c>
      <c r="O309" s="81" t="s">
        <v>3218</v>
      </c>
      <c r="P309" s="81" t="s">
        <v>335</v>
      </c>
      <c r="Q309" s="46"/>
      <c r="R309" s="46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  <c r="AD309" s="129"/>
    </row>
    <row r="310" ht="14.25" customHeight="1">
      <c r="A310" s="211">
        <v>3.0</v>
      </c>
      <c r="B310" s="46" t="s">
        <v>3221</v>
      </c>
      <c r="C310" s="46" t="s">
        <v>3222</v>
      </c>
      <c r="D310" s="46"/>
      <c r="E310" s="46"/>
      <c r="F310" s="50"/>
      <c r="G310" s="89" t="s">
        <v>3223</v>
      </c>
      <c r="H310" s="81">
        <v>6.0</v>
      </c>
      <c r="I310" s="81">
        <v>30.0</v>
      </c>
      <c r="J310" s="81">
        <v>0.0</v>
      </c>
      <c r="K310" s="81">
        <v>0.0</v>
      </c>
      <c r="L310" s="81">
        <v>1.0</v>
      </c>
      <c r="M310" s="48" t="s">
        <v>3217</v>
      </c>
      <c r="N310" s="81" t="s">
        <v>1609</v>
      </c>
      <c r="O310" s="81" t="s">
        <v>3218</v>
      </c>
      <c r="P310" s="81" t="s">
        <v>335</v>
      </c>
      <c r="Q310" s="46"/>
      <c r="R310" s="46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</row>
    <row r="311" ht="14.25" customHeight="1">
      <c r="A311" s="211">
        <v>4.0</v>
      </c>
      <c r="B311" s="46" t="s">
        <v>3224</v>
      </c>
      <c r="C311" s="46" t="s">
        <v>3222</v>
      </c>
      <c r="D311" s="46"/>
      <c r="E311" s="46"/>
      <c r="F311" s="50"/>
      <c r="G311" s="89" t="s">
        <v>3216</v>
      </c>
      <c r="H311" s="81">
        <v>6.0</v>
      </c>
      <c r="I311" s="81">
        <v>30.0</v>
      </c>
      <c r="J311" s="81">
        <v>0.0</v>
      </c>
      <c r="K311" s="81">
        <v>0.0</v>
      </c>
      <c r="L311" s="81">
        <v>1.0</v>
      </c>
      <c r="M311" s="48" t="s">
        <v>3217</v>
      </c>
      <c r="N311" s="81" t="s">
        <v>1609</v>
      </c>
      <c r="O311" s="81" t="s">
        <v>3218</v>
      </c>
      <c r="P311" s="81" t="s">
        <v>335</v>
      </c>
      <c r="Q311" s="46"/>
      <c r="R311" s="46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</row>
    <row r="312" ht="14.25" customHeight="1">
      <c r="A312" s="211">
        <v>5.0</v>
      </c>
      <c r="B312" s="46" t="s">
        <v>3225</v>
      </c>
      <c r="C312" s="46" t="s">
        <v>3222</v>
      </c>
      <c r="D312" s="46"/>
      <c r="E312" s="46"/>
      <c r="F312" s="50"/>
      <c r="G312" s="89" t="s">
        <v>3216</v>
      </c>
      <c r="H312" s="81">
        <v>6.0</v>
      </c>
      <c r="I312" s="81">
        <v>30.0</v>
      </c>
      <c r="J312" s="81">
        <v>0.0</v>
      </c>
      <c r="K312" s="81">
        <v>0.0</v>
      </c>
      <c r="L312" s="81">
        <v>1.0</v>
      </c>
      <c r="M312" s="48" t="s">
        <v>3217</v>
      </c>
      <c r="N312" s="81" t="s">
        <v>1609</v>
      </c>
      <c r="O312" s="81" t="s">
        <v>3218</v>
      </c>
      <c r="P312" s="81" t="s">
        <v>335</v>
      </c>
      <c r="Q312" s="46"/>
      <c r="R312" s="46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  <c r="AD312" s="129"/>
    </row>
    <row r="313" ht="14.25" customHeight="1">
      <c r="A313" s="211">
        <v>6.0</v>
      </c>
      <c r="B313" s="46" t="s">
        <v>3226</v>
      </c>
      <c r="C313" s="46" t="s">
        <v>3227</v>
      </c>
      <c r="D313" s="46"/>
      <c r="E313" s="46"/>
      <c r="F313" s="50"/>
      <c r="G313" s="89" t="s">
        <v>3228</v>
      </c>
      <c r="H313" s="81">
        <v>50.0</v>
      </c>
      <c r="I313" s="81">
        <v>200.0</v>
      </c>
      <c r="J313" s="81">
        <v>10.0</v>
      </c>
      <c r="K313" s="81">
        <v>10.0</v>
      </c>
      <c r="L313" s="81">
        <v>2.0</v>
      </c>
      <c r="M313" s="48" t="s">
        <v>3217</v>
      </c>
      <c r="N313" s="81" t="s">
        <v>1609</v>
      </c>
      <c r="O313" s="81" t="s">
        <v>3229</v>
      </c>
      <c r="P313" s="81" t="s">
        <v>335</v>
      </c>
      <c r="Q313" s="46"/>
      <c r="R313" s="46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</row>
    <row r="314" ht="14.25" customHeight="1">
      <c r="A314" s="211">
        <v>7.0</v>
      </c>
      <c r="B314" s="46" t="s">
        <v>3230</v>
      </c>
      <c r="C314" s="46" t="s">
        <v>3227</v>
      </c>
      <c r="D314" s="46"/>
      <c r="E314" s="46"/>
      <c r="F314" s="50"/>
      <c r="G314" s="89" t="s">
        <v>3231</v>
      </c>
      <c r="H314" s="81">
        <v>4.0</v>
      </c>
      <c r="I314" s="81">
        <v>20.0</v>
      </c>
      <c r="J314" s="81">
        <v>0.0</v>
      </c>
      <c r="K314" s="81">
        <v>0.0</v>
      </c>
      <c r="L314" s="81">
        <v>1.0</v>
      </c>
      <c r="M314" s="48" t="s">
        <v>3217</v>
      </c>
      <c r="N314" s="81" t="s">
        <v>1609</v>
      </c>
      <c r="O314" s="81" t="s">
        <v>3218</v>
      </c>
      <c r="P314" s="81" t="s">
        <v>29</v>
      </c>
      <c r="Q314" s="46"/>
      <c r="R314" s="46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</row>
    <row r="315" ht="14.25" customHeight="1">
      <c r="A315" s="211">
        <v>8.0</v>
      </c>
      <c r="B315" s="46" t="s">
        <v>3232</v>
      </c>
      <c r="C315" s="46" t="s">
        <v>3227</v>
      </c>
      <c r="D315" s="46"/>
      <c r="E315" s="46"/>
      <c r="F315" s="50"/>
      <c r="G315" s="89" t="s">
        <v>3233</v>
      </c>
      <c r="H315" s="81">
        <v>24.0</v>
      </c>
      <c r="I315" s="81">
        <v>120.0</v>
      </c>
      <c r="J315" s="81">
        <v>1.0</v>
      </c>
      <c r="K315" s="81">
        <v>1.0</v>
      </c>
      <c r="L315" s="81">
        <v>0.0</v>
      </c>
      <c r="M315" s="48" t="s">
        <v>3217</v>
      </c>
      <c r="N315" s="81" t="s">
        <v>1609</v>
      </c>
      <c r="O315" s="81" t="s">
        <v>3218</v>
      </c>
      <c r="P315" s="81" t="s">
        <v>335</v>
      </c>
      <c r="Q315" s="46"/>
      <c r="R315" s="46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</row>
    <row r="316" ht="14.25" customHeight="1">
      <c r="A316" s="211">
        <v>9.0</v>
      </c>
      <c r="B316" s="46" t="s">
        <v>3234</v>
      </c>
      <c r="C316" s="46" t="s">
        <v>3235</v>
      </c>
      <c r="D316" s="46"/>
      <c r="E316" s="46"/>
      <c r="F316" s="50"/>
      <c r="G316" s="89" t="s">
        <v>3216</v>
      </c>
      <c r="H316" s="81">
        <v>12.0</v>
      </c>
      <c r="I316" s="81">
        <v>60.0</v>
      </c>
      <c r="J316" s="81">
        <v>0.0</v>
      </c>
      <c r="K316" s="81">
        <v>0.0</v>
      </c>
      <c r="L316" s="81">
        <v>1.0</v>
      </c>
      <c r="M316" s="48" t="s">
        <v>3217</v>
      </c>
      <c r="N316" s="81" t="s">
        <v>1609</v>
      </c>
      <c r="O316" s="81" t="s">
        <v>3218</v>
      </c>
      <c r="P316" s="81" t="s">
        <v>335</v>
      </c>
      <c r="Q316" s="46"/>
      <c r="R316" s="46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</row>
    <row r="317" ht="14.25" customHeight="1">
      <c r="A317" s="211">
        <v>10.0</v>
      </c>
      <c r="B317" s="46" t="s">
        <v>3236</v>
      </c>
      <c r="C317" s="46" t="s">
        <v>3235</v>
      </c>
      <c r="D317" s="46"/>
      <c r="E317" s="46"/>
      <c r="F317" s="50"/>
      <c r="G317" s="89" t="s">
        <v>3237</v>
      </c>
      <c r="H317" s="81">
        <v>6.0</v>
      </c>
      <c r="I317" s="81">
        <v>30.0</v>
      </c>
      <c r="J317" s="81">
        <v>0.0</v>
      </c>
      <c r="K317" s="81">
        <v>0.0</v>
      </c>
      <c r="L317" s="81">
        <v>1.0</v>
      </c>
      <c r="M317" s="48" t="s">
        <v>3217</v>
      </c>
      <c r="N317" s="81" t="s">
        <v>1609</v>
      </c>
      <c r="O317" s="81" t="s">
        <v>3218</v>
      </c>
      <c r="P317" s="81" t="s">
        <v>335</v>
      </c>
      <c r="Q317" s="46"/>
      <c r="R317" s="46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</row>
    <row r="318" ht="14.25" customHeight="1">
      <c r="A318" s="211">
        <v>11.0</v>
      </c>
      <c r="B318" s="46" t="s">
        <v>3238</v>
      </c>
      <c r="C318" s="46" t="s">
        <v>3235</v>
      </c>
      <c r="D318" s="46"/>
      <c r="E318" s="46"/>
      <c r="F318" s="50"/>
      <c r="G318" s="89" t="s">
        <v>3239</v>
      </c>
      <c r="H318" s="81">
        <v>8.0</v>
      </c>
      <c r="I318" s="81">
        <v>40.0</v>
      </c>
      <c r="J318" s="81">
        <v>0.0</v>
      </c>
      <c r="K318" s="81">
        <v>0.0</v>
      </c>
      <c r="L318" s="81">
        <v>1.0</v>
      </c>
      <c r="M318" s="48" t="s">
        <v>3217</v>
      </c>
      <c r="N318" s="81" t="s">
        <v>1609</v>
      </c>
      <c r="O318" s="81" t="s">
        <v>3218</v>
      </c>
      <c r="P318" s="81" t="s">
        <v>335</v>
      </c>
      <c r="Q318" s="46"/>
      <c r="R318" s="46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</row>
    <row r="319" ht="14.25" customHeight="1">
      <c r="A319" s="211">
        <v>12.0</v>
      </c>
      <c r="B319" s="46" t="s">
        <v>3240</v>
      </c>
      <c r="C319" s="46" t="s">
        <v>3241</v>
      </c>
      <c r="D319" s="46"/>
      <c r="E319" s="46"/>
      <c r="F319" s="50"/>
      <c r="G319" s="89" t="s">
        <v>3242</v>
      </c>
      <c r="H319" s="81">
        <v>18.0</v>
      </c>
      <c r="I319" s="81">
        <v>90.0</v>
      </c>
      <c r="J319" s="81">
        <v>1.0</v>
      </c>
      <c r="K319" s="81">
        <v>1.0</v>
      </c>
      <c r="L319" s="81">
        <v>0.0</v>
      </c>
      <c r="M319" s="48" t="s">
        <v>3217</v>
      </c>
      <c r="N319" s="81" t="s">
        <v>1609</v>
      </c>
      <c r="O319" s="81" t="s">
        <v>3218</v>
      </c>
      <c r="P319" s="81" t="s">
        <v>335</v>
      </c>
      <c r="Q319" s="46"/>
      <c r="R319" s="46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</row>
    <row r="320" ht="14.25" customHeight="1">
      <c r="A320" s="211">
        <v>13.0</v>
      </c>
      <c r="B320" s="46" t="s">
        <v>3243</v>
      </c>
      <c r="C320" s="46" t="s">
        <v>3241</v>
      </c>
      <c r="D320" s="46"/>
      <c r="E320" s="46"/>
      <c r="F320" s="50"/>
      <c r="G320" s="89" t="s">
        <v>3244</v>
      </c>
      <c r="H320" s="81">
        <v>6.0</v>
      </c>
      <c r="I320" s="81">
        <v>30.0</v>
      </c>
      <c r="J320" s="81">
        <v>0.0</v>
      </c>
      <c r="K320" s="81">
        <v>0.0</v>
      </c>
      <c r="L320" s="81">
        <v>1.0</v>
      </c>
      <c r="M320" s="48" t="s">
        <v>3217</v>
      </c>
      <c r="N320" s="81" t="s">
        <v>1609</v>
      </c>
      <c r="O320" s="81" t="s">
        <v>3218</v>
      </c>
      <c r="P320" s="81" t="s">
        <v>335</v>
      </c>
      <c r="Q320" s="46"/>
      <c r="R320" s="46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</row>
    <row r="321" ht="14.25" customHeight="1">
      <c r="A321" s="211">
        <v>14.0</v>
      </c>
      <c r="B321" s="46" t="s">
        <v>3245</v>
      </c>
      <c r="C321" s="46" t="s">
        <v>3241</v>
      </c>
      <c r="D321" s="46"/>
      <c r="E321" s="46"/>
      <c r="F321" s="50"/>
      <c r="G321" s="89" t="s">
        <v>3216</v>
      </c>
      <c r="H321" s="81">
        <v>4.0</v>
      </c>
      <c r="I321" s="81">
        <v>20.0</v>
      </c>
      <c r="J321" s="81">
        <v>0.0</v>
      </c>
      <c r="K321" s="81">
        <v>0.0</v>
      </c>
      <c r="L321" s="81">
        <v>1.0</v>
      </c>
      <c r="M321" s="48" t="s">
        <v>3217</v>
      </c>
      <c r="N321" s="81" t="s">
        <v>1609</v>
      </c>
      <c r="O321" s="81" t="s">
        <v>3218</v>
      </c>
      <c r="P321" s="81" t="s">
        <v>335</v>
      </c>
      <c r="Q321" s="46"/>
      <c r="R321" s="46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</row>
    <row r="322" ht="14.25" customHeight="1">
      <c r="A322" s="211">
        <v>15.0</v>
      </c>
      <c r="B322" s="46" t="s">
        <v>3246</v>
      </c>
      <c r="C322" s="46" t="s">
        <v>3247</v>
      </c>
      <c r="D322" s="46"/>
      <c r="E322" s="46"/>
      <c r="F322" s="50"/>
      <c r="G322" s="89" t="s">
        <v>3248</v>
      </c>
      <c r="H322" s="81">
        <v>5.0</v>
      </c>
      <c r="I322" s="81">
        <v>20.0</v>
      </c>
      <c r="J322" s="81">
        <v>1.0</v>
      </c>
      <c r="K322" s="81">
        <v>1.0</v>
      </c>
      <c r="L322" s="81">
        <v>0.0</v>
      </c>
      <c r="M322" s="48" t="s">
        <v>3217</v>
      </c>
      <c r="N322" s="81" t="s">
        <v>1609</v>
      </c>
      <c r="O322" s="81" t="s">
        <v>3218</v>
      </c>
      <c r="P322" s="81" t="s">
        <v>335</v>
      </c>
      <c r="Q322" s="46"/>
      <c r="R322" s="46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</row>
    <row r="323" ht="14.25" customHeight="1">
      <c r="A323" s="211">
        <v>16.0</v>
      </c>
      <c r="B323" s="46" t="s">
        <v>3249</v>
      </c>
      <c r="C323" s="46" t="s">
        <v>3247</v>
      </c>
      <c r="D323" s="46"/>
      <c r="E323" s="46"/>
      <c r="F323" s="50"/>
      <c r="G323" s="89" t="s">
        <v>3250</v>
      </c>
      <c r="H323" s="81">
        <v>4.0</v>
      </c>
      <c r="I323" s="81">
        <v>20.0</v>
      </c>
      <c r="J323" s="81">
        <v>0.0</v>
      </c>
      <c r="K323" s="81">
        <v>0.0</v>
      </c>
      <c r="L323" s="81">
        <v>1.0</v>
      </c>
      <c r="M323" s="48" t="s">
        <v>3217</v>
      </c>
      <c r="N323" s="81" t="s">
        <v>1609</v>
      </c>
      <c r="O323" s="81" t="s">
        <v>3218</v>
      </c>
      <c r="P323" s="81" t="s">
        <v>335</v>
      </c>
      <c r="Q323" s="46"/>
      <c r="R323" s="46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</row>
    <row r="324" ht="14.25" customHeight="1">
      <c r="A324" s="211">
        <v>17.0</v>
      </c>
      <c r="B324" s="46" t="s">
        <v>3251</v>
      </c>
      <c r="C324" s="46" t="s">
        <v>3247</v>
      </c>
      <c r="D324" s="46"/>
      <c r="E324" s="46"/>
      <c r="F324" s="50"/>
      <c r="G324" s="89" t="s">
        <v>3250</v>
      </c>
      <c r="H324" s="81">
        <v>6.0</v>
      </c>
      <c r="I324" s="81">
        <v>30.0</v>
      </c>
      <c r="J324" s="81">
        <v>0.0</v>
      </c>
      <c r="K324" s="81">
        <v>0.0</v>
      </c>
      <c r="L324" s="81">
        <v>1.0</v>
      </c>
      <c r="M324" s="48" t="s">
        <v>3217</v>
      </c>
      <c r="N324" s="81" t="s">
        <v>1609</v>
      </c>
      <c r="O324" s="81" t="s">
        <v>3218</v>
      </c>
      <c r="P324" s="81" t="s">
        <v>335</v>
      </c>
      <c r="Q324" s="46"/>
      <c r="R324" s="46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  <c r="AD324" s="129"/>
    </row>
    <row r="325" ht="14.25" customHeight="1">
      <c r="A325" s="211">
        <v>18.0</v>
      </c>
      <c r="B325" s="46" t="s">
        <v>3253</v>
      </c>
      <c r="C325" s="46" t="s">
        <v>3252</v>
      </c>
      <c r="D325" s="46"/>
      <c r="E325" s="46"/>
      <c r="F325" s="50"/>
      <c r="G325" s="89" t="s">
        <v>3254</v>
      </c>
      <c r="H325" s="81">
        <v>18.0</v>
      </c>
      <c r="I325" s="81">
        <v>90.0</v>
      </c>
      <c r="J325" s="81">
        <v>1.0</v>
      </c>
      <c r="K325" s="81">
        <v>1.0</v>
      </c>
      <c r="L325" s="81">
        <v>0.0</v>
      </c>
      <c r="M325" s="48" t="s">
        <v>3217</v>
      </c>
      <c r="N325" s="81" t="s">
        <v>1609</v>
      </c>
      <c r="O325" s="81" t="s">
        <v>3218</v>
      </c>
      <c r="P325" s="81" t="s">
        <v>335</v>
      </c>
      <c r="Q325" s="46"/>
      <c r="R325" s="46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  <c r="AD325" s="129"/>
    </row>
    <row r="326" ht="14.25" customHeight="1">
      <c r="A326" s="211">
        <v>19.0</v>
      </c>
      <c r="B326" s="46" t="s">
        <v>3255</v>
      </c>
      <c r="C326" s="46" t="s">
        <v>3252</v>
      </c>
      <c r="D326" s="46"/>
      <c r="E326" s="46"/>
      <c r="F326" s="50"/>
      <c r="G326" s="89" t="s">
        <v>3257</v>
      </c>
      <c r="H326" s="81">
        <v>6.0</v>
      </c>
      <c r="I326" s="81">
        <v>30.0</v>
      </c>
      <c r="J326" s="81">
        <v>1.0</v>
      </c>
      <c r="K326" s="81">
        <v>1.0</v>
      </c>
      <c r="L326" s="81">
        <v>0.0</v>
      </c>
      <c r="M326" s="48" t="s">
        <v>3217</v>
      </c>
      <c r="N326" s="81" t="s">
        <v>1609</v>
      </c>
      <c r="O326" s="81" t="s">
        <v>3218</v>
      </c>
      <c r="P326" s="81" t="s">
        <v>335</v>
      </c>
      <c r="Q326" s="46"/>
      <c r="R326" s="46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  <c r="AD326" s="129"/>
    </row>
    <row r="327" ht="14.25" customHeight="1">
      <c r="A327" s="211">
        <v>20.0</v>
      </c>
      <c r="B327" s="46" t="s">
        <v>3258</v>
      </c>
      <c r="C327" s="46" t="s">
        <v>3256</v>
      </c>
      <c r="D327" s="46"/>
      <c r="E327" s="46"/>
      <c r="F327" s="50"/>
      <c r="G327" s="89" t="s">
        <v>3259</v>
      </c>
      <c r="H327" s="81">
        <v>6.0</v>
      </c>
      <c r="I327" s="81">
        <v>30.0</v>
      </c>
      <c r="J327" s="81">
        <v>0.0</v>
      </c>
      <c r="K327" s="81">
        <v>0.0</v>
      </c>
      <c r="L327" s="81">
        <v>1.0</v>
      </c>
      <c r="M327" s="48" t="s">
        <v>3217</v>
      </c>
      <c r="N327" s="81" t="s">
        <v>1609</v>
      </c>
      <c r="O327" s="81" t="s">
        <v>3218</v>
      </c>
      <c r="P327" s="81" t="s">
        <v>335</v>
      </c>
      <c r="Q327" s="46"/>
      <c r="R327" s="46"/>
      <c r="S327" s="129"/>
      <c r="T327" s="129"/>
      <c r="U327" s="129"/>
      <c r="V327" s="129"/>
      <c r="W327" s="129"/>
      <c r="X327" s="129"/>
      <c r="Y327" s="129"/>
      <c r="Z327" s="129"/>
      <c r="AA327" s="129"/>
      <c r="AB327" s="129"/>
      <c r="AC327" s="129"/>
      <c r="AD327" s="129"/>
    </row>
    <row r="328" ht="14.25" customHeight="1">
      <c r="A328" s="211">
        <v>21.0</v>
      </c>
      <c r="B328" s="46" t="s">
        <v>3260</v>
      </c>
      <c r="C328" s="46" t="s">
        <v>3256</v>
      </c>
      <c r="D328" s="46"/>
      <c r="E328" s="46"/>
      <c r="F328" s="50"/>
      <c r="G328" s="89" t="s">
        <v>3216</v>
      </c>
      <c r="H328" s="81">
        <v>4.0</v>
      </c>
      <c r="I328" s="81">
        <v>20.0</v>
      </c>
      <c r="J328" s="81">
        <v>0.0</v>
      </c>
      <c r="K328" s="81">
        <v>0.0</v>
      </c>
      <c r="L328" s="81">
        <v>1.0</v>
      </c>
      <c r="M328" s="48" t="s">
        <v>3217</v>
      </c>
      <c r="N328" s="81" t="s">
        <v>1609</v>
      </c>
      <c r="O328" s="81" t="s">
        <v>3218</v>
      </c>
      <c r="P328" s="81" t="s">
        <v>335</v>
      </c>
      <c r="Q328" s="46"/>
      <c r="R328" s="46"/>
      <c r="S328" s="129"/>
      <c r="T328" s="129"/>
      <c r="U328" s="129"/>
      <c r="V328" s="129"/>
      <c r="W328" s="129"/>
      <c r="X328" s="129"/>
      <c r="Y328" s="129"/>
      <c r="Z328" s="129"/>
      <c r="AA328" s="129"/>
      <c r="AB328" s="129"/>
      <c r="AC328" s="129"/>
      <c r="AD328" s="129"/>
    </row>
    <row r="329" ht="14.25" customHeight="1">
      <c r="A329" s="211">
        <v>22.0</v>
      </c>
      <c r="B329" s="46" t="s">
        <v>3261</v>
      </c>
      <c r="C329" s="46" t="s">
        <v>3256</v>
      </c>
      <c r="D329" s="46"/>
      <c r="E329" s="46"/>
      <c r="F329" s="50"/>
      <c r="G329" s="89" t="s">
        <v>3233</v>
      </c>
      <c r="H329" s="81">
        <v>4.0</v>
      </c>
      <c r="I329" s="81">
        <v>20.0</v>
      </c>
      <c r="J329" s="81">
        <v>0.0</v>
      </c>
      <c r="K329" s="81">
        <v>0.0</v>
      </c>
      <c r="L329" s="81">
        <v>1.0</v>
      </c>
      <c r="M329" s="48" t="s">
        <v>3217</v>
      </c>
      <c r="N329" s="81" t="s">
        <v>1609</v>
      </c>
      <c r="O329" s="81" t="s">
        <v>3218</v>
      </c>
      <c r="P329" s="81" t="s">
        <v>335</v>
      </c>
      <c r="Q329" s="46"/>
      <c r="R329" s="46"/>
      <c r="S329" s="129"/>
      <c r="T329" s="129"/>
      <c r="U329" s="129"/>
      <c r="V329" s="129"/>
      <c r="W329" s="129"/>
      <c r="X329" s="129"/>
      <c r="Y329" s="129"/>
      <c r="Z329" s="129"/>
      <c r="AA329" s="129"/>
      <c r="AB329" s="129"/>
      <c r="AC329" s="129"/>
      <c r="AD329" s="129"/>
    </row>
    <row r="330" ht="14.25" customHeight="1">
      <c r="A330" s="211">
        <v>23.0</v>
      </c>
      <c r="B330" s="46" t="s">
        <v>3263</v>
      </c>
      <c r="C330" s="46" t="s">
        <v>3262</v>
      </c>
      <c r="D330" s="46"/>
      <c r="E330" s="46"/>
      <c r="F330" s="50"/>
      <c r="G330" s="89" t="s">
        <v>3250</v>
      </c>
      <c r="H330" s="81">
        <v>5.0</v>
      </c>
      <c r="I330" s="81">
        <v>20.0</v>
      </c>
      <c r="J330" s="81">
        <v>0.0</v>
      </c>
      <c r="K330" s="81">
        <v>0.0</v>
      </c>
      <c r="L330" s="81">
        <v>1.0</v>
      </c>
      <c r="M330" s="48" t="s">
        <v>3217</v>
      </c>
      <c r="N330" s="81" t="s">
        <v>1609</v>
      </c>
      <c r="O330" s="81" t="s">
        <v>3218</v>
      </c>
      <c r="P330" s="81" t="s">
        <v>335</v>
      </c>
      <c r="Q330" s="46"/>
      <c r="R330" s="46"/>
      <c r="S330" s="129"/>
      <c r="T330" s="129"/>
      <c r="U330" s="129"/>
      <c r="V330" s="129"/>
      <c r="W330" s="129"/>
      <c r="X330" s="129"/>
      <c r="Y330" s="129"/>
      <c r="Z330" s="129"/>
      <c r="AA330" s="129"/>
      <c r="AB330" s="129"/>
      <c r="AC330" s="129"/>
      <c r="AD330" s="129"/>
    </row>
    <row r="331" ht="14.25" customHeight="1">
      <c r="A331" s="211">
        <v>24.0</v>
      </c>
      <c r="B331" s="46" t="s">
        <v>3264</v>
      </c>
      <c r="C331" s="46" t="s">
        <v>3262</v>
      </c>
      <c r="D331" s="46"/>
      <c r="E331" s="46"/>
      <c r="F331" s="50"/>
      <c r="G331" s="89" t="s">
        <v>3237</v>
      </c>
      <c r="H331" s="81">
        <v>6.0</v>
      </c>
      <c r="I331" s="81">
        <v>30.0</v>
      </c>
      <c r="J331" s="81">
        <v>0.0</v>
      </c>
      <c r="K331" s="81">
        <v>0.0</v>
      </c>
      <c r="L331" s="81">
        <v>1.0</v>
      </c>
      <c r="M331" s="48" t="s">
        <v>3217</v>
      </c>
      <c r="N331" s="81" t="s">
        <v>1609</v>
      </c>
      <c r="O331" s="81" t="s">
        <v>3218</v>
      </c>
      <c r="P331" s="81" t="s">
        <v>335</v>
      </c>
      <c r="Q331" s="46"/>
      <c r="R331" s="46"/>
      <c r="S331" s="129"/>
      <c r="T331" s="129"/>
      <c r="U331" s="129"/>
      <c r="V331" s="129"/>
      <c r="W331" s="129"/>
      <c r="X331" s="129"/>
      <c r="Y331" s="129"/>
      <c r="Z331" s="129"/>
      <c r="AA331" s="129"/>
      <c r="AB331" s="129"/>
      <c r="AC331" s="129"/>
      <c r="AD331" s="129"/>
    </row>
    <row r="332" ht="14.25" customHeight="1">
      <c r="A332" s="211">
        <v>25.0</v>
      </c>
      <c r="B332" s="46" t="s">
        <v>3265</v>
      </c>
      <c r="C332" s="46" t="s">
        <v>3266</v>
      </c>
      <c r="D332" s="46"/>
      <c r="E332" s="46"/>
      <c r="F332" s="50"/>
      <c r="G332" s="89" t="s">
        <v>3250</v>
      </c>
      <c r="H332" s="81">
        <v>5.0</v>
      </c>
      <c r="I332" s="81">
        <v>20.0</v>
      </c>
      <c r="J332" s="81">
        <v>0.0</v>
      </c>
      <c r="K332" s="81">
        <v>0.0</v>
      </c>
      <c r="L332" s="81">
        <v>1.0</v>
      </c>
      <c r="M332" s="48" t="s">
        <v>3217</v>
      </c>
      <c r="N332" s="81" t="s">
        <v>1609</v>
      </c>
      <c r="O332" s="81" t="s">
        <v>3218</v>
      </c>
      <c r="P332" s="81"/>
      <c r="Q332" s="46"/>
      <c r="R332" s="46"/>
      <c r="S332" s="129"/>
      <c r="T332" s="129"/>
      <c r="U332" s="129"/>
      <c r="V332" s="129"/>
      <c r="W332" s="129"/>
      <c r="X332" s="129"/>
      <c r="Y332" s="129"/>
      <c r="Z332" s="129"/>
      <c r="AA332" s="129"/>
      <c r="AB332" s="129"/>
      <c r="AC332" s="129"/>
      <c r="AD332" s="129"/>
    </row>
    <row r="333" ht="14.25" customHeight="1">
      <c r="A333" s="211">
        <v>26.0</v>
      </c>
      <c r="B333" s="46" t="s">
        <v>3267</v>
      </c>
      <c r="C333" s="46" t="s">
        <v>3266</v>
      </c>
      <c r="D333" s="46"/>
      <c r="E333" s="46"/>
      <c r="F333" s="50"/>
      <c r="G333" s="89" t="s">
        <v>3233</v>
      </c>
      <c r="H333" s="81">
        <v>18.0</v>
      </c>
      <c r="I333" s="81">
        <v>90.0</v>
      </c>
      <c r="J333" s="81">
        <v>1.0</v>
      </c>
      <c r="K333" s="81">
        <v>1.0</v>
      </c>
      <c r="L333" s="81">
        <v>0.0</v>
      </c>
      <c r="M333" s="48" t="s">
        <v>3217</v>
      </c>
      <c r="N333" s="81" t="s">
        <v>1609</v>
      </c>
      <c r="O333" s="81" t="s">
        <v>3218</v>
      </c>
      <c r="P333" s="81" t="s">
        <v>335</v>
      </c>
      <c r="Q333" s="46"/>
      <c r="R333" s="46"/>
      <c r="S333" s="129"/>
      <c r="T333" s="129"/>
      <c r="U333" s="129"/>
      <c r="V333" s="129"/>
      <c r="W333" s="129"/>
      <c r="X333" s="129"/>
      <c r="Y333" s="129"/>
      <c r="Z333" s="129"/>
      <c r="AA333" s="129"/>
      <c r="AB333" s="129"/>
      <c r="AC333" s="129"/>
      <c r="AD333" s="129"/>
    </row>
    <row r="334" ht="14.25" customHeight="1">
      <c r="A334" s="211">
        <v>27.0</v>
      </c>
      <c r="B334" s="46" t="s">
        <v>3268</v>
      </c>
      <c r="C334" s="46" t="s">
        <v>3269</v>
      </c>
      <c r="D334" s="46"/>
      <c r="E334" s="46"/>
      <c r="F334" s="50"/>
      <c r="G334" s="89" t="s">
        <v>3233</v>
      </c>
      <c r="H334" s="81">
        <v>10.0</v>
      </c>
      <c r="I334" s="81">
        <v>50.0</v>
      </c>
      <c r="J334" s="81">
        <v>0.0</v>
      </c>
      <c r="K334" s="81">
        <v>0.0</v>
      </c>
      <c r="L334" s="81">
        <v>1.0</v>
      </c>
      <c r="M334" s="48" t="s">
        <v>3217</v>
      </c>
      <c r="N334" s="81" t="s">
        <v>1609</v>
      </c>
      <c r="O334" s="81" t="s">
        <v>3218</v>
      </c>
      <c r="P334" s="81" t="s">
        <v>335</v>
      </c>
      <c r="Q334" s="46"/>
      <c r="R334" s="46"/>
      <c r="S334" s="129"/>
      <c r="T334" s="129"/>
      <c r="U334" s="129"/>
      <c r="V334" s="129"/>
      <c r="W334" s="129"/>
      <c r="X334" s="129"/>
      <c r="Y334" s="129"/>
      <c r="Z334" s="129"/>
      <c r="AA334" s="129"/>
      <c r="AB334" s="129"/>
      <c r="AC334" s="129"/>
      <c r="AD334" s="129"/>
    </row>
    <row r="335" ht="14.25" customHeight="1">
      <c r="A335" s="211">
        <v>28.0</v>
      </c>
      <c r="B335" s="46" t="s">
        <v>3270</v>
      </c>
      <c r="C335" s="46" t="s">
        <v>3269</v>
      </c>
      <c r="D335" s="46"/>
      <c r="E335" s="46"/>
      <c r="F335" s="50"/>
      <c r="G335" s="89" t="s">
        <v>3271</v>
      </c>
      <c r="H335" s="81">
        <v>6.0</v>
      </c>
      <c r="I335" s="81">
        <v>30.0</v>
      </c>
      <c r="J335" s="81">
        <v>0.0</v>
      </c>
      <c r="K335" s="81">
        <v>0.0</v>
      </c>
      <c r="L335" s="81">
        <v>1.0</v>
      </c>
      <c r="M335" s="48" t="s">
        <v>3217</v>
      </c>
      <c r="N335" s="81" t="s">
        <v>1609</v>
      </c>
      <c r="O335" s="81" t="s">
        <v>3218</v>
      </c>
      <c r="P335" s="81" t="s">
        <v>335</v>
      </c>
      <c r="Q335" s="46"/>
      <c r="R335" s="46"/>
      <c r="S335" s="129"/>
      <c r="T335" s="129"/>
      <c r="U335" s="129"/>
      <c r="V335" s="129"/>
      <c r="W335" s="129"/>
      <c r="X335" s="129"/>
      <c r="Y335" s="129"/>
      <c r="Z335" s="129"/>
      <c r="AA335" s="129"/>
      <c r="AB335" s="129"/>
      <c r="AC335" s="129"/>
      <c r="AD335" s="129"/>
    </row>
    <row r="336" ht="14.25" customHeight="1">
      <c r="A336" s="211">
        <v>29.0</v>
      </c>
      <c r="B336" s="46" t="s">
        <v>3272</v>
      </c>
      <c r="C336" s="46" t="s">
        <v>3269</v>
      </c>
      <c r="D336" s="46"/>
      <c r="E336" s="46"/>
      <c r="F336" s="50"/>
      <c r="G336" s="89" t="s">
        <v>3233</v>
      </c>
      <c r="H336" s="81">
        <v>4.0</v>
      </c>
      <c r="I336" s="81">
        <v>20.0</v>
      </c>
      <c r="J336" s="81">
        <v>0.0</v>
      </c>
      <c r="K336" s="81">
        <v>0.0</v>
      </c>
      <c r="L336" s="81">
        <v>1.0</v>
      </c>
      <c r="M336" s="48" t="s">
        <v>3217</v>
      </c>
      <c r="N336" s="81" t="s">
        <v>1609</v>
      </c>
      <c r="O336" s="81" t="s">
        <v>3218</v>
      </c>
      <c r="P336" s="81" t="s">
        <v>335</v>
      </c>
      <c r="Q336" s="46"/>
      <c r="R336" s="46"/>
      <c r="S336" s="129"/>
      <c r="T336" s="129"/>
      <c r="U336" s="129"/>
      <c r="V336" s="129"/>
      <c r="W336" s="129"/>
      <c r="X336" s="129"/>
      <c r="Y336" s="129"/>
      <c r="Z336" s="129"/>
      <c r="AA336" s="129"/>
      <c r="AB336" s="129"/>
      <c r="AC336" s="129"/>
      <c r="AD336" s="129"/>
    </row>
    <row r="337" ht="14.25" customHeight="1">
      <c r="A337" s="211">
        <v>30.0</v>
      </c>
      <c r="B337" s="46" t="s">
        <v>3273</v>
      </c>
      <c r="C337" s="46" t="s">
        <v>3274</v>
      </c>
      <c r="D337" s="46"/>
      <c r="E337" s="46"/>
      <c r="F337" s="50"/>
      <c r="G337" s="89" t="s">
        <v>3233</v>
      </c>
      <c r="H337" s="81">
        <v>4.0</v>
      </c>
      <c r="I337" s="81">
        <v>20.0</v>
      </c>
      <c r="J337" s="81">
        <v>0.0</v>
      </c>
      <c r="K337" s="81">
        <v>0.0</v>
      </c>
      <c r="L337" s="81">
        <v>1.0</v>
      </c>
      <c r="M337" s="48" t="s">
        <v>3217</v>
      </c>
      <c r="N337" s="81" t="s">
        <v>1609</v>
      </c>
      <c r="O337" s="81" t="s">
        <v>3218</v>
      </c>
      <c r="P337" s="81" t="s">
        <v>335</v>
      </c>
      <c r="Q337" s="46"/>
      <c r="R337" s="46"/>
      <c r="S337" s="129"/>
      <c r="T337" s="129"/>
      <c r="U337" s="129"/>
      <c r="V337" s="129"/>
      <c r="W337" s="129"/>
      <c r="X337" s="129"/>
      <c r="Y337" s="129"/>
      <c r="Z337" s="129"/>
      <c r="AA337" s="129"/>
      <c r="AB337" s="129"/>
      <c r="AC337" s="129"/>
      <c r="AD337" s="129"/>
    </row>
    <row r="338" ht="14.25" customHeight="1">
      <c r="A338" s="211">
        <v>31.0</v>
      </c>
      <c r="B338" s="46" t="s">
        <v>3275</v>
      </c>
      <c r="C338" s="46" t="s">
        <v>3274</v>
      </c>
      <c r="D338" s="46"/>
      <c r="E338" s="46"/>
      <c r="F338" s="50"/>
      <c r="G338" s="89" t="s">
        <v>3233</v>
      </c>
      <c r="H338" s="81">
        <v>4.0</v>
      </c>
      <c r="I338" s="81">
        <v>20.0</v>
      </c>
      <c r="J338" s="81">
        <v>0.0</v>
      </c>
      <c r="K338" s="81">
        <v>0.0</v>
      </c>
      <c r="L338" s="81">
        <v>1.0</v>
      </c>
      <c r="M338" s="48" t="s">
        <v>3217</v>
      </c>
      <c r="N338" s="81" t="s">
        <v>1609</v>
      </c>
      <c r="O338" s="81" t="s">
        <v>3218</v>
      </c>
      <c r="P338" s="81" t="s">
        <v>335</v>
      </c>
      <c r="Q338" s="46"/>
      <c r="R338" s="46"/>
      <c r="S338" s="129"/>
      <c r="T338" s="129"/>
      <c r="U338" s="129"/>
      <c r="V338" s="129"/>
      <c r="W338" s="129"/>
      <c r="X338" s="129"/>
      <c r="Y338" s="129"/>
      <c r="Z338" s="129"/>
      <c r="AA338" s="129"/>
      <c r="AB338" s="129"/>
      <c r="AC338" s="129"/>
      <c r="AD338" s="129"/>
    </row>
    <row r="339" ht="14.25" customHeight="1">
      <c r="A339" s="211">
        <v>32.0</v>
      </c>
      <c r="B339" s="46" t="s">
        <v>3276</v>
      </c>
      <c r="C339" s="46" t="s">
        <v>3277</v>
      </c>
      <c r="D339" s="46"/>
      <c r="E339" s="46"/>
      <c r="F339" s="50"/>
      <c r="G339" s="89" t="s">
        <v>3250</v>
      </c>
      <c r="H339" s="81">
        <v>4.0</v>
      </c>
      <c r="I339" s="81">
        <v>20.0</v>
      </c>
      <c r="J339" s="81">
        <v>1.0</v>
      </c>
      <c r="K339" s="81">
        <v>1.0</v>
      </c>
      <c r="L339" s="81">
        <v>0.0</v>
      </c>
      <c r="M339" s="48" t="s">
        <v>3217</v>
      </c>
      <c r="N339" s="81" t="s">
        <v>1609</v>
      </c>
      <c r="O339" s="81" t="s">
        <v>3218</v>
      </c>
      <c r="P339" s="81" t="s">
        <v>335</v>
      </c>
      <c r="Q339" s="46"/>
      <c r="R339" s="46"/>
      <c r="S339" s="129"/>
      <c r="T339" s="129"/>
      <c r="U339" s="129"/>
      <c r="V339" s="129"/>
      <c r="W339" s="129"/>
      <c r="X339" s="129"/>
      <c r="Y339" s="129"/>
      <c r="Z339" s="129"/>
      <c r="AA339" s="129"/>
      <c r="AB339" s="129"/>
      <c r="AC339" s="129"/>
      <c r="AD339" s="129"/>
    </row>
    <row r="340" ht="14.25" customHeight="1">
      <c r="A340" s="211">
        <v>33.0</v>
      </c>
      <c r="B340" s="46" t="s">
        <v>3278</v>
      </c>
      <c r="C340" s="46" t="s">
        <v>3277</v>
      </c>
      <c r="D340" s="46"/>
      <c r="E340" s="46"/>
      <c r="F340" s="50"/>
      <c r="G340" s="89" t="s">
        <v>3220</v>
      </c>
      <c r="H340" s="81">
        <v>6.0</v>
      </c>
      <c r="I340" s="81">
        <v>30.0</v>
      </c>
      <c r="J340" s="81">
        <v>0.0</v>
      </c>
      <c r="K340" s="81">
        <v>0.0</v>
      </c>
      <c r="L340" s="81">
        <v>1.0</v>
      </c>
      <c r="M340" s="48" t="s">
        <v>3217</v>
      </c>
      <c r="N340" s="81" t="s">
        <v>1609</v>
      </c>
      <c r="O340" s="81" t="s">
        <v>3218</v>
      </c>
      <c r="P340" s="81" t="s">
        <v>335</v>
      </c>
      <c r="Q340" s="46"/>
      <c r="R340" s="46"/>
      <c r="S340" s="129"/>
      <c r="T340" s="129"/>
      <c r="U340" s="129"/>
      <c r="V340" s="129"/>
      <c r="W340" s="129"/>
      <c r="X340" s="129"/>
      <c r="Y340" s="129"/>
      <c r="Z340" s="129"/>
      <c r="AA340" s="129"/>
      <c r="AB340" s="129"/>
      <c r="AC340" s="129"/>
      <c r="AD340" s="129"/>
    </row>
    <row r="341" ht="14.25" customHeight="1">
      <c r="A341" s="211">
        <v>34.0</v>
      </c>
      <c r="B341" s="46" t="s">
        <v>3279</v>
      </c>
      <c r="C341" s="46" t="s">
        <v>3280</v>
      </c>
      <c r="D341" s="46"/>
      <c r="E341" s="46"/>
      <c r="F341" s="50"/>
      <c r="G341" s="89" t="s">
        <v>3233</v>
      </c>
      <c r="H341" s="81">
        <v>4.0</v>
      </c>
      <c r="I341" s="81">
        <v>20.0</v>
      </c>
      <c r="J341" s="81">
        <v>0.0</v>
      </c>
      <c r="K341" s="81">
        <v>0.0</v>
      </c>
      <c r="L341" s="81">
        <v>1.0</v>
      </c>
      <c r="M341" s="48" t="s">
        <v>3217</v>
      </c>
      <c r="N341" s="81" t="s">
        <v>1609</v>
      </c>
      <c r="O341" s="81" t="s">
        <v>3218</v>
      </c>
      <c r="P341" s="81" t="s">
        <v>335</v>
      </c>
      <c r="Q341" s="46"/>
      <c r="R341" s="46"/>
      <c r="S341" s="129"/>
      <c r="T341" s="129"/>
      <c r="U341" s="129"/>
      <c r="V341" s="129"/>
      <c r="W341" s="129"/>
      <c r="X341" s="129"/>
      <c r="Y341" s="129"/>
      <c r="Z341" s="129"/>
      <c r="AA341" s="129"/>
      <c r="AB341" s="129"/>
      <c r="AC341" s="129"/>
      <c r="AD341" s="129"/>
    </row>
    <row r="342" ht="14.25" customHeight="1">
      <c r="A342" s="211">
        <v>35.0</v>
      </c>
      <c r="B342" s="46" t="s">
        <v>3281</v>
      </c>
      <c r="C342" s="46" t="s">
        <v>3280</v>
      </c>
      <c r="D342" s="46"/>
      <c r="E342" s="46"/>
      <c r="F342" s="50"/>
      <c r="G342" s="89" t="s">
        <v>3233</v>
      </c>
      <c r="H342" s="81">
        <v>4.0</v>
      </c>
      <c r="I342" s="81">
        <v>20.0</v>
      </c>
      <c r="J342" s="81">
        <v>0.0</v>
      </c>
      <c r="K342" s="81">
        <v>0.0</v>
      </c>
      <c r="L342" s="81">
        <v>1.0</v>
      </c>
      <c r="M342" s="48" t="s">
        <v>3217</v>
      </c>
      <c r="N342" s="81" t="s">
        <v>1609</v>
      </c>
      <c r="O342" s="81" t="s">
        <v>3218</v>
      </c>
      <c r="P342" s="81" t="s">
        <v>335</v>
      </c>
      <c r="Q342" s="46"/>
      <c r="R342" s="46"/>
      <c r="S342" s="129"/>
      <c r="T342" s="129"/>
      <c r="U342" s="129"/>
      <c r="V342" s="129"/>
      <c r="W342" s="129"/>
      <c r="X342" s="129"/>
      <c r="Y342" s="129"/>
      <c r="Z342" s="129"/>
      <c r="AA342" s="129"/>
      <c r="AB342" s="129"/>
      <c r="AC342" s="129"/>
      <c r="AD342" s="129"/>
    </row>
    <row r="343" ht="14.25" customHeight="1">
      <c r="A343" s="211">
        <v>36.0</v>
      </c>
      <c r="B343" s="46" t="s">
        <v>3282</v>
      </c>
      <c r="C343" s="46" t="s">
        <v>3283</v>
      </c>
      <c r="D343" s="46"/>
      <c r="E343" s="46"/>
      <c r="F343" s="50"/>
      <c r="G343" s="89" t="s">
        <v>3250</v>
      </c>
      <c r="H343" s="81">
        <v>4.0</v>
      </c>
      <c r="I343" s="81">
        <v>20.0</v>
      </c>
      <c r="J343" s="81">
        <v>0.0</v>
      </c>
      <c r="K343" s="81">
        <v>0.0</v>
      </c>
      <c r="L343" s="81">
        <v>1.0</v>
      </c>
      <c r="M343" s="48" t="s">
        <v>3217</v>
      </c>
      <c r="N343" s="81" t="s">
        <v>1609</v>
      </c>
      <c r="O343" s="81" t="s">
        <v>3218</v>
      </c>
      <c r="P343" s="81"/>
      <c r="Q343" s="46"/>
      <c r="R343" s="46"/>
      <c r="S343" s="129"/>
      <c r="T343" s="129"/>
      <c r="U343" s="129"/>
      <c r="V343" s="129"/>
      <c r="W343" s="129"/>
      <c r="X343" s="129"/>
      <c r="Y343" s="129"/>
      <c r="Z343" s="129"/>
      <c r="AA343" s="129"/>
      <c r="AB343" s="129"/>
      <c r="AC343" s="129"/>
      <c r="AD343" s="129"/>
    </row>
    <row r="344" ht="14.25" customHeight="1">
      <c r="A344" s="211">
        <v>37.0</v>
      </c>
      <c r="B344" s="46" t="s">
        <v>3284</v>
      </c>
      <c r="C344" s="46" t="s">
        <v>3283</v>
      </c>
      <c r="D344" s="46"/>
      <c r="E344" s="46"/>
      <c r="F344" s="50"/>
      <c r="G344" s="89" t="s">
        <v>3220</v>
      </c>
      <c r="H344" s="81">
        <v>4.0</v>
      </c>
      <c r="I344" s="81">
        <v>20.0</v>
      </c>
      <c r="J344" s="81">
        <v>0.0</v>
      </c>
      <c r="K344" s="81">
        <v>0.0</v>
      </c>
      <c r="L344" s="81">
        <v>1.0</v>
      </c>
      <c r="M344" s="48" t="s">
        <v>3217</v>
      </c>
      <c r="N344" s="81" t="s">
        <v>1609</v>
      </c>
      <c r="O344" s="81" t="s">
        <v>3218</v>
      </c>
      <c r="P344" s="81" t="s">
        <v>335</v>
      </c>
      <c r="Q344" s="46"/>
      <c r="R344" s="46"/>
      <c r="S344" s="129"/>
      <c r="T344" s="129"/>
      <c r="U344" s="129"/>
      <c r="V344" s="129"/>
      <c r="W344" s="129"/>
      <c r="X344" s="129"/>
      <c r="Y344" s="129"/>
      <c r="Z344" s="129"/>
      <c r="AA344" s="129"/>
      <c r="AB344" s="129"/>
      <c r="AC344" s="129"/>
      <c r="AD344" s="129"/>
    </row>
    <row r="345" ht="14.25" customHeight="1">
      <c r="A345" s="211">
        <v>38.0</v>
      </c>
      <c r="B345" s="46" t="s">
        <v>3285</v>
      </c>
      <c r="C345" s="46" t="s">
        <v>3286</v>
      </c>
      <c r="D345" s="46"/>
      <c r="E345" s="46"/>
      <c r="F345" s="50"/>
      <c r="G345" s="89" t="s">
        <v>3287</v>
      </c>
      <c r="H345" s="81">
        <v>50.0</v>
      </c>
      <c r="I345" s="81">
        <v>250.0</v>
      </c>
      <c r="J345" s="81">
        <v>2.0</v>
      </c>
      <c r="K345" s="81">
        <v>2.0</v>
      </c>
      <c r="L345" s="81">
        <v>0.0</v>
      </c>
      <c r="M345" s="48" t="s">
        <v>3217</v>
      </c>
      <c r="N345" s="81" t="s">
        <v>1609</v>
      </c>
      <c r="O345" s="81" t="s">
        <v>3218</v>
      </c>
      <c r="P345" s="81" t="s">
        <v>335</v>
      </c>
      <c r="Q345" s="46"/>
      <c r="R345" s="46"/>
      <c r="S345" s="129"/>
      <c r="T345" s="129"/>
      <c r="U345" s="129"/>
      <c r="V345" s="129"/>
      <c r="W345" s="129"/>
      <c r="X345" s="129"/>
      <c r="Y345" s="129"/>
      <c r="Z345" s="129"/>
      <c r="AA345" s="129"/>
      <c r="AB345" s="129"/>
      <c r="AC345" s="129"/>
      <c r="AD345" s="129"/>
    </row>
    <row r="346" ht="14.25" customHeight="1">
      <c r="A346" s="211">
        <v>39.0</v>
      </c>
      <c r="B346" s="46" t="s">
        <v>3288</v>
      </c>
      <c r="C346" s="46" t="s">
        <v>3286</v>
      </c>
      <c r="D346" s="46"/>
      <c r="E346" s="46"/>
      <c r="F346" s="50"/>
      <c r="G346" s="89" t="s">
        <v>3287</v>
      </c>
      <c r="H346" s="81">
        <v>40.0</v>
      </c>
      <c r="I346" s="81">
        <v>200.0</v>
      </c>
      <c r="J346" s="81">
        <v>3.0</v>
      </c>
      <c r="K346" s="81">
        <v>3.0</v>
      </c>
      <c r="L346" s="81">
        <v>0.0</v>
      </c>
      <c r="M346" s="48" t="s">
        <v>3217</v>
      </c>
      <c r="N346" s="81" t="s">
        <v>1609</v>
      </c>
      <c r="O346" s="81" t="s">
        <v>3218</v>
      </c>
      <c r="P346" s="81" t="s">
        <v>335</v>
      </c>
      <c r="Q346" s="46"/>
      <c r="R346" s="46"/>
      <c r="S346" s="129"/>
      <c r="T346" s="129"/>
      <c r="U346" s="129"/>
      <c r="V346" s="129"/>
      <c r="W346" s="129"/>
      <c r="X346" s="129"/>
      <c r="Y346" s="129"/>
      <c r="Z346" s="129"/>
      <c r="AA346" s="129"/>
      <c r="AB346" s="129"/>
      <c r="AC346" s="129"/>
      <c r="AD346" s="129"/>
    </row>
    <row r="347" ht="14.25" customHeight="1">
      <c r="A347" s="211">
        <v>40.0</v>
      </c>
      <c r="B347" s="46" t="s">
        <v>43</v>
      </c>
      <c r="C347" s="46" t="s">
        <v>3286</v>
      </c>
      <c r="D347" s="46"/>
      <c r="E347" s="46"/>
      <c r="F347" s="50"/>
      <c r="G347" s="89" t="s">
        <v>3289</v>
      </c>
      <c r="H347" s="48">
        <v>40.0</v>
      </c>
      <c r="I347" s="81">
        <v>200.0</v>
      </c>
      <c r="J347" s="48">
        <v>6.0</v>
      </c>
      <c r="K347" s="48">
        <v>4.0</v>
      </c>
      <c r="L347" s="81">
        <v>0.0</v>
      </c>
      <c r="M347" s="48" t="s">
        <v>3217</v>
      </c>
      <c r="N347" s="81" t="s">
        <v>1609</v>
      </c>
      <c r="O347" s="48" t="s">
        <v>3290</v>
      </c>
      <c r="P347" s="81" t="s">
        <v>66</v>
      </c>
      <c r="Q347" s="48">
        <v>20.0</v>
      </c>
      <c r="R347" s="46"/>
      <c r="S347" s="129"/>
      <c r="T347" s="129"/>
      <c r="U347" s="129"/>
      <c r="V347" s="129"/>
      <c r="W347" s="129"/>
      <c r="X347" s="129"/>
      <c r="Y347" s="129"/>
      <c r="Z347" s="129"/>
      <c r="AA347" s="129"/>
      <c r="AB347" s="129"/>
      <c r="AC347" s="129"/>
      <c r="AD347" s="129"/>
    </row>
    <row r="348" ht="14.25" customHeight="1">
      <c r="A348" s="211">
        <v>41.0</v>
      </c>
      <c r="B348" s="46" t="s">
        <v>3291</v>
      </c>
      <c r="C348" s="46" t="s">
        <v>3292</v>
      </c>
      <c r="D348" s="46"/>
      <c r="E348" s="46"/>
      <c r="F348" s="50"/>
      <c r="G348" s="89" t="s">
        <v>3250</v>
      </c>
      <c r="H348" s="81">
        <v>4.0</v>
      </c>
      <c r="I348" s="81">
        <v>20.0</v>
      </c>
      <c r="J348" s="81">
        <v>0.0</v>
      </c>
      <c r="K348" s="81">
        <v>0.0</v>
      </c>
      <c r="L348" s="81">
        <v>1.0</v>
      </c>
      <c r="M348" s="48" t="s">
        <v>3217</v>
      </c>
      <c r="N348" s="81" t="s">
        <v>1609</v>
      </c>
      <c r="O348" s="81" t="s">
        <v>3218</v>
      </c>
      <c r="P348" s="81"/>
      <c r="Q348" s="46"/>
      <c r="R348" s="46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</row>
    <row r="349" ht="14.25" customHeight="1">
      <c r="A349" s="211">
        <v>42.0</v>
      </c>
      <c r="B349" s="46" t="s">
        <v>3293</v>
      </c>
      <c r="C349" s="46" t="s">
        <v>3292</v>
      </c>
      <c r="D349" s="46"/>
      <c r="E349" s="46"/>
      <c r="F349" s="50"/>
      <c r="G349" s="89" t="s">
        <v>3220</v>
      </c>
      <c r="H349" s="81">
        <v>6.0</v>
      </c>
      <c r="I349" s="81">
        <v>30.0</v>
      </c>
      <c r="J349" s="81">
        <v>0.0</v>
      </c>
      <c r="K349" s="81">
        <v>0.0</v>
      </c>
      <c r="L349" s="81">
        <v>1.0</v>
      </c>
      <c r="M349" s="48" t="s">
        <v>3217</v>
      </c>
      <c r="N349" s="81" t="s">
        <v>1609</v>
      </c>
      <c r="O349" s="81" t="s">
        <v>3218</v>
      </c>
      <c r="P349" s="81" t="s">
        <v>335</v>
      </c>
      <c r="Q349" s="46"/>
      <c r="R349" s="46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</row>
    <row r="350" ht="14.25" customHeight="1">
      <c r="A350" s="211">
        <v>43.0</v>
      </c>
      <c r="B350" s="46" t="s">
        <v>3294</v>
      </c>
      <c r="C350" s="46" t="s">
        <v>3295</v>
      </c>
      <c r="D350" s="46"/>
      <c r="E350" s="46"/>
      <c r="F350" s="50"/>
      <c r="G350" s="89" t="s">
        <v>3220</v>
      </c>
      <c r="H350" s="81">
        <v>6.0</v>
      </c>
      <c r="I350" s="81">
        <v>30.0</v>
      </c>
      <c r="J350" s="81">
        <v>0.0</v>
      </c>
      <c r="K350" s="81">
        <v>0.0</v>
      </c>
      <c r="L350" s="81">
        <v>1.0</v>
      </c>
      <c r="M350" s="48" t="s">
        <v>3217</v>
      </c>
      <c r="N350" s="81" t="s">
        <v>1609</v>
      </c>
      <c r="O350" s="81" t="s">
        <v>3218</v>
      </c>
      <c r="P350" s="81" t="s">
        <v>335</v>
      </c>
      <c r="Q350" s="46"/>
      <c r="R350" s="46"/>
      <c r="S350" s="129"/>
      <c r="T350" s="129"/>
      <c r="U350" s="129"/>
      <c r="V350" s="129"/>
      <c r="W350" s="129"/>
      <c r="X350" s="129"/>
      <c r="Y350" s="129"/>
      <c r="Z350" s="129"/>
      <c r="AA350" s="129"/>
      <c r="AB350" s="129"/>
      <c r="AC350" s="129"/>
      <c r="AD350" s="129"/>
    </row>
    <row r="351" ht="14.25" customHeight="1">
      <c r="A351" s="211">
        <v>44.0</v>
      </c>
      <c r="B351" s="46" t="s">
        <v>3296</v>
      </c>
      <c r="C351" s="46" t="s">
        <v>3295</v>
      </c>
      <c r="D351" s="46"/>
      <c r="E351" s="46"/>
      <c r="F351" s="50"/>
      <c r="G351" s="89" t="s">
        <v>3250</v>
      </c>
      <c r="H351" s="81">
        <v>4.0</v>
      </c>
      <c r="I351" s="81">
        <v>20.0</v>
      </c>
      <c r="J351" s="81">
        <v>0.0</v>
      </c>
      <c r="K351" s="81">
        <v>0.0</v>
      </c>
      <c r="L351" s="81">
        <v>1.0</v>
      </c>
      <c r="M351" s="48" t="s">
        <v>3217</v>
      </c>
      <c r="N351" s="81" t="s">
        <v>1609</v>
      </c>
      <c r="O351" s="81" t="s">
        <v>3218</v>
      </c>
      <c r="P351" s="81"/>
      <c r="Q351" s="46"/>
      <c r="R351" s="46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</row>
    <row r="352" ht="14.25" customHeight="1">
      <c r="A352" s="211">
        <v>45.0</v>
      </c>
      <c r="B352" s="46" t="s">
        <v>3297</v>
      </c>
      <c r="C352" s="46" t="s">
        <v>3295</v>
      </c>
      <c r="D352" s="46"/>
      <c r="E352" s="46"/>
      <c r="F352" s="50"/>
      <c r="G352" s="89" t="s">
        <v>3233</v>
      </c>
      <c r="H352" s="81">
        <v>18.0</v>
      </c>
      <c r="I352" s="81">
        <v>90.0</v>
      </c>
      <c r="J352" s="81">
        <v>1.0</v>
      </c>
      <c r="K352" s="81">
        <v>1.0</v>
      </c>
      <c r="L352" s="81">
        <v>0.0</v>
      </c>
      <c r="M352" s="48" t="s">
        <v>3217</v>
      </c>
      <c r="N352" s="81" t="s">
        <v>1609</v>
      </c>
      <c r="O352" s="81" t="s">
        <v>3218</v>
      </c>
      <c r="P352" s="81" t="s">
        <v>335</v>
      </c>
      <c r="Q352" s="46"/>
      <c r="R352" s="46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</row>
    <row r="353" ht="14.25" customHeight="1">
      <c r="A353" s="211">
        <v>46.0</v>
      </c>
      <c r="B353" s="46" t="s">
        <v>3298</v>
      </c>
      <c r="C353" s="46" t="s">
        <v>3299</v>
      </c>
      <c r="D353" s="46"/>
      <c r="E353" s="46"/>
      <c r="F353" s="50"/>
      <c r="G353" s="89" t="s">
        <v>3233</v>
      </c>
      <c r="H353" s="81">
        <v>12.0</v>
      </c>
      <c r="I353" s="81">
        <v>60.0</v>
      </c>
      <c r="J353" s="81">
        <v>1.0</v>
      </c>
      <c r="K353" s="81">
        <v>1.0</v>
      </c>
      <c r="L353" s="81">
        <v>0.0</v>
      </c>
      <c r="M353" s="48" t="s">
        <v>3217</v>
      </c>
      <c r="N353" s="81" t="s">
        <v>1609</v>
      </c>
      <c r="O353" s="81" t="s">
        <v>3218</v>
      </c>
      <c r="P353" s="81" t="s">
        <v>335</v>
      </c>
      <c r="Q353" s="46"/>
      <c r="R353" s="46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</row>
    <row r="354" ht="14.25" customHeight="1">
      <c r="A354" s="211">
        <v>47.0</v>
      </c>
      <c r="B354" s="46" t="s">
        <v>3300</v>
      </c>
      <c r="C354" s="46" t="s">
        <v>3299</v>
      </c>
      <c r="D354" s="46"/>
      <c r="E354" s="46"/>
      <c r="F354" s="50"/>
      <c r="G354" s="89" t="s">
        <v>3233</v>
      </c>
      <c r="H354" s="81">
        <v>12.0</v>
      </c>
      <c r="I354" s="81">
        <v>60.0</v>
      </c>
      <c r="J354" s="81">
        <v>1.0</v>
      </c>
      <c r="K354" s="81">
        <v>1.0</v>
      </c>
      <c r="L354" s="81">
        <v>0.0</v>
      </c>
      <c r="M354" s="48" t="s">
        <v>3217</v>
      </c>
      <c r="N354" s="81" t="s">
        <v>1609</v>
      </c>
      <c r="O354" s="81" t="s">
        <v>3218</v>
      </c>
      <c r="P354" s="81" t="s">
        <v>335</v>
      </c>
      <c r="Q354" s="46"/>
      <c r="R354" s="46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</row>
    <row r="355" ht="14.25" customHeight="1">
      <c r="A355" s="211">
        <v>48.0</v>
      </c>
      <c r="B355" s="46" t="s">
        <v>777</v>
      </c>
      <c r="C355" s="46" t="s">
        <v>3301</v>
      </c>
      <c r="D355" s="46"/>
      <c r="E355" s="46"/>
      <c r="F355" s="50"/>
      <c r="G355" s="89" t="s">
        <v>3233</v>
      </c>
      <c r="H355" s="81">
        <v>4.0</v>
      </c>
      <c r="I355" s="81">
        <v>20.0</v>
      </c>
      <c r="J355" s="81">
        <v>0.0</v>
      </c>
      <c r="K355" s="81">
        <v>0.0</v>
      </c>
      <c r="L355" s="81">
        <v>1.0</v>
      </c>
      <c r="M355" s="48" t="s">
        <v>3217</v>
      </c>
      <c r="N355" s="81" t="s">
        <v>1609</v>
      </c>
      <c r="O355" s="81" t="s">
        <v>3218</v>
      </c>
      <c r="P355" s="81" t="s">
        <v>335</v>
      </c>
      <c r="Q355" s="46"/>
      <c r="R355" s="46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</row>
    <row r="356" ht="14.25" customHeight="1">
      <c r="A356" s="211">
        <v>49.0</v>
      </c>
      <c r="B356" s="46" t="s">
        <v>1814</v>
      </c>
      <c r="C356" s="46" t="s">
        <v>3301</v>
      </c>
      <c r="D356" s="46"/>
      <c r="E356" s="46"/>
      <c r="F356" s="50"/>
      <c r="G356" s="89" t="s">
        <v>3220</v>
      </c>
      <c r="H356" s="81">
        <v>4.0</v>
      </c>
      <c r="I356" s="81">
        <v>20.0</v>
      </c>
      <c r="J356" s="81">
        <v>0.0</v>
      </c>
      <c r="K356" s="81">
        <v>0.0</v>
      </c>
      <c r="L356" s="81">
        <v>1.0</v>
      </c>
      <c r="M356" s="48" t="s">
        <v>3217</v>
      </c>
      <c r="N356" s="81" t="s">
        <v>1609</v>
      </c>
      <c r="O356" s="81" t="s">
        <v>3218</v>
      </c>
      <c r="P356" s="81" t="s">
        <v>335</v>
      </c>
      <c r="Q356" s="46"/>
      <c r="R356" s="46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</row>
    <row r="357" ht="14.25" customHeight="1">
      <c r="A357" s="211">
        <v>50.0</v>
      </c>
      <c r="B357" s="46" t="s">
        <v>749</v>
      </c>
      <c r="C357" s="46" t="s">
        <v>3302</v>
      </c>
      <c r="D357" s="46"/>
      <c r="E357" s="46"/>
      <c r="F357" s="50"/>
      <c r="G357" s="89" t="s">
        <v>3220</v>
      </c>
      <c r="H357" s="81">
        <v>4.0</v>
      </c>
      <c r="I357" s="81">
        <v>20.0</v>
      </c>
      <c r="J357" s="81">
        <v>0.0</v>
      </c>
      <c r="K357" s="81">
        <v>0.0</v>
      </c>
      <c r="L357" s="81">
        <v>1.0</v>
      </c>
      <c r="M357" s="48" t="s">
        <v>3217</v>
      </c>
      <c r="N357" s="81" t="s">
        <v>1609</v>
      </c>
      <c r="O357" s="81" t="s">
        <v>3218</v>
      </c>
      <c r="P357" s="81" t="s">
        <v>335</v>
      </c>
      <c r="Q357" s="46"/>
      <c r="R357" s="46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</row>
    <row r="358" ht="14.25" customHeight="1">
      <c r="A358" s="211">
        <v>51.0</v>
      </c>
      <c r="B358" s="46" t="s">
        <v>3303</v>
      </c>
      <c r="C358" s="46" t="s">
        <v>3302</v>
      </c>
      <c r="D358" s="46"/>
      <c r="E358" s="46"/>
      <c r="F358" s="50"/>
      <c r="G358" s="89" t="s">
        <v>3220</v>
      </c>
      <c r="H358" s="81">
        <v>4.0</v>
      </c>
      <c r="I358" s="81">
        <v>20.0</v>
      </c>
      <c r="J358" s="81">
        <v>0.0</v>
      </c>
      <c r="K358" s="81">
        <v>0.0</v>
      </c>
      <c r="L358" s="81">
        <v>1.0</v>
      </c>
      <c r="M358" s="48" t="s">
        <v>3217</v>
      </c>
      <c r="N358" s="81" t="s">
        <v>1609</v>
      </c>
      <c r="O358" s="81" t="s">
        <v>3218</v>
      </c>
      <c r="P358" s="81" t="s">
        <v>335</v>
      </c>
      <c r="Q358" s="46"/>
      <c r="R358" s="46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</row>
    <row r="359" ht="14.25" customHeight="1">
      <c r="A359" s="211">
        <v>52.0</v>
      </c>
      <c r="B359" s="46" t="s">
        <v>3304</v>
      </c>
      <c r="C359" s="46" t="s">
        <v>3305</v>
      </c>
      <c r="D359" s="46"/>
      <c r="E359" s="46"/>
      <c r="F359" s="50"/>
      <c r="G359" s="89" t="s">
        <v>3233</v>
      </c>
      <c r="H359" s="81">
        <v>4.0</v>
      </c>
      <c r="I359" s="81">
        <v>20.0</v>
      </c>
      <c r="J359" s="81">
        <v>1.0</v>
      </c>
      <c r="K359" s="81">
        <v>1.0</v>
      </c>
      <c r="L359" s="81">
        <v>0.0</v>
      </c>
      <c r="M359" s="48" t="s">
        <v>3217</v>
      </c>
      <c r="N359" s="81" t="s">
        <v>1609</v>
      </c>
      <c r="O359" s="81" t="s">
        <v>3218</v>
      </c>
      <c r="P359" s="81" t="s">
        <v>335</v>
      </c>
      <c r="Q359" s="46"/>
      <c r="R359" s="46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</row>
    <row r="360" ht="14.25" customHeight="1">
      <c r="A360" s="211">
        <v>53.0</v>
      </c>
      <c r="B360" s="46" t="s">
        <v>3306</v>
      </c>
      <c r="C360" s="46" t="s">
        <v>3305</v>
      </c>
      <c r="D360" s="46"/>
      <c r="E360" s="46"/>
      <c r="F360" s="50"/>
      <c r="G360" s="89" t="s">
        <v>3250</v>
      </c>
      <c r="H360" s="81">
        <v>4.0</v>
      </c>
      <c r="I360" s="81">
        <v>20.0</v>
      </c>
      <c r="J360" s="81">
        <v>0.0</v>
      </c>
      <c r="K360" s="81">
        <v>0.0</v>
      </c>
      <c r="L360" s="81">
        <v>1.0</v>
      </c>
      <c r="M360" s="48" t="s">
        <v>3217</v>
      </c>
      <c r="N360" s="81" t="s">
        <v>1609</v>
      </c>
      <c r="O360" s="81" t="s">
        <v>3218</v>
      </c>
      <c r="P360" s="81"/>
      <c r="Q360" s="46"/>
      <c r="R360" s="46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</row>
    <row r="361" ht="14.25" customHeight="1">
      <c r="A361" s="211">
        <v>54.0</v>
      </c>
      <c r="B361" s="46" t="s">
        <v>3307</v>
      </c>
      <c r="C361" s="46" t="s">
        <v>3305</v>
      </c>
      <c r="D361" s="46"/>
      <c r="E361" s="46"/>
      <c r="F361" s="50"/>
      <c r="G361" s="89" t="s">
        <v>3237</v>
      </c>
      <c r="H361" s="81">
        <v>4.0</v>
      </c>
      <c r="I361" s="81">
        <v>20.0</v>
      </c>
      <c r="J361" s="81">
        <v>0.0</v>
      </c>
      <c r="K361" s="81">
        <v>0.0</v>
      </c>
      <c r="L361" s="81">
        <v>1.0</v>
      </c>
      <c r="M361" s="48" t="s">
        <v>3217</v>
      </c>
      <c r="N361" s="81" t="s">
        <v>1609</v>
      </c>
      <c r="O361" s="81" t="s">
        <v>3218</v>
      </c>
      <c r="P361" s="81" t="s">
        <v>335</v>
      </c>
      <c r="Q361" s="46"/>
      <c r="R361" s="46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</row>
    <row r="362" ht="14.25" customHeight="1">
      <c r="A362" s="211">
        <v>55.0</v>
      </c>
      <c r="B362" s="46" t="s">
        <v>1563</v>
      </c>
      <c r="C362" s="46" t="s">
        <v>3308</v>
      </c>
      <c r="D362" s="46"/>
      <c r="E362" s="46"/>
      <c r="F362" s="50"/>
      <c r="G362" s="89" t="s">
        <v>3237</v>
      </c>
      <c r="H362" s="81">
        <v>4.0</v>
      </c>
      <c r="I362" s="81">
        <v>20.0</v>
      </c>
      <c r="J362" s="81">
        <v>0.0</v>
      </c>
      <c r="K362" s="81">
        <v>0.0</v>
      </c>
      <c r="L362" s="81">
        <v>1.0</v>
      </c>
      <c r="M362" s="48" t="s">
        <v>3217</v>
      </c>
      <c r="N362" s="81" t="s">
        <v>1609</v>
      </c>
      <c r="O362" s="81" t="s">
        <v>3218</v>
      </c>
      <c r="P362" s="81"/>
      <c r="Q362" s="46"/>
      <c r="R362" s="46"/>
      <c r="S362" s="129"/>
      <c r="T362" s="129"/>
      <c r="U362" s="129"/>
      <c r="V362" s="129"/>
      <c r="W362" s="129"/>
      <c r="X362" s="129"/>
      <c r="Y362" s="129"/>
      <c r="Z362" s="129"/>
      <c r="AA362" s="129"/>
      <c r="AB362" s="129"/>
      <c r="AC362" s="129"/>
      <c r="AD362" s="129"/>
    </row>
    <row r="363" ht="14.25" customHeight="1">
      <c r="A363" s="211">
        <v>56.0</v>
      </c>
      <c r="B363" s="46" t="s">
        <v>3309</v>
      </c>
      <c r="C363" s="46" t="s">
        <v>3308</v>
      </c>
      <c r="D363" s="46"/>
      <c r="E363" s="46"/>
      <c r="F363" s="50"/>
      <c r="G363" s="89" t="s">
        <v>3250</v>
      </c>
      <c r="H363" s="81">
        <v>4.0</v>
      </c>
      <c r="I363" s="81">
        <v>20.0</v>
      </c>
      <c r="J363" s="81">
        <v>1.0</v>
      </c>
      <c r="K363" s="81">
        <v>1.0</v>
      </c>
      <c r="L363" s="81">
        <v>0.0</v>
      </c>
      <c r="M363" s="48" t="s">
        <v>3217</v>
      </c>
      <c r="N363" s="81" t="s">
        <v>1609</v>
      </c>
      <c r="O363" s="81" t="s">
        <v>3218</v>
      </c>
      <c r="P363" s="81" t="s">
        <v>335</v>
      </c>
      <c r="Q363" s="46"/>
      <c r="R363" s="46"/>
      <c r="S363" s="129"/>
      <c r="T363" s="129"/>
      <c r="U363" s="129"/>
      <c r="V363" s="129"/>
      <c r="W363" s="129"/>
      <c r="X363" s="129"/>
      <c r="Y363" s="129"/>
      <c r="Z363" s="129"/>
      <c r="AA363" s="129"/>
      <c r="AB363" s="129"/>
      <c r="AC363" s="129"/>
      <c r="AD363" s="129"/>
    </row>
    <row r="364" ht="14.25" customHeight="1">
      <c r="A364" s="211">
        <v>57.0</v>
      </c>
      <c r="B364" s="46" t="s">
        <v>3310</v>
      </c>
      <c r="C364" s="46" t="s">
        <v>3311</v>
      </c>
      <c r="D364" s="46"/>
      <c r="E364" s="46"/>
      <c r="F364" s="50"/>
      <c r="G364" s="89" t="s">
        <v>3312</v>
      </c>
      <c r="H364" s="81">
        <v>2.0</v>
      </c>
      <c r="I364" s="81">
        <v>10.0</v>
      </c>
      <c r="J364" s="81">
        <v>0.0</v>
      </c>
      <c r="K364" s="81">
        <v>0.0</v>
      </c>
      <c r="L364" s="81">
        <v>1.0</v>
      </c>
      <c r="M364" s="48" t="s">
        <v>3217</v>
      </c>
      <c r="N364" s="81" t="s">
        <v>1609</v>
      </c>
      <c r="O364" s="81" t="s">
        <v>3218</v>
      </c>
      <c r="P364" s="81" t="s">
        <v>335</v>
      </c>
      <c r="Q364" s="46"/>
      <c r="R364" s="46"/>
      <c r="S364" s="129"/>
      <c r="T364" s="129"/>
      <c r="U364" s="129"/>
      <c r="V364" s="129"/>
      <c r="W364" s="129"/>
      <c r="X364" s="129"/>
      <c r="Y364" s="129"/>
      <c r="Z364" s="129"/>
      <c r="AA364" s="129"/>
      <c r="AB364" s="129"/>
      <c r="AC364" s="129"/>
      <c r="AD364" s="129"/>
    </row>
    <row r="365" ht="14.25" customHeight="1">
      <c r="A365" s="211">
        <v>58.0</v>
      </c>
      <c r="B365" s="46" t="s">
        <v>3313</v>
      </c>
      <c r="C365" s="46" t="s">
        <v>3311</v>
      </c>
      <c r="D365" s="46"/>
      <c r="E365" s="46"/>
      <c r="F365" s="50"/>
      <c r="G365" s="89" t="s">
        <v>3250</v>
      </c>
      <c r="H365" s="81">
        <v>4.0</v>
      </c>
      <c r="I365" s="81">
        <v>20.0</v>
      </c>
      <c r="J365" s="81">
        <v>0.0</v>
      </c>
      <c r="K365" s="81">
        <v>0.0</v>
      </c>
      <c r="L365" s="81">
        <v>1.0</v>
      </c>
      <c r="M365" s="48" t="s">
        <v>3217</v>
      </c>
      <c r="N365" s="81" t="s">
        <v>1609</v>
      </c>
      <c r="O365" s="81" t="s">
        <v>3218</v>
      </c>
      <c r="P365" s="81"/>
      <c r="Q365" s="46"/>
      <c r="R365" s="46"/>
      <c r="S365" s="129"/>
      <c r="T365" s="129"/>
      <c r="U365" s="129"/>
      <c r="V365" s="129"/>
      <c r="W365" s="129"/>
      <c r="X365" s="129"/>
      <c r="Y365" s="129"/>
      <c r="Z365" s="129"/>
      <c r="AA365" s="129"/>
      <c r="AB365" s="129"/>
      <c r="AC365" s="129"/>
      <c r="AD365" s="129"/>
    </row>
    <row r="366" ht="14.25" customHeight="1">
      <c r="A366" s="211">
        <v>59.0</v>
      </c>
      <c r="B366" s="46" t="s">
        <v>3314</v>
      </c>
      <c r="C366" s="46" t="s">
        <v>3311</v>
      </c>
      <c r="D366" s="46"/>
      <c r="E366" s="46"/>
      <c r="F366" s="50"/>
      <c r="G366" s="89" t="s">
        <v>3233</v>
      </c>
      <c r="H366" s="81">
        <v>18.0</v>
      </c>
      <c r="I366" s="81">
        <v>90.0</v>
      </c>
      <c r="J366" s="81">
        <v>1.0</v>
      </c>
      <c r="K366" s="81">
        <v>1.0</v>
      </c>
      <c r="L366" s="81">
        <v>0.0</v>
      </c>
      <c r="M366" s="48" t="s">
        <v>3217</v>
      </c>
      <c r="N366" s="81" t="s">
        <v>1609</v>
      </c>
      <c r="O366" s="81" t="s">
        <v>3218</v>
      </c>
      <c r="P366" s="81" t="s">
        <v>335</v>
      </c>
      <c r="Q366" s="46"/>
      <c r="R366" s="46"/>
      <c r="S366" s="129"/>
      <c r="T366" s="129"/>
      <c r="U366" s="129"/>
      <c r="V366" s="129"/>
      <c r="W366" s="129"/>
      <c r="X366" s="129"/>
      <c r="Y366" s="129"/>
      <c r="Z366" s="129"/>
      <c r="AA366" s="129"/>
      <c r="AB366" s="129"/>
      <c r="AC366" s="129"/>
      <c r="AD366" s="129"/>
    </row>
    <row r="367" ht="14.25" customHeight="1">
      <c r="A367" s="211">
        <v>60.0</v>
      </c>
      <c r="B367" s="46" t="s">
        <v>3315</v>
      </c>
      <c r="C367" s="46" t="s">
        <v>3316</v>
      </c>
      <c r="D367" s="46"/>
      <c r="E367" s="46"/>
      <c r="F367" s="50"/>
      <c r="G367" s="89" t="s">
        <v>3250</v>
      </c>
      <c r="H367" s="81">
        <v>4.0</v>
      </c>
      <c r="I367" s="81">
        <v>20.0</v>
      </c>
      <c r="J367" s="81">
        <v>1.0</v>
      </c>
      <c r="K367" s="81">
        <v>1.0</v>
      </c>
      <c r="L367" s="81">
        <v>0.0</v>
      </c>
      <c r="M367" s="48" t="s">
        <v>3217</v>
      </c>
      <c r="N367" s="81" t="s">
        <v>1609</v>
      </c>
      <c r="O367" s="81" t="s">
        <v>3218</v>
      </c>
      <c r="P367" s="81" t="s">
        <v>335</v>
      </c>
      <c r="Q367" s="46"/>
      <c r="R367" s="46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  <c r="AD367" s="129"/>
    </row>
    <row r="368" ht="14.25" customHeight="1">
      <c r="A368" s="211">
        <v>61.0</v>
      </c>
      <c r="B368" s="46" t="s">
        <v>3317</v>
      </c>
      <c r="C368" s="46" t="s">
        <v>3316</v>
      </c>
      <c r="D368" s="46"/>
      <c r="E368" s="46"/>
      <c r="F368" s="50"/>
      <c r="G368" s="89" t="s">
        <v>3220</v>
      </c>
      <c r="H368" s="81">
        <v>6.0</v>
      </c>
      <c r="I368" s="81">
        <v>30.0</v>
      </c>
      <c r="J368" s="81">
        <v>0.0</v>
      </c>
      <c r="K368" s="81">
        <v>0.0</v>
      </c>
      <c r="L368" s="81">
        <v>1.0</v>
      </c>
      <c r="M368" s="48" t="s">
        <v>3217</v>
      </c>
      <c r="N368" s="81" t="s">
        <v>1609</v>
      </c>
      <c r="O368" s="81" t="s">
        <v>3218</v>
      </c>
      <c r="P368" s="81" t="s">
        <v>335</v>
      </c>
      <c r="Q368" s="46"/>
      <c r="R368" s="46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  <c r="AD368" s="129"/>
    </row>
    <row r="369" ht="14.25" customHeight="1">
      <c r="A369" s="211">
        <v>62.0</v>
      </c>
      <c r="B369" s="46" t="s">
        <v>3318</v>
      </c>
      <c r="C369" s="46" t="s">
        <v>3319</v>
      </c>
      <c r="D369" s="46"/>
      <c r="E369" s="46"/>
      <c r="F369" s="50"/>
      <c r="G369" s="89" t="s">
        <v>3250</v>
      </c>
      <c r="H369" s="81">
        <v>4.0</v>
      </c>
      <c r="I369" s="81">
        <v>20.0</v>
      </c>
      <c r="J369" s="81">
        <v>1.0</v>
      </c>
      <c r="K369" s="81">
        <v>1.0</v>
      </c>
      <c r="L369" s="81">
        <v>0.0</v>
      </c>
      <c r="M369" s="48" t="s">
        <v>3217</v>
      </c>
      <c r="N369" s="81" t="s">
        <v>1609</v>
      </c>
      <c r="O369" s="81" t="s">
        <v>3218</v>
      </c>
      <c r="P369" s="81" t="s">
        <v>335</v>
      </c>
      <c r="Q369" s="46"/>
      <c r="R369" s="46"/>
      <c r="S369" s="129"/>
      <c r="T369" s="129"/>
      <c r="U369" s="129"/>
      <c r="V369" s="129"/>
      <c r="W369" s="129"/>
      <c r="X369" s="129"/>
      <c r="Y369" s="129"/>
      <c r="Z369" s="129"/>
      <c r="AA369" s="129"/>
      <c r="AB369" s="129"/>
      <c r="AC369" s="129"/>
      <c r="AD369" s="129"/>
    </row>
    <row r="370" ht="14.25" customHeight="1">
      <c r="A370" s="211">
        <v>63.0</v>
      </c>
      <c r="B370" s="46" t="s">
        <v>3320</v>
      </c>
      <c r="C370" s="46" t="s">
        <v>3319</v>
      </c>
      <c r="D370" s="46"/>
      <c r="E370" s="46"/>
      <c r="F370" s="50"/>
      <c r="G370" s="89" t="s">
        <v>3321</v>
      </c>
      <c r="H370" s="81">
        <v>4.0</v>
      </c>
      <c r="I370" s="81">
        <v>20.0</v>
      </c>
      <c r="J370" s="81">
        <v>0.0</v>
      </c>
      <c r="K370" s="81">
        <v>0.0</v>
      </c>
      <c r="L370" s="81">
        <v>1.0</v>
      </c>
      <c r="M370" s="48" t="s">
        <v>3217</v>
      </c>
      <c r="N370" s="81" t="s">
        <v>1609</v>
      </c>
      <c r="O370" s="81" t="s">
        <v>3218</v>
      </c>
      <c r="P370" s="81" t="s">
        <v>335</v>
      </c>
      <c r="Q370" s="46"/>
      <c r="R370" s="46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  <c r="AD370" s="129"/>
    </row>
    <row r="371" ht="14.25" customHeight="1">
      <c r="A371" s="211">
        <v>64.0</v>
      </c>
      <c r="B371" s="46" t="s">
        <v>3322</v>
      </c>
      <c r="C371" s="46" t="s">
        <v>3323</v>
      </c>
      <c r="D371" s="46"/>
      <c r="E371" s="46"/>
      <c r="F371" s="50"/>
      <c r="G371" s="89" t="s">
        <v>3220</v>
      </c>
      <c r="H371" s="81">
        <v>4.0</v>
      </c>
      <c r="I371" s="81">
        <v>20.0</v>
      </c>
      <c r="J371" s="81">
        <v>0.0</v>
      </c>
      <c r="K371" s="81">
        <v>0.0</v>
      </c>
      <c r="L371" s="81">
        <v>1.0</v>
      </c>
      <c r="M371" s="48" t="s">
        <v>3217</v>
      </c>
      <c r="N371" s="81" t="s">
        <v>1609</v>
      </c>
      <c r="O371" s="81" t="s">
        <v>3218</v>
      </c>
      <c r="P371" s="81" t="s">
        <v>335</v>
      </c>
      <c r="Q371" s="46"/>
      <c r="R371" s="46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  <c r="AD371" s="129"/>
    </row>
    <row r="372" ht="14.25" customHeight="1">
      <c r="A372" s="211">
        <v>65.0</v>
      </c>
      <c r="B372" s="46" t="s">
        <v>3324</v>
      </c>
      <c r="C372" s="46" t="s">
        <v>3323</v>
      </c>
      <c r="D372" s="46"/>
      <c r="E372" s="46"/>
      <c r="F372" s="50"/>
      <c r="G372" s="89" t="s">
        <v>3287</v>
      </c>
      <c r="H372" s="81">
        <v>4.0</v>
      </c>
      <c r="I372" s="81">
        <v>20.0</v>
      </c>
      <c r="J372" s="81">
        <v>0.0</v>
      </c>
      <c r="K372" s="81">
        <v>0.0</v>
      </c>
      <c r="L372" s="81">
        <v>1.0</v>
      </c>
      <c r="M372" s="48" t="s">
        <v>3217</v>
      </c>
      <c r="N372" s="81" t="s">
        <v>1609</v>
      </c>
      <c r="O372" s="81" t="s">
        <v>3218</v>
      </c>
      <c r="P372" s="81" t="s">
        <v>335</v>
      </c>
      <c r="Q372" s="46"/>
      <c r="R372" s="46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  <c r="AD372" s="129"/>
    </row>
    <row r="373" ht="15.75" customHeight="1">
      <c r="A373" s="181"/>
      <c r="B373" s="182" t="s">
        <v>3325</v>
      </c>
      <c r="C373" s="182"/>
      <c r="D373" s="182"/>
      <c r="E373" s="182"/>
      <c r="F373" s="403"/>
      <c r="G373" s="404"/>
      <c r="H373" s="182"/>
      <c r="I373" s="182"/>
      <c r="J373" s="91"/>
      <c r="K373" s="91"/>
      <c r="L373" s="91"/>
      <c r="M373" s="91"/>
      <c r="N373" s="91"/>
      <c r="O373" s="91"/>
      <c r="P373" s="182"/>
      <c r="Q373" s="91"/>
      <c r="R373" s="218"/>
      <c r="S373" s="405"/>
      <c r="T373" s="405"/>
      <c r="U373" s="405"/>
      <c r="V373" s="405"/>
      <c r="W373" s="405"/>
      <c r="X373" s="405"/>
      <c r="Y373" s="405"/>
      <c r="Z373" s="405"/>
      <c r="AA373" s="405"/>
      <c r="AB373" s="405"/>
      <c r="AC373" s="405"/>
      <c r="AD373" s="405"/>
    </row>
    <row r="374" ht="14.25" customHeight="1">
      <c r="A374" s="211">
        <v>1.0</v>
      </c>
      <c r="B374" s="27" t="s">
        <v>7032</v>
      </c>
      <c r="C374" s="27" t="s">
        <v>7033</v>
      </c>
      <c r="D374" s="27"/>
      <c r="E374" s="27"/>
      <c r="F374" s="38"/>
      <c r="G374" s="95">
        <v>234.0</v>
      </c>
      <c r="H374" s="61">
        <v>80.0</v>
      </c>
      <c r="I374" s="61">
        <v>400.0</v>
      </c>
      <c r="J374" s="61">
        <v>2.0</v>
      </c>
      <c r="K374" s="61">
        <v>2.0</v>
      </c>
      <c r="L374" s="61">
        <v>0.0</v>
      </c>
      <c r="M374" s="27" t="s">
        <v>523</v>
      </c>
      <c r="N374" s="27" t="s">
        <v>39</v>
      </c>
      <c r="O374" s="27" t="s">
        <v>39</v>
      </c>
      <c r="P374" s="27" t="s">
        <v>29</v>
      </c>
      <c r="Q374" s="27" t="s">
        <v>39</v>
      </c>
      <c r="R374" s="46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  <c r="AD374" s="129"/>
    </row>
    <row r="375" ht="14.25" customHeight="1">
      <c r="A375" s="211">
        <v>2.0</v>
      </c>
      <c r="B375" s="25" t="s">
        <v>7034</v>
      </c>
      <c r="C375" s="25" t="s">
        <v>7035</v>
      </c>
      <c r="D375" s="25"/>
      <c r="E375" s="25"/>
      <c r="F375" s="39"/>
      <c r="G375" s="408">
        <v>1003.0</v>
      </c>
      <c r="H375" s="63">
        <v>50.0</v>
      </c>
      <c r="I375" s="63">
        <v>250.0</v>
      </c>
      <c r="J375" s="63">
        <v>2.0</v>
      </c>
      <c r="K375" s="63">
        <v>2.0</v>
      </c>
      <c r="L375" s="63">
        <v>0.0</v>
      </c>
      <c r="M375" s="25" t="s">
        <v>523</v>
      </c>
      <c r="N375" s="25" t="s">
        <v>39</v>
      </c>
      <c r="O375" s="25" t="s">
        <v>39</v>
      </c>
      <c r="P375" s="25" t="s">
        <v>29</v>
      </c>
      <c r="Q375" s="25" t="s">
        <v>39</v>
      </c>
      <c r="R375" s="46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  <c r="AD375" s="129"/>
    </row>
    <row r="376" ht="14.25" customHeight="1">
      <c r="A376" s="211">
        <v>3.0</v>
      </c>
      <c r="B376" s="27" t="s">
        <v>7036</v>
      </c>
      <c r="C376" s="27" t="s">
        <v>7037</v>
      </c>
      <c r="D376" s="27"/>
      <c r="E376" s="27"/>
      <c r="F376" s="38"/>
      <c r="G376" s="95">
        <v>5764.0</v>
      </c>
      <c r="H376" s="61">
        <v>60.0</v>
      </c>
      <c r="I376" s="61">
        <v>300.0</v>
      </c>
      <c r="J376" s="61">
        <v>2.0</v>
      </c>
      <c r="K376" s="61">
        <v>2.0</v>
      </c>
      <c r="L376" s="61">
        <v>0.0</v>
      </c>
      <c r="M376" s="27" t="s">
        <v>523</v>
      </c>
      <c r="N376" s="27" t="s">
        <v>39</v>
      </c>
      <c r="O376" s="27" t="s">
        <v>39</v>
      </c>
      <c r="P376" s="27" t="s">
        <v>29</v>
      </c>
      <c r="Q376" s="27" t="s">
        <v>39</v>
      </c>
      <c r="R376" s="46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  <c r="AD376" s="129"/>
    </row>
    <row r="377" ht="14.25" customHeight="1">
      <c r="A377" s="211">
        <v>4.0</v>
      </c>
      <c r="B377" s="25" t="s">
        <v>7038</v>
      </c>
      <c r="C377" s="25" t="s">
        <v>7037</v>
      </c>
      <c r="D377" s="25"/>
      <c r="E377" s="25"/>
      <c r="F377" s="39"/>
      <c r="G377" s="408">
        <v>3300.0</v>
      </c>
      <c r="H377" s="63">
        <v>50.0</v>
      </c>
      <c r="I377" s="63">
        <v>250.0</v>
      </c>
      <c r="J377" s="63">
        <v>3.0</v>
      </c>
      <c r="K377" s="63">
        <v>3.0</v>
      </c>
      <c r="L377" s="63">
        <v>0.0</v>
      </c>
      <c r="M377" s="25" t="s">
        <v>523</v>
      </c>
      <c r="N377" s="25" t="s">
        <v>39</v>
      </c>
      <c r="O377" s="25" t="s">
        <v>39</v>
      </c>
      <c r="P377" s="25" t="s">
        <v>29</v>
      </c>
      <c r="Q377" s="25" t="s">
        <v>39</v>
      </c>
      <c r="R377" s="46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  <c r="AD377" s="129"/>
    </row>
    <row r="378" ht="14.25" customHeight="1">
      <c r="A378" s="211">
        <v>5.0</v>
      </c>
      <c r="B378" s="27" t="s">
        <v>7039</v>
      </c>
      <c r="C378" s="27" t="s">
        <v>7040</v>
      </c>
      <c r="D378" s="27"/>
      <c r="E378" s="27"/>
      <c r="F378" s="38"/>
      <c r="G378" s="95">
        <v>16238.0</v>
      </c>
      <c r="H378" s="61">
        <v>100.0</v>
      </c>
      <c r="I378" s="61">
        <v>500.0</v>
      </c>
      <c r="J378" s="61">
        <v>3.0</v>
      </c>
      <c r="K378" s="61">
        <v>3.0</v>
      </c>
      <c r="L378" s="61">
        <v>0.0</v>
      </c>
      <c r="M378" s="27" t="s">
        <v>523</v>
      </c>
      <c r="N378" s="27" t="s">
        <v>39</v>
      </c>
      <c r="O378" s="27" t="s">
        <v>39</v>
      </c>
      <c r="P378" s="27" t="s">
        <v>29</v>
      </c>
      <c r="Q378" s="27" t="s">
        <v>39</v>
      </c>
      <c r="R378" s="46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  <c r="AD378" s="129"/>
    </row>
    <row r="379" ht="14.25" customHeight="1">
      <c r="A379" s="211">
        <v>6.0</v>
      </c>
      <c r="B379" s="25" t="s">
        <v>7041</v>
      </c>
      <c r="C379" s="25" t="s">
        <v>7042</v>
      </c>
      <c r="D379" s="25"/>
      <c r="E379" s="25"/>
      <c r="F379" s="39"/>
      <c r="G379" s="408">
        <v>479.0</v>
      </c>
      <c r="H379" s="63">
        <v>20.0</v>
      </c>
      <c r="I379" s="63">
        <v>100.0</v>
      </c>
      <c r="J379" s="63">
        <v>1.0</v>
      </c>
      <c r="K379" s="63">
        <v>1.0</v>
      </c>
      <c r="L379" s="63">
        <v>0.0</v>
      </c>
      <c r="M379" s="25" t="s">
        <v>523</v>
      </c>
      <c r="N379" s="25" t="s">
        <v>39</v>
      </c>
      <c r="O379" s="25" t="s">
        <v>39</v>
      </c>
      <c r="P379" s="25" t="s">
        <v>29</v>
      </c>
      <c r="Q379" s="25" t="s">
        <v>39</v>
      </c>
      <c r="R379" s="46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  <c r="AD379" s="129"/>
    </row>
    <row r="380" ht="14.25" customHeight="1">
      <c r="A380" s="211">
        <v>7.0</v>
      </c>
      <c r="B380" s="27" t="s">
        <v>7043</v>
      </c>
      <c r="C380" s="27" t="s">
        <v>7044</v>
      </c>
      <c r="D380" s="27"/>
      <c r="E380" s="27"/>
      <c r="F380" s="38"/>
      <c r="G380" s="95">
        <v>3595.0</v>
      </c>
      <c r="H380" s="61">
        <v>20.0</v>
      </c>
      <c r="I380" s="61">
        <v>100.0</v>
      </c>
      <c r="J380" s="61">
        <v>1.0</v>
      </c>
      <c r="K380" s="61">
        <v>1.0</v>
      </c>
      <c r="L380" s="61">
        <v>0.0</v>
      </c>
      <c r="M380" s="27" t="s">
        <v>523</v>
      </c>
      <c r="N380" s="27" t="s">
        <v>39</v>
      </c>
      <c r="O380" s="27" t="s">
        <v>39</v>
      </c>
      <c r="P380" s="27" t="s">
        <v>29</v>
      </c>
      <c r="Q380" s="27" t="s">
        <v>39</v>
      </c>
      <c r="R380" s="46"/>
      <c r="S380" s="129"/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  <c r="AD380" s="129"/>
    </row>
    <row r="381" ht="14.25" customHeight="1">
      <c r="A381" s="211">
        <v>8.0</v>
      </c>
      <c r="B381" s="25" t="s">
        <v>7045</v>
      </c>
      <c r="C381" s="25" t="s">
        <v>7046</v>
      </c>
      <c r="D381" s="25"/>
      <c r="E381" s="25"/>
      <c r="F381" s="39"/>
      <c r="G381" s="408">
        <v>6835.0</v>
      </c>
      <c r="H381" s="63">
        <v>40.0</v>
      </c>
      <c r="I381" s="63">
        <v>200.0</v>
      </c>
      <c r="J381" s="63">
        <v>2.0</v>
      </c>
      <c r="K381" s="63">
        <v>2.0</v>
      </c>
      <c r="L381" s="63">
        <v>0.0</v>
      </c>
      <c r="M381" s="25" t="s">
        <v>523</v>
      </c>
      <c r="N381" s="25" t="s">
        <v>39</v>
      </c>
      <c r="O381" s="25" t="s">
        <v>39</v>
      </c>
      <c r="P381" s="25" t="s">
        <v>29</v>
      </c>
      <c r="Q381" s="25" t="s">
        <v>39</v>
      </c>
      <c r="R381" s="46"/>
      <c r="S381" s="129"/>
      <c r="T381" s="129"/>
      <c r="U381" s="129"/>
      <c r="V381" s="129"/>
      <c r="W381" s="129"/>
      <c r="X381" s="129"/>
      <c r="Y381" s="129"/>
      <c r="Z381" s="129"/>
      <c r="AA381" s="129"/>
      <c r="AB381" s="129"/>
      <c r="AC381" s="129"/>
      <c r="AD381" s="129"/>
    </row>
    <row r="382" ht="14.25" customHeight="1">
      <c r="A382" s="211">
        <v>9.0</v>
      </c>
      <c r="B382" s="27" t="s">
        <v>7047</v>
      </c>
      <c r="C382" s="27" t="s">
        <v>7046</v>
      </c>
      <c r="D382" s="27"/>
      <c r="E382" s="27"/>
      <c r="F382" s="38"/>
      <c r="G382" s="95">
        <v>4577.0</v>
      </c>
      <c r="H382" s="61">
        <v>40.0</v>
      </c>
      <c r="I382" s="61">
        <v>200.0</v>
      </c>
      <c r="J382" s="61">
        <v>2.0</v>
      </c>
      <c r="K382" s="61">
        <v>2.0</v>
      </c>
      <c r="L382" s="61">
        <v>0.0</v>
      </c>
      <c r="M382" s="27" t="s">
        <v>523</v>
      </c>
      <c r="N382" s="27" t="s">
        <v>39</v>
      </c>
      <c r="O382" s="27" t="s">
        <v>39</v>
      </c>
      <c r="P382" s="27" t="s">
        <v>29</v>
      </c>
      <c r="Q382" s="27" t="s">
        <v>39</v>
      </c>
      <c r="R382" s="46"/>
      <c r="S382" s="129"/>
      <c r="T382" s="129"/>
      <c r="U382" s="129"/>
      <c r="V382" s="129"/>
      <c r="W382" s="129"/>
      <c r="X382" s="129"/>
      <c r="Y382" s="129"/>
      <c r="Z382" s="129"/>
      <c r="AA382" s="129"/>
      <c r="AB382" s="129"/>
      <c r="AC382" s="129"/>
      <c r="AD382" s="129"/>
    </row>
    <row r="383" ht="14.25" customHeight="1">
      <c r="A383" s="211">
        <v>10.0</v>
      </c>
      <c r="B383" s="25" t="s">
        <v>7048</v>
      </c>
      <c r="C383" s="25" t="s">
        <v>7046</v>
      </c>
      <c r="D383" s="25"/>
      <c r="E383" s="25"/>
      <c r="F383" s="39"/>
      <c r="G383" s="408">
        <v>2346.0</v>
      </c>
      <c r="H383" s="63">
        <v>100.0</v>
      </c>
      <c r="I383" s="63">
        <v>500.0</v>
      </c>
      <c r="J383" s="63" t="s">
        <v>39</v>
      </c>
      <c r="K383" s="63" t="s">
        <v>39</v>
      </c>
      <c r="L383" s="63" t="s">
        <v>39</v>
      </c>
      <c r="M383" s="25" t="s">
        <v>523</v>
      </c>
      <c r="N383" s="25" t="s">
        <v>39</v>
      </c>
      <c r="O383" s="25" t="s">
        <v>39</v>
      </c>
      <c r="P383" s="25" t="s">
        <v>29</v>
      </c>
      <c r="Q383" s="25" t="s">
        <v>39</v>
      </c>
      <c r="R383" s="46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  <c r="AD383" s="129"/>
    </row>
    <row r="384" ht="14.25" customHeight="1">
      <c r="A384" s="211">
        <v>11.0</v>
      </c>
      <c r="B384" s="27" t="s">
        <v>7049</v>
      </c>
      <c r="C384" s="27" t="s">
        <v>7044</v>
      </c>
      <c r="D384" s="27"/>
      <c r="E384" s="27"/>
      <c r="F384" s="38"/>
      <c r="G384" s="95">
        <v>908.0</v>
      </c>
      <c r="H384" s="61">
        <v>30.0</v>
      </c>
      <c r="I384" s="61">
        <v>150.0</v>
      </c>
      <c r="J384" s="61">
        <v>2.0</v>
      </c>
      <c r="K384" s="61">
        <v>2.0</v>
      </c>
      <c r="L384" s="61">
        <v>0.0</v>
      </c>
      <c r="M384" s="27" t="s">
        <v>523</v>
      </c>
      <c r="N384" s="27" t="s">
        <v>39</v>
      </c>
      <c r="O384" s="27" t="s">
        <v>39</v>
      </c>
      <c r="P384" s="27" t="s">
        <v>29</v>
      </c>
      <c r="Q384" s="27" t="s">
        <v>39</v>
      </c>
      <c r="R384" s="46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  <c r="AD384" s="129"/>
    </row>
    <row r="385" ht="14.25" customHeight="1">
      <c r="A385" s="211">
        <v>12.0</v>
      </c>
      <c r="B385" s="25" t="s">
        <v>3331</v>
      </c>
      <c r="C385" s="25" t="s">
        <v>7050</v>
      </c>
      <c r="D385" s="25"/>
      <c r="E385" s="25"/>
      <c r="F385" s="39"/>
      <c r="G385" s="408">
        <v>1000.0</v>
      </c>
      <c r="H385" s="63">
        <v>100.0</v>
      </c>
      <c r="I385" s="63">
        <v>500.0</v>
      </c>
      <c r="J385" s="63">
        <v>4.0</v>
      </c>
      <c r="K385" s="63">
        <v>4.0</v>
      </c>
      <c r="L385" s="63">
        <v>0.0</v>
      </c>
      <c r="M385" s="25" t="s">
        <v>39</v>
      </c>
      <c r="N385" s="25" t="s">
        <v>954</v>
      </c>
      <c r="O385" s="63">
        <v>500.0</v>
      </c>
      <c r="P385" s="25" t="s">
        <v>66</v>
      </c>
      <c r="Q385" s="63">
        <v>30.0</v>
      </c>
      <c r="R385" s="46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  <c r="AD385" s="129"/>
    </row>
    <row r="386" ht="14.25" customHeight="1">
      <c r="A386" s="211">
        <v>13.0</v>
      </c>
      <c r="B386" s="27" t="s">
        <v>3335</v>
      </c>
      <c r="C386" s="27" t="s">
        <v>3336</v>
      </c>
      <c r="D386" s="27"/>
      <c r="E386" s="27"/>
      <c r="F386" s="38"/>
      <c r="G386" s="95">
        <v>1000.0</v>
      </c>
      <c r="H386" s="61">
        <v>100.0</v>
      </c>
      <c r="I386" s="61">
        <v>500.0</v>
      </c>
      <c r="J386" s="61">
        <v>4.0</v>
      </c>
      <c r="K386" s="61">
        <v>4.0</v>
      </c>
      <c r="L386" s="61">
        <v>0.0</v>
      </c>
      <c r="M386" s="27" t="s">
        <v>523</v>
      </c>
      <c r="N386" s="27" t="s">
        <v>39</v>
      </c>
      <c r="O386" s="61">
        <v>500.0</v>
      </c>
      <c r="P386" s="27" t="s">
        <v>66</v>
      </c>
      <c r="Q386" s="61">
        <v>30.0</v>
      </c>
      <c r="R386" s="46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</row>
    <row r="387" ht="14.25" customHeight="1">
      <c r="A387" s="211">
        <v>14.0</v>
      </c>
      <c r="B387" s="25" t="s">
        <v>3338</v>
      </c>
      <c r="C387" s="25" t="s">
        <v>3339</v>
      </c>
      <c r="D387" s="25"/>
      <c r="E387" s="25"/>
      <c r="F387" s="39"/>
      <c r="G387" s="408">
        <v>1000.0</v>
      </c>
      <c r="H387" s="63">
        <v>100.0</v>
      </c>
      <c r="I387" s="63">
        <v>500.0</v>
      </c>
      <c r="J387" s="63">
        <v>4.0</v>
      </c>
      <c r="K387" s="63">
        <v>4.0</v>
      </c>
      <c r="L387" s="63">
        <v>0.0</v>
      </c>
      <c r="M387" s="25" t="s">
        <v>523</v>
      </c>
      <c r="N387" s="25" t="s">
        <v>39</v>
      </c>
      <c r="O387" s="63">
        <v>500.0</v>
      </c>
      <c r="P387" s="25" t="s">
        <v>66</v>
      </c>
      <c r="Q387" s="63">
        <v>15.0</v>
      </c>
      <c r="R387" s="46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</row>
    <row r="388" ht="15.75" customHeight="1">
      <c r="A388" s="181"/>
      <c r="B388" s="182" t="s">
        <v>3341</v>
      </c>
      <c r="C388" s="182"/>
      <c r="D388" s="182"/>
      <c r="E388" s="182"/>
      <c r="F388" s="403"/>
      <c r="G388" s="404"/>
      <c r="H388" s="182"/>
      <c r="I388" s="182"/>
      <c r="J388" s="91"/>
      <c r="K388" s="91"/>
      <c r="L388" s="91"/>
      <c r="M388" s="91"/>
      <c r="N388" s="91"/>
      <c r="O388" s="91"/>
      <c r="P388" s="182"/>
      <c r="Q388" s="91"/>
      <c r="R388" s="218"/>
      <c r="S388" s="405"/>
      <c r="T388" s="405"/>
      <c r="U388" s="405"/>
      <c r="V388" s="405"/>
      <c r="W388" s="405"/>
      <c r="X388" s="405"/>
      <c r="Y388" s="405"/>
      <c r="Z388" s="405"/>
      <c r="AA388" s="405"/>
      <c r="AB388" s="405"/>
      <c r="AC388" s="405"/>
      <c r="AD388" s="405"/>
    </row>
    <row r="389" ht="43.5" customHeight="1">
      <c r="A389" s="211">
        <v>1.0</v>
      </c>
      <c r="B389" s="52" t="s">
        <v>3342</v>
      </c>
      <c r="C389" s="52" t="s">
        <v>3343</v>
      </c>
      <c r="D389" s="52"/>
      <c r="E389" s="52"/>
      <c r="F389" s="409"/>
      <c r="G389" s="275">
        <v>780.0</v>
      </c>
      <c r="H389" s="46">
        <v>15.0</v>
      </c>
      <c r="I389" s="46">
        <v>75.0</v>
      </c>
      <c r="J389" s="46">
        <v>7.0</v>
      </c>
      <c r="K389" s="46">
        <v>7.0</v>
      </c>
      <c r="L389" s="46">
        <v>0.0</v>
      </c>
      <c r="M389" s="46" t="s">
        <v>3345</v>
      </c>
      <c r="N389" s="52" t="s">
        <v>3346</v>
      </c>
      <c r="O389" s="46">
        <v>15.0</v>
      </c>
      <c r="P389" s="46" t="s">
        <v>66</v>
      </c>
      <c r="Q389" s="46">
        <v>60.0</v>
      </c>
      <c r="R389" s="46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</row>
    <row r="390" ht="30.0" customHeight="1">
      <c r="A390" s="211">
        <v>2.0</v>
      </c>
      <c r="B390" s="52" t="s">
        <v>3347</v>
      </c>
      <c r="C390" s="52" t="s">
        <v>3348</v>
      </c>
      <c r="D390" s="52"/>
      <c r="E390" s="52"/>
      <c r="F390" s="409"/>
      <c r="G390" s="275">
        <v>780.0</v>
      </c>
      <c r="H390" s="46">
        <v>15.0</v>
      </c>
      <c r="I390" s="46">
        <v>75.0</v>
      </c>
      <c r="J390" s="46">
        <v>7.0</v>
      </c>
      <c r="K390" s="46">
        <v>7.0</v>
      </c>
      <c r="L390" s="46">
        <v>0.0</v>
      </c>
      <c r="M390" s="46" t="s">
        <v>3345</v>
      </c>
      <c r="N390" s="52" t="s">
        <v>3349</v>
      </c>
      <c r="O390" s="46">
        <v>15.0</v>
      </c>
      <c r="P390" s="46" t="s">
        <v>66</v>
      </c>
      <c r="Q390" s="46">
        <v>60.0</v>
      </c>
      <c r="R390" s="46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</row>
    <row r="391" ht="35.25" customHeight="1">
      <c r="A391" s="211">
        <v>3.0</v>
      </c>
      <c r="B391" s="52" t="s">
        <v>3350</v>
      </c>
      <c r="C391" s="52" t="s">
        <v>3351</v>
      </c>
      <c r="D391" s="52"/>
      <c r="E391" s="52"/>
      <c r="F391" s="409"/>
      <c r="G391" s="275">
        <v>945.0</v>
      </c>
      <c r="H391" s="46">
        <v>20.0</v>
      </c>
      <c r="I391" s="46">
        <v>100.0</v>
      </c>
      <c r="J391" s="46">
        <v>7.0</v>
      </c>
      <c r="K391" s="46">
        <v>7.0</v>
      </c>
      <c r="L391" s="46">
        <v>6.0</v>
      </c>
      <c r="M391" s="46" t="s">
        <v>3345</v>
      </c>
      <c r="N391" s="52" t="s">
        <v>3346</v>
      </c>
      <c r="O391" s="46">
        <v>20.0</v>
      </c>
      <c r="P391" s="46" t="s">
        <v>29</v>
      </c>
      <c r="Q391" s="46">
        <v>0.0</v>
      </c>
      <c r="R391" s="46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</row>
    <row r="392" ht="37.5" customHeight="1">
      <c r="A392" s="211">
        <v>4.0</v>
      </c>
      <c r="B392" s="52" t="s">
        <v>3352</v>
      </c>
      <c r="C392" s="52" t="s">
        <v>3353</v>
      </c>
      <c r="D392" s="52"/>
      <c r="E392" s="52"/>
      <c r="F392" s="409"/>
      <c r="G392" s="275">
        <v>1560.0</v>
      </c>
      <c r="H392" s="46">
        <v>7.0</v>
      </c>
      <c r="I392" s="46">
        <v>7.0</v>
      </c>
      <c r="J392" s="46">
        <v>0.0</v>
      </c>
      <c r="K392" s="46">
        <v>0.0</v>
      </c>
      <c r="L392" s="46">
        <v>0.0</v>
      </c>
      <c r="M392" s="46" t="s">
        <v>3354</v>
      </c>
      <c r="N392" s="52" t="s">
        <v>3349</v>
      </c>
      <c r="O392" s="46">
        <v>30.0</v>
      </c>
      <c r="P392" s="46" t="s">
        <v>29</v>
      </c>
      <c r="Q392" s="46">
        <v>0.0</v>
      </c>
      <c r="R392" s="46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</row>
    <row r="393" ht="33.0" customHeight="1">
      <c r="A393" s="211">
        <v>5.0</v>
      </c>
      <c r="B393" s="52" t="s">
        <v>3355</v>
      </c>
      <c r="C393" s="52" t="s">
        <v>3356</v>
      </c>
      <c r="D393" s="52"/>
      <c r="E393" s="52"/>
      <c r="F393" s="409"/>
      <c r="G393" s="275">
        <v>625.0</v>
      </c>
      <c r="H393" s="46">
        <v>10.0</v>
      </c>
      <c r="I393" s="46">
        <v>60.0</v>
      </c>
      <c r="J393" s="46">
        <v>7.0</v>
      </c>
      <c r="K393" s="46">
        <v>7.0</v>
      </c>
      <c r="L393" s="46">
        <v>0.0</v>
      </c>
      <c r="M393" s="46" t="s">
        <v>3354</v>
      </c>
      <c r="N393" s="52" t="s">
        <v>3349</v>
      </c>
      <c r="O393" s="46">
        <v>15.0</v>
      </c>
      <c r="P393" s="46" t="s">
        <v>29</v>
      </c>
      <c r="Q393" s="46">
        <v>0.0</v>
      </c>
      <c r="R393" s="46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</row>
    <row r="394" ht="33.0" customHeight="1">
      <c r="A394" s="211">
        <v>6.0</v>
      </c>
      <c r="B394" s="52" t="s">
        <v>3357</v>
      </c>
      <c r="C394" s="52" t="s">
        <v>3358</v>
      </c>
      <c r="D394" s="52"/>
      <c r="E394" s="52"/>
      <c r="F394" s="409"/>
      <c r="G394" s="275">
        <v>780.0</v>
      </c>
      <c r="H394" s="46">
        <v>15.0</v>
      </c>
      <c r="I394" s="46">
        <v>75.0</v>
      </c>
      <c r="J394" s="46">
        <v>7.0</v>
      </c>
      <c r="K394" s="46">
        <v>7.0</v>
      </c>
      <c r="L394" s="46">
        <v>0.0</v>
      </c>
      <c r="M394" s="46" t="s">
        <v>3354</v>
      </c>
      <c r="N394" s="52" t="s">
        <v>3349</v>
      </c>
      <c r="O394" s="46">
        <v>15.0</v>
      </c>
      <c r="P394" s="46" t="s">
        <v>29</v>
      </c>
      <c r="Q394" s="46">
        <v>0.0</v>
      </c>
      <c r="R394" s="46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</row>
    <row r="395" ht="31.5" customHeight="1">
      <c r="A395" s="211">
        <v>7.0</v>
      </c>
      <c r="B395" s="52" t="s">
        <v>3359</v>
      </c>
      <c r="C395" s="52" t="s">
        <v>3360</v>
      </c>
      <c r="D395" s="52"/>
      <c r="E395" s="52"/>
      <c r="F395" s="409"/>
      <c r="G395" s="275">
        <v>780.0</v>
      </c>
      <c r="H395" s="46">
        <v>15.0</v>
      </c>
      <c r="I395" s="46">
        <v>75.0</v>
      </c>
      <c r="J395" s="46">
        <v>7.0</v>
      </c>
      <c r="K395" s="46">
        <v>7.0</v>
      </c>
      <c r="L395" s="46">
        <v>0.0</v>
      </c>
      <c r="M395" s="46" t="s">
        <v>3354</v>
      </c>
      <c r="N395" s="52" t="s">
        <v>3349</v>
      </c>
      <c r="O395" s="46">
        <v>15.0</v>
      </c>
      <c r="P395" s="46" t="s">
        <v>29</v>
      </c>
      <c r="Q395" s="46">
        <v>0.0</v>
      </c>
      <c r="R395" s="46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</row>
    <row r="396" ht="36.75" customHeight="1">
      <c r="A396" s="211">
        <v>8.0</v>
      </c>
      <c r="B396" s="52" t="s">
        <v>3361</v>
      </c>
      <c r="C396" s="52" t="s">
        <v>3362</v>
      </c>
      <c r="D396" s="52"/>
      <c r="E396" s="52"/>
      <c r="F396" s="409"/>
      <c r="G396" s="275">
        <v>780.0</v>
      </c>
      <c r="H396" s="46">
        <v>15.0</v>
      </c>
      <c r="I396" s="46">
        <v>75.0</v>
      </c>
      <c r="J396" s="46">
        <v>7.0</v>
      </c>
      <c r="K396" s="46">
        <v>7.0</v>
      </c>
      <c r="L396" s="46">
        <v>0.0</v>
      </c>
      <c r="M396" s="46" t="s">
        <v>3354</v>
      </c>
      <c r="N396" s="52" t="s">
        <v>3349</v>
      </c>
      <c r="O396" s="46">
        <v>15.0</v>
      </c>
      <c r="P396" s="46" t="s">
        <v>29</v>
      </c>
      <c r="Q396" s="46">
        <v>0.0</v>
      </c>
      <c r="R396" s="46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</row>
    <row r="397" ht="35.25" customHeight="1">
      <c r="A397" s="211">
        <v>9.0</v>
      </c>
      <c r="B397" s="52" t="s">
        <v>3363</v>
      </c>
      <c r="C397" s="52" t="s">
        <v>3364</v>
      </c>
      <c r="D397" s="52"/>
      <c r="E397" s="52"/>
      <c r="F397" s="409"/>
      <c r="G397" s="275">
        <v>780.0</v>
      </c>
      <c r="H397" s="46">
        <v>15.0</v>
      </c>
      <c r="I397" s="46">
        <v>75.0</v>
      </c>
      <c r="J397" s="46">
        <v>7.0</v>
      </c>
      <c r="K397" s="46">
        <v>7.0</v>
      </c>
      <c r="L397" s="46">
        <v>0.0</v>
      </c>
      <c r="M397" s="46" t="s">
        <v>3354</v>
      </c>
      <c r="N397" s="52" t="s">
        <v>3349</v>
      </c>
      <c r="O397" s="46">
        <v>15.0</v>
      </c>
      <c r="P397" s="46" t="s">
        <v>29</v>
      </c>
      <c r="Q397" s="46">
        <v>0.0</v>
      </c>
      <c r="R397" s="46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</row>
    <row r="398" ht="15.75" customHeight="1">
      <c r="A398" s="181"/>
      <c r="B398" s="182" t="s">
        <v>3365</v>
      </c>
      <c r="C398" s="182"/>
      <c r="D398" s="182"/>
      <c r="E398" s="182"/>
      <c r="F398" s="403"/>
      <c r="G398" s="404"/>
      <c r="H398" s="182"/>
      <c r="I398" s="182"/>
      <c r="J398" s="91"/>
      <c r="K398" s="91"/>
      <c r="L398" s="91"/>
      <c r="M398" s="91"/>
      <c r="N398" s="91"/>
      <c r="O398" s="91"/>
      <c r="P398" s="182"/>
      <c r="Q398" s="91"/>
      <c r="R398" s="218"/>
      <c r="S398" s="405"/>
      <c r="T398" s="405"/>
      <c r="U398" s="405"/>
      <c r="V398" s="405"/>
      <c r="W398" s="405"/>
      <c r="X398" s="405"/>
      <c r="Y398" s="405"/>
      <c r="Z398" s="405"/>
      <c r="AA398" s="405"/>
      <c r="AB398" s="405"/>
      <c r="AC398" s="405"/>
      <c r="AD398" s="405"/>
    </row>
    <row r="399" ht="14.25" customHeight="1">
      <c r="A399" s="211">
        <v>1.0</v>
      </c>
      <c r="B399" s="46" t="s">
        <v>3366</v>
      </c>
      <c r="C399" s="46" t="s">
        <v>3367</v>
      </c>
      <c r="D399" s="46"/>
      <c r="E399" s="46"/>
      <c r="F399" s="50"/>
      <c r="G399" s="275" t="s">
        <v>3368</v>
      </c>
      <c r="H399" s="46"/>
      <c r="I399" s="46">
        <v>500.0</v>
      </c>
      <c r="J399" s="46"/>
      <c r="K399" s="46"/>
      <c r="L399" s="46"/>
      <c r="M399" s="46"/>
      <c r="N399" s="46"/>
      <c r="O399" s="46"/>
      <c r="P399" s="46"/>
      <c r="Q399" s="46"/>
      <c r="R399" s="46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</row>
    <row r="400" ht="14.25" customHeight="1">
      <c r="A400" s="211">
        <v>2.0</v>
      </c>
      <c r="B400" s="46" t="s">
        <v>3370</v>
      </c>
      <c r="C400" s="46" t="s">
        <v>3371</v>
      </c>
      <c r="D400" s="46"/>
      <c r="E400" s="46"/>
      <c r="F400" s="50"/>
      <c r="G400" s="275" t="s">
        <v>3372</v>
      </c>
      <c r="H400" s="46"/>
      <c r="I400" s="46">
        <v>445.0</v>
      </c>
      <c r="J400" s="46"/>
      <c r="K400" s="46"/>
      <c r="L400" s="46"/>
      <c r="M400" s="46"/>
      <c r="N400" s="46"/>
      <c r="O400" s="46"/>
      <c r="P400" s="46"/>
      <c r="Q400" s="46"/>
      <c r="R400" s="46"/>
      <c r="S400" s="129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  <c r="AD400" s="129"/>
    </row>
    <row r="401" ht="14.25" customHeight="1">
      <c r="A401" s="211">
        <v>3.0</v>
      </c>
      <c r="B401" s="46" t="s">
        <v>3373</v>
      </c>
      <c r="C401" s="46" t="s">
        <v>3374</v>
      </c>
      <c r="D401" s="46"/>
      <c r="E401" s="46"/>
      <c r="F401" s="50"/>
      <c r="G401" s="275" t="s">
        <v>3375</v>
      </c>
      <c r="H401" s="46"/>
      <c r="I401" s="46">
        <v>360.0</v>
      </c>
      <c r="J401" s="46"/>
      <c r="K401" s="46"/>
      <c r="L401" s="46"/>
      <c r="M401" s="46"/>
      <c r="N401" s="46"/>
      <c r="O401" s="46"/>
      <c r="P401" s="46"/>
      <c r="Q401" s="46"/>
      <c r="R401" s="46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  <c r="AD401" s="129"/>
    </row>
    <row r="402" ht="14.25" customHeight="1">
      <c r="A402" s="211">
        <v>4.0</v>
      </c>
      <c r="B402" s="46" t="s">
        <v>3376</v>
      </c>
      <c r="C402" s="46" t="s">
        <v>3377</v>
      </c>
      <c r="D402" s="46"/>
      <c r="E402" s="46"/>
      <c r="F402" s="50"/>
      <c r="G402" s="275" t="s">
        <v>3378</v>
      </c>
      <c r="H402" s="46"/>
      <c r="I402" s="46">
        <v>470.0</v>
      </c>
      <c r="J402" s="46"/>
      <c r="K402" s="46"/>
      <c r="L402" s="46"/>
      <c r="M402" s="46"/>
      <c r="N402" s="46"/>
      <c r="O402" s="46"/>
      <c r="P402" s="46"/>
      <c r="Q402" s="46"/>
      <c r="R402" s="46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  <c r="AD402" s="129"/>
    </row>
    <row r="403" ht="14.25" customHeight="1">
      <c r="A403" s="211">
        <v>5.0</v>
      </c>
      <c r="B403" s="46" t="s">
        <v>3379</v>
      </c>
      <c r="C403" s="46" t="s">
        <v>3380</v>
      </c>
      <c r="D403" s="46"/>
      <c r="E403" s="46"/>
      <c r="F403" s="50"/>
      <c r="G403" s="275" t="s">
        <v>3381</v>
      </c>
      <c r="H403" s="46"/>
      <c r="I403" s="46">
        <v>340.0</v>
      </c>
      <c r="J403" s="46"/>
      <c r="K403" s="46"/>
      <c r="L403" s="46"/>
      <c r="M403" s="46"/>
      <c r="N403" s="46"/>
      <c r="O403" s="46"/>
      <c r="P403" s="46"/>
      <c r="Q403" s="46"/>
      <c r="R403" s="46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  <c r="AD403" s="129"/>
    </row>
    <row r="404" ht="14.25" customHeight="1">
      <c r="A404" s="211">
        <v>6.0</v>
      </c>
      <c r="B404" s="46" t="s">
        <v>3382</v>
      </c>
      <c r="C404" s="46" t="s">
        <v>3383</v>
      </c>
      <c r="D404" s="46"/>
      <c r="E404" s="46"/>
      <c r="F404" s="50"/>
      <c r="G404" s="275" t="s">
        <v>3384</v>
      </c>
      <c r="H404" s="46"/>
      <c r="I404" s="46">
        <v>520.0</v>
      </c>
      <c r="J404" s="46"/>
      <c r="K404" s="46"/>
      <c r="L404" s="46"/>
      <c r="M404" s="46"/>
      <c r="N404" s="46"/>
      <c r="O404" s="46"/>
      <c r="P404" s="46"/>
      <c r="Q404" s="46"/>
      <c r="R404" s="46"/>
      <c r="S404" s="129"/>
      <c r="T404" s="129"/>
      <c r="U404" s="129"/>
      <c r="V404" s="129"/>
      <c r="W404" s="129"/>
      <c r="X404" s="129"/>
      <c r="Y404" s="129"/>
      <c r="Z404" s="129"/>
      <c r="AA404" s="129"/>
      <c r="AB404" s="129"/>
      <c r="AC404" s="129"/>
      <c r="AD404" s="129"/>
    </row>
    <row r="405" ht="14.25" customHeight="1">
      <c r="A405" s="211">
        <v>7.0</v>
      </c>
      <c r="B405" s="46" t="s">
        <v>3385</v>
      </c>
      <c r="C405" s="46" t="s">
        <v>3386</v>
      </c>
      <c r="D405" s="46"/>
      <c r="E405" s="46"/>
      <c r="F405" s="50"/>
      <c r="G405" s="275" t="s">
        <v>3387</v>
      </c>
      <c r="H405" s="46"/>
      <c r="I405" s="46">
        <v>480.0</v>
      </c>
      <c r="J405" s="46"/>
      <c r="K405" s="46"/>
      <c r="L405" s="46"/>
      <c r="M405" s="46"/>
      <c r="N405" s="46"/>
      <c r="O405" s="46"/>
      <c r="P405" s="46"/>
      <c r="Q405" s="46"/>
      <c r="R405" s="46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  <c r="AD405" s="129"/>
    </row>
    <row r="406" ht="14.25" customHeight="1">
      <c r="A406" s="211">
        <v>8.0</v>
      </c>
      <c r="B406" s="46" t="s">
        <v>3388</v>
      </c>
      <c r="C406" s="46" t="s">
        <v>3389</v>
      </c>
      <c r="D406" s="46"/>
      <c r="E406" s="46"/>
      <c r="F406" s="50"/>
      <c r="G406" s="275" t="s">
        <v>3390</v>
      </c>
      <c r="H406" s="46"/>
      <c r="I406" s="46">
        <v>630.0</v>
      </c>
      <c r="J406" s="46"/>
      <c r="K406" s="46"/>
      <c r="L406" s="46"/>
      <c r="M406" s="46"/>
      <c r="N406" s="46"/>
      <c r="O406" s="46"/>
      <c r="P406" s="46"/>
      <c r="Q406" s="46"/>
      <c r="R406" s="46"/>
      <c r="S406" s="129"/>
      <c r="T406" s="129"/>
      <c r="U406" s="129"/>
      <c r="V406" s="129"/>
      <c r="W406" s="129"/>
      <c r="X406" s="129"/>
      <c r="Y406" s="129"/>
      <c r="Z406" s="129"/>
      <c r="AA406" s="129"/>
      <c r="AB406" s="129"/>
      <c r="AC406" s="129"/>
      <c r="AD406" s="129"/>
    </row>
    <row r="407" ht="14.25" customHeight="1">
      <c r="A407" s="211">
        <v>9.0</v>
      </c>
      <c r="B407" s="46" t="s">
        <v>3391</v>
      </c>
      <c r="C407" s="46" t="s">
        <v>3392</v>
      </c>
      <c r="D407" s="46"/>
      <c r="E407" s="46"/>
      <c r="F407" s="50"/>
      <c r="G407" s="275" t="s">
        <v>3393</v>
      </c>
      <c r="H407" s="46"/>
      <c r="I407" s="46">
        <v>345.0</v>
      </c>
      <c r="J407" s="46"/>
      <c r="K407" s="46"/>
      <c r="L407" s="46"/>
      <c r="M407" s="46"/>
      <c r="N407" s="46"/>
      <c r="O407" s="46"/>
      <c r="P407" s="46"/>
      <c r="Q407" s="46"/>
      <c r="R407" s="46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  <c r="AD407" s="129"/>
    </row>
    <row r="408" ht="14.25" customHeight="1">
      <c r="A408" s="211">
        <v>10.0</v>
      </c>
      <c r="B408" s="46" t="s">
        <v>3394</v>
      </c>
      <c r="C408" s="46" t="s">
        <v>3395</v>
      </c>
      <c r="D408" s="46"/>
      <c r="E408" s="46"/>
      <c r="F408" s="50"/>
      <c r="G408" s="275" t="s">
        <v>3396</v>
      </c>
      <c r="H408" s="46"/>
      <c r="I408" s="46">
        <v>390.0</v>
      </c>
      <c r="J408" s="46"/>
      <c r="K408" s="46"/>
      <c r="L408" s="46"/>
      <c r="M408" s="46"/>
      <c r="N408" s="46"/>
      <c r="O408" s="46"/>
      <c r="P408" s="46"/>
      <c r="Q408" s="46"/>
      <c r="R408" s="46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  <c r="AD408" s="129"/>
    </row>
    <row r="409" ht="14.25" customHeight="1">
      <c r="A409" s="211">
        <v>11.0</v>
      </c>
      <c r="B409" s="46" t="s">
        <v>3397</v>
      </c>
      <c r="C409" s="46" t="s">
        <v>3398</v>
      </c>
      <c r="D409" s="46"/>
      <c r="E409" s="46"/>
      <c r="F409" s="50"/>
      <c r="G409" s="275" t="s">
        <v>3399</v>
      </c>
      <c r="H409" s="46"/>
      <c r="I409" s="46">
        <v>340.0</v>
      </c>
      <c r="J409" s="46"/>
      <c r="K409" s="46"/>
      <c r="L409" s="46"/>
      <c r="M409" s="46"/>
      <c r="N409" s="46"/>
      <c r="O409" s="46"/>
      <c r="P409" s="46"/>
      <c r="Q409" s="46"/>
      <c r="R409" s="46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  <c r="AD409" s="129"/>
    </row>
    <row r="410" ht="14.25" customHeight="1">
      <c r="A410" s="211">
        <v>13.0</v>
      </c>
      <c r="B410" s="46" t="s">
        <v>3400</v>
      </c>
      <c r="C410" s="46" t="s">
        <v>3401</v>
      </c>
      <c r="D410" s="46"/>
      <c r="E410" s="46"/>
      <c r="F410" s="50"/>
      <c r="G410" s="275" t="s">
        <v>3402</v>
      </c>
      <c r="H410" s="46"/>
      <c r="I410" s="46">
        <v>310.0</v>
      </c>
      <c r="J410" s="46"/>
      <c r="K410" s="46"/>
      <c r="L410" s="46"/>
      <c r="M410" s="46"/>
      <c r="N410" s="46"/>
      <c r="O410" s="46"/>
      <c r="P410" s="46"/>
      <c r="Q410" s="46"/>
      <c r="R410" s="46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  <c r="AD410" s="129"/>
    </row>
    <row r="411" ht="14.25" customHeight="1">
      <c r="A411" s="211">
        <v>14.0</v>
      </c>
      <c r="B411" s="46" t="s">
        <v>3403</v>
      </c>
      <c r="C411" s="46" t="s">
        <v>3404</v>
      </c>
      <c r="D411" s="46"/>
      <c r="E411" s="46"/>
      <c r="F411" s="50"/>
      <c r="G411" s="275" t="s">
        <v>3405</v>
      </c>
      <c r="H411" s="46"/>
      <c r="I411" s="46">
        <v>370.0</v>
      </c>
      <c r="J411" s="46"/>
      <c r="K411" s="46"/>
      <c r="L411" s="46"/>
      <c r="M411" s="46"/>
      <c r="N411" s="46"/>
      <c r="O411" s="46"/>
      <c r="P411" s="46"/>
      <c r="Q411" s="46"/>
      <c r="R411" s="46"/>
      <c r="S411" s="129"/>
      <c r="T411" s="129"/>
      <c r="U411" s="129"/>
      <c r="V411" s="129"/>
      <c r="W411" s="129"/>
      <c r="X411" s="129"/>
      <c r="Y411" s="129"/>
      <c r="Z411" s="129"/>
      <c r="AA411" s="129"/>
      <c r="AB411" s="129"/>
      <c r="AC411" s="129"/>
      <c r="AD411" s="129"/>
    </row>
    <row r="412" ht="14.25" customHeight="1">
      <c r="A412" s="211">
        <v>15.0</v>
      </c>
      <c r="B412" s="46" t="s">
        <v>3406</v>
      </c>
      <c r="C412" s="46" t="s">
        <v>3407</v>
      </c>
      <c r="D412" s="46"/>
      <c r="E412" s="46"/>
      <c r="F412" s="50"/>
      <c r="G412" s="275" t="s">
        <v>3408</v>
      </c>
      <c r="H412" s="46"/>
      <c r="I412" s="46">
        <v>420.0</v>
      </c>
      <c r="J412" s="46"/>
      <c r="K412" s="46"/>
      <c r="L412" s="46"/>
      <c r="M412" s="46"/>
      <c r="N412" s="46"/>
      <c r="O412" s="46"/>
      <c r="P412" s="46"/>
      <c r="Q412" s="46"/>
      <c r="R412" s="46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  <c r="AD412" s="129"/>
    </row>
    <row r="413" ht="14.25" customHeight="1">
      <c r="A413" s="211">
        <v>16.0</v>
      </c>
      <c r="B413" s="46" t="s">
        <v>3409</v>
      </c>
      <c r="C413" s="46" t="s">
        <v>3410</v>
      </c>
      <c r="D413" s="46"/>
      <c r="E413" s="46"/>
      <c r="F413" s="50"/>
      <c r="G413" s="275" t="s">
        <v>3411</v>
      </c>
      <c r="H413" s="46"/>
      <c r="I413" s="46">
        <v>490.0</v>
      </c>
      <c r="J413" s="46"/>
      <c r="K413" s="46"/>
      <c r="L413" s="46"/>
      <c r="M413" s="46"/>
      <c r="N413" s="46"/>
      <c r="O413" s="46"/>
      <c r="P413" s="46"/>
      <c r="Q413" s="46"/>
      <c r="R413" s="46"/>
      <c r="S413" s="129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  <c r="AD413" s="129"/>
    </row>
    <row r="414" ht="14.25" customHeight="1">
      <c r="A414" s="211">
        <v>17.0</v>
      </c>
      <c r="B414" s="46" t="s">
        <v>3412</v>
      </c>
      <c r="C414" s="46" t="s">
        <v>3413</v>
      </c>
      <c r="D414" s="46"/>
      <c r="E414" s="46"/>
      <c r="F414" s="50"/>
      <c r="G414" s="275" t="s">
        <v>3414</v>
      </c>
      <c r="H414" s="46"/>
      <c r="I414" s="46">
        <v>490.0</v>
      </c>
      <c r="J414" s="46"/>
      <c r="K414" s="46"/>
      <c r="L414" s="46"/>
      <c r="M414" s="46"/>
      <c r="N414" s="46"/>
      <c r="O414" s="46"/>
      <c r="P414" s="46"/>
      <c r="Q414" s="46"/>
      <c r="R414" s="46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  <c r="AD414" s="129"/>
    </row>
    <row r="415" ht="14.25" customHeight="1">
      <c r="A415" s="211">
        <v>18.0</v>
      </c>
      <c r="B415" s="46" t="s">
        <v>3415</v>
      </c>
      <c r="C415" s="46" t="s">
        <v>3416</v>
      </c>
      <c r="D415" s="46"/>
      <c r="E415" s="46"/>
      <c r="F415" s="50"/>
      <c r="G415" s="275" t="s">
        <v>3417</v>
      </c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129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  <c r="AD415" s="129"/>
    </row>
    <row r="416" ht="14.25" customHeight="1">
      <c r="A416" s="211">
        <v>19.0</v>
      </c>
      <c r="B416" s="46" t="s">
        <v>3418</v>
      </c>
      <c r="C416" s="46" t="s">
        <v>3419</v>
      </c>
      <c r="D416" s="46"/>
      <c r="E416" s="46"/>
      <c r="F416" s="50"/>
      <c r="G416" s="275" t="s">
        <v>3420</v>
      </c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  <c r="AD416" s="129"/>
    </row>
    <row r="417" ht="14.25" customHeight="1">
      <c r="A417" s="211">
        <v>20.0</v>
      </c>
      <c r="B417" s="46" t="s">
        <v>3421</v>
      </c>
      <c r="C417" s="46" t="s">
        <v>3422</v>
      </c>
      <c r="D417" s="46"/>
      <c r="E417" s="46"/>
      <c r="F417" s="50"/>
      <c r="G417" s="275" t="s">
        <v>3423</v>
      </c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129"/>
      <c r="T417" s="129"/>
      <c r="U417" s="129"/>
      <c r="V417" s="129"/>
      <c r="W417" s="129"/>
      <c r="X417" s="129"/>
      <c r="Y417" s="129"/>
      <c r="Z417" s="129"/>
      <c r="AA417" s="129"/>
      <c r="AB417" s="129"/>
      <c r="AC417" s="129"/>
      <c r="AD417" s="129"/>
    </row>
    <row r="418" ht="14.25" customHeight="1">
      <c r="A418" s="211">
        <v>21.0</v>
      </c>
      <c r="B418" s="46" t="s">
        <v>3424</v>
      </c>
      <c r="C418" s="46" t="s">
        <v>3425</v>
      </c>
      <c r="D418" s="46"/>
      <c r="E418" s="46"/>
      <c r="F418" s="50"/>
      <c r="G418" s="275" t="s">
        <v>3426</v>
      </c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  <c r="AD418" s="129"/>
    </row>
    <row r="419" ht="14.25" customHeight="1">
      <c r="A419" s="211">
        <v>22.0</v>
      </c>
      <c r="B419" s="46" t="s">
        <v>3427</v>
      </c>
      <c r="C419" s="46" t="s">
        <v>3428</v>
      </c>
      <c r="D419" s="46"/>
      <c r="E419" s="46"/>
      <c r="F419" s="50"/>
      <c r="G419" s="275" t="s">
        <v>3429</v>
      </c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  <c r="AD419" s="129"/>
    </row>
    <row r="420" ht="14.25" customHeight="1">
      <c r="A420" s="211">
        <v>23.0</v>
      </c>
      <c r="B420" s="46" t="s">
        <v>3430</v>
      </c>
      <c r="C420" s="46" t="s">
        <v>3431</v>
      </c>
      <c r="D420" s="46"/>
      <c r="E420" s="46"/>
      <c r="F420" s="50"/>
      <c r="G420" s="275" t="s">
        <v>3432</v>
      </c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  <c r="AD420" s="129"/>
    </row>
    <row r="421" ht="14.25" customHeight="1">
      <c r="A421" s="211">
        <v>24.0</v>
      </c>
      <c r="B421" s="46" t="s">
        <v>3433</v>
      </c>
      <c r="C421" s="46" t="s">
        <v>3434</v>
      </c>
      <c r="D421" s="46"/>
      <c r="E421" s="46"/>
      <c r="F421" s="50"/>
      <c r="G421" s="275" t="s">
        <v>3435</v>
      </c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  <c r="AD421" s="129"/>
    </row>
    <row r="422" ht="14.25" customHeight="1">
      <c r="A422" s="211">
        <v>25.0</v>
      </c>
      <c r="B422" s="46" t="s">
        <v>3436</v>
      </c>
      <c r="C422" s="46" t="s">
        <v>3437</v>
      </c>
      <c r="D422" s="46"/>
      <c r="E422" s="46"/>
      <c r="F422" s="50"/>
      <c r="G422" s="275" t="s">
        <v>3438</v>
      </c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  <c r="AD422" s="129"/>
    </row>
    <row r="423" ht="14.25" customHeight="1">
      <c r="A423" s="211">
        <v>26.0</v>
      </c>
      <c r="B423" s="46" t="s">
        <v>3439</v>
      </c>
      <c r="C423" s="46" t="s">
        <v>3422</v>
      </c>
      <c r="D423" s="46"/>
      <c r="E423" s="46"/>
      <c r="F423" s="50"/>
      <c r="G423" s="275" t="s">
        <v>3440</v>
      </c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129"/>
      <c r="T423" s="129"/>
      <c r="U423" s="129"/>
      <c r="V423" s="129"/>
      <c r="W423" s="129"/>
      <c r="X423" s="129"/>
      <c r="Y423" s="129"/>
      <c r="Z423" s="129"/>
      <c r="AA423" s="129"/>
      <c r="AB423" s="129"/>
      <c r="AC423" s="129"/>
      <c r="AD423" s="129"/>
    </row>
    <row r="424" ht="14.25" customHeight="1">
      <c r="A424" s="211">
        <v>27.0</v>
      </c>
      <c r="B424" s="46" t="s">
        <v>3441</v>
      </c>
      <c r="C424" s="46" t="s">
        <v>3442</v>
      </c>
      <c r="D424" s="46"/>
      <c r="E424" s="46"/>
      <c r="F424" s="50"/>
      <c r="G424" s="275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</row>
    <row r="425" ht="14.25" customHeight="1">
      <c r="A425" s="211">
        <v>28.0</v>
      </c>
      <c r="B425" s="46" t="s">
        <v>3443</v>
      </c>
      <c r="C425" s="46" t="s">
        <v>3444</v>
      </c>
      <c r="D425" s="46"/>
      <c r="E425" s="46"/>
      <c r="F425" s="50"/>
      <c r="G425" s="275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</row>
    <row r="426" ht="14.25" customHeight="1">
      <c r="A426" s="211">
        <v>29.0</v>
      </c>
      <c r="B426" s="46" t="s">
        <v>3445</v>
      </c>
      <c r="C426" s="46" t="s">
        <v>3446</v>
      </c>
      <c r="D426" s="46"/>
      <c r="E426" s="46"/>
      <c r="F426" s="50"/>
      <c r="G426" s="275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  <c r="AD426" s="129"/>
    </row>
    <row r="427" ht="14.25" customHeight="1">
      <c r="A427" s="211">
        <v>30.0</v>
      </c>
      <c r="B427" s="46" t="s">
        <v>3447</v>
      </c>
      <c r="C427" s="46" t="s">
        <v>3448</v>
      </c>
      <c r="D427" s="46"/>
      <c r="E427" s="46"/>
      <c r="F427" s="50"/>
      <c r="G427" s="275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</row>
    <row r="428" ht="14.25" customHeight="1">
      <c r="A428" s="211">
        <v>31.0</v>
      </c>
      <c r="B428" s="46" t="s">
        <v>7051</v>
      </c>
      <c r="C428" s="46" t="s">
        <v>7052</v>
      </c>
      <c r="D428" s="46"/>
      <c r="E428" s="46"/>
      <c r="F428" s="50"/>
      <c r="G428" s="275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</row>
    <row r="429" ht="14.25" customHeight="1">
      <c r="A429" s="211">
        <v>32.0</v>
      </c>
      <c r="B429" s="46" t="s">
        <v>3452</v>
      </c>
      <c r="C429" s="46" t="s">
        <v>3453</v>
      </c>
      <c r="D429" s="46"/>
      <c r="E429" s="46"/>
      <c r="F429" s="50"/>
      <c r="G429" s="275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</row>
    <row r="430" ht="15.75" customHeight="1">
      <c r="A430" s="181"/>
      <c r="B430" s="182" t="s">
        <v>3455</v>
      </c>
      <c r="C430" s="182"/>
      <c r="D430" s="182"/>
      <c r="E430" s="182"/>
      <c r="F430" s="403"/>
      <c r="G430" s="404"/>
      <c r="H430" s="182"/>
      <c r="I430" s="182"/>
      <c r="J430" s="91"/>
      <c r="K430" s="91"/>
      <c r="L430" s="91"/>
      <c r="M430" s="91"/>
      <c r="N430" s="91"/>
      <c r="O430" s="91"/>
      <c r="P430" s="182"/>
      <c r="Q430" s="91"/>
      <c r="R430" s="218"/>
      <c r="S430" s="405"/>
      <c r="T430" s="405"/>
      <c r="U430" s="405"/>
      <c r="V430" s="405"/>
      <c r="W430" s="405"/>
      <c r="X430" s="405"/>
      <c r="Y430" s="405"/>
      <c r="Z430" s="405"/>
      <c r="AA430" s="405"/>
      <c r="AB430" s="405"/>
      <c r="AC430" s="405"/>
      <c r="AD430" s="405"/>
    </row>
    <row r="431" ht="14.25" customHeight="1">
      <c r="A431" s="296">
        <v>1.0</v>
      </c>
      <c r="B431" s="52" t="s">
        <v>3456</v>
      </c>
      <c r="C431" s="52" t="s">
        <v>3457</v>
      </c>
      <c r="D431" s="52"/>
      <c r="E431" s="52"/>
      <c r="F431" s="409"/>
      <c r="G431" s="275" t="s">
        <v>7053</v>
      </c>
      <c r="H431" s="223">
        <v>15.0</v>
      </c>
      <c r="I431" s="223">
        <v>60.0</v>
      </c>
      <c r="J431" s="223">
        <v>3.0</v>
      </c>
      <c r="K431" s="223">
        <v>3.0</v>
      </c>
      <c r="L431" s="46"/>
      <c r="M431" s="46" t="s">
        <v>3460</v>
      </c>
      <c r="N431" s="46"/>
      <c r="O431" s="46">
        <v>100.0</v>
      </c>
      <c r="P431" s="46" t="s">
        <v>29</v>
      </c>
      <c r="Q431" s="46">
        <v>30.0</v>
      </c>
      <c r="R431" s="46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</row>
    <row r="432" ht="14.25" customHeight="1">
      <c r="A432" s="296">
        <v>2.0</v>
      </c>
      <c r="B432" s="52" t="s">
        <v>7054</v>
      </c>
      <c r="C432" s="52" t="s">
        <v>3457</v>
      </c>
      <c r="D432" s="52"/>
      <c r="E432" s="52"/>
      <c r="F432" s="409"/>
      <c r="G432" s="275" t="s">
        <v>7055</v>
      </c>
      <c r="H432" s="223">
        <v>16.0</v>
      </c>
      <c r="I432" s="223">
        <v>64.0</v>
      </c>
      <c r="J432" s="223">
        <v>6.0</v>
      </c>
      <c r="K432" s="223">
        <v>6.0</v>
      </c>
      <c r="L432" s="46"/>
      <c r="M432" s="46" t="s">
        <v>3460</v>
      </c>
      <c r="N432" s="46"/>
      <c r="O432" s="46">
        <v>50.0</v>
      </c>
      <c r="P432" s="46" t="s">
        <v>29</v>
      </c>
      <c r="Q432" s="46">
        <v>30.0</v>
      </c>
      <c r="R432" s="46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</row>
    <row r="433" ht="15.75" customHeight="1">
      <c r="A433" s="181"/>
      <c r="B433" s="182" t="s">
        <v>3461</v>
      </c>
      <c r="C433" s="182"/>
      <c r="D433" s="182"/>
      <c r="E433" s="182"/>
      <c r="F433" s="403"/>
      <c r="G433" s="404"/>
      <c r="H433" s="182"/>
      <c r="I433" s="182"/>
      <c r="J433" s="91"/>
      <c r="K433" s="91"/>
      <c r="L433" s="91"/>
      <c r="M433" s="91"/>
      <c r="N433" s="91"/>
      <c r="O433" s="91"/>
      <c r="P433" s="182"/>
      <c r="Q433" s="91"/>
      <c r="R433" s="218"/>
      <c r="S433" s="405"/>
      <c r="T433" s="405"/>
      <c r="U433" s="405"/>
      <c r="V433" s="405"/>
      <c r="W433" s="405"/>
      <c r="X433" s="405"/>
      <c r="Y433" s="405"/>
      <c r="Z433" s="405"/>
      <c r="AA433" s="405"/>
      <c r="AB433" s="405"/>
      <c r="AC433" s="405"/>
      <c r="AD433" s="405"/>
    </row>
    <row r="434" ht="27.75" customHeight="1">
      <c r="A434" s="211">
        <v>1.0</v>
      </c>
      <c r="B434" s="34" t="s">
        <v>288</v>
      </c>
      <c r="C434" s="34" t="s">
        <v>3462</v>
      </c>
      <c r="D434" s="34"/>
      <c r="E434" s="34"/>
      <c r="F434" s="410"/>
      <c r="G434" s="411">
        <v>300.0</v>
      </c>
      <c r="H434" s="70"/>
      <c r="I434" s="42">
        <v>230.0</v>
      </c>
      <c r="J434" s="42">
        <v>5.0</v>
      </c>
      <c r="K434" s="42">
        <v>3.0</v>
      </c>
      <c r="L434" s="70"/>
      <c r="M434" s="34" t="s">
        <v>7056</v>
      </c>
      <c r="N434" s="70"/>
      <c r="O434" s="70"/>
      <c r="P434" s="70" t="s">
        <v>29</v>
      </c>
      <c r="Q434" s="27"/>
      <c r="R434" s="46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</row>
    <row r="435" ht="14.25" customHeight="1">
      <c r="A435" s="211">
        <v>2.0</v>
      </c>
      <c r="B435" s="28" t="s">
        <v>3464</v>
      </c>
      <c r="C435" s="28" t="s">
        <v>3465</v>
      </c>
      <c r="D435" s="28"/>
      <c r="E435" s="28"/>
      <c r="F435" s="412"/>
      <c r="G435" s="413">
        <v>1000.0</v>
      </c>
      <c r="H435" s="74"/>
      <c r="I435" s="43">
        <v>770.0</v>
      </c>
      <c r="J435" s="43">
        <v>2.0</v>
      </c>
      <c r="K435" s="43">
        <v>2.0</v>
      </c>
      <c r="L435" s="74"/>
      <c r="M435" s="28" t="s">
        <v>3463</v>
      </c>
      <c r="N435" s="70"/>
      <c r="O435" s="74"/>
      <c r="P435" s="74" t="s">
        <v>29</v>
      </c>
      <c r="Q435" s="25"/>
      <c r="R435" s="46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</row>
    <row r="436" ht="14.25" customHeight="1">
      <c r="A436" s="211">
        <v>3.0</v>
      </c>
      <c r="B436" s="34" t="s">
        <v>3466</v>
      </c>
      <c r="C436" s="34" t="s">
        <v>3465</v>
      </c>
      <c r="D436" s="34"/>
      <c r="E436" s="34"/>
      <c r="F436" s="410"/>
      <c r="G436" s="411">
        <v>1813.0</v>
      </c>
      <c r="H436" s="70"/>
      <c r="I436" s="42">
        <v>1394.0</v>
      </c>
      <c r="J436" s="70"/>
      <c r="K436" s="70"/>
      <c r="L436" s="42">
        <v>37.0</v>
      </c>
      <c r="M436" s="34" t="s">
        <v>3463</v>
      </c>
      <c r="N436" s="70"/>
      <c r="O436" s="70"/>
      <c r="P436" s="70" t="s">
        <v>29</v>
      </c>
      <c r="Q436" s="42"/>
      <c r="R436" s="46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</row>
    <row r="437" ht="14.25" customHeight="1">
      <c r="A437" s="211">
        <v>4.0</v>
      </c>
      <c r="B437" s="28" t="s">
        <v>3467</v>
      </c>
      <c r="C437" s="28" t="s">
        <v>3465</v>
      </c>
      <c r="D437" s="28"/>
      <c r="E437" s="28"/>
      <c r="F437" s="412"/>
      <c r="G437" s="413">
        <v>343.0</v>
      </c>
      <c r="H437" s="74"/>
      <c r="I437" s="43">
        <v>263.0</v>
      </c>
      <c r="J437" s="43">
        <v>4.0</v>
      </c>
      <c r="K437" s="43">
        <v>4.0</v>
      </c>
      <c r="L437" s="74"/>
      <c r="M437" s="28" t="s">
        <v>7056</v>
      </c>
      <c r="N437" s="70"/>
      <c r="O437" s="74"/>
      <c r="P437" s="74" t="s">
        <v>29</v>
      </c>
      <c r="Q437" s="25"/>
      <c r="R437" s="46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</row>
    <row r="438" ht="14.25" customHeight="1">
      <c r="A438" s="211">
        <v>5.0</v>
      </c>
      <c r="B438" s="34" t="s">
        <v>3468</v>
      </c>
      <c r="C438" s="34" t="s">
        <v>3469</v>
      </c>
      <c r="D438" s="34"/>
      <c r="E438" s="34"/>
      <c r="F438" s="410"/>
      <c r="G438" s="411">
        <v>2000.0</v>
      </c>
      <c r="H438" s="70"/>
      <c r="I438" s="42">
        <v>1538.0</v>
      </c>
      <c r="J438" s="42">
        <v>3.0</v>
      </c>
      <c r="K438" s="42">
        <v>3.0</v>
      </c>
      <c r="L438" s="70"/>
      <c r="M438" s="34" t="s">
        <v>3463</v>
      </c>
      <c r="N438" s="70"/>
      <c r="O438" s="70"/>
      <c r="P438" s="70" t="s">
        <v>29</v>
      </c>
      <c r="Q438" s="27"/>
      <c r="R438" s="46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9"/>
    </row>
    <row r="439" ht="14.25" customHeight="1">
      <c r="A439" s="211">
        <v>6.0</v>
      </c>
      <c r="B439" s="28" t="s">
        <v>3470</v>
      </c>
      <c r="C439" s="28" t="s">
        <v>3471</v>
      </c>
      <c r="D439" s="28"/>
      <c r="E439" s="28"/>
      <c r="F439" s="412"/>
      <c r="G439" s="413">
        <v>490.0</v>
      </c>
      <c r="H439" s="74"/>
      <c r="I439" s="43">
        <v>376.0</v>
      </c>
      <c r="J439" s="43">
        <v>5.0</v>
      </c>
      <c r="K439" s="43">
        <v>5.0</v>
      </c>
      <c r="L439" s="74"/>
      <c r="M439" s="28" t="s">
        <v>3463</v>
      </c>
      <c r="N439" s="70"/>
      <c r="O439" s="74"/>
      <c r="P439" s="74" t="s">
        <v>29</v>
      </c>
      <c r="Q439" s="25"/>
      <c r="R439" s="46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</row>
    <row r="440" ht="14.25" customHeight="1">
      <c r="A440" s="211">
        <v>7.0</v>
      </c>
      <c r="B440" s="34" t="s">
        <v>3472</v>
      </c>
      <c r="C440" s="34" t="s">
        <v>3469</v>
      </c>
      <c r="D440" s="34"/>
      <c r="E440" s="34"/>
      <c r="F440" s="410"/>
      <c r="G440" s="411">
        <v>30000.0</v>
      </c>
      <c r="H440" s="70"/>
      <c r="I440" s="42">
        <v>10000.0</v>
      </c>
      <c r="J440" s="42">
        <v>1.0</v>
      </c>
      <c r="K440" s="42">
        <v>1.0</v>
      </c>
      <c r="L440" s="70"/>
      <c r="M440" s="34" t="s">
        <v>3463</v>
      </c>
      <c r="N440" s="70"/>
      <c r="O440" s="70"/>
      <c r="P440" s="70" t="s">
        <v>29</v>
      </c>
      <c r="Q440" s="27"/>
      <c r="R440" s="46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9"/>
    </row>
    <row r="441" ht="15.75" customHeight="1">
      <c r="A441" s="181"/>
      <c r="B441" s="182" t="s">
        <v>3474</v>
      </c>
      <c r="C441" s="182"/>
      <c r="D441" s="182"/>
      <c r="E441" s="182"/>
      <c r="F441" s="403"/>
      <c r="G441" s="404"/>
      <c r="H441" s="182"/>
      <c r="I441" s="182"/>
      <c r="J441" s="91"/>
      <c r="K441" s="91"/>
      <c r="L441" s="91"/>
      <c r="M441" s="91"/>
      <c r="N441" s="91"/>
      <c r="O441" s="91"/>
      <c r="P441" s="182"/>
      <c r="Q441" s="91"/>
      <c r="R441" s="218"/>
      <c r="S441" s="405"/>
      <c r="T441" s="405"/>
      <c r="U441" s="405"/>
      <c r="V441" s="405"/>
      <c r="W441" s="405"/>
      <c r="X441" s="405"/>
      <c r="Y441" s="405"/>
      <c r="Z441" s="405"/>
      <c r="AA441" s="405"/>
      <c r="AB441" s="405"/>
      <c r="AC441" s="405"/>
      <c r="AD441" s="405"/>
    </row>
    <row r="442" ht="15.75" customHeight="1">
      <c r="A442" s="414">
        <v>1.0</v>
      </c>
      <c r="B442" s="46" t="s">
        <v>7057</v>
      </c>
      <c r="C442" s="46" t="s">
        <v>7058</v>
      </c>
      <c r="D442" s="46"/>
      <c r="E442" s="46"/>
      <c r="F442" s="50"/>
      <c r="G442" s="275" t="s">
        <v>7059</v>
      </c>
      <c r="H442" s="223">
        <v>20.0</v>
      </c>
      <c r="I442" s="223">
        <v>65.0</v>
      </c>
      <c r="J442" s="223">
        <v>2.0</v>
      </c>
      <c r="K442" s="223">
        <v>2.0</v>
      </c>
      <c r="L442" s="223">
        <v>1.0</v>
      </c>
      <c r="M442" s="46" t="s">
        <v>39</v>
      </c>
      <c r="N442" s="46" t="s">
        <v>39</v>
      </c>
      <c r="O442" s="223">
        <v>1000.0</v>
      </c>
      <c r="P442" s="46" t="s">
        <v>29</v>
      </c>
      <c r="Q442" s="46" t="s">
        <v>39</v>
      </c>
      <c r="R442" s="46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9"/>
    </row>
    <row r="443" ht="15.75" customHeight="1">
      <c r="A443" s="414">
        <v>2.0</v>
      </c>
      <c r="B443" s="46" t="s">
        <v>7060</v>
      </c>
      <c r="C443" s="46" t="s">
        <v>7058</v>
      </c>
      <c r="D443" s="46"/>
      <c r="E443" s="46"/>
      <c r="F443" s="50"/>
      <c r="G443" s="275"/>
      <c r="H443" s="223">
        <v>101.0</v>
      </c>
      <c r="I443" s="223">
        <v>410.0</v>
      </c>
      <c r="J443" s="223">
        <v>2.0</v>
      </c>
      <c r="K443" s="223">
        <v>2.0</v>
      </c>
      <c r="L443" s="223">
        <v>0.0</v>
      </c>
      <c r="M443" s="46" t="s">
        <v>39</v>
      </c>
      <c r="N443" s="46" t="s">
        <v>39</v>
      </c>
      <c r="O443" s="223">
        <v>5000.0</v>
      </c>
      <c r="P443" s="46" t="s">
        <v>66</v>
      </c>
      <c r="Q443" s="223">
        <v>6.0</v>
      </c>
      <c r="R443" s="46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  <c r="AD443" s="129"/>
    </row>
    <row r="444" ht="15.75" customHeight="1">
      <c r="A444" s="414">
        <v>3.0</v>
      </c>
      <c r="B444" s="46" t="s">
        <v>7061</v>
      </c>
      <c r="C444" s="46" t="s">
        <v>7062</v>
      </c>
      <c r="D444" s="46"/>
      <c r="E444" s="46"/>
      <c r="F444" s="50"/>
      <c r="G444" s="415">
        <v>25.0</v>
      </c>
      <c r="H444" s="223">
        <v>5.0</v>
      </c>
      <c r="I444" s="223">
        <v>25.0</v>
      </c>
      <c r="J444" s="223">
        <v>1.0</v>
      </c>
      <c r="K444" s="223">
        <v>1.0</v>
      </c>
      <c r="L444" s="46"/>
      <c r="M444" s="46"/>
      <c r="N444" s="46" t="s">
        <v>427</v>
      </c>
      <c r="O444" s="46"/>
      <c r="P444" s="46" t="s">
        <v>65</v>
      </c>
      <c r="Q444" s="223">
        <v>5.0</v>
      </c>
      <c r="R444" s="46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9"/>
    </row>
    <row r="445" ht="15.75" customHeight="1">
      <c r="A445" s="414">
        <v>4.0</v>
      </c>
      <c r="B445" s="46" t="s">
        <v>1134</v>
      </c>
      <c r="C445" s="46" t="s">
        <v>7062</v>
      </c>
      <c r="D445" s="46"/>
      <c r="E445" s="46"/>
      <c r="F445" s="50"/>
      <c r="G445" s="415">
        <v>50.0</v>
      </c>
      <c r="H445" s="223">
        <v>10.0</v>
      </c>
      <c r="I445" s="223">
        <v>50.0</v>
      </c>
      <c r="J445" s="223">
        <v>1.0</v>
      </c>
      <c r="K445" s="223">
        <v>1.0</v>
      </c>
      <c r="L445" s="46"/>
      <c r="M445" s="46"/>
      <c r="N445" s="46" t="s">
        <v>427</v>
      </c>
      <c r="O445" s="46"/>
      <c r="P445" s="46" t="s">
        <v>65</v>
      </c>
      <c r="Q445" s="46"/>
      <c r="R445" s="46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  <c r="AD445" s="129"/>
    </row>
    <row r="446" ht="15.75" customHeight="1">
      <c r="A446" s="414">
        <v>5.0</v>
      </c>
      <c r="B446" s="46" t="s">
        <v>2781</v>
      </c>
      <c r="C446" s="46" t="s">
        <v>7063</v>
      </c>
      <c r="D446" s="46"/>
      <c r="E446" s="46"/>
      <c r="F446" s="50"/>
      <c r="G446" s="415">
        <v>720.0</v>
      </c>
      <c r="H446" s="223">
        <v>8.0</v>
      </c>
      <c r="I446" s="223">
        <v>40.0</v>
      </c>
      <c r="J446" s="223">
        <v>1.0</v>
      </c>
      <c r="K446" s="223">
        <v>1.0</v>
      </c>
      <c r="L446" s="223">
        <v>1.0</v>
      </c>
      <c r="M446" s="46" t="s">
        <v>7064</v>
      </c>
      <c r="N446" s="46"/>
      <c r="O446" s="46"/>
      <c r="P446" s="46" t="s">
        <v>65</v>
      </c>
      <c r="Q446" s="223">
        <v>3.0</v>
      </c>
      <c r="R446" s="46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  <c r="AD446" s="129"/>
    </row>
    <row r="447" ht="15.75" customHeight="1">
      <c r="A447" s="414">
        <v>6.0</v>
      </c>
      <c r="B447" s="46" t="s">
        <v>2776</v>
      </c>
      <c r="C447" s="46" t="s">
        <v>7065</v>
      </c>
      <c r="D447" s="46"/>
      <c r="E447" s="46"/>
      <c r="F447" s="50"/>
      <c r="G447" s="415">
        <v>100.0</v>
      </c>
      <c r="H447" s="223">
        <v>5.0</v>
      </c>
      <c r="I447" s="223">
        <v>25.0</v>
      </c>
      <c r="J447" s="223">
        <v>1.0</v>
      </c>
      <c r="K447" s="223">
        <v>1.0</v>
      </c>
      <c r="L447" s="46"/>
      <c r="M447" s="46"/>
      <c r="N447" s="46" t="s">
        <v>7064</v>
      </c>
      <c r="O447" s="46"/>
      <c r="P447" s="46" t="s">
        <v>65</v>
      </c>
      <c r="Q447" s="223">
        <v>3.0</v>
      </c>
      <c r="R447" s="46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  <c r="AD447" s="129"/>
    </row>
    <row r="448" ht="15.75" customHeight="1">
      <c r="A448" s="414">
        <v>7.0</v>
      </c>
      <c r="B448" s="46" t="s">
        <v>7066</v>
      </c>
      <c r="C448" s="46" t="s">
        <v>7065</v>
      </c>
      <c r="D448" s="46"/>
      <c r="E448" s="46"/>
      <c r="F448" s="50"/>
      <c r="G448" s="415">
        <v>308.0</v>
      </c>
      <c r="H448" s="223">
        <v>25.0</v>
      </c>
      <c r="I448" s="223">
        <v>125.0</v>
      </c>
      <c r="J448" s="223">
        <v>1.0</v>
      </c>
      <c r="K448" s="223">
        <v>1.0</v>
      </c>
      <c r="L448" s="223">
        <v>1.0</v>
      </c>
      <c r="M448" s="46"/>
      <c r="N448" s="46" t="s">
        <v>1156</v>
      </c>
      <c r="O448" s="46"/>
      <c r="P448" s="46" t="s">
        <v>52</v>
      </c>
      <c r="Q448" s="46"/>
      <c r="R448" s="46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  <c r="AD448" s="129"/>
    </row>
    <row r="449" ht="15.75" customHeight="1">
      <c r="A449" s="414">
        <v>8.0</v>
      </c>
      <c r="B449" s="46" t="s">
        <v>7061</v>
      </c>
      <c r="C449" s="46" t="s">
        <v>7067</v>
      </c>
      <c r="D449" s="46"/>
      <c r="E449" s="46"/>
      <c r="F449" s="50"/>
      <c r="G449" s="415">
        <v>50.0</v>
      </c>
      <c r="H449" s="223">
        <v>10.0</v>
      </c>
      <c r="I449" s="223">
        <v>50.0</v>
      </c>
      <c r="J449" s="223">
        <v>1.0</v>
      </c>
      <c r="K449" s="223">
        <v>1.0</v>
      </c>
      <c r="L449" s="223">
        <v>2.0</v>
      </c>
      <c r="M449" s="46"/>
      <c r="N449" s="46" t="s">
        <v>1156</v>
      </c>
      <c r="O449" s="46"/>
      <c r="P449" s="46" t="s">
        <v>65</v>
      </c>
      <c r="Q449" s="223">
        <v>5.0</v>
      </c>
      <c r="R449" s="46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  <c r="AD449" s="129"/>
    </row>
    <row r="450" ht="15.75" customHeight="1">
      <c r="A450" s="414">
        <v>9.0</v>
      </c>
      <c r="B450" s="46" t="s">
        <v>1171</v>
      </c>
      <c r="C450" s="46" t="s">
        <v>7067</v>
      </c>
      <c r="D450" s="46"/>
      <c r="E450" s="46"/>
      <c r="F450" s="50"/>
      <c r="G450" s="415">
        <v>72.0</v>
      </c>
      <c r="H450" s="223">
        <v>10.0</v>
      </c>
      <c r="I450" s="223">
        <v>50.0</v>
      </c>
      <c r="J450" s="223">
        <v>1.0</v>
      </c>
      <c r="K450" s="223">
        <v>1.0</v>
      </c>
      <c r="L450" s="46"/>
      <c r="M450" s="46"/>
      <c r="N450" s="46" t="s">
        <v>1156</v>
      </c>
      <c r="O450" s="46"/>
      <c r="P450" s="46" t="s">
        <v>52</v>
      </c>
      <c r="Q450" s="46"/>
      <c r="R450" s="46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</row>
    <row r="451" ht="15.75" customHeight="1">
      <c r="A451" s="414">
        <v>10.0</v>
      </c>
      <c r="B451" s="416" t="s">
        <v>7068</v>
      </c>
      <c r="C451" s="46" t="s">
        <v>7069</v>
      </c>
      <c r="D451" s="46"/>
      <c r="E451" s="46"/>
      <c r="F451" s="50"/>
      <c r="G451" s="415">
        <v>120.0</v>
      </c>
      <c r="H451" s="223">
        <v>8.0</v>
      </c>
      <c r="I451" s="223">
        <v>30.0</v>
      </c>
      <c r="J451" s="223">
        <v>0.0</v>
      </c>
      <c r="K451" s="223">
        <v>0.0</v>
      </c>
      <c r="L451" s="223">
        <v>1.0</v>
      </c>
      <c r="M451" s="46" t="s">
        <v>7064</v>
      </c>
      <c r="N451" s="46"/>
      <c r="O451" s="46"/>
      <c r="P451" s="46" t="s">
        <v>65</v>
      </c>
      <c r="Q451" s="223">
        <v>5.0</v>
      </c>
      <c r="R451" s="46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</row>
    <row r="452" ht="15.75" customHeight="1">
      <c r="A452" s="414">
        <v>11.0</v>
      </c>
      <c r="B452" s="46" t="s">
        <v>7070</v>
      </c>
      <c r="C452" s="46" t="s">
        <v>7071</v>
      </c>
      <c r="D452" s="46"/>
      <c r="E452" s="46"/>
      <c r="F452" s="50"/>
      <c r="G452" s="415">
        <v>150.0</v>
      </c>
      <c r="H452" s="223">
        <v>60.0</v>
      </c>
      <c r="I452" s="223">
        <v>360.0</v>
      </c>
      <c r="J452" s="223">
        <v>1.0</v>
      </c>
      <c r="K452" s="223">
        <v>1.0</v>
      </c>
      <c r="L452" s="223">
        <v>5.0</v>
      </c>
      <c r="M452" s="46" t="s">
        <v>523</v>
      </c>
      <c r="N452" s="46"/>
      <c r="O452" s="46"/>
      <c r="P452" s="46" t="s">
        <v>65</v>
      </c>
      <c r="Q452" s="46"/>
      <c r="R452" s="46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</row>
    <row r="453" ht="15.75" customHeight="1">
      <c r="A453" s="414">
        <v>12.0</v>
      </c>
      <c r="B453" s="46" t="s">
        <v>1171</v>
      </c>
      <c r="C453" s="46" t="s">
        <v>7072</v>
      </c>
      <c r="D453" s="46"/>
      <c r="E453" s="46"/>
      <c r="F453" s="50"/>
      <c r="G453" s="415">
        <v>100.0</v>
      </c>
      <c r="H453" s="223">
        <v>8.0</v>
      </c>
      <c r="I453" s="223">
        <v>40.0</v>
      </c>
      <c r="J453" s="223">
        <v>1.0</v>
      </c>
      <c r="K453" s="223">
        <v>1.0</v>
      </c>
      <c r="L453" s="223">
        <v>2.0</v>
      </c>
      <c r="M453" s="46" t="s">
        <v>7064</v>
      </c>
      <c r="N453" s="46"/>
      <c r="O453" s="46"/>
      <c r="P453" s="46" t="s">
        <v>65</v>
      </c>
      <c r="Q453" s="46"/>
      <c r="R453" s="46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</row>
    <row r="454" ht="15.75" customHeight="1">
      <c r="A454" s="414">
        <v>13.0</v>
      </c>
      <c r="B454" s="46" t="s">
        <v>1171</v>
      </c>
      <c r="C454" s="46" t="s">
        <v>7073</v>
      </c>
      <c r="D454" s="46"/>
      <c r="E454" s="46"/>
      <c r="F454" s="50"/>
      <c r="G454" s="415">
        <v>48.0</v>
      </c>
      <c r="H454" s="223">
        <v>3.0</v>
      </c>
      <c r="I454" s="223">
        <v>15.0</v>
      </c>
      <c r="J454" s="223">
        <v>0.0</v>
      </c>
      <c r="K454" s="223">
        <v>0.0</v>
      </c>
      <c r="L454" s="223">
        <v>1.0</v>
      </c>
      <c r="M454" s="46" t="s">
        <v>523</v>
      </c>
      <c r="N454" s="46"/>
      <c r="O454" s="46"/>
      <c r="P454" s="46" t="s">
        <v>52</v>
      </c>
      <c r="Q454" s="46"/>
      <c r="R454" s="46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</row>
    <row r="455" ht="15.75" customHeight="1">
      <c r="A455" s="414">
        <v>14.0</v>
      </c>
      <c r="B455" s="46" t="s">
        <v>7074</v>
      </c>
      <c r="C455" s="46" t="s">
        <v>7073</v>
      </c>
      <c r="D455" s="46"/>
      <c r="E455" s="46"/>
      <c r="F455" s="50"/>
      <c r="G455" s="415">
        <v>160.0</v>
      </c>
      <c r="H455" s="223">
        <v>9.0</v>
      </c>
      <c r="I455" s="223">
        <v>45.0</v>
      </c>
      <c r="J455" s="223">
        <v>1.0</v>
      </c>
      <c r="K455" s="223">
        <v>1.0</v>
      </c>
      <c r="L455" s="223">
        <v>0.0</v>
      </c>
      <c r="M455" s="46" t="s">
        <v>523</v>
      </c>
      <c r="N455" s="46"/>
      <c r="O455" s="223">
        <v>300.0</v>
      </c>
      <c r="P455" s="46" t="s">
        <v>52</v>
      </c>
      <c r="Q455" s="46"/>
      <c r="R455" s="46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  <c r="AD455" s="129"/>
    </row>
    <row r="456" ht="15.75" customHeight="1">
      <c r="A456" s="414">
        <v>15.0</v>
      </c>
      <c r="B456" s="46" t="s">
        <v>2781</v>
      </c>
      <c r="C456" s="46" t="s">
        <v>7075</v>
      </c>
      <c r="D456" s="46"/>
      <c r="E456" s="46"/>
      <c r="F456" s="50"/>
      <c r="G456" s="415">
        <v>450.0</v>
      </c>
      <c r="H456" s="223">
        <v>30.0</v>
      </c>
      <c r="I456" s="223">
        <v>150.0</v>
      </c>
      <c r="J456" s="223">
        <v>1.0</v>
      </c>
      <c r="K456" s="223">
        <v>1.0</v>
      </c>
      <c r="L456" s="223">
        <v>0.0</v>
      </c>
      <c r="M456" s="46" t="s">
        <v>7064</v>
      </c>
      <c r="N456" s="46"/>
      <c r="O456" s="223">
        <v>150.0</v>
      </c>
      <c r="P456" s="46" t="s">
        <v>52</v>
      </c>
      <c r="Q456" s="46"/>
      <c r="R456" s="46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  <c r="AD456" s="129"/>
    </row>
    <row r="457" ht="15.75" customHeight="1">
      <c r="A457" s="414">
        <v>16.0</v>
      </c>
      <c r="B457" s="46" t="s">
        <v>7068</v>
      </c>
      <c r="C457" s="46" t="s">
        <v>7076</v>
      </c>
      <c r="D457" s="46"/>
      <c r="E457" s="46"/>
      <c r="F457" s="50"/>
      <c r="G457" s="415">
        <v>48.0</v>
      </c>
      <c r="H457" s="417">
        <v>44839.0</v>
      </c>
      <c r="I457" s="223" t="s">
        <v>7077</v>
      </c>
      <c r="J457" s="223">
        <v>1.0</v>
      </c>
      <c r="K457" s="223">
        <v>1.0</v>
      </c>
      <c r="L457" s="223">
        <v>2.0</v>
      </c>
      <c r="M457" s="46" t="s">
        <v>7064</v>
      </c>
      <c r="N457" s="46" t="s">
        <v>427</v>
      </c>
      <c r="O457" s="46"/>
      <c r="P457" s="46" t="s">
        <v>65</v>
      </c>
      <c r="Q457" s="46"/>
      <c r="R457" s="46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  <c r="AD457" s="129"/>
    </row>
    <row r="458" ht="15.75" customHeight="1">
      <c r="A458" s="414">
        <v>17.0</v>
      </c>
      <c r="B458" s="46" t="s">
        <v>7078</v>
      </c>
      <c r="C458" s="46" t="s">
        <v>7079</v>
      </c>
      <c r="D458" s="46"/>
      <c r="E458" s="46"/>
      <c r="F458" s="50"/>
      <c r="G458" s="415">
        <v>700.0</v>
      </c>
      <c r="H458" s="223">
        <v>250.0</v>
      </c>
      <c r="I458" s="223">
        <v>1633.0</v>
      </c>
      <c r="J458" s="223">
        <v>3.0</v>
      </c>
      <c r="K458" s="223">
        <v>3.0</v>
      </c>
      <c r="L458" s="223">
        <v>3.0</v>
      </c>
      <c r="M458" s="46" t="s">
        <v>7064</v>
      </c>
      <c r="N458" s="46"/>
      <c r="O458" s="223">
        <v>500.0</v>
      </c>
      <c r="P458" s="46" t="s">
        <v>65</v>
      </c>
      <c r="Q458" s="46"/>
      <c r="R458" s="46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  <c r="AD458" s="129"/>
    </row>
    <row r="459" ht="15.75" customHeight="1">
      <c r="A459" s="414">
        <v>18.0</v>
      </c>
      <c r="B459" s="46" t="s">
        <v>1134</v>
      </c>
      <c r="C459" s="46" t="s">
        <v>7080</v>
      </c>
      <c r="D459" s="46"/>
      <c r="E459" s="46"/>
      <c r="F459" s="50"/>
      <c r="G459" s="415">
        <v>50.0</v>
      </c>
      <c r="H459" s="223">
        <v>10.0</v>
      </c>
      <c r="I459" s="223">
        <v>50.0</v>
      </c>
      <c r="J459" s="223">
        <v>2.0</v>
      </c>
      <c r="K459" s="223">
        <v>2.0</v>
      </c>
      <c r="L459" s="223">
        <v>2.0</v>
      </c>
      <c r="M459" s="46" t="s">
        <v>7081</v>
      </c>
      <c r="N459" s="46"/>
      <c r="O459" s="223">
        <v>1000.0</v>
      </c>
      <c r="P459" s="46" t="s">
        <v>65</v>
      </c>
      <c r="Q459" s="46"/>
      <c r="R459" s="46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  <c r="AD459" s="129"/>
    </row>
    <row r="460" ht="15.75" customHeight="1">
      <c r="A460" s="414">
        <v>19.0</v>
      </c>
      <c r="B460" s="46" t="s">
        <v>7082</v>
      </c>
      <c r="C460" s="46" t="s">
        <v>7083</v>
      </c>
      <c r="D460" s="46"/>
      <c r="E460" s="46"/>
      <c r="F460" s="50"/>
      <c r="G460" s="415">
        <v>56.0</v>
      </c>
      <c r="H460" s="223">
        <v>1.0</v>
      </c>
      <c r="I460" s="223">
        <v>6.0</v>
      </c>
      <c r="J460" s="223">
        <v>0.0</v>
      </c>
      <c r="K460" s="223">
        <v>0.0</v>
      </c>
      <c r="L460" s="223">
        <v>1.0</v>
      </c>
      <c r="M460" s="46"/>
      <c r="N460" s="46" t="s">
        <v>427</v>
      </c>
      <c r="O460" s="223">
        <v>50.0</v>
      </c>
      <c r="P460" s="46" t="s">
        <v>65</v>
      </c>
      <c r="Q460" s="46"/>
      <c r="R460" s="46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  <c r="AD460" s="129"/>
    </row>
    <row r="461" ht="15.75" customHeight="1">
      <c r="A461" s="414">
        <v>20.0</v>
      </c>
      <c r="B461" s="46" t="s">
        <v>2781</v>
      </c>
      <c r="C461" s="46" t="s">
        <v>7084</v>
      </c>
      <c r="D461" s="46"/>
      <c r="E461" s="46"/>
      <c r="F461" s="50"/>
      <c r="G461" s="415">
        <v>400.0</v>
      </c>
      <c r="H461" s="223">
        <v>10.0</v>
      </c>
      <c r="I461" s="223">
        <v>50.0</v>
      </c>
      <c r="J461" s="223">
        <v>0.0</v>
      </c>
      <c r="K461" s="223">
        <v>0.0</v>
      </c>
      <c r="L461" s="223">
        <v>1.0</v>
      </c>
      <c r="M461" s="46" t="s">
        <v>7081</v>
      </c>
      <c r="N461" s="46"/>
      <c r="O461" s="46"/>
      <c r="P461" s="46" t="s">
        <v>52</v>
      </c>
      <c r="Q461" s="46"/>
      <c r="R461" s="46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  <c r="AD461" s="129"/>
    </row>
    <row r="462" ht="15.75" customHeight="1">
      <c r="A462" s="414">
        <v>21.0</v>
      </c>
      <c r="B462" s="46" t="s">
        <v>1171</v>
      </c>
      <c r="C462" s="46" t="s">
        <v>7084</v>
      </c>
      <c r="D462" s="46"/>
      <c r="E462" s="46"/>
      <c r="F462" s="50"/>
      <c r="G462" s="415">
        <v>40.0</v>
      </c>
      <c r="H462" s="223">
        <v>2.0</v>
      </c>
      <c r="I462" s="223">
        <v>10.0</v>
      </c>
      <c r="J462" s="223">
        <v>0.0</v>
      </c>
      <c r="K462" s="223">
        <v>0.0</v>
      </c>
      <c r="L462" s="223">
        <v>1.0</v>
      </c>
      <c r="M462" s="46" t="s">
        <v>7081</v>
      </c>
      <c r="N462" s="46"/>
      <c r="O462" s="46"/>
      <c r="P462" s="46" t="s">
        <v>52</v>
      </c>
      <c r="Q462" s="46"/>
      <c r="R462" s="46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</row>
    <row r="463" ht="15.75" customHeight="1">
      <c r="A463" s="414">
        <v>22.0</v>
      </c>
      <c r="B463" s="46" t="s">
        <v>7085</v>
      </c>
      <c r="C463" s="46" t="s">
        <v>7084</v>
      </c>
      <c r="D463" s="46"/>
      <c r="E463" s="46"/>
      <c r="F463" s="50"/>
      <c r="G463" s="415">
        <v>700.0</v>
      </c>
      <c r="H463" s="223">
        <v>18.0</v>
      </c>
      <c r="I463" s="223">
        <v>90.0</v>
      </c>
      <c r="J463" s="223">
        <v>1.0</v>
      </c>
      <c r="K463" s="223">
        <v>1.0</v>
      </c>
      <c r="L463" s="223">
        <v>1.0</v>
      </c>
      <c r="M463" s="46" t="s">
        <v>7081</v>
      </c>
      <c r="N463" s="46"/>
      <c r="O463" s="46"/>
      <c r="P463" s="46" t="s">
        <v>65</v>
      </c>
      <c r="Q463" s="46"/>
      <c r="R463" s="46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</row>
    <row r="464" ht="15.75" customHeight="1">
      <c r="A464" s="414">
        <v>23.0</v>
      </c>
      <c r="B464" s="46" t="s">
        <v>7086</v>
      </c>
      <c r="C464" s="46" t="s">
        <v>7087</v>
      </c>
      <c r="D464" s="46"/>
      <c r="E464" s="46"/>
      <c r="F464" s="50"/>
      <c r="G464" s="415">
        <v>160.0</v>
      </c>
      <c r="H464" s="223">
        <v>25.0</v>
      </c>
      <c r="I464" s="223">
        <v>125.0</v>
      </c>
      <c r="J464" s="223">
        <v>1.0</v>
      </c>
      <c r="K464" s="223">
        <v>1.0</v>
      </c>
      <c r="L464" s="223">
        <v>1.0</v>
      </c>
      <c r="M464" s="46"/>
      <c r="N464" s="46" t="s">
        <v>427</v>
      </c>
      <c r="O464" s="223">
        <v>250.0</v>
      </c>
      <c r="P464" s="46" t="s">
        <v>52</v>
      </c>
      <c r="Q464" s="46"/>
      <c r="R464" s="46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  <c r="AD464" s="129"/>
    </row>
    <row r="465" ht="15.75" customHeight="1">
      <c r="A465" s="414">
        <v>24.0</v>
      </c>
      <c r="B465" s="416" t="s">
        <v>7088</v>
      </c>
      <c r="C465" s="46" t="s">
        <v>7087</v>
      </c>
      <c r="D465" s="46"/>
      <c r="E465" s="46"/>
      <c r="F465" s="50"/>
      <c r="G465" s="415">
        <v>48.0</v>
      </c>
      <c r="H465" s="223">
        <v>10.0</v>
      </c>
      <c r="I465" s="223">
        <v>50.0</v>
      </c>
      <c r="J465" s="223">
        <v>0.0</v>
      </c>
      <c r="K465" s="223">
        <v>0.0</v>
      </c>
      <c r="L465" s="223">
        <v>1.0</v>
      </c>
      <c r="M465" s="46"/>
      <c r="N465" s="46" t="s">
        <v>427</v>
      </c>
      <c r="O465" s="223">
        <v>100.0</v>
      </c>
      <c r="P465" s="46" t="s">
        <v>52</v>
      </c>
      <c r="Q465" s="46"/>
      <c r="R465" s="46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</row>
    <row r="466" ht="15.75" customHeight="1">
      <c r="A466" s="414">
        <v>25.0</v>
      </c>
      <c r="B466" s="46" t="s">
        <v>7089</v>
      </c>
      <c r="C466" s="46" t="s">
        <v>7090</v>
      </c>
      <c r="D466" s="46"/>
      <c r="E466" s="46"/>
      <c r="F466" s="50"/>
      <c r="G466" s="415">
        <v>160.0</v>
      </c>
      <c r="H466" s="223">
        <v>15.0</v>
      </c>
      <c r="I466" s="223">
        <v>75.0</v>
      </c>
      <c r="J466" s="223">
        <v>1.0</v>
      </c>
      <c r="K466" s="223">
        <v>1.0</v>
      </c>
      <c r="L466" s="223">
        <v>0.0</v>
      </c>
      <c r="M466" s="46" t="s">
        <v>7081</v>
      </c>
      <c r="N466" s="46"/>
      <c r="O466" s="223">
        <v>100.0</v>
      </c>
      <c r="P466" s="46" t="s">
        <v>65</v>
      </c>
      <c r="Q466" s="46"/>
      <c r="R466" s="46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</row>
    <row r="467" ht="15.75" customHeight="1">
      <c r="A467" s="181"/>
      <c r="B467" s="182" t="s">
        <v>1254</v>
      </c>
      <c r="C467" s="182"/>
      <c r="D467" s="182"/>
      <c r="E467" s="182"/>
      <c r="F467" s="403"/>
      <c r="G467" s="404"/>
      <c r="H467" s="182"/>
      <c r="I467" s="182"/>
      <c r="J467" s="91"/>
      <c r="K467" s="91"/>
      <c r="L467" s="91"/>
      <c r="M467" s="91"/>
      <c r="N467" s="91"/>
      <c r="O467" s="91"/>
      <c r="P467" s="182"/>
      <c r="Q467" s="91"/>
      <c r="R467" s="218"/>
      <c r="S467" s="405"/>
      <c r="T467" s="405"/>
      <c r="U467" s="405"/>
      <c r="V467" s="405"/>
      <c r="W467" s="405"/>
      <c r="X467" s="405"/>
      <c r="Y467" s="405"/>
      <c r="Z467" s="405"/>
      <c r="AA467" s="405"/>
      <c r="AB467" s="405"/>
      <c r="AC467" s="405"/>
      <c r="AD467" s="405"/>
    </row>
    <row r="468" ht="14.25" customHeight="1">
      <c r="A468" s="211">
        <v>1.0</v>
      </c>
      <c r="B468" s="27" t="s">
        <v>3527</v>
      </c>
      <c r="C468" s="27" t="s">
        <v>3528</v>
      </c>
      <c r="D468" s="27"/>
      <c r="E468" s="27"/>
      <c r="F468" s="38"/>
      <c r="G468" s="407">
        <v>48.0</v>
      </c>
      <c r="H468" s="42">
        <v>4.0</v>
      </c>
      <c r="I468" s="42">
        <v>19.0</v>
      </c>
      <c r="J468" s="42">
        <v>0.0</v>
      </c>
      <c r="K468" s="42">
        <v>0.0</v>
      </c>
      <c r="L468" s="42">
        <v>1.0</v>
      </c>
      <c r="M468" s="27" t="s">
        <v>27</v>
      </c>
      <c r="N468" s="27" t="s">
        <v>138</v>
      </c>
      <c r="O468" s="42">
        <v>240.0</v>
      </c>
      <c r="P468" s="27" t="s">
        <v>335</v>
      </c>
      <c r="Q468" s="42">
        <v>0.0</v>
      </c>
      <c r="R468" s="46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</row>
    <row r="469" ht="14.25" customHeight="1">
      <c r="A469" s="211">
        <v>2.0</v>
      </c>
      <c r="B469" s="28" t="s">
        <v>3529</v>
      </c>
      <c r="C469" s="25" t="s">
        <v>3528</v>
      </c>
      <c r="D469" s="25"/>
      <c r="E469" s="25"/>
      <c r="F469" s="39"/>
      <c r="G469" s="418">
        <v>30.0</v>
      </c>
      <c r="H469" s="43">
        <v>2.0</v>
      </c>
      <c r="I469" s="43">
        <v>12.0</v>
      </c>
      <c r="J469" s="43">
        <v>0.0</v>
      </c>
      <c r="K469" s="43">
        <v>0.0</v>
      </c>
      <c r="L469" s="43">
        <v>1.0</v>
      </c>
      <c r="M469" s="25" t="s">
        <v>27</v>
      </c>
      <c r="N469" s="25" t="s">
        <v>138</v>
      </c>
      <c r="O469" s="43">
        <v>150.0</v>
      </c>
      <c r="P469" s="25" t="s">
        <v>47</v>
      </c>
      <c r="Q469" s="43">
        <v>3.0</v>
      </c>
      <c r="R469" s="46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</row>
    <row r="470" ht="14.25" customHeight="1">
      <c r="A470" s="211">
        <v>3.0</v>
      </c>
      <c r="B470" s="34" t="s">
        <v>3530</v>
      </c>
      <c r="C470" s="27" t="s">
        <v>3531</v>
      </c>
      <c r="D470" s="27"/>
      <c r="E470" s="27"/>
      <c r="F470" s="38"/>
      <c r="G470" s="407">
        <v>30.0</v>
      </c>
      <c r="H470" s="42">
        <v>2.0</v>
      </c>
      <c r="I470" s="42">
        <v>12.0</v>
      </c>
      <c r="J470" s="42">
        <v>0.0</v>
      </c>
      <c r="K470" s="42">
        <v>0.0</v>
      </c>
      <c r="L470" s="42">
        <v>1.0</v>
      </c>
      <c r="M470" s="27" t="s">
        <v>27</v>
      </c>
      <c r="N470" s="27" t="s">
        <v>138</v>
      </c>
      <c r="O470" s="42">
        <v>150.0</v>
      </c>
      <c r="P470" s="27" t="s">
        <v>335</v>
      </c>
      <c r="Q470" s="42">
        <v>0.0</v>
      </c>
      <c r="R470" s="46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</row>
    <row r="471" ht="14.25" customHeight="1">
      <c r="A471" s="211">
        <v>4.0</v>
      </c>
      <c r="B471" s="28" t="s">
        <v>3532</v>
      </c>
      <c r="C471" s="25" t="s">
        <v>3531</v>
      </c>
      <c r="D471" s="25"/>
      <c r="E471" s="25"/>
      <c r="F471" s="39"/>
      <c r="G471" s="418">
        <v>24.0</v>
      </c>
      <c r="H471" s="43">
        <v>2.0</v>
      </c>
      <c r="I471" s="43">
        <v>10.0</v>
      </c>
      <c r="J471" s="43">
        <v>0.0</v>
      </c>
      <c r="K471" s="43">
        <v>0.0</v>
      </c>
      <c r="L471" s="43">
        <v>1.0</v>
      </c>
      <c r="M471" s="25" t="s">
        <v>27</v>
      </c>
      <c r="N471" s="25" t="s">
        <v>138</v>
      </c>
      <c r="O471" s="43">
        <v>60.0</v>
      </c>
      <c r="P471" s="25" t="s">
        <v>47</v>
      </c>
      <c r="Q471" s="43">
        <v>2.0</v>
      </c>
      <c r="R471" s="46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</row>
    <row r="472" ht="14.25" customHeight="1">
      <c r="A472" s="211">
        <v>5.0</v>
      </c>
      <c r="B472" s="34" t="s">
        <v>3533</v>
      </c>
      <c r="C472" s="27" t="s">
        <v>3531</v>
      </c>
      <c r="D472" s="27"/>
      <c r="E472" s="27"/>
      <c r="F472" s="38"/>
      <c r="G472" s="407">
        <v>96.0</v>
      </c>
      <c r="H472" s="42">
        <v>8.0</v>
      </c>
      <c r="I472" s="42">
        <v>38.0</v>
      </c>
      <c r="J472" s="42">
        <v>0.0</v>
      </c>
      <c r="K472" s="42">
        <v>0.0</v>
      </c>
      <c r="L472" s="42">
        <v>1.0</v>
      </c>
      <c r="M472" s="27" t="s">
        <v>27</v>
      </c>
      <c r="N472" s="27" t="s">
        <v>138</v>
      </c>
      <c r="O472" s="42">
        <v>120.0</v>
      </c>
      <c r="P472" s="27" t="s">
        <v>335</v>
      </c>
      <c r="Q472" s="42">
        <v>0.0</v>
      </c>
      <c r="R472" s="46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</row>
    <row r="473" ht="14.25" customHeight="1">
      <c r="A473" s="211">
        <v>6.0</v>
      </c>
      <c r="B473" s="28" t="s">
        <v>3534</v>
      </c>
      <c r="C473" s="25" t="s">
        <v>3535</v>
      </c>
      <c r="D473" s="25"/>
      <c r="E473" s="25"/>
      <c r="F473" s="39"/>
      <c r="G473" s="418">
        <v>42.0</v>
      </c>
      <c r="H473" s="43">
        <v>3.0</v>
      </c>
      <c r="I473" s="43">
        <v>17.0</v>
      </c>
      <c r="J473" s="43">
        <v>0.0</v>
      </c>
      <c r="K473" s="43">
        <v>0.0</v>
      </c>
      <c r="L473" s="43">
        <v>1.0</v>
      </c>
      <c r="M473" s="25" t="s">
        <v>27</v>
      </c>
      <c r="N473" s="25" t="s">
        <v>138</v>
      </c>
      <c r="O473" s="43">
        <v>210.0</v>
      </c>
      <c r="P473" s="25" t="s">
        <v>335</v>
      </c>
      <c r="Q473" s="43">
        <v>0.0</v>
      </c>
      <c r="R473" s="46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</row>
    <row r="474" ht="14.25" customHeight="1">
      <c r="A474" s="211">
        <v>7.0</v>
      </c>
      <c r="B474" s="34" t="s">
        <v>3536</v>
      </c>
      <c r="C474" s="27" t="s">
        <v>3535</v>
      </c>
      <c r="D474" s="27"/>
      <c r="E474" s="27"/>
      <c r="F474" s="38"/>
      <c r="G474" s="407">
        <v>34.8</v>
      </c>
      <c r="H474" s="42">
        <v>3.0</v>
      </c>
      <c r="I474" s="42">
        <v>14.0</v>
      </c>
      <c r="J474" s="42">
        <v>0.0</v>
      </c>
      <c r="K474" s="42">
        <v>0.0</v>
      </c>
      <c r="L474" s="42">
        <v>1.0</v>
      </c>
      <c r="M474" s="27" t="s">
        <v>27</v>
      </c>
      <c r="N474" s="27" t="s">
        <v>138</v>
      </c>
      <c r="O474" s="42">
        <v>174.0</v>
      </c>
      <c r="P474" s="27" t="s">
        <v>335</v>
      </c>
      <c r="Q474" s="42">
        <v>0.0</v>
      </c>
      <c r="R474" s="46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</row>
    <row r="475" ht="14.25" customHeight="1">
      <c r="A475" s="211">
        <v>8.0</v>
      </c>
      <c r="B475" s="25" t="s">
        <v>3537</v>
      </c>
      <c r="C475" s="25" t="s">
        <v>3535</v>
      </c>
      <c r="D475" s="25"/>
      <c r="E475" s="25"/>
      <c r="F475" s="39"/>
      <c r="G475" s="418">
        <v>20.0</v>
      </c>
      <c r="H475" s="43">
        <v>2.0</v>
      </c>
      <c r="I475" s="43">
        <v>8.0</v>
      </c>
      <c r="J475" s="43">
        <v>0.0</v>
      </c>
      <c r="K475" s="43">
        <v>0.0</v>
      </c>
      <c r="L475" s="43">
        <v>1.0</v>
      </c>
      <c r="M475" s="25" t="s">
        <v>27</v>
      </c>
      <c r="N475" s="25" t="s">
        <v>138</v>
      </c>
      <c r="O475" s="43">
        <v>100.0</v>
      </c>
      <c r="P475" s="25" t="s">
        <v>335</v>
      </c>
      <c r="Q475" s="43">
        <v>0.0</v>
      </c>
      <c r="R475" s="46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</row>
    <row r="476" ht="14.25" customHeight="1">
      <c r="A476" s="211">
        <v>9.0</v>
      </c>
      <c r="B476" s="34" t="s">
        <v>3538</v>
      </c>
      <c r="C476" s="27" t="s">
        <v>3535</v>
      </c>
      <c r="D476" s="27"/>
      <c r="E476" s="27"/>
      <c r="F476" s="38"/>
      <c r="G476" s="407">
        <v>30.0</v>
      </c>
      <c r="H476" s="42">
        <v>2.0</v>
      </c>
      <c r="I476" s="42">
        <v>12.0</v>
      </c>
      <c r="J476" s="42">
        <v>0.0</v>
      </c>
      <c r="K476" s="42">
        <v>0.0</v>
      </c>
      <c r="L476" s="42">
        <v>1.0</v>
      </c>
      <c r="M476" s="27" t="s">
        <v>27</v>
      </c>
      <c r="N476" s="27" t="s">
        <v>138</v>
      </c>
      <c r="O476" s="42">
        <v>150.0</v>
      </c>
      <c r="P476" s="27" t="s">
        <v>47</v>
      </c>
      <c r="Q476" s="42">
        <v>3.0</v>
      </c>
      <c r="R476" s="46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  <c r="AD476" s="129"/>
    </row>
    <row r="477" ht="14.25" customHeight="1">
      <c r="A477" s="211">
        <v>10.0</v>
      </c>
      <c r="B477" s="28" t="s">
        <v>3539</v>
      </c>
      <c r="C477" s="25" t="s">
        <v>3535</v>
      </c>
      <c r="D477" s="25"/>
      <c r="E477" s="25"/>
      <c r="F477" s="39"/>
      <c r="G477" s="418">
        <v>96.0</v>
      </c>
      <c r="H477" s="43">
        <v>8.0</v>
      </c>
      <c r="I477" s="43">
        <v>38.0</v>
      </c>
      <c r="J477" s="43">
        <v>0.0</v>
      </c>
      <c r="K477" s="43">
        <v>0.0</v>
      </c>
      <c r="L477" s="43">
        <v>1.0</v>
      </c>
      <c r="M477" s="25" t="s">
        <v>27</v>
      </c>
      <c r="N477" s="25" t="s">
        <v>138</v>
      </c>
      <c r="O477" s="43">
        <v>480.0</v>
      </c>
      <c r="P477" s="25" t="s">
        <v>335</v>
      </c>
      <c r="Q477" s="43">
        <v>0.0</v>
      </c>
      <c r="R477" s="46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  <c r="AD477" s="129"/>
    </row>
    <row r="478" ht="14.25" customHeight="1">
      <c r="A478" s="211">
        <v>11.0</v>
      </c>
      <c r="B478" s="27" t="s">
        <v>3540</v>
      </c>
      <c r="C478" s="27" t="s">
        <v>3541</v>
      </c>
      <c r="D478" s="27"/>
      <c r="E478" s="27"/>
      <c r="F478" s="38"/>
      <c r="G478" s="407">
        <v>42.0</v>
      </c>
      <c r="H478" s="42">
        <v>3.0</v>
      </c>
      <c r="I478" s="42">
        <v>17.0</v>
      </c>
      <c r="J478" s="42">
        <v>0.0</v>
      </c>
      <c r="K478" s="42">
        <v>0.0</v>
      </c>
      <c r="L478" s="42">
        <v>1.0</v>
      </c>
      <c r="M478" s="27" t="s">
        <v>27</v>
      </c>
      <c r="N478" s="27" t="s">
        <v>138</v>
      </c>
      <c r="O478" s="42">
        <v>210.0</v>
      </c>
      <c r="P478" s="27" t="s">
        <v>335</v>
      </c>
      <c r="Q478" s="42">
        <v>0.0</v>
      </c>
      <c r="R478" s="46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  <c r="AD478" s="129"/>
    </row>
    <row r="479" ht="14.25" customHeight="1">
      <c r="A479" s="211">
        <v>12.0</v>
      </c>
      <c r="B479" s="25" t="s">
        <v>3542</v>
      </c>
      <c r="C479" s="25" t="s">
        <v>3541</v>
      </c>
      <c r="D479" s="25"/>
      <c r="E479" s="25"/>
      <c r="F479" s="39"/>
      <c r="G479" s="418">
        <v>37.2</v>
      </c>
      <c r="H479" s="43">
        <v>3.0</v>
      </c>
      <c r="I479" s="43">
        <v>15.0</v>
      </c>
      <c r="J479" s="43">
        <v>0.0</v>
      </c>
      <c r="K479" s="43">
        <v>0.0</v>
      </c>
      <c r="L479" s="43">
        <v>1.0</v>
      </c>
      <c r="M479" s="25" t="s">
        <v>27</v>
      </c>
      <c r="N479" s="25" t="s">
        <v>138</v>
      </c>
      <c r="O479" s="43">
        <v>186.0</v>
      </c>
      <c r="P479" s="25" t="s">
        <v>47</v>
      </c>
      <c r="Q479" s="43">
        <v>3.0</v>
      </c>
      <c r="R479" s="46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  <c r="AD479" s="129"/>
    </row>
    <row r="480" ht="14.25" customHeight="1">
      <c r="A480" s="211">
        <v>13.0</v>
      </c>
      <c r="B480" s="34" t="s">
        <v>3543</v>
      </c>
      <c r="C480" s="27" t="s">
        <v>3541</v>
      </c>
      <c r="D480" s="27"/>
      <c r="E480" s="27"/>
      <c r="F480" s="38"/>
      <c r="G480" s="407">
        <v>38.4</v>
      </c>
      <c r="H480" s="42">
        <v>3.0</v>
      </c>
      <c r="I480" s="42">
        <v>15.0</v>
      </c>
      <c r="J480" s="42">
        <v>0.0</v>
      </c>
      <c r="K480" s="42">
        <v>0.0</v>
      </c>
      <c r="L480" s="42">
        <v>1.0</v>
      </c>
      <c r="M480" s="27" t="s">
        <v>27</v>
      </c>
      <c r="N480" s="27" t="s">
        <v>138</v>
      </c>
      <c r="O480" s="42">
        <v>192.0</v>
      </c>
      <c r="P480" s="27" t="s">
        <v>47</v>
      </c>
      <c r="Q480" s="42">
        <v>3.0</v>
      </c>
      <c r="R480" s="46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  <c r="AD480" s="129"/>
    </row>
    <row r="481" ht="14.25" customHeight="1">
      <c r="A481" s="211">
        <v>14.0</v>
      </c>
      <c r="B481" s="28" t="s">
        <v>3544</v>
      </c>
      <c r="C481" s="25" t="s">
        <v>3541</v>
      </c>
      <c r="D481" s="25"/>
      <c r="E481" s="25"/>
      <c r="F481" s="39"/>
      <c r="G481" s="418">
        <v>192.0</v>
      </c>
      <c r="H481" s="43">
        <v>15.0</v>
      </c>
      <c r="I481" s="43">
        <v>77.0</v>
      </c>
      <c r="J481" s="43">
        <v>0.0</v>
      </c>
      <c r="K481" s="43">
        <v>0.0</v>
      </c>
      <c r="L481" s="43">
        <v>1.0</v>
      </c>
      <c r="M481" s="25" t="s">
        <v>27</v>
      </c>
      <c r="N481" s="25" t="s">
        <v>138</v>
      </c>
      <c r="O481" s="43">
        <v>96.0</v>
      </c>
      <c r="P481" s="25" t="s">
        <v>335</v>
      </c>
      <c r="Q481" s="43">
        <v>0.0</v>
      </c>
      <c r="R481" s="46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  <c r="AD481" s="129"/>
    </row>
    <row r="482" ht="14.25" customHeight="1">
      <c r="A482" s="211">
        <v>15.0</v>
      </c>
      <c r="B482" s="27" t="s">
        <v>3545</v>
      </c>
      <c r="C482" s="27" t="s">
        <v>3546</v>
      </c>
      <c r="D482" s="27"/>
      <c r="E482" s="27"/>
      <c r="F482" s="38"/>
      <c r="G482" s="407">
        <v>30.0</v>
      </c>
      <c r="H482" s="42">
        <v>2.0</v>
      </c>
      <c r="I482" s="42">
        <v>12.0</v>
      </c>
      <c r="J482" s="42">
        <v>0.0</v>
      </c>
      <c r="K482" s="42">
        <v>0.0</v>
      </c>
      <c r="L482" s="42">
        <v>1.0</v>
      </c>
      <c r="M482" s="27" t="s">
        <v>27</v>
      </c>
      <c r="N482" s="27" t="s">
        <v>138</v>
      </c>
      <c r="O482" s="42">
        <v>150.0</v>
      </c>
      <c r="P482" s="27" t="s">
        <v>335</v>
      </c>
      <c r="Q482" s="42">
        <v>0.0</v>
      </c>
      <c r="R482" s="46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  <c r="AD482" s="129"/>
    </row>
    <row r="483" ht="14.25" customHeight="1">
      <c r="A483" s="211">
        <v>16.0</v>
      </c>
      <c r="B483" s="28" t="s">
        <v>3547</v>
      </c>
      <c r="C483" s="25" t="s">
        <v>3546</v>
      </c>
      <c r="D483" s="25"/>
      <c r="E483" s="25"/>
      <c r="F483" s="39"/>
      <c r="G483" s="418">
        <v>25.0</v>
      </c>
      <c r="H483" s="43">
        <v>1.0</v>
      </c>
      <c r="I483" s="43">
        <v>7.0</v>
      </c>
      <c r="J483" s="43">
        <v>0.0</v>
      </c>
      <c r="K483" s="43">
        <v>0.0</v>
      </c>
      <c r="L483" s="43">
        <v>1.0</v>
      </c>
      <c r="M483" s="25" t="s">
        <v>27</v>
      </c>
      <c r="N483" s="25" t="s">
        <v>138</v>
      </c>
      <c r="O483" s="43">
        <v>125.0</v>
      </c>
      <c r="P483" s="25" t="s">
        <v>335</v>
      </c>
      <c r="Q483" s="43">
        <v>0.0</v>
      </c>
      <c r="R483" s="46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  <c r="AD483" s="129"/>
    </row>
    <row r="484" ht="14.25" customHeight="1">
      <c r="A484" s="211">
        <v>17.0</v>
      </c>
      <c r="B484" s="27" t="s">
        <v>3548</v>
      </c>
      <c r="C484" s="27" t="s">
        <v>3546</v>
      </c>
      <c r="D484" s="27"/>
      <c r="E484" s="27"/>
      <c r="F484" s="38"/>
      <c r="G484" s="407">
        <v>18.0</v>
      </c>
      <c r="H484" s="42">
        <v>3.0</v>
      </c>
      <c r="I484" s="42">
        <v>15.0</v>
      </c>
      <c r="J484" s="42">
        <v>0.0</v>
      </c>
      <c r="K484" s="42">
        <v>0.0</v>
      </c>
      <c r="L484" s="42">
        <v>1.0</v>
      </c>
      <c r="M484" s="27" t="s">
        <v>27</v>
      </c>
      <c r="N484" s="27" t="s">
        <v>138</v>
      </c>
      <c r="O484" s="42">
        <v>90.0</v>
      </c>
      <c r="P484" s="27" t="s">
        <v>47</v>
      </c>
      <c r="Q484" s="42">
        <v>3.0</v>
      </c>
      <c r="R484" s="46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  <c r="AD484" s="129"/>
    </row>
    <row r="485" ht="14.25" customHeight="1">
      <c r="A485" s="211">
        <v>18.0</v>
      </c>
      <c r="B485" s="28" t="s">
        <v>3549</v>
      </c>
      <c r="C485" s="25" t="s">
        <v>3546</v>
      </c>
      <c r="D485" s="25"/>
      <c r="E485" s="25"/>
      <c r="F485" s="39"/>
      <c r="G485" s="418">
        <v>45.0</v>
      </c>
      <c r="H485" s="43">
        <v>4.0</v>
      </c>
      <c r="I485" s="43">
        <v>18.0</v>
      </c>
      <c r="J485" s="43">
        <v>0.0</v>
      </c>
      <c r="K485" s="43">
        <v>0.0</v>
      </c>
      <c r="L485" s="43">
        <v>1.0</v>
      </c>
      <c r="M485" s="25" t="s">
        <v>27</v>
      </c>
      <c r="N485" s="25" t="s">
        <v>138</v>
      </c>
      <c r="O485" s="43">
        <v>225.0</v>
      </c>
      <c r="P485" s="25" t="s">
        <v>47</v>
      </c>
      <c r="Q485" s="43">
        <v>4.0</v>
      </c>
      <c r="R485" s="46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  <c r="AD485" s="129"/>
    </row>
    <row r="486" ht="14.25" customHeight="1">
      <c r="A486" s="211">
        <v>19.0</v>
      </c>
      <c r="B486" s="34" t="s">
        <v>3550</v>
      </c>
      <c r="C486" s="27" t="s">
        <v>3546</v>
      </c>
      <c r="D486" s="27"/>
      <c r="E486" s="27"/>
      <c r="F486" s="38"/>
      <c r="G486" s="407">
        <v>30.8</v>
      </c>
      <c r="H486" s="42">
        <v>2.0</v>
      </c>
      <c r="I486" s="42">
        <v>12.0</v>
      </c>
      <c r="J486" s="42">
        <v>0.0</v>
      </c>
      <c r="K486" s="42">
        <v>0.0</v>
      </c>
      <c r="L486" s="42">
        <v>1.0</v>
      </c>
      <c r="M486" s="27" t="s">
        <v>27</v>
      </c>
      <c r="N486" s="27" t="s">
        <v>138</v>
      </c>
      <c r="O486" s="42">
        <v>154.0</v>
      </c>
      <c r="P486" s="27" t="s">
        <v>47</v>
      </c>
      <c r="Q486" s="42">
        <v>3.0</v>
      </c>
      <c r="R486" s="46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  <c r="AD486" s="129"/>
    </row>
    <row r="487" ht="14.25" customHeight="1">
      <c r="A487" s="211">
        <v>20.0</v>
      </c>
      <c r="B487" s="28" t="s">
        <v>3551</v>
      </c>
      <c r="C487" s="25" t="s">
        <v>3546</v>
      </c>
      <c r="D487" s="25"/>
      <c r="E487" s="25"/>
      <c r="F487" s="39"/>
      <c r="G487" s="418">
        <v>22.0</v>
      </c>
      <c r="H487" s="43">
        <v>2.0</v>
      </c>
      <c r="I487" s="43">
        <v>9.0</v>
      </c>
      <c r="J487" s="43">
        <v>0.0</v>
      </c>
      <c r="K487" s="43">
        <v>0.0</v>
      </c>
      <c r="L487" s="43">
        <v>1.0</v>
      </c>
      <c r="M487" s="25" t="s">
        <v>27</v>
      </c>
      <c r="N487" s="25" t="s">
        <v>138</v>
      </c>
      <c r="O487" s="43">
        <v>110.0</v>
      </c>
      <c r="P487" s="25" t="s">
        <v>47</v>
      </c>
      <c r="Q487" s="43">
        <v>2.0</v>
      </c>
      <c r="R487" s="46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  <c r="AD487" s="129"/>
    </row>
    <row r="488" ht="14.25" customHeight="1">
      <c r="A488" s="211">
        <v>21.0</v>
      </c>
      <c r="B488" s="34" t="s">
        <v>3552</v>
      </c>
      <c r="C488" s="27" t="s">
        <v>3546</v>
      </c>
      <c r="D488" s="27"/>
      <c r="E488" s="27"/>
      <c r="F488" s="38"/>
      <c r="G488" s="407">
        <v>96.0</v>
      </c>
      <c r="H488" s="42">
        <v>8.0</v>
      </c>
      <c r="I488" s="42">
        <v>38.0</v>
      </c>
      <c r="J488" s="42">
        <v>0.0</v>
      </c>
      <c r="K488" s="42">
        <v>0.0</v>
      </c>
      <c r="L488" s="42">
        <v>1.0</v>
      </c>
      <c r="M488" s="27" t="s">
        <v>27</v>
      </c>
      <c r="N488" s="27" t="s">
        <v>138</v>
      </c>
      <c r="O488" s="42">
        <v>480.0</v>
      </c>
      <c r="P488" s="27" t="s">
        <v>335</v>
      </c>
      <c r="Q488" s="42">
        <v>0.0</v>
      </c>
      <c r="R488" s="46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  <c r="AD488" s="129"/>
    </row>
    <row r="489" ht="14.25" customHeight="1">
      <c r="A489" s="211">
        <v>22.0</v>
      </c>
      <c r="B489" s="28" t="s">
        <v>3553</v>
      </c>
      <c r="C489" s="25" t="s">
        <v>3546</v>
      </c>
      <c r="D489" s="25"/>
      <c r="E489" s="25"/>
      <c r="F489" s="39"/>
      <c r="G489" s="418">
        <v>96.0</v>
      </c>
      <c r="H489" s="43">
        <v>8.0</v>
      </c>
      <c r="I489" s="43">
        <v>38.0</v>
      </c>
      <c r="J489" s="43">
        <v>0.0</v>
      </c>
      <c r="K489" s="43">
        <v>0.0</v>
      </c>
      <c r="L489" s="43">
        <v>1.0</v>
      </c>
      <c r="M489" s="25" t="s">
        <v>27</v>
      </c>
      <c r="N489" s="25" t="s">
        <v>138</v>
      </c>
      <c r="O489" s="43">
        <v>480.0</v>
      </c>
      <c r="P489" s="25" t="s">
        <v>335</v>
      </c>
      <c r="Q489" s="43">
        <v>0.0</v>
      </c>
      <c r="R489" s="46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  <c r="AD489" s="129"/>
    </row>
    <row r="490" ht="14.25" customHeight="1">
      <c r="A490" s="211">
        <v>23.0</v>
      </c>
      <c r="B490" s="34" t="s">
        <v>3554</v>
      </c>
      <c r="C490" s="27" t="s">
        <v>3555</v>
      </c>
      <c r="D490" s="27"/>
      <c r="E490" s="27"/>
      <c r="F490" s="38"/>
      <c r="G490" s="407">
        <v>35.0</v>
      </c>
      <c r="H490" s="42">
        <v>3.0</v>
      </c>
      <c r="I490" s="42">
        <v>14.0</v>
      </c>
      <c r="J490" s="42">
        <v>0.0</v>
      </c>
      <c r="K490" s="42">
        <v>0.0</v>
      </c>
      <c r="L490" s="42">
        <v>1.0</v>
      </c>
      <c r="M490" s="27" t="s">
        <v>27</v>
      </c>
      <c r="N490" s="27" t="s">
        <v>138</v>
      </c>
      <c r="O490" s="42">
        <v>175.0</v>
      </c>
      <c r="P490" s="27" t="s">
        <v>335</v>
      </c>
      <c r="Q490" s="42">
        <v>0.0</v>
      </c>
      <c r="R490" s="46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  <c r="AD490" s="129"/>
    </row>
    <row r="491" ht="14.25" customHeight="1">
      <c r="A491" s="211">
        <v>24.0</v>
      </c>
      <c r="B491" s="25" t="s">
        <v>3556</v>
      </c>
      <c r="C491" s="25" t="s">
        <v>3555</v>
      </c>
      <c r="D491" s="25"/>
      <c r="E491" s="25"/>
      <c r="F491" s="39"/>
      <c r="G491" s="418">
        <v>20.0</v>
      </c>
      <c r="H491" s="43">
        <v>2.0</v>
      </c>
      <c r="I491" s="43">
        <v>8.0</v>
      </c>
      <c r="J491" s="43">
        <v>0.0</v>
      </c>
      <c r="K491" s="43">
        <v>0.0</v>
      </c>
      <c r="L491" s="43">
        <v>1.0</v>
      </c>
      <c r="M491" s="25" t="s">
        <v>27</v>
      </c>
      <c r="N491" s="25" t="s">
        <v>138</v>
      </c>
      <c r="O491" s="43">
        <v>10.0</v>
      </c>
      <c r="P491" s="25" t="s">
        <v>335</v>
      </c>
      <c r="Q491" s="43">
        <v>0.0</v>
      </c>
      <c r="R491" s="46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  <c r="AD491" s="129"/>
    </row>
    <row r="492" ht="14.25" customHeight="1">
      <c r="A492" s="211">
        <v>25.0</v>
      </c>
      <c r="B492" s="34" t="s">
        <v>3557</v>
      </c>
      <c r="C492" s="27" t="s">
        <v>3555</v>
      </c>
      <c r="D492" s="27"/>
      <c r="E492" s="27"/>
      <c r="F492" s="38"/>
      <c r="G492" s="407">
        <v>48.0</v>
      </c>
      <c r="H492" s="42">
        <v>4.0</v>
      </c>
      <c r="I492" s="42">
        <v>19.0</v>
      </c>
      <c r="J492" s="42">
        <v>0.0</v>
      </c>
      <c r="K492" s="42">
        <v>0.0</v>
      </c>
      <c r="L492" s="42">
        <v>1.0</v>
      </c>
      <c r="M492" s="27" t="s">
        <v>27</v>
      </c>
      <c r="N492" s="27" t="s">
        <v>138</v>
      </c>
      <c r="O492" s="42">
        <v>240.0</v>
      </c>
      <c r="P492" s="27" t="s">
        <v>47</v>
      </c>
      <c r="Q492" s="42">
        <v>4.0</v>
      </c>
      <c r="R492" s="46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  <c r="AD492" s="129"/>
    </row>
    <row r="493" ht="14.25" customHeight="1">
      <c r="A493" s="211">
        <v>26.0</v>
      </c>
      <c r="B493" s="28" t="s">
        <v>3558</v>
      </c>
      <c r="C493" s="25" t="s">
        <v>3555</v>
      </c>
      <c r="D493" s="25"/>
      <c r="E493" s="25"/>
      <c r="F493" s="39"/>
      <c r="G493" s="418">
        <v>96.0</v>
      </c>
      <c r="H493" s="43">
        <v>8.0</v>
      </c>
      <c r="I493" s="43">
        <v>38.0</v>
      </c>
      <c r="J493" s="43">
        <v>0.0</v>
      </c>
      <c r="K493" s="43">
        <v>0.0</v>
      </c>
      <c r="L493" s="43">
        <v>1.0</v>
      </c>
      <c r="M493" s="25" t="s">
        <v>27</v>
      </c>
      <c r="N493" s="25" t="s">
        <v>138</v>
      </c>
      <c r="O493" s="43">
        <v>480.0</v>
      </c>
      <c r="P493" s="25" t="s">
        <v>335</v>
      </c>
      <c r="Q493" s="43">
        <v>0.0</v>
      </c>
      <c r="R493" s="46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  <c r="AD493" s="129"/>
    </row>
    <row r="494" ht="14.25" customHeight="1">
      <c r="A494" s="211">
        <v>27.0</v>
      </c>
      <c r="B494" s="34" t="s">
        <v>3559</v>
      </c>
      <c r="C494" s="27" t="s">
        <v>3560</v>
      </c>
      <c r="D494" s="27"/>
      <c r="E494" s="27"/>
      <c r="F494" s="38"/>
      <c r="G494" s="407" t="s">
        <v>3561</v>
      </c>
      <c r="H494" s="42">
        <v>60.0</v>
      </c>
      <c r="I494" s="42">
        <v>300.0</v>
      </c>
      <c r="J494" s="42">
        <v>1.0</v>
      </c>
      <c r="K494" s="42">
        <v>1.0</v>
      </c>
      <c r="L494" s="42">
        <v>1.0</v>
      </c>
      <c r="M494" s="27" t="s">
        <v>27</v>
      </c>
      <c r="N494" s="27" t="s">
        <v>138</v>
      </c>
      <c r="O494" s="42">
        <v>3840.0</v>
      </c>
      <c r="P494" s="27" t="s">
        <v>47</v>
      </c>
      <c r="Q494" s="42">
        <v>16.0</v>
      </c>
      <c r="R494" s="46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  <c r="AD494" s="129"/>
    </row>
    <row r="495" ht="14.25" customHeight="1">
      <c r="A495" s="211">
        <v>29.0</v>
      </c>
      <c r="B495" s="34" t="s">
        <v>3562</v>
      </c>
      <c r="C495" s="27" t="s">
        <v>3560</v>
      </c>
      <c r="D495" s="27"/>
      <c r="E495" s="27"/>
      <c r="F495" s="38"/>
      <c r="G495" s="407">
        <v>90.0</v>
      </c>
      <c r="H495" s="42">
        <v>7.0</v>
      </c>
      <c r="I495" s="42">
        <v>36.0</v>
      </c>
      <c r="J495" s="42">
        <v>0.0</v>
      </c>
      <c r="K495" s="42">
        <v>0.0</v>
      </c>
      <c r="L495" s="42">
        <v>1.0</v>
      </c>
      <c r="M495" s="27" t="s">
        <v>27</v>
      </c>
      <c r="N495" s="27" t="s">
        <v>138</v>
      </c>
      <c r="O495" s="42">
        <v>450.0</v>
      </c>
      <c r="P495" s="27" t="s">
        <v>335</v>
      </c>
      <c r="Q495" s="42">
        <v>0.0</v>
      </c>
      <c r="R495" s="46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  <c r="AD495" s="129"/>
    </row>
    <row r="496" ht="14.25" customHeight="1">
      <c r="A496" s="211">
        <v>30.0</v>
      </c>
      <c r="B496" s="25" t="s">
        <v>3563</v>
      </c>
      <c r="C496" s="25" t="s">
        <v>3560</v>
      </c>
      <c r="D496" s="25"/>
      <c r="E496" s="25"/>
      <c r="F496" s="39"/>
      <c r="G496" s="418">
        <v>84.0</v>
      </c>
      <c r="H496" s="43">
        <v>7.0</v>
      </c>
      <c r="I496" s="43">
        <v>34.0</v>
      </c>
      <c r="J496" s="43">
        <v>0.0</v>
      </c>
      <c r="K496" s="43">
        <v>0.0</v>
      </c>
      <c r="L496" s="43">
        <v>1.0</v>
      </c>
      <c r="M496" s="25" t="s">
        <v>27</v>
      </c>
      <c r="N496" s="25" t="s">
        <v>138</v>
      </c>
      <c r="O496" s="43">
        <v>420.0</v>
      </c>
      <c r="P496" s="25" t="s">
        <v>335</v>
      </c>
      <c r="Q496" s="43">
        <v>0.0</v>
      </c>
      <c r="R496" s="46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  <c r="AD496" s="129"/>
    </row>
    <row r="497" ht="14.25" customHeight="1">
      <c r="A497" s="211">
        <v>31.0</v>
      </c>
      <c r="B497" s="34" t="s">
        <v>3564</v>
      </c>
      <c r="C497" s="27" t="s">
        <v>3560</v>
      </c>
      <c r="D497" s="27"/>
      <c r="E497" s="27"/>
      <c r="F497" s="38"/>
      <c r="G497" s="407">
        <v>48.0</v>
      </c>
      <c r="H497" s="42">
        <v>4.0</v>
      </c>
      <c r="I497" s="42">
        <v>19.0</v>
      </c>
      <c r="J497" s="42">
        <v>0.0</v>
      </c>
      <c r="K497" s="42">
        <v>0.0</v>
      </c>
      <c r="L497" s="42">
        <v>1.0</v>
      </c>
      <c r="M497" s="27" t="s">
        <v>27</v>
      </c>
      <c r="N497" s="27" t="s">
        <v>138</v>
      </c>
      <c r="O497" s="42">
        <v>240.0</v>
      </c>
      <c r="P497" s="27" t="s">
        <v>47</v>
      </c>
      <c r="Q497" s="42">
        <v>4.0</v>
      </c>
      <c r="R497" s="46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  <c r="AD497" s="129"/>
    </row>
    <row r="498" ht="14.25" customHeight="1">
      <c r="A498" s="211">
        <v>32.0</v>
      </c>
      <c r="B498" s="25" t="s">
        <v>3565</v>
      </c>
      <c r="C498" s="25" t="s">
        <v>3560</v>
      </c>
      <c r="D498" s="25"/>
      <c r="E498" s="25"/>
      <c r="F498" s="39"/>
      <c r="G498" s="418">
        <v>96.0</v>
      </c>
      <c r="H498" s="43">
        <v>8.0</v>
      </c>
      <c r="I498" s="43">
        <v>38.0</v>
      </c>
      <c r="J498" s="43">
        <v>0.0</v>
      </c>
      <c r="K498" s="43">
        <v>0.0</v>
      </c>
      <c r="L498" s="43">
        <v>1.0</v>
      </c>
      <c r="M498" s="25" t="s">
        <v>27</v>
      </c>
      <c r="N498" s="25" t="s">
        <v>138</v>
      </c>
      <c r="O498" s="43">
        <v>480.0</v>
      </c>
      <c r="P498" s="25" t="s">
        <v>335</v>
      </c>
      <c r="Q498" s="43">
        <v>0.0</v>
      </c>
      <c r="R498" s="46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  <c r="AD498" s="129"/>
    </row>
    <row r="499" ht="14.25" customHeight="1">
      <c r="A499" s="211">
        <v>33.0</v>
      </c>
      <c r="B499" s="27" t="s">
        <v>3566</v>
      </c>
      <c r="C499" s="27" t="s">
        <v>3560</v>
      </c>
      <c r="D499" s="27"/>
      <c r="E499" s="27"/>
      <c r="F499" s="38"/>
      <c r="G499" s="407">
        <v>288.0</v>
      </c>
      <c r="H499" s="42">
        <v>23.0</v>
      </c>
      <c r="I499" s="42">
        <v>115.0</v>
      </c>
      <c r="J499" s="42">
        <v>2.0</v>
      </c>
      <c r="K499" s="42">
        <v>2.0</v>
      </c>
      <c r="L499" s="42">
        <v>1.0</v>
      </c>
      <c r="M499" s="27" t="s">
        <v>27</v>
      </c>
      <c r="N499" s="27" t="s">
        <v>138</v>
      </c>
      <c r="O499" s="42">
        <v>1440.0</v>
      </c>
      <c r="P499" s="27" t="s">
        <v>335</v>
      </c>
      <c r="Q499" s="42">
        <v>0.0</v>
      </c>
      <c r="R499" s="46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  <c r="AD499" s="129"/>
    </row>
    <row r="500" ht="14.25" customHeight="1">
      <c r="A500" s="211">
        <v>34.0</v>
      </c>
      <c r="B500" s="25" t="s">
        <v>3567</v>
      </c>
      <c r="C500" s="25" t="s">
        <v>3568</v>
      </c>
      <c r="D500" s="25"/>
      <c r="E500" s="25"/>
      <c r="F500" s="39"/>
      <c r="G500" s="418">
        <v>72.0</v>
      </c>
      <c r="H500" s="43">
        <v>6.0</v>
      </c>
      <c r="I500" s="43">
        <v>29.0</v>
      </c>
      <c r="J500" s="43">
        <v>0.0</v>
      </c>
      <c r="K500" s="43">
        <v>0.0</v>
      </c>
      <c r="L500" s="43">
        <v>1.0</v>
      </c>
      <c r="M500" s="25" t="s">
        <v>27</v>
      </c>
      <c r="N500" s="25" t="s">
        <v>138</v>
      </c>
      <c r="O500" s="43">
        <v>360.0</v>
      </c>
      <c r="P500" s="25" t="s">
        <v>335</v>
      </c>
      <c r="Q500" s="43">
        <v>0.0</v>
      </c>
      <c r="R500" s="46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</row>
    <row r="501" ht="14.25" customHeight="1">
      <c r="A501" s="211">
        <v>35.0</v>
      </c>
      <c r="B501" s="27" t="s">
        <v>3569</v>
      </c>
      <c r="C501" s="27" t="s">
        <v>3568</v>
      </c>
      <c r="D501" s="27"/>
      <c r="E501" s="27"/>
      <c r="F501" s="38"/>
      <c r="G501" s="407">
        <v>25.0</v>
      </c>
      <c r="H501" s="42">
        <v>2.0</v>
      </c>
      <c r="I501" s="42">
        <v>10.0</v>
      </c>
      <c r="J501" s="42">
        <v>0.0</v>
      </c>
      <c r="K501" s="42">
        <v>0.0</v>
      </c>
      <c r="L501" s="42">
        <v>1.0</v>
      </c>
      <c r="M501" s="27" t="s">
        <v>27</v>
      </c>
      <c r="N501" s="27" t="s">
        <v>138</v>
      </c>
      <c r="O501" s="42">
        <v>125.0</v>
      </c>
      <c r="P501" s="27" t="s">
        <v>335</v>
      </c>
      <c r="Q501" s="42">
        <v>0.0</v>
      </c>
      <c r="R501" s="46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</row>
    <row r="502" ht="14.25" customHeight="1">
      <c r="A502" s="211">
        <v>36.0</v>
      </c>
      <c r="B502" s="28" t="s">
        <v>3570</v>
      </c>
      <c r="C502" s="25" t="s">
        <v>3568</v>
      </c>
      <c r="D502" s="25"/>
      <c r="E502" s="25"/>
      <c r="F502" s="39"/>
      <c r="G502" s="418">
        <v>23.1</v>
      </c>
      <c r="H502" s="43">
        <v>2.0</v>
      </c>
      <c r="I502" s="43">
        <v>9.0</v>
      </c>
      <c r="J502" s="43">
        <v>0.0</v>
      </c>
      <c r="K502" s="43">
        <v>0.0</v>
      </c>
      <c r="L502" s="43">
        <v>1.0</v>
      </c>
      <c r="M502" s="25" t="s">
        <v>27</v>
      </c>
      <c r="N502" s="25" t="s">
        <v>138</v>
      </c>
      <c r="O502" s="43">
        <v>116.0</v>
      </c>
      <c r="P502" s="25" t="s">
        <v>47</v>
      </c>
      <c r="Q502" s="43">
        <v>2.0</v>
      </c>
      <c r="R502" s="46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  <c r="AD502" s="129"/>
    </row>
    <row r="503" ht="14.25" customHeight="1">
      <c r="A503" s="211">
        <v>37.0</v>
      </c>
      <c r="B503" s="34" t="s">
        <v>3571</v>
      </c>
      <c r="C503" s="27" t="s">
        <v>3568</v>
      </c>
      <c r="D503" s="27"/>
      <c r="E503" s="27"/>
      <c r="F503" s="38"/>
      <c r="G503" s="407">
        <v>33.6</v>
      </c>
      <c r="H503" s="42">
        <v>3.0</v>
      </c>
      <c r="I503" s="42">
        <v>13.0</v>
      </c>
      <c r="J503" s="42">
        <v>0.0</v>
      </c>
      <c r="K503" s="42">
        <v>0.0</v>
      </c>
      <c r="L503" s="42">
        <v>1.0</v>
      </c>
      <c r="M503" s="27" t="s">
        <v>27</v>
      </c>
      <c r="N503" s="27" t="s">
        <v>138</v>
      </c>
      <c r="O503" s="42">
        <v>168.0</v>
      </c>
      <c r="P503" s="27" t="s">
        <v>47</v>
      </c>
      <c r="Q503" s="42">
        <v>3.0</v>
      </c>
      <c r="R503" s="46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</row>
    <row r="504" ht="14.25" customHeight="1">
      <c r="A504" s="211">
        <v>38.0</v>
      </c>
      <c r="B504" s="28" t="s">
        <v>3572</v>
      </c>
      <c r="C504" s="25" t="s">
        <v>3568</v>
      </c>
      <c r="D504" s="25"/>
      <c r="E504" s="25"/>
      <c r="F504" s="39"/>
      <c r="G504" s="418">
        <v>30.0</v>
      </c>
      <c r="H504" s="43">
        <v>2.0</v>
      </c>
      <c r="I504" s="43">
        <v>12.0</v>
      </c>
      <c r="J504" s="43">
        <v>0.0</v>
      </c>
      <c r="K504" s="43">
        <v>0.0</v>
      </c>
      <c r="L504" s="43">
        <v>1.0</v>
      </c>
      <c r="M504" s="25" t="s">
        <v>27</v>
      </c>
      <c r="N504" s="25" t="s">
        <v>138</v>
      </c>
      <c r="O504" s="43">
        <v>150.0</v>
      </c>
      <c r="P504" s="25" t="s">
        <v>47</v>
      </c>
      <c r="Q504" s="43">
        <v>3.0</v>
      </c>
      <c r="R504" s="46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</row>
    <row r="505" ht="14.25" customHeight="1">
      <c r="A505" s="211">
        <v>39.0</v>
      </c>
      <c r="B505" s="34" t="s">
        <v>3573</v>
      </c>
      <c r="C505" s="27" t="s">
        <v>3568</v>
      </c>
      <c r="D505" s="27"/>
      <c r="E505" s="27"/>
      <c r="F505" s="38"/>
      <c r="G505" s="407">
        <v>30.0</v>
      </c>
      <c r="H505" s="42">
        <v>2.0</v>
      </c>
      <c r="I505" s="42">
        <v>12.0</v>
      </c>
      <c r="J505" s="42">
        <v>0.0</v>
      </c>
      <c r="K505" s="42">
        <v>0.0</v>
      </c>
      <c r="L505" s="42">
        <v>1.0</v>
      </c>
      <c r="M505" s="27" t="s">
        <v>27</v>
      </c>
      <c r="N505" s="27" t="s">
        <v>138</v>
      </c>
      <c r="O505" s="42">
        <v>150.0</v>
      </c>
      <c r="P505" s="27" t="s">
        <v>47</v>
      </c>
      <c r="Q505" s="42">
        <v>2.0</v>
      </c>
      <c r="R505" s="46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</row>
    <row r="506" ht="14.25" customHeight="1">
      <c r="A506" s="211">
        <v>40.0</v>
      </c>
      <c r="B506" s="28" t="s">
        <v>3574</v>
      </c>
      <c r="C506" s="25" t="s">
        <v>3568</v>
      </c>
      <c r="D506" s="25"/>
      <c r="E506" s="25"/>
      <c r="F506" s="39"/>
      <c r="G506" s="418">
        <v>96.0</v>
      </c>
      <c r="H506" s="43">
        <v>8.0</v>
      </c>
      <c r="I506" s="43">
        <v>38.0</v>
      </c>
      <c r="J506" s="43">
        <v>0.0</v>
      </c>
      <c r="K506" s="43">
        <v>0.0</v>
      </c>
      <c r="L506" s="43">
        <v>1.0</v>
      </c>
      <c r="M506" s="25" t="s">
        <v>27</v>
      </c>
      <c r="N506" s="25" t="s">
        <v>138</v>
      </c>
      <c r="O506" s="43">
        <v>480.0</v>
      </c>
      <c r="P506" s="25" t="s">
        <v>335</v>
      </c>
      <c r="Q506" s="43">
        <v>0.0</v>
      </c>
      <c r="R506" s="46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</row>
    <row r="507" ht="14.25" customHeight="1">
      <c r="A507" s="211">
        <v>41.0</v>
      </c>
      <c r="B507" s="34" t="s">
        <v>3575</v>
      </c>
      <c r="C507" s="27" t="s">
        <v>3568</v>
      </c>
      <c r="D507" s="27"/>
      <c r="E507" s="27"/>
      <c r="F507" s="38"/>
      <c r="G507" s="407">
        <v>576.0</v>
      </c>
      <c r="H507" s="42">
        <v>46.0</v>
      </c>
      <c r="I507" s="42">
        <v>230.0</v>
      </c>
      <c r="J507" s="42">
        <v>3.0</v>
      </c>
      <c r="K507" s="42">
        <v>3.0</v>
      </c>
      <c r="L507" s="42">
        <v>0.0</v>
      </c>
      <c r="M507" s="27" t="s">
        <v>27</v>
      </c>
      <c r="N507" s="27" t="s">
        <v>138</v>
      </c>
      <c r="O507" s="42">
        <v>2880.0</v>
      </c>
      <c r="P507" s="27" t="s">
        <v>335</v>
      </c>
      <c r="Q507" s="42">
        <v>0.0</v>
      </c>
      <c r="R507" s="46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</row>
    <row r="508" ht="14.25" customHeight="1">
      <c r="A508" s="211">
        <v>42.0</v>
      </c>
      <c r="B508" s="25" t="s">
        <v>3576</v>
      </c>
      <c r="C508" s="25" t="s">
        <v>3577</v>
      </c>
      <c r="D508" s="25"/>
      <c r="E508" s="25"/>
      <c r="F508" s="39"/>
      <c r="G508" s="418">
        <v>42.0</v>
      </c>
      <c r="H508" s="43">
        <v>3.0</v>
      </c>
      <c r="I508" s="43">
        <v>14.0</v>
      </c>
      <c r="J508" s="43">
        <v>0.0</v>
      </c>
      <c r="K508" s="43">
        <v>0.0</v>
      </c>
      <c r="L508" s="43">
        <v>1.0</v>
      </c>
      <c r="M508" s="25" t="s">
        <v>27</v>
      </c>
      <c r="N508" s="25" t="s">
        <v>138</v>
      </c>
      <c r="O508" s="43">
        <v>210.0</v>
      </c>
      <c r="P508" s="25" t="s">
        <v>335</v>
      </c>
      <c r="Q508" s="43">
        <v>0.0</v>
      </c>
      <c r="R508" s="46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</row>
    <row r="509" ht="14.25" customHeight="1">
      <c r="A509" s="211">
        <v>43.0</v>
      </c>
      <c r="B509" s="34" t="s">
        <v>3578</v>
      </c>
      <c r="C509" s="27" t="s">
        <v>3577</v>
      </c>
      <c r="D509" s="27"/>
      <c r="E509" s="27"/>
      <c r="F509" s="38"/>
      <c r="G509" s="407">
        <v>63.7</v>
      </c>
      <c r="H509" s="42">
        <v>5.0</v>
      </c>
      <c r="I509" s="42">
        <v>25.0</v>
      </c>
      <c r="J509" s="42">
        <v>0.0</v>
      </c>
      <c r="K509" s="42">
        <v>0.0</v>
      </c>
      <c r="L509" s="42">
        <v>1.0</v>
      </c>
      <c r="M509" s="27" t="s">
        <v>27</v>
      </c>
      <c r="N509" s="27" t="s">
        <v>138</v>
      </c>
      <c r="O509" s="42">
        <v>319.0</v>
      </c>
      <c r="P509" s="27" t="s">
        <v>47</v>
      </c>
      <c r="Q509" s="42">
        <v>6.0</v>
      </c>
      <c r="R509" s="46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</row>
    <row r="510" ht="14.25" customHeight="1">
      <c r="A510" s="211">
        <v>44.0</v>
      </c>
      <c r="B510" s="28" t="s">
        <v>3579</v>
      </c>
      <c r="C510" s="25" t="s">
        <v>3577</v>
      </c>
      <c r="D510" s="25"/>
      <c r="E510" s="25"/>
      <c r="F510" s="39"/>
      <c r="G510" s="418">
        <v>96.0</v>
      </c>
      <c r="H510" s="43">
        <v>8.0</v>
      </c>
      <c r="I510" s="43">
        <v>38.0</v>
      </c>
      <c r="J510" s="43">
        <v>0.0</v>
      </c>
      <c r="K510" s="43">
        <v>0.0</v>
      </c>
      <c r="L510" s="43">
        <v>1.0</v>
      </c>
      <c r="M510" s="25" t="s">
        <v>27</v>
      </c>
      <c r="N510" s="25" t="s">
        <v>138</v>
      </c>
      <c r="O510" s="43">
        <v>480.0</v>
      </c>
      <c r="P510" s="25" t="s">
        <v>335</v>
      </c>
      <c r="Q510" s="43">
        <v>0.0</v>
      </c>
      <c r="R510" s="46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</row>
    <row r="511" ht="14.25" customHeight="1">
      <c r="A511" s="211">
        <v>45.0</v>
      </c>
      <c r="B511" s="27" t="s">
        <v>3580</v>
      </c>
      <c r="C511" s="27" t="s">
        <v>3581</v>
      </c>
      <c r="D511" s="27"/>
      <c r="E511" s="27"/>
      <c r="F511" s="38"/>
      <c r="G511" s="407">
        <v>35.0</v>
      </c>
      <c r="H511" s="42">
        <v>3.0</v>
      </c>
      <c r="I511" s="42">
        <v>17.0</v>
      </c>
      <c r="J511" s="42">
        <v>0.0</v>
      </c>
      <c r="K511" s="42">
        <v>0.0</v>
      </c>
      <c r="L511" s="42">
        <v>1.0</v>
      </c>
      <c r="M511" s="27" t="s">
        <v>27</v>
      </c>
      <c r="N511" s="27" t="s">
        <v>138</v>
      </c>
      <c r="O511" s="42">
        <v>175.0</v>
      </c>
      <c r="P511" s="27" t="s">
        <v>335</v>
      </c>
      <c r="Q511" s="42">
        <v>0.0</v>
      </c>
      <c r="R511" s="46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</row>
    <row r="512" ht="14.25" customHeight="1">
      <c r="A512" s="211">
        <v>46.0</v>
      </c>
      <c r="B512" s="25" t="s">
        <v>3582</v>
      </c>
      <c r="C512" s="25" t="s">
        <v>3581</v>
      </c>
      <c r="D512" s="25"/>
      <c r="E512" s="25"/>
      <c r="F512" s="39"/>
      <c r="G512" s="418">
        <v>20.0</v>
      </c>
      <c r="H512" s="43">
        <v>2.0</v>
      </c>
      <c r="I512" s="43">
        <v>8.0</v>
      </c>
      <c r="J512" s="43">
        <v>0.0</v>
      </c>
      <c r="K512" s="43">
        <v>0.0</v>
      </c>
      <c r="L512" s="43">
        <v>1.0</v>
      </c>
      <c r="M512" s="25" t="s">
        <v>27</v>
      </c>
      <c r="N512" s="25" t="s">
        <v>138</v>
      </c>
      <c r="O512" s="43">
        <v>100.0</v>
      </c>
      <c r="P512" s="25" t="s">
        <v>335</v>
      </c>
      <c r="Q512" s="43">
        <v>0.0</v>
      </c>
      <c r="R512" s="46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</row>
    <row r="513" ht="14.25" customHeight="1">
      <c r="A513" s="211">
        <v>47.0</v>
      </c>
      <c r="B513" s="34" t="s">
        <v>3583</v>
      </c>
      <c r="C513" s="27" t="s">
        <v>3581</v>
      </c>
      <c r="D513" s="27"/>
      <c r="E513" s="27"/>
      <c r="F513" s="38"/>
      <c r="G513" s="407">
        <v>46.8</v>
      </c>
      <c r="H513" s="42">
        <v>4.0</v>
      </c>
      <c r="I513" s="42">
        <v>19.0</v>
      </c>
      <c r="J513" s="42">
        <v>0.0</v>
      </c>
      <c r="K513" s="42">
        <v>0.0</v>
      </c>
      <c r="L513" s="42">
        <v>1.0</v>
      </c>
      <c r="M513" s="27" t="s">
        <v>27</v>
      </c>
      <c r="N513" s="27" t="s">
        <v>138</v>
      </c>
      <c r="O513" s="42">
        <v>234.0</v>
      </c>
      <c r="P513" s="27" t="s">
        <v>47</v>
      </c>
      <c r="Q513" s="42">
        <v>4.0</v>
      </c>
      <c r="R513" s="46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</row>
    <row r="514" ht="14.25" customHeight="1">
      <c r="A514" s="211">
        <v>48.0</v>
      </c>
      <c r="B514" s="28" t="s">
        <v>3584</v>
      </c>
      <c r="C514" s="25" t="s">
        <v>3581</v>
      </c>
      <c r="D514" s="25"/>
      <c r="E514" s="25"/>
      <c r="F514" s="39"/>
      <c r="G514" s="418">
        <v>96.0</v>
      </c>
      <c r="H514" s="43">
        <v>8.0</v>
      </c>
      <c r="I514" s="43">
        <v>38.0</v>
      </c>
      <c r="J514" s="43">
        <v>0.0</v>
      </c>
      <c r="K514" s="43">
        <v>0.0</v>
      </c>
      <c r="L514" s="43">
        <v>1.0</v>
      </c>
      <c r="M514" s="25" t="s">
        <v>27</v>
      </c>
      <c r="N514" s="25" t="s">
        <v>138</v>
      </c>
      <c r="O514" s="43">
        <v>480.0</v>
      </c>
      <c r="P514" s="25" t="s">
        <v>335</v>
      </c>
      <c r="Q514" s="43">
        <v>0.0</v>
      </c>
      <c r="R514" s="46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  <c r="AD514" s="129"/>
    </row>
    <row r="515" ht="14.25" customHeight="1">
      <c r="A515" s="211">
        <v>49.0</v>
      </c>
      <c r="B515" s="27" t="s">
        <v>3585</v>
      </c>
      <c r="C515" s="27" t="s">
        <v>3586</v>
      </c>
      <c r="D515" s="27"/>
      <c r="E515" s="27"/>
      <c r="F515" s="38"/>
      <c r="G515" s="407">
        <v>32.0</v>
      </c>
      <c r="H515" s="42">
        <v>3.0</v>
      </c>
      <c r="I515" s="42">
        <v>13.0</v>
      </c>
      <c r="J515" s="42">
        <v>0.0</v>
      </c>
      <c r="K515" s="42">
        <v>0.0</v>
      </c>
      <c r="L515" s="42">
        <v>1.0</v>
      </c>
      <c r="M515" s="27" t="s">
        <v>27</v>
      </c>
      <c r="N515" s="27" t="s">
        <v>138</v>
      </c>
      <c r="O515" s="42">
        <v>160.0</v>
      </c>
      <c r="P515" s="27" t="s">
        <v>335</v>
      </c>
      <c r="Q515" s="42">
        <v>0.0</v>
      </c>
      <c r="R515" s="46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  <c r="AD515" s="129"/>
    </row>
    <row r="516" ht="14.25" customHeight="1">
      <c r="A516" s="211">
        <v>50.0</v>
      </c>
      <c r="B516" s="28" t="s">
        <v>3587</v>
      </c>
      <c r="C516" s="25" t="s">
        <v>3586</v>
      </c>
      <c r="D516" s="25"/>
      <c r="E516" s="25"/>
      <c r="F516" s="39"/>
      <c r="G516" s="418">
        <v>25.0</v>
      </c>
      <c r="H516" s="43">
        <v>2.0</v>
      </c>
      <c r="I516" s="43">
        <v>10.0</v>
      </c>
      <c r="J516" s="43">
        <v>0.0</v>
      </c>
      <c r="K516" s="43">
        <v>0.0</v>
      </c>
      <c r="L516" s="43">
        <v>1.0</v>
      </c>
      <c r="M516" s="25" t="s">
        <v>27</v>
      </c>
      <c r="N516" s="25" t="s">
        <v>138</v>
      </c>
      <c r="O516" s="43">
        <v>125.0</v>
      </c>
      <c r="P516" s="25" t="s">
        <v>335</v>
      </c>
      <c r="Q516" s="43">
        <v>0.0</v>
      </c>
      <c r="R516" s="46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  <c r="AD516" s="129"/>
    </row>
    <row r="517" ht="14.25" customHeight="1">
      <c r="A517" s="211">
        <v>51.0</v>
      </c>
      <c r="B517" s="27" t="s">
        <v>3588</v>
      </c>
      <c r="C517" s="27" t="s">
        <v>3586</v>
      </c>
      <c r="D517" s="27"/>
      <c r="E517" s="27"/>
      <c r="F517" s="38"/>
      <c r="G517" s="407">
        <v>47.5</v>
      </c>
      <c r="H517" s="42">
        <v>4.0</v>
      </c>
      <c r="I517" s="42">
        <v>19.0</v>
      </c>
      <c r="J517" s="42">
        <v>0.0</v>
      </c>
      <c r="K517" s="42">
        <v>0.0</v>
      </c>
      <c r="L517" s="42">
        <v>0.0</v>
      </c>
      <c r="M517" s="27" t="s">
        <v>27</v>
      </c>
      <c r="N517" s="27" t="s">
        <v>138</v>
      </c>
      <c r="O517" s="42">
        <v>238.0</v>
      </c>
      <c r="P517" s="27" t="s">
        <v>47</v>
      </c>
      <c r="Q517" s="42">
        <v>4.0</v>
      </c>
      <c r="R517" s="46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  <c r="AD517" s="129"/>
    </row>
    <row r="518" ht="14.25" customHeight="1">
      <c r="A518" s="211">
        <v>52.0</v>
      </c>
      <c r="B518" s="28" t="s">
        <v>3589</v>
      </c>
      <c r="C518" s="25" t="s">
        <v>3590</v>
      </c>
      <c r="D518" s="25"/>
      <c r="E518" s="25"/>
      <c r="F518" s="39"/>
      <c r="G518" s="418">
        <v>42.0</v>
      </c>
      <c r="H518" s="43">
        <v>3.0</v>
      </c>
      <c r="I518" s="43">
        <v>14.0</v>
      </c>
      <c r="J518" s="43">
        <v>0.0</v>
      </c>
      <c r="K518" s="43">
        <v>0.0</v>
      </c>
      <c r="L518" s="43">
        <v>1.0</v>
      </c>
      <c r="M518" s="25" t="s">
        <v>27</v>
      </c>
      <c r="N518" s="25" t="s">
        <v>138</v>
      </c>
      <c r="O518" s="43">
        <v>210.0</v>
      </c>
      <c r="P518" s="25" t="s">
        <v>335</v>
      </c>
      <c r="Q518" s="43">
        <v>0.0</v>
      </c>
      <c r="R518" s="46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  <c r="AD518" s="129"/>
    </row>
    <row r="519" ht="14.25" customHeight="1">
      <c r="A519" s="211">
        <v>53.0</v>
      </c>
      <c r="B519" s="34" t="s">
        <v>3591</v>
      </c>
      <c r="C519" s="27" t="s">
        <v>3590</v>
      </c>
      <c r="D519" s="27"/>
      <c r="E519" s="27"/>
      <c r="F519" s="38"/>
      <c r="G519" s="407">
        <v>36.0</v>
      </c>
      <c r="H519" s="42">
        <v>3.0</v>
      </c>
      <c r="I519" s="42">
        <v>14.0</v>
      </c>
      <c r="J519" s="42">
        <v>0.0</v>
      </c>
      <c r="K519" s="42">
        <v>0.0</v>
      </c>
      <c r="L519" s="42">
        <v>1.0</v>
      </c>
      <c r="M519" s="27" t="s">
        <v>27</v>
      </c>
      <c r="N519" s="27" t="s">
        <v>138</v>
      </c>
      <c r="O519" s="42">
        <v>180.0</v>
      </c>
      <c r="P519" s="27" t="s">
        <v>47</v>
      </c>
      <c r="Q519" s="42">
        <v>3.0</v>
      </c>
      <c r="R519" s="46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  <c r="AD519" s="129"/>
    </row>
    <row r="520" ht="14.25" customHeight="1">
      <c r="A520" s="211">
        <v>54.0</v>
      </c>
      <c r="B520" s="28" t="s">
        <v>3592</v>
      </c>
      <c r="C520" s="25" t="s">
        <v>3590</v>
      </c>
      <c r="D520" s="25"/>
      <c r="E520" s="25"/>
      <c r="F520" s="39"/>
      <c r="G520" s="418">
        <v>96.0</v>
      </c>
      <c r="H520" s="43">
        <v>8.0</v>
      </c>
      <c r="I520" s="43">
        <v>38.0</v>
      </c>
      <c r="J520" s="43">
        <v>0.0</v>
      </c>
      <c r="K520" s="43">
        <v>0.0</v>
      </c>
      <c r="L520" s="43">
        <v>1.0</v>
      </c>
      <c r="M520" s="25" t="s">
        <v>27</v>
      </c>
      <c r="N520" s="25" t="s">
        <v>138</v>
      </c>
      <c r="O520" s="43">
        <v>480.0</v>
      </c>
      <c r="P520" s="25" t="s">
        <v>335</v>
      </c>
      <c r="Q520" s="43">
        <v>0.0</v>
      </c>
      <c r="R520" s="46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  <c r="AD520" s="129"/>
    </row>
    <row r="521" ht="14.25" customHeight="1">
      <c r="A521" s="211">
        <v>55.0</v>
      </c>
      <c r="B521" s="34" t="s">
        <v>3593</v>
      </c>
      <c r="C521" s="27" t="s">
        <v>3594</v>
      </c>
      <c r="D521" s="27"/>
      <c r="E521" s="27"/>
      <c r="F521" s="38"/>
      <c r="G521" s="407">
        <v>42.0</v>
      </c>
      <c r="H521" s="42">
        <v>3.0</v>
      </c>
      <c r="I521" s="42">
        <v>17.0</v>
      </c>
      <c r="J521" s="42">
        <v>0.0</v>
      </c>
      <c r="K521" s="42">
        <v>0.0</v>
      </c>
      <c r="L521" s="42">
        <v>1.0</v>
      </c>
      <c r="M521" s="27" t="s">
        <v>27</v>
      </c>
      <c r="N521" s="27" t="s">
        <v>138</v>
      </c>
      <c r="O521" s="42">
        <v>210.0</v>
      </c>
      <c r="P521" s="27" t="s">
        <v>335</v>
      </c>
      <c r="Q521" s="42">
        <v>0.0</v>
      </c>
      <c r="R521" s="46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  <c r="AD521" s="129"/>
    </row>
    <row r="522" ht="14.25" customHeight="1">
      <c r="A522" s="211">
        <v>56.0</v>
      </c>
      <c r="B522" s="28" t="s">
        <v>3595</v>
      </c>
      <c r="C522" s="25" t="s">
        <v>3594</v>
      </c>
      <c r="D522" s="25"/>
      <c r="E522" s="25"/>
      <c r="F522" s="39"/>
      <c r="G522" s="418">
        <v>14.0</v>
      </c>
      <c r="H522" s="43">
        <v>1.0</v>
      </c>
      <c r="I522" s="43">
        <v>6.0</v>
      </c>
      <c r="J522" s="43">
        <v>0.0</v>
      </c>
      <c r="K522" s="43">
        <v>0.0</v>
      </c>
      <c r="L522" s="43">
        <v>1.0</v>
      </c>
      <c r="M522" s="25" t="s">
        <v>27</v>
      </c>
      <c r="N522" s="25" t="s">
        <v>138</v>
      </c>
      <c r="O522" s="43">
        <v>70.0</v>
      </c>
      <c r="P522" s="25" t="s">
        <v>47</v>
      </c>
      <c r="Q522" s="43">
        <v>1.0</v>
      </c>
      <c r="R522" s="46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  <c r="AD522" s="129"/>
    </row>
    <row r="523" ht="14.25" customHeight="1">
      <c r="A523" s="211">
        <v>57.0</v>
      </c>
      <c r="B523" s="34" t="s">
        <v>3596</v>
      </c>
      <c r="C523" s="27" t="s">
        <v>3594</v>
      </c>
      <c r="D523" s="27"/>
      <c r="E523" s="27"/>
      <c r="F523" s="38"/>
      <c r="G523" s="407">
        <v>48.0</v>
      </c>
      <c r="H523" s="42">
        <v>4.0</v>
      </c>
      <c r="I523" s="42">
        <v>19.0</v>
      </c>
      <c r="J523" s="42">
        <v>0.0</v>
      </c>
      <c r="K523" s="42">
        <v>0.0</v>
      </c>
      <c r="L523" s="42">
        <v>1.0</v>
      </c>
      <c r="M523" s="27" t="s">
        <v>27</v>
      </c>
      <c r="N523" s="27" t="s">
        <v>138</v>
      </c>
      <c r="O523" s="42">
        <v>240.0</v>
      </c>
      <c r="P523" s="27" t="s">
        <v>335</v>
      </c>
      <c r="Q523" s="42">
        <v>0.0</v>
      </c>
      <c r="R523" s="46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  <c r="AD523" s="129"/>
    </row>
    <row r="524" ht="14.25" customHeight="1">
      <c r="A524" s="211">
        <v>58.0</v>
      </c>
      <c r="B524" s="28" t="s">
        <v>3597</v>
      </c>
      <c r="C524" s="25" t="s">
        <v>3594</v>
      </c>
      <c r="D524" s="25"/>
      <c r="E524" s="25"/>
      <c r="F524" s="39"/>
      <c r="G524" s="418">
        <v>96.0</v>
      </c>
      <c r="H524" s="43">
        <v>8.0</v>
      </c>
      <c r="I524" s="43">
        <v>38.0</v>
      </c>
      <c r="J524" s="43">
        <v>0.0</v>
      </c>
      <c r="K524" s="43">
        <v>0.0</v>
      </c>
      <c r="L524" s="43">
        <v>1.0</v>
      </c>
      <c r="M524" s="25" t="s">
        <v>27</v>
      </c>
      <c r="N524" s="25" t="s">
        <v>138</v>
      </c>
      <c r="O524" s="43">
        <v>480.0</v>
      </c>
      <c r="P524" s="25" t="s">
        <v>335</v>
      </c>
      <c r="Q524" s="43">
        <v>0.0</v>
      </c>
      <c r="R524" s="46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  <c r="AD524" s="129"/>
    </row>
    <row r="525" ht="14.25" customHeight="1">
      <c r="A525" s="211">
        <v>59.0</v>
      </c>
      <c r="B525" s="27" t="s">
        <v>3598</v>
      </c>
      <c r="C525" s="27" t="s">
        <v>3599</v>
      </c>
      <c r="D525" s="27"/>
      <c r="E525" s="27"/>
      <c r="F525" s="38"/>
      <c r="G525" s="407">
        <v>42.0</v>
      </c>
      <c r="H525" s="42">
        <v>3.0</v>
      </c>
      <c r="I525" s="42">
        <v>17.0</v>
      </c>
      <c r="J525" s="42">
        <v>0.0</v>
      </c>
      <c r="K525" s="42">
        <v>0.0</v>
      </c>
      <c r="L525" s="42">
        <v>1.0</v>
      </c>
      <c r="M525" s="27" t="s">
        <v>27</v>
      </c>
      <c r="N525" s="27" t="s">
        <v>138</v>
      </c>
      <c r="O525" s="42">
        <v>210.0</v>
      </c>
      <c r="P525" s="27" t="s">
        <v>335</v>
      </c>
      <c r="Q525" s="42">
        <v>0.0</v>
      </c>
      <c r="R525" s="46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  <c r="AD525" s="129"/>
    </row>
    <row r="526" ht="14.25" customHeight="1">
      <c r="A526" s="211">
        <v>60.0</v>
      </c>
      <c r="B526" s="25" t="s">
        <v>3600</v>
      </c>
      <c r="C526" s="25" t="s">
        <v>3599</v>
      </c>
      <c r="D526" s="25"/>
      <c r="E526" s="25"/>
      <c r="F526" s="39"/>
      <c r="G526" s="418">
        <v>14.0</v>
      </c>
      <c r="H526" s="43">
        <v>1.0</v>
      </c>
      <c r="I526" s="43">
        <v>4.0</v>
      </c>
      <c r="J526" s="43">
        <v>0.0</v>
      </c>
      <c r="K526" s="43">
        <v>0.0</v>
      </c>
      <c r="L526" s="43">
        <v>1.0</v>
      </c>
      <c r="M526" s="25" t="s">
        <v>27</v>
      </c>
      <c r="N526" s="25" t="s">
        <v>138</v>
      </c>
      <c r="O526" s="43">
        <v>70.0</v>
      </c>
      <c r="P526" s="25" t="s">
        <v>335</v>
      </c>
      <c r="Q526" s="43">
        <v>0.0</v>
      </c>
      <c r="R526" s="46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  <c r="AD526" s="129"/>
    </row>
    <row r="527" ht="14.25" customHeight="1">
      <c r="A527" s="211">
        <v>61.0</v>
      </c>
      <c r="B527" s="27" t="s">
        <v>3601</v>
      </c>
      <c r="C527" s="27" t="s">
        <v>3599</v>
      </c>
      <c r="D527" s="27"/>
      <c r="E527" s="27"/>
      <c r="F527" s="38"/>
      <c r="G527" s="407">
        <v>61.2</v>
      </c>
      <c r="H527" s="42">
        <v>5.0</v>
      </c>
      <c r="I527" s="42">
        <v>24.0</v>
      </c>
      <c r="J527" s="42">
        <v>0.0</v>
      </c>
      <c r="K527" s="42">
        <v>0.0</v>
      </c>
      <c r="L527" s="42">
        <v>1.0</v>
      </c>
      <c r="M527" s="27" t="s">
        <v>27</v>
      </c>
      <c r="N527" s="27" t="s">
        <v>138</v>
      </c>
      <c r="O527" s="42">
        <v>306.0</v>
      </c>
      <c r="P527" s="27" t="s">
        <v>47</v>
      </c>
      <c r="Q527" s="42">
        <v>5.0</v>
      </c>
      <c r="R527" s="46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  <c r="AD527" s="129"/>
    </row>
    <row r="528" ht="14.25" customHeight="1">
      <c r="A528" s="211">
        <v>62.0</v>
      </c>
      <c r="B528" s="28" t="s">
        <v>3602</v>
      </c>
      <c r="C528" s="25" t="s">
        <v>3599</v>
      </c>
      <c r="D528" s="25"/>
      <c r="E528" s="25"/>
      <c r="F528" s="39"/>
      <c r="G528" s="418">
        <v>49.5</v>
      </c>
      <c r="H528" s="43">
        <v>4.0</v>
      </c>
      <c r="I528" s="43">
        <v>20.0</v>
      </c>
      <c r="J528" s="43">
        <v>0.0</v>
      </c>
      <c r="K528" s="43">
        <v>0.0</v>
      </c>
      <c r="L528" s="43">
        <v>1.0</v>
      </c>
      <c r="M528" s="25" t="s">
        <v>27</v>
      </c>
      <c r="N528" s="25" t="s">
        <v>138</v>
      </c>
      <c r="O528" s="43">
        <v>248.0</v>
      </c>
      <c r="P528" s="25" t="s">
        <v>47</v>
      </c>
      <c r="Q528" s="43">
        <v>4.0</v>
      </c>
      <c r="R528" s="46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  <c r="AD528" s="129"/>
    </row>
    <row r="529" ht="14.25" customHeight="1">
      <c r="A529" s="211">
        <v>63.0</v>
      </c>
      <c r="B529" s="34" t="s">
        <v>3603</v>
      </c>
      <c r="C529" s="27" t="s">
        <v>3599</v>
      </c>
      <c r="D529" s="27"/>
      <c r="E529" s="27"/>
      <c r="F529" s="38"/>
      <c r="G529" s="407">
        <v>96.0</v>
      </c>
      <c r="H529" s="42">
        <v>8.0</v>
      </c>
      <c r="I529" s="42">
        <v>38.0</v>
      </c>
      <c r="J529" s="42">
        <v>0.0</v>
      </c>
      <c r="K529" s="42">
        <v>0.0</v>
      </c>
      <c r="L529" s="42">
        <v>1.0</v>
      </c>
      <c r="M529" s="27" t="s">
        <v>27</v>
      </c>
      <c r="N529" s="27" t="s">
        <v>138</v>
      </c>
      <c r="O529" s="42">
        <v>480.0</v>
      </c>
      <c r="P529" s="27" t="s">
        <v>335</v>
      </c>
      <c r="Q529" s="42">
        <v>0.0</v>
      </c>
      <c r="R529" s="46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  <c r="AD529" s="129"/>
    </row>
    <row r="530" ht="15.75" customHeight="1">
      <c r="A530" s="181"/>
      <c r="B530" s="182" t="s">
        <v>3604</v>
      </c>
      <c r="C530" s="182"/>
      <c r="D530" s="182"/>
      <c r="E530" s="182"/>
      <c r="F530" s="403"/>
      <c r="G530" s="404"/>
      <c r="H530" s="182"/>
      <c r="I530" s="182"/>
      <c r="J530" s="91"/>
      <c r="K530" s="91"/>
      <c r="L530" s="91"/>
      <c r="M530" s="91"/>
      <c r="N530" s="91"/>
      <c r="O530" s="91"/>
      <c r="P530" s="182"/>
      <c r="Q530" s="91"/>
      <c r="R530" s="218"/>
      <c r="S530" s="405"/>
      <c r="T530" s="405"/>
      <c r="U530" s="405"/>
      <c r="V530" s="405"/>
      <c r="W530" s="405"/>
      <c r="X530" s="405"/>
      <c r="Y530" s="405"/>
      <c r="Z530" s="405"/>
      <c r="AA530" s="405"/>
      <c r="AB530" s="405"/>
      <c r="AC530" s="405"/>
      <c r="AD530" s="405"/>
    </row>
    <row r="531" ht="14.25" customHeight="1">
      <c r="A531" s="211">
        <v>1.0</v>
      </c>
      <c r="B531" s="131" t="s">
        <v>3605</v>
      </c>
      <c r="C531" s="228" t="s">
        <v>3606</v>
      </c>
      <c r="D531" s="228"/>
      <c r="E531" s="228"/>
      <c r="F531" s="419"/>
      <c r="G531" s="271" t="s">
        <v>3608</v>
      </c>
      <c r="H531" s="46"/>
      <c r="I531" s="237">
        <v>16.0</v>
      </c>
      <c r="J531" s="237">
        <v>1.0</v>
      </c>
      <c r="K531" s="237">
        <v>1.0</v>
      </c>
      <c r="L531" s="46"/>
      <c r="M531" s="237" t="s">
        <v>1609</v>
      </c>
      <c r="N531" s="46"/>
      <c r="O531" s="46"/>
      <c r="P531" s="46" t="s">
        <v>29</v>
      </c>
      <c r="Q531" s="46"/>
      <c r="R531" s="46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  <c r="AD531" s="129"/>
    </row>
    <row r="532" ht="14.25" customHeight="1">
      <c r="A532" s="211">
        <v>2.0</v>
      </c>
      <c r="B532" s="131" t="s">
        <v>3610</v>
      </c>
      <c r="C532" s="228" t="s">
        <v>3611</v>
      </c>
      <c r="D532" s="228"/>
      <c r="E532" s="228"/>
      <c r="F532" s="419"/>
      <c r="G532" s="271" t="s">
        <v>3612</v>
      </c>
      <c r="H532" s="46"/>
      <c r="I532" s="237">
        <v>127.0</v>
      </c>
      <c r="J532" s="237">
        <v>1.0</v>
      </c>
      <c r="K532" s="237">
        <v>1.0</v>
      </c>
      <c r="L532" s="46"/>
      <c r="M532" s="237" t="s">
        <v>1609</v>
      </c>
      <c r="N532" s="46"/>
      <c r="O532" s="46"/>
      <c r="P532" s="46" t="s">
        <v>29</v>
      </c>
      <c r="Q532" s="46"/>
      <c r="R532" s="46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  <c r="AD532" s="129"/>
    </row>
    <row r="533" ht="14.25" customHeight="1">
      <c r="A533" s="211">
        <v>3.0</v>
      </c>
      <c r="B533" s="131" t="s">
        <v>3613</v>
      </c>
      <c r="C533" s="228" t="s">
        <v>3614</v>
      </c>
      <c r="D533" s="228"/>
      <c r="E533" s="228"/>
      <c r="F533" s="419"/>
      <c r="G533" s="271" t="s">
        <v>3615</v>
      </c>
      <c r="H533" s="46"/>
      <c r="I533" s="237">
        <v>117.0</v>
      </c>
      <c r="J533" s="237">
        <v>1.0</v>
      </c>
      <c r="K533" s="237">
        <v>1.0</v>
      </c>
      <c r="L533" s="46"/>
      <c r="M533" s="237" t="s">
        <v>1609</v>
      </c>
      <c r="N533" s="46"/>
      <c r="O533" s="46"/>
      <c r="P533" s="46" t="s">
        <v>29</v>
      </c>
      <c r="Q533" s="46"/>
      <c r="R533" s="46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  <c r="AD533" s="129"/>
    </row>
    <row r="534" ht="14.25" customHeight="1">
      <c r="A534" s="211">
        <v>4.0</v>
      </c>
      <c r="B534" s="131" t="s">
        <v>3616</v>
      </c>
      <c r="C534" s="228" t="s">
        <v>3617</v>
      </c>
      <c r="D534" s="228"/>
      <c r="E534" s="228"/>
      <c r="F534" s="419"/>
      <c r="G534" s="271" t="s">
        <v>3618</v>
      </c>
      <c r="H534" s="46"/>
      <c r="I534" s="237">
        <v>29.0</v>
      </c>
      <c r="J534" s="237">
        <v>1.0</v>
      </c>
      <c r="K534" s="237">
        <v>1.0</v>
      </c>
      <c r="L534" s="46"/>
      <c r="M534" s="237" t="s">
        <v>1609</v>
      </c>
      <c r="N534" s="46"/>
      <c r="O534" s="46"/>
      <c r="P534" s="46" t="s">
        <v>29</v>
      </c>
      <c r="Q534" s="46"/>
      <c r="R534" s="46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  <c r="AD534" s="129"/>
    </row>
    <row r="535" ht="14.25" customHeight="1">
      <c r="A535" s="211">
        <v>5.0</v>
      </c>
      <c r="B535" s="131" t="s">
        <v>3619</v>
      </c>
      <c r="C535" s="228" t="s">
        <v>3620</v>
      </c>
      <c r="D535" s="228"/>
      <c r="E535" s="228"/>
      <c r="F535" s="419"/>
      <c r="G535" s="271" t="s">
        <v>3621</v>
      </c>
      <c r="H535" s="46"/>
      <c r="I535" s="237">
        <v>134.0</v>
      </c>
      <c r="J535" s="237">
        <v>1.0</v>
      </c>
      <c r="K535" s="237">
        <v>1.0</v>
      </c>
      <c r="L535" s="46"/>
      <c r="M535" s="237" t="s">
        <v>1609</v>
      </c>
      <c r="N535" s="46"/>
      <c r="O535" s="46"/>
      <c r="P535" s="46" t="s">
        <v>29</v>
      </c>
      <c r="Q535" s="46"/>
      <c r="R535" s="46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  <c r="AD535" s="129"/>
    </row>
    <row r="536" ht="14.25" customHeight="1">
      <c r="A536" s="211">
        <v>6.0</v>
      </c>
      <c r="B536" s="131" t="s">
        <v>3622</v>
      </c>
      <c r="C536" s="228" t="s">
        <v>3623</v>
      </c>
      <c r="D536" s="228"/>
      <c r="E536" s="228"/>
      <c r="F536" s="419"/>
      <c r="G536" s="271" t="s">
        <v>3624</v>
      </c>
      <c r="H536" s="46"/>
      <c r="I536" s="237">
        <v>28.0</v>
      </c>
      <c r="J536" s="237">
        <v>1.0</v>
      </c>
      <c r="K536" s="237">
        <v>1.0</v>
      </c>
      <c r="L536" s="46"/>
      <c r="M536" s="237" t="s">
        <v>1609</v>
      </c>
      <c r="N536" s="46"/>
      <c r="O536" s="46"/>
      <c r="P536" s="46" t="s">
        <v>29</v>
      </c>
      <c r="Q536" s="46"/>
      <c r="R536" s="46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  <c r="AD536" s="129"/>
    </row>
    <row r="537" ht="14.25" customHeight="1">
      <c r="A537" s="211">
        <v>7.0</v>
      </c>
      <c r="B537" s="131" t="s">
        <v>3625</v>
      </c>
      <c r="C537" s="228" t="s">
        <v>3626</v>
      </c>
      <c r="D537" s="228"/>
      <c r="E537" s="228"/>
      <c r="F537" s="419"/>
      <c r="G537" s="271" t="s">
        <v>3627</v>
      </c>
      <c r="H537" s="46"/>
      <c r="I537" s="237">
        <v>125.0</v>
      </c>
      <c r="J537" s="237">
        <v>1.0</v>
      </c>
      <c r="K537" s="237">
        <v>1.0</v>
      </c>
      <c r="L537" s="46"/>
      <c r="M537" s="237" t="s">
        <v>1609</v>
      </c>
      <c r="N537" s="46"/>
      <c r="O537" s="46"/>
      <c r="P537" s="46" t="s">
        <v>29</v>
      </c>
      <c r="Q537" s="46"/>
      <c r="R537" s="46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  <c r="AD537" s="129"/>
    </row>
    <row r="538" ht="14.25" customHeight="1">
      <c r="A538" s="211">
        <v>8.0</v>
      </c>
      <c r="B538" s="131" t="s">
        <v>3628</v>
      </c>
      <c r="C538" s="228" t="s">
        <v>3629</v>
      </c>
      <c r="D538" s="228"/>
      <c r="E538" s="228"/>
      <c r="F538" s="419"/>
      <c r="G538" s="271" t="s">
        <v>3627</v>
      </c>
      <c r="H538" s="46"/>
      <c r="I538" s="237">
        <v>125.0</v>
      </c>
      <c r="J538" s="237">
        <v>1.0</v>
      </c>
      <c r="K538" s="237">
        <v>1.0</v>
      </c>
      <c r="L538" s="46"/>
      <c r="M538" s="237" t="s">
        <v>1609</v>
      </c>
      <c r="N538" s="46"/>
      <c r="O538" s="46"/>
      <c r="P538" s="46" t="s">
        <v>29</v>
      </c>
      <c r="Q538" s="46"/>
      <c r="R538" s="46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</row>
    <row r="539" ht="14.25" customHeight="1">
      <c r="A539" s="211">
        <v>9.0</v>
      </c>
      <c r="B539" s="131" t="s">
        <v>3630</v>
      </c>
      <c r="C539" s="228" t="s">
        <v>3631</v>
      </c>
      <c r="D539" s="228"/>
      <c r="E539" s="228"/>
      <c r="F539" s="419"/>
      <c r="G539" s="271" t="s">
        <v>3624</v>
      </c>
      <c r="H539" s="46"/>
      <c r="I539" s="237">
        <v>28.0</v>
      </c>
      <c r="J539" s="237">
        <v>1.0</v>
      </c>
      <c r="K539" s="237">
        <v>1.0</v>
      </c>
      <c r="L539" s="46"/>
      <c r="M539" s="237" t="s">
        <v>1609</v>
      </c>
      <c r="N539" s="46"/>
      <c r="O539" s="46"/>
      <c r="P539" s="46" t="s">
        <v>29</v>
      </c>
      <c r="Q539" s="46"/>
      <c r="R539" s="46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</row>
    <row r="540" ht="14.25" customHeight="1">
      <c r="A540" s="211">
        <v>10.0</v>
      </c>
      <c r="B540" s="131" t="s">
        <v>3632</v>
      </c>
      <c r="C540" s="228" t="s">
        <v>3633</v>
      </c>
      <c r="D540" s="228"/>
      <c r="E540" s="228"/>
      <c r="F540" s="419"/>
      <c r="G540" s="271" t="s">
        <v>3634</v>
      </c>
      <c r="H540" s="46"/>
      <c r="I540" s="237">
        <v>7.0</v>
      </c>
      <c r="J540" s="237">
        <v>1.0</v>
      </c>
      <c r="K540" s="237">
        <v>1.0</v>
      </c>
      <c r="L540" s="46"/>
      <c r="M540" s="237" t="s">
        <v>1609</v>
      </c>
      <c r="N540" s="46"/>
      <c r="O540" s="46"/>
      <c r="P540" s="46" t="s">
        <v>29</v>
      </c>
      <c r="Q540" s="46"/>
      <c r="R540" s="46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  <c r="AD540" s="129"/>
    </row>
    <row r="541" ht="14.25" customHeight="1">
      <c r="A541" s="211">
        <v>11.0</v>
      </c>
      <c r="B541" s="131" t="s">
        <v>3635</v>
      </c>
      <c r="C541" s="228" t="s">
        <v>3636</v>
      </c>
      <c r="D541" s="228"/>
      <c r="E541" s="228"/>
      <c r="F541" s="419"/>
      <c r="G541" s="271" t="s">
        <v>3621</v>
      </c>
      <c r="H541" s="46"/>
      <c r="I541" s="237">
        <v>134.0</v>
      </c>
      <c r="J541" s="237">
        <v>1.0</v>
      </c>
      <c r="K541" s="237">
        <v>1.0</v>
      </c>
      <c r="L541" s="46"/>
      <c r="M541" s="237" t="s">
        <v>1609</v>
      </c>
      <c r="N541" s="46"/>
      <c r="O541" s="46"/>
      <c r="P541" s="46" t="s">
        <v>29</v>
      </c>
      <c r="Q541" s="46"/>
      <c r="R541" s="46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</row>
    <row r="542" ht="14.25" customHeight="1">
      <c r="A542" s="211">
        <v>12.0</v>
      </c>
      <c r="B542" s="131" t="s">
        <v>3637</v>
      </c>
      <c r="C542" s="228" t="s">
        <v>3638</v>
      </c>
      <c r="D542" s="228"/>
      <c r="E542" s="228"/>
      <c r="F542" s="419"/>
      <c r="G542" s="271" t="s">
        <v>3627</v>
      </c>
      <c r="H542" s="46"/>
      <c r="I542" s="237">
        <v>125.0</v>
      </c>
      <c r="J542" s="237">
        <v>1.0</v>
      </c>
      <c r="K542" s="237">
        <v>1.0</v>
      </c>
      <c r="L542" s="46"/>
      <c r="M542" s="237" t="s">
        <v>1609</v>
      </c>
      <c r="N542" s="46"/>
      <c r="O542" s="46"/>
      <c r="P542" s="46" t="s">
        <v>29</v>
      </c>
      <c r="Q542" s="46"/>
      <c r="R542" s="46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</row>
    <row r="543" ht="14.25" customHeight="1">
      <c r="A543" s="211">
        <v>13.0</v>
      </c>
      <c r="B543" s="131" t="s">
        <v>3639</v>
      </c>
      <c r="C543" s="228" t="s">
        <v>3640</v>
      </c>
      <c r="D543" s="228"/>
      <c r="E543" s="228"/>
      <c r="F543" s="419"/>
      <c r="G543" s="271" t="s">
        <v>3627</v>
      </c>
      <c r="H543" s="46"/>
      <c r="I543" s="237">
        <v>125.0</v>
      </c>
      <c r="J543" s="237">
        <v>1.0</v>
      </c>
      <c r="K543" s="237">
        <v>1.0</v>
      </c>
      <c r="L543" s="46"/>
      <c r="M543" s="237" t="s">
        <v>1609</v>
      </c>
      <c r="N543" s="46"/>
      <c r="O543" s="46"/>
      <c r="P543" s="46" t="s">
        <v>29</v>
      </c>
      <c r="Q543" s="46"/>
      <c r="R543" s="46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</row>
    <row r="544" ht="14.25" customHeight="1">
      <c r="A544" s="211">
        <v>14.0</v>
      </c>
      <c r="B544" s="131" t="s">
        <v>3641</v>
      </c>
      <c r="C544" s="228" t="s">
        <v>3642</v>
      </c>
      <c r="D544" s="228"/>
      <c r="E544" s="228"/>
      <c r="F544" s="419"/>
      <c r="G544" s="271" t="s">
        <v>3643</v>
      </c>
      <c r="H544" s="46"/>
      <c r="I544" s="237">
        <v>34.0</v>
      </c>
      <c r="J544" s="237">
        <v>1.0</v>
      </c>
      <c r="K544" s="237">
        <v>1.0</v>
      </c>
      <c r="L544" s="46"/>
      <c r="M544" s="237" t="s">
        <v>1609</v>
      </c>
      <c r="N544" s="46"/>
      <c r="O544" s="46"/>
      <c r="P544" s="46" t="s">
        <v>29</v>
      </c>
      <c r="Q544" s="46"/>
      <c r="R544" s="46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</row>
    <row r="545" ht="14.25" customHeight="1">
      <c r="A545" s="211">
        <v>15.0</v>
      </c>
      <c r="B545" s="131" t="s">
        <v>3644</v>
      </c>
      <c r="C545" s="228" t="s">
        <v>3645</v>
      </c>
      <c r="D545" s="228"/>
      <c r="E545" s="228"/>
      <c r="F545" s="419"/>
      <c r="G545" s="271" t="s">
        <v>3627</v>
      </c>
      <c r="H545" s="46"/>
      <c r="I545" s="237">
        <v>125.0</v>
      </c>
      <c r="J545" s="237">
        <v>1.0</v>
      </c>
      <c r="K545" s="237">
        <v>1.0</v>
      </c>
      <c r="L545" s="46"/>
      <c r="M545" s="237" t="s">
        <v>1609</v>
      </c>
      <c r="N545" s="46"/>
      <c r="O545" s="46"/>
      <c r="P545" s="46" t="s">
        <v>29</v>
      </c>
      <c r="Q545" s="46"/>
      <c r="R545" s="46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</row>
    <row r="546" ht="14.25" customHeight="1">
      <c r="A546" s="211">
        <v>16.0</v>
      </c>
      <c r="B546" s="131" t="s">
        <v>3646</v>
      </c>
      <c r="C546" s="228" t="s">
        <v>3647</v>
      </c>
      <c r="D546" s="228"/>
      <c r="E546" s="228"/>
      <c r="F546" s="419"/>
      <c r="G546" s="271" t="s">
        <v>3648</v>
      </c>
      <c r="H546" s="46"/>
      <c r="I546" s="237">
        <v>20.0</v>
      </c>
      <c r="J546" s="237">
        <v>1.0</v>
      </c>
      <c r="K546" s="237">
        <v>1.0</v>
      </c>
      <c r="L546" s="46"/>
      <c r="M546" s="237" t="s">
        <v>1609</v>
      </c>
      <c r="N546" s="46"/>
      <c r="O546" s="46"/>
      <c r="P546" s="46" t="s">
        <v>29</v>
      </c>
      <c r="Q546" s="46"/>
      <c r="R546" s="46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</row>
    <row r="547" ht="14.25" customHeight="1">
      <c r="A547" s="211">
        <v>17.0</v>
      </c>
      <c r="B547" s="131" t="s">
        <v>3649</v>
      </c>
      <c r="C547" s="228" t="s">
        <v>3650</v>
      </c>
      <c r="D547" s="228"/>
      <c r="E547" s="228"/>
      <c r="F547" s="419"/>
      <c r="G547" s="271" t="s">
        <v>3612</v>
      </c>
      <c r="H547" s="46"/>
      <c r="I547" s="237">
        <v>127.0</v>
      </c>
      <c r="J547" s="237">
        <v>1.0</v>
      </c>
      <c r="K547" s="237">
        <v>1.0</v>
      </c>
      <c r="L547" s="46"/>
      <c r="M547" s="237" t="s">
        <v>1609</v>
      </c>
      <c r="N547" s="46"/>
      <c r="O547" s="46"/>
      <c r="P547" s="46" t="s">
        <v>29</v>
      </c>
      <c r="Q547" s="46"/>
      <c r="R547" s="46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</row>
    <row r="548" ht="14.25" customHeight="1">
      <c r="A548" s="211">
        <v>18.0</v>
      </c>
      <c r="B548" s="131" t="s">
        <v>3651</v>
      </c>
      <c r="C548" s="228" t="s">
        <v>3652</v>
      </c>
      <c r="D548" s="228"/>
      <c r="E548" s="228"/>
      <c r="F548" s="419"/>
      <c r="G548" s="271" t="s">
        <v>3653</v>
      </c>
      <c r="H548" s="46"/>
      <c r="I548" s="237">
        <v>15.0</v>
      </c>
      <c r="J548" s="237">
        <v>1.0</v>
      </c>
      <c r="K548" s="237">
        <v>1.0</v>
      </c>
      <c r="L548" s="46"/>
      <c r="M548" s="237" t="s">
        <v>1609</v>
      </c>
      <c r="N548" s="46"/>
      <c r="O548" s="46"/>
      <c r="P548" s="46" t="s">
        <v>29</v>
      </c>
      <c r="Q548" s="46"/>
      <c r="R548" s="46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</row>
    <row r="549" ht="14.25" customHeight="1">
      <c r="A549" s="211">
        <v>19.0</v>
      </c>
      <c r="B549" s="131" t="s">
        <v>3655</v>
      </c>
      <c r="C549" s="228" t="s">
        <v>3656</v>
      </c>
      <c r="D549" s="228"/>
      <c r="E549" s="228"/>
      <c r="F549" s="419"/>
      <c r="G549" s="271" t="s">
        <v>3657</v>
      </c>
      <c r="H549" s="46"/>
      <c r="I549" s="237" t="s">
        <v>7091</v>
      </c>
      <c r="J549" s="237">
        <v>2.0</v>
      </c>
      <c r="K549" s="237">
        <v>2.0</v>
      </c>
      <c r="L549" s="46"/>
      <c r="M549" s="237" t="s">
        <v>1609</v>
      </c>
      <c r="N549" s="46"/>
      <c r="O549" s="46"/>
      <c r="P549" s="46" t="s">
        <v>29</v>
      </c>
      <c r="Q549" s="46"/>
      <c r="R549" s="46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</row>
    <row r="550" ht="14.25" customHeight="1">
      <c r="A550" s="211">
        <v>20.0</v>
      </c>
      <c r="B550" s="131" t="s">
        <v>3659</v>
      </c>
      <c r="C550" s="228" t="s">
        <v>3660</v>
      </c>
      <c r="D550" s="228"/>
      <c r="E550" s="228"/>
      <c r="F550" s="419"/>
      <c r="G550" s="271" t="s">
        <v>3634</v>
      </c>
      <c r="H550" s="46"/>
      <c r="I550" s="237">
        <v>17.0</v>
      </c>
      <c r="J550" s="237">
        <v>1.0</v>
      </c>
      <c r="K550" s="237">
        <v>1.0</v>
      </c>
      <c r="L550" s="46"/>
      <c r="M550" s="237" t="s">
        <v>1609</v>
      </c>
      <c r="N550" s="46"/>
      <c r="O550" s="46"/>
      <c r="P550" s="46" t="s">
        <v>29</v>
      </c>
      <c r="Q550" s="46"/>
      <c r="R550" s="46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</row>
    <row r="551" ht="14.25" customHeight="1">
      <c r="A551" s="211">
        <v>21.0</v>
      </c>
      <c r="B551" s="131" t="s">
        <v>3661</v>
      </c>
      <c r="C551" s="228" t="s">
        <v>3662</v>
      </c>
      <c r="D551" s="228"/>
      <c r="E551" s="228"/>
      <c r="F551" s="419"/>
      <c r="G551" s="271" t="s">
        <v>3663</v>
      </c>
      <c r="H551" s="46"/>
      <c r="I551" s="237">
        <v>22.0</v>
      </c>
      <c r="J551" s="237">
        <v>1.0</v>
      </c>
      <c r="K551" s="237">
        <v>1.0</v>
      </c>
      <c r="L551" s="46"/>
      <c r="M551" s="237" t="s">
        <v>1609</v>
      </c>
      <c r="N551" s="46"/>
      <c r="O551" s="46"/>
      <c r="P551" s="46" t="s">
        <v>29</v>
      </c>
      <c r="Q551" s="46"/>
      <c r="R551" s="46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</row>
    <row r="552" ht="14.25" customHeight="1">
      <c r="A552" s="211">
        <v>22.0</v>
      </c>
      <c r="B552" s="131" t="s">
        <v>3664</v>
      </c>
      <c r="C552" s="228" t="s">
        <v>3665</v>
      </c>
      <c r="D552" s="228"/>
      <c r="E552" s="228"/>
      <c r="F552" s="419"/>
      <c r="G552" s="271" t="s">
        <v>3627</v>
      </c>
      <c r="H552" s="46"/>
      <c r="I552" s="237">
        <v>125.0</v>
      </c>
      <c r="J552" s="237">
        <v>1.0</v>
      </c>
      <c r="K552" s="237">
        <v>1.0</v>
      </c>
      <c r="L552" s="46"/>
      <c r="M552" s="237" t="s">
        <v>1609</v>
      </c>
      <c r="N552" s="46"/>
      <c r="O552" s="46"/>
      <c r="P552" s="46" t="s">
        <v>29</v>
      </c>
      <c r="Q552" s="46"/>
      <c r="R552" s="46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  <c r="AD552" s="129"/>
    </row>
    <row r="553" ht="14.25" customHeight="1">
      <c r="A553" s="211">
        <v>23.0</v>
      </c>
      <c r="B553" s="131" t="s">
        <v>3667</v>
      </c>
      <c r="C553" s="228" t="s">
        <v>3668</v>
      </c>
      <c r="D553" s="228"/>
      <c r="E553" s="228"/>
      <c r="F553" s="419"/>
      <c r="G553" s="271" t="s">
        <v>3669</v>
      </c>
      <c r="H553" s="46"/>
      <c r="I553" s="237">
        <v>127.0</v>
      </c>
      <c r="J553" s="237">
        <v>1.0</v>
      </c>
      <c r="K553" s="237">
        <v>1.0</v>
      </c>
      <c r="L553" s="46"/>
      <c r="M553" s="237" t="s">
        <v>1609</v>
      </c>
      <c r="N553" s="46"/>
      <c r="O553" s="46"/>
      <c r="P553" s="46" t="s">
        <v>29</v>
      </c>
      <c r="Q553" s="46"/>
      <c r="R553" s="46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  <c r="AD553" s="129"/>
    </row>
    <row r="554" ht="14.25" customHeight="1">
      <c r="A554" s="211">
        <v>24.0</v>
      </c>
      <c r="B554" s="131" t="s">
        <v>3670</v>
      </c>
      <c r="C554" s="228" t="s">
        <v>3671</v>
      </c>
      <c r="D554" s="228"/>
      <c r="E554" s="228"/>
      <c r="F554" s="419"/>
      <c r="G554" s="271" t="s">
        <v>3672</v>
      </c>
      <c r="H554" s="46"/>
      <c r="I554" s="237">
        <v>134.0</v>
      </c>
      <c r="J554" s="237">
        <v>1.0</v>
      </c>
      <c r="K554" s="237">
        <v>1.0</v>
      </c>
      <c r="L554" s="46"/>
      <c r="M554" s="237" t="s">
        <v>1609</v>
      </c>
      <c r="N554" s="46"/>
      <c r="O554" s="46"/>
      <c r="P554" s="46" t="s">
        <v>29</v>
      </c>
      <c r="Q554" s="46"/>
      <c r="R554" s="46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  <c r="AD554" s="129"/>
    </row>
    <row r="555" ht="14.25" customHeight="1">
      <c r="A555" s="211">
        <v>25.0</v>
      </c>
      <c r="B555" s="131" t="s">
        <v>3673</v>
      </c>
      <c r="C555" s="228" t="s">
        <v>3671</v>
      </c>
      <c r="D555" s="228"/>
      <c r="E555" s="228"/>
      <c r="F555" s="419"/>
      <c r="G555" s="271" t="s">
        <v>3634</v>
      </c>
      <c r="H555" s="46"/>
      <c r="I555" s="237">
        <v>17.0</v>
      </c>
      <c r="J555" s="237">
        <v>1.0</v>
      </c>
      <c r="K555" s="237">
        <v>1.0</v>
      </c>
      <c r="L555" s="46"/>
      <c r="M555" s="237" t="s">
        <v>1609</v>
      </c>
      <c r="N555" s="46"/>
      <c r="O555" s="46"/>
      <c r="P555" s="46" t="s">
        <v>29</v>
      </c>
      <c r="Q555" s="46"/>
      <c r="R555" s="46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  <c r="AD555" s="129"/>
    </row>
    <row r="556" ht="15.75" customHeight="1">
      <c r="A556" s="181"/>
      <c r="B556" s="182" t="s">
        <v>3674</v>
      </c>
      <c r="C556" s="182"/>
      <c r="D556" s="182"/>
      <c r="E556" s="182"/>
      <c r="F556" s="403"/>
      <c r="G556" s="404"/>
      <c r="H556" s="182"/>
      <c r="I556" s="182"/>
      <c r="J556" s="91"/>
      <c r="K556" s="91"/>
      <c r="L556" s="91"/>
      <c r="M556" s="91"/>
      <c r="N556" s="91"/>
      <c r="O556" s="91"/>
      <c r="P556" s="182"/>
      <c r="Q556" s="91"/>
      <c r="R556" s="218"/>
      <c r="S556" s="405"/>
      <c r="T556" s="405"/>
      <c r="U556" s="405"/>
      <c r="V556" s="405"/>
      <c r="W556" s="405"/>
      <c r="X556" s="405"/>
      <c r="Y556" s="405"/>
      <c r="Z556" s="405"/>
      <c r="AA556" s="405"/>
      <c r="AB556" s="405"/>
      <c r="AC556" s="405"/>
      <c r="AD556" s="405"/>
    </row>
    <row r="557" ht="13.5" customHeight="1">
      <c r="A557" s="211">
        <v>1.0</v>
      </c>
      <c r="B557" s="46" t="s">
        <v>2790</v>
      </c>
      <c r="C557" s="46" t="s">
        <v>3675</v>
      </c>
      <c r="D557" s="46"/>
      <c r="E557" s="46"/>
      <c r="F557" s="50"/>
      <c r="G557" s="275"/>
      <c r="H557" s="46"/>
      <c r="I557" s="223">
        <v>150.0</v>
      </c>
      <c r="J557" s="46"/>
      <c r="K557" s="46"/>
      <c r="L557" s="223">
        <v>2.0</v>
      </c>
      <c r="M557" s="46" t="s">
        <v>4027</v>
      </c>
      <c r="N557" s="46"/>
      <c r="O557" s="46"/>
      <c r="P557" s="46" t="s">
        <v>29</v>
      </c>
      <c r="Q557" s="46" t="s">
        <v>2645</v>
      </c>
      <c r="R557" s="46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  <c r="AD557" s="129"/>
    </row>
    <row r="558" ht="14.25" customHeight="1">
      <c r="A558" s="211">
        <v>2.0</v>
      </c>
      <c r="B558" s="46" t="s">
        <v>3677</v>
      </c>
      <c r="C558" s="46" t="s">
        <v>3678</v>
      </c>
      <c r="D558" s="46"/>
      <c r="E558" s="46"/>
      <c r="F558" s="50"/>
      <c r="G558" s="415">
        <v>250.0</v>
      </c>
      <c r="H558" s="46"/>
      <c r="I558" s="223">
        <v>130.0</v>
      </c>
      <c r="J558" s="46"/>
      <c r="K558" s="46"/>
      <c r="L558" s="223">
        <v>4.0</v>
      </c>
      <c r="M558" s="46" t="s">
        <v>4027</v>
      </c>
      <c r="N558" s="46"/>
      <c r="O558" s="46"/>
      <c r="P558" s="46" t="s">
        <v>29</v>
      </c>
      <c r="Q558" s="46"/>
      <c r="R558" s="46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  <c r="AD558" s="129"/>
    </row>
    <row r="559" ht="14.25" customHeight="1">
      <c r="A559" s="211">
        <v>3.0</v>
      </c>
      <c r="B559" s="46" t="s">
        <v>3490</v>
      </c>
      <c r="C559" s="46" t="s">
        <v>3678</v>
      </c>
      <c r="D559" s="46"/>
      <c r="E559" s="46"/>
      <c r="F559" s="50"/>
      <c r="G559" s="415">
        <v>50.0</v>
      </c>
      <c r="H559" s="46"/>
      <c r="I559" s="223">
        <v>40.0</v>
      </c>
      <c r="J559" s="46"/>
      <c r="K559" s="46"/>
      <c r="L559" s="223">
        <v>1.0</v>
      </c>
      <c r="M559" s="46" t="s">
        <v>4027</v>
      </c>
      <c r="N559" s="46"/>
      <c r="O559" s="46"/>
      <c r="P559" s="46" t="s">
        <v>29</v>
      </c>
      <c r="Q559" s="46"/>
      <c r="R559" s="46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  <c r="AD559" s="129"/>
    </row>
    <row r="560" ht="14.25" customHeight="1">
      <c r="A560" s="211">
        <v>4.0</v>
      </c>
      <c r="B560" s="46" t="s">
        <v>3525</v>
      </c>
      <c r="C560" s="46" t="s">
        <v>3678</v>
      </c>
      <c r="D560" s="46"/>
      <c r="E560" s="46"/>
      <c r="F560" s="50"/>
      <c r="G560" s="415">
        <v>75.0</v>
      </c>
      <c r="H560" s="46"/>
      <c r="I560" s="223">
        <v>4.0</v>
      </c>
      <c r="J560" s="46"/>
      <c r="K560" s="46"/>
      <c r="L560" s="223">
        <v>1.0</v>
      </c>
      <c r="M560" s="46" t="s">
        <v>4027</v>
      </c>
      <c r="N560" s="46"/>
      <c r="O560" s="46"/>
      <c r="P560" s="46" t="s">
        <v>29</v>
      </c>
      <c r="Q560" s="46"/>
      <c r="R560" s="46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  <c r="AD560" s="129"/>
    </row>
    <row r="561" ht="14.25" customHeight="1">
      <c r="A561" s="211">
        <v>5.0</v>
      </c>
      <c r="B561" s="46" t="s">
        <v>2300</v>
      </c>
      <c r="C561" s="46" t="s">
        <v>3679</v>
      </c>
      <c r="D561" s="46"/>
      <c r="E561" s="46"/>
      <c r="F561" s="50"/>
      <c r="G561" s="275"/>
      <c r="H561" s="223">
        <v>30.0</v>
      </c>
      <c r="I561" s="46"/>
      <c r="J561" s="46"/>
      <c r="K561" s="46"/>
      <c r="L561" s="223">
        <v>5.0</v>
      </c>
      <c r="M561" s="46" t="s">
        <v>4027</v>
      </c>
      <c r="N561" s="46"/>
      <c r="O561" s="46"/>
      <c r="P561" s="46" t="s">
        <v>29</v>
      </c>
      <c r="Q561" s="46"/>
      <c r="R561" s="46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  <c r="AD561" s="129"/>
    </row>
    <row r="562" ht="14.25" customHeight="1">
      <c r="A562" s="211">
        <v>6.0</v>
      </c>
      <c r="B562" s="46" t="s">
        <v>2781</v>
      </c>
      <c r="C562" s="46" t="s">
        <v>3678</v>
      </c>
      <c r="D562" s="46"/>
      <c r="E562" s="46"/>
      <c r="F562" s="50"/>
      <c r="G562" s="415">
        <v>225.0</v>
      </c>
      <c r="H562" s="46"/>
      <c r="I562" s="46"/>
      <c r="J562" s="46"/>
      <c r="K562" s="46"/>
      <c r="L562" s="223">
        <v>2.0</v>
      </c>
      <c r="M562" s="46" t="s">
        <v>4027</v>
      </c>
      <c r="N562" s="46"/>
      <c r="O562" s="46"/>
      <c r="P562" s="46" t="s">
        <v>29</v>
      </c>
      <c r="Q562" s="46"/>
      <c r="R562" s="46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  <c r="AD562" s="129"/>
    </row>
    <row r="563" ht="14.25" customHeight="1">
      <c r="A563" s="211">
        <v>7.0</v>
      </c>
      <c r="B563" s="46" t="s">
        <v>3680</v>
      </c>
      <c r="C563" s="46" t="s">
        <v>3678</v>
      </c>
      <c r="D563" s="46"/>
      <c r="E563" s="46"/>
      <c r="F563" s="50"/>
      <c r="G563" s="415">
        <v>100.0</v>
      </c>
      <c r="H563" s="223">
        <v>15.0</v>
      </c>
      <c r="I563" s="46"/>
      <c r="J563" s="46"/>
      <c r="K563" s="46"/>
      <c r="L563" s="223">
        <v>1.0</v>
      </c>
      <c r="M563" s="46" t="s">
        <v>4027</v>
      </c>
      <c r="N563" s="46"/>
      <c r="O563" s="46"/>
      <c r="P563" s="46" t="s">
        <v>29</v>
      </c>
      <c r="Q563" s="46"/>
      <c r="R563" s="46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  <c r="AD563" s="129"/>
    </row>
    <row r="564" ht="14.25" customHeight="1">
      <c r="A564" s="211">
        <v>8.0</v>
      </c>
      <c r="B564" s="46" t="s">
        <v>3681</v>
      </c>
      <c r="C564" s="46" t="s">
        <v>3678</v>
      </c>
      <c r="D564" s="46"/>
      <c r="E564" s="46"/>
      <c r="F564" s="50"/>
      <c r="G564" s="275"/>
      <c r="H564" s="46"/>
      <c r="I564" s="46"/>
      <c r="J564" s="46"/>
      <c r="K564" s="46"/>
      <c r="L564" s="223">
        <v>1.0</v>
      </c>
      <c r="M564" s="46" t="s">
        <v>4027</v>
      </c>
      <c r="N564" s="46"/>
      <c r="O564" s="46"/>
      <c r="P564" s="46" t="s">
        <v>29</v>
      </c>
      <c r="Q564" s="46"/>
      <c r="R564" s="46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  <c r="AD564" s="129"/>
    </row>
    <row r="565" ht="14.25" customHeight="1">
      <c r="A565" s="211">
        <v>9.0</v>
      </c>
      <c r="B565" s="46" t="s">
        <v>3682</v>
      </c>
      <c r="C565" s="46" t="s">
        <v>3678</v>
      </c>
      <c r="D565" s="46"/>
      <c r="E565" s="46"/>
      <c r="F565" s="50"/>
      <c r="G565" s="275"/>
      <c r="H565" s="46"/>
      <c r="I565" s="46"/>
      <c r="J565" s="46"/>
      <c r="K565" s="46"/>
      <c r="L565" s="223">
        <v>1.0</v>
      </c>
      <c r="M565" s="46" t="s">
        <v>4027</v>
      </c>
      <c r="N565" s="46"/>
      <c r="O565" s="46"/>
      <c r="P565" s="46" t="s">
        <v>29</v>
      </c>
      <c r="Q565" s="46"/>
      <c r="R565" s="46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  <c r="AD565" s="129"/>
    </row>
    <row r="566" ht="14.25" customHeight="1">
      <c r="A566" s="211">
        <v>10.0</v>
      </c>
      <c r="B566" s="46" t="s">
        <v>3683</v>
      </c>
      <c r="C566" s="46" t="s">
        <v>3684</v>
      </c>
      <c r="D566" s="46"/>
      <c r="E566" s="46"/>
      <c r="F566" s="50"/>
      <c r="G566" s="415">
        <v>200.0</v>
      </c>
      <c r="H566" s="223">
        <v>8.0</v>
      </c>
      <c r="I566" s="46"/>
      <c r="J566" s="46"/>
      <c r="K566" s="46"/>
      <c r="L566" s="223">
        <v>8.0</v>
      </c>
      <c r="M566" s="46" t="s">
        <v>4027</v>
      </c>
      <c r="N566" s="46"/>
      <c r="O566" s="46"/>
      <c r="P566" s="46" t="s">
        <v>29</v>
      </c>
      <c r="Q566" s="46"/>
      <c r="R566" s="46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  <c r="AD566" s="129"/>
    </row>
    <row r="567" ht="14.25" customHeight="1">
      <c r="A567" s="211">
        <v>11.0</v>
      </c>
      <c r="B567" s="46" t="s">
        <v>1171</v>
      </c>
      <c r="C567" s="46" t="s">
        <v>3684</v>
      </c>
      <c r="D567" s="46"/>
      <c r="E567" s="46"/>
      <c r="F567" s="50"/>
      <c r="G567" s="415">
        <v>75.0</v>
      </c>
      <c r="H567" s="46"/>
      <c r="I567" s="223">
        <v>15.0</v>
      </c>
      <c r="J567" s="46"/>
      <c r="K567" s="46"/>
      <c r="L567" s="223">
        <v>3.0</v>
      </c>
      <c r="M567" s="46" t="s">
        <v>4027</v>
      </c>
      <c r="N567" s="46"/>
      <c r="O567" s="46"/>
      <c r="P567" s="46" t="s">
        <v>29</v>
      </c>
      <c r="Q567" s="46"/>
      <c r="R567" s="46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  <c r="AD567" s="129"/>
    </row>
    <row r="568" ht="14.25" customHeight="1">
      <c r="A568" s="211">
        <v>12.0</v>
      </c>
      <c r="B568" s="46" t="s">
        <v>3685</v>
      </c>
      <c r="C568" s="46" t="s">
        <v>3686</v>
      </c>
      <c r="D568" s="46"/>
      <c r="E568" s="46"/>
      <c r="F568" s="50"/>
      <c r="G568" s="415">
        <v>200.0</v>
      </c>
      <c r="H568" s="223">
        <v>20.0</v>
      </c>
      <c r="I568" s="46"/>
      <c r="J568" s="46"/>
      <c r="K568" s="46"/>
      <c r="L568" s="223">
        <v>8.0</v>
      </c>
      <c r="M568" s="46" t="s">
        <v>4027</v>
      </c>
      <c r="N568" s="46"/>
      <c r="O568" s="46"/>
      <c r="P568" s="46" t="s">
        <v>29</v>
      </c>
      <c r="Q568" s="46"/>
      <c r="R568" s="46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  <c r="AD568" s="129"/>
    </row>
    <row r="569" ht="14.25" customHeight="1">
      <c r="A569" s="211">
        <v>13.0</v>
      </c>
      <c r="B569" s="46" t="s">
        <v>3688</v>
      </c>
      <c r="C569" s="46" t="s">
        <v>3678</v>
      </c>
      <c r="D569" s="46"/>
      <c r="E569" s="46"/>
      <c r="F569" s="50"/>
      <c r="G569" s="415">
        <v>125.0</v>
      </c>
      <c r="H569" s="223">
        <v>15.0</v>
      </c>
      <c r="I569" s="46"/>
      <c r="J569" s="46"/>
      <c r="K569" s="46"/>
      <c r="L569" s="223">
        <v>5.0</v>
      </c>
      <c r="M569" s="46" t="s">
        <v>4027</v>
      </c>
      <c r="N569" s="46"/>
      <c r="O569" s="46"/>
      <c r="P569" s="46" t="s">
        <v>29</v>
      </c>
      <c r="Q569" s="46"/>
      <c r="R569" s="46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  <c r="AD569" s="129"/>
    </row>
    <row r="570" ht="14.25" customHeight="1">
      <c r="A570" s="211">
        <v>14.0</v>
      </c>
      <c r="B570" s="46" t="s">
        <v>3690</v>
      </c>
      <c r="C570" s="46" t="s">
        <v>3691</v>
      </c>
      <c r="D570" s="46"/>
      <c r="E570" s="46"/>
      <c r="F570" s="50"/>
      <c r="G570" s="415">
        <v>250.0</v>
      </c>
      <c r="H570" s="223">
        <v>15.0</v>
      </c>
      <c r="I570" s="46"/>
      <c r="J570" s="46"/>
      <c r="K570" s="46"/>
      <c r="L570" s="223">
        <v>7.0</v>
      </c>
      <c r="M570" s="46" t="s">
        <v>4027</v>
      </c>
      <c r="N570" s="46"/>
      <c r="O570" s="46"/>
      <c r="P570" s="46" t="s">
        <v>29</v>
      </c>
      <c r="Q570" s="46"/>
      <c r="R570" s="46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  <c r="AD570" s="129"/>
    </row>
    <row r="571" ht="14.25" customHeight="1">
      <c r="A571" s="211">
        <v>15.0</v>
      </c>
      <c r="B571" s="46" t="s">
        <v>3693</v>
      </c>
      <c r="C571" s="46" t="s">
        <v>3694</v>
      </c>
      <c r="D571" s="46"/>
      <c r="E571" s="46"/>
      <c r="F571" s="50"/>
      <c r="G571" s="415">
        <v>75.0</v>
      </c>
      <c r="H571" s="223">
        <v>20.0</v>
      </c>
      <c r="I571" s="46"/>
      <c r="J571" s="46"/>
      <c r="K571" s="46"/>
      <c r="L571" s="223">
        <v>4.0</v>
      </c>
      <c r="M571" s="46" t="s">
        <v>4027</v>
      </c>
      <c r="N571" s="46"/>
      <c r="O571" s="46"/>
      <c r="P571" s="46"/>
      <c r="Q571" s="46"/>
      <c r="R571" s="46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  <c r="AD571" s="129"/>
    </row>
    <row r="572" ht="14.25" customHeight="1">
      <c r="A572" s="211">
        <v>16.0</v>
      </c>
      <c r="B572" s="46" t="s">
        <v>3695</v>
      </c>
      <c r="C572" s="46" t="s">
        <v>3696</v>
      </c>
      <c r="D572" s="46"/>
      <c r="E572" s="46"/>
      <c r="F572" s="50"/>
      <c r="G572" s="415">
        <v>125.0</v>
      </c>
      <c r="H572" s="223">
        <v>25.0</v>
      </c>
      <c r="I572" s="46"/>
      <c r="J572" s="46"/>
      <c r="K572" s="46"/>
      <c r="L572" s="223">
        <v>5.0</v>
      </c>
      <c r="M572" s="46" t="s">
        <v>4027</v>
      </c>
      <c r="N572" s="46"/>
      <c r="O572" s="46"/>
      <c r="P572" s="46"/>
      <c r="Q572" s="46"/>
      <c r="R572" s="46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  <c r="AD572" s="129"/>
    </row>
    <row r="573" ht="14.25" customHeight="1">
      <c r="A573" s="211">
        <v>17.0</v>
      </c>
      <c r="B573" s="46" t="s">
        <v>3698</v>
      </c>
      <c r="C573" s="46" t="s">
        <v>3696</v>
      </c>
      <c r="D573" s="46"/>
      <c r="E573" s="46"/>
      <c r="F573" s="50"/>
      <c r="G573" s="415">
        <v>100.0</v>
      </c>
      <c r="H573" s="223">
        <v>20.0</v>
      </c>
      <c r="I573" s="46"/>
      <c r="J573" s="46"/>
      <c r="K573" s="46"/>
      <c r="L573" s="223">
        <v>3.0</v>
      </c>
      <c r="M573" s="46" t="s">
        <v>4027</v>
      </c>
      <c r="N573" s="46"/>
      <c r="O573" s="46"/>
      <c r="P573" s="46"/>
      <c r="Q573" s="46"/>
      <c r="R573" s="46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  <c r="AD573" s="129"/>
    </row>
    <row r="574" ht="14.25" customHeight="1">
      <c r="A574" s="211">
        <v>18.0</v>
      </c>
      <c r="B574" s="46" t="s">
        <v>3699</v>
      </c>
      <c r="C574" s="46" t="s">
        <v>3700</v>
      </c>
      <c r="D574" s="46"/>
      <c r="E574" s="46"/>
      <c r="F574" s="50"/>
      <c r="G574" s="415">
        <v>200.0</v>
      </c>
      <c r="H574" s="223">
        <v>20.0</v>
      </c>
      <c r="I574" s="46"/>
      <c r="J574" s="46"/>
      <c r="K574" s="46"/>
      <c r="L574" s="223">
        <v>8.0</v>
      </c>
      <c r="M574" s="46" t="s">
        <v>4027</v>
      </c>
      <c r="N574" s="46"/>
      <c r="O574" s="46"/>
      <c r="P574" s="46"/>
      <c r="Q574" s="46"/>
      <c r="R574" s="46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  <c r="AD574" s="129"/>
    </row>
    <row r="575" ht="14.25" customHeight="1">
      <c r="A575" s="211">
        <v>19.0</v>
      </c>
      <c r="B575" s="46" t="s">
        <v>3701</v>
      </c>
      <c r="C575" s="46" t="s">
        <v>3702</v>
      </c>
      <c r="D575" s="46"/>
      <c r="E575" s="46"/>
      <c r="F575" s="50"/>
      <c r="G575" s="415">
        <v>200.0</v>
      </c>
      <c r="H575" s="223">
        <v>20.0</v>
      </c>
      <c r="I575" s="46"/>
      <c r="J575" s="46"/>
      <c r="K575" s="46"/>
      <c r="L575" s="223">
        <v>8.0</v>
      </c>
      <c r="M575" s="46" t="s">
        <v>4027</v>
      </c>
      <c r="N575" s="46"/>
      <c r="O575" s="46"/>
      <c r="P575" s="46"/>
      <c r="Q575" s="46"/>
      <c r="R575" s="46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  <c r="AD575" s="129"/>
    </row>
    <row r="576" ht="14.25" customHeight="1">
      <c r="A576" s="211">
        <v>20.0</v>
      </c>
      <c r="B576" s="46" t="s">
        <v>3703</v>
      </c>
      <c r="C576" s="46" t="s">
        <v>3704</v>
      </c>
      <c r="D576" s="46"/>
      <c r="E576" s="46"/>
      <c r="F576" s="50"/>
      <c r="G576" s="415">
        <v>200.0</v>
      </c>
      <c r="H576" s="223">
        <v>20.0</v>
      </c>
      <c r="I576" s="46"/>
      <c r="J576" s="46"/>
      <c r="K576" s="46"/>
      <c r="L576" s="223">
        <v>8.0</v>
      </c>
      <c r="M576" s="46" t="s">
        <v>4027</v>
      </c>
      <c r="N576" s="46"/>
      <c r="O576" s="46"/>
      <c r="P576" s="46"/>
      <c r="Q576" s="46"/>
      <c r="R576" s="46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</row>
    <row r="577" ht="14.25" customHeight="1">
      <c r="A577" s="211">
        <v>21.0</v>
      </c>
      <c r="B577" s="46" t="s">
        <v>3705</v>
      </c>
      <c r="C577" s="46" t="s">
        <v>3704</v>
      </c>
      <c r="D577" s="46"/>
      <c r="E577" s="46"/>
      <c r="F577" s="50"/>
      <c r="G577" s="415">
        <v>184.0</v>
      </c>
      <c r="H577" s="223">
        <v>18.0</v>
      </c>
      <c r="I577" s="46"/>
      <c r="J577" s="46"/>
      <c r="K577" s="46"/>
      <c r="L577" s="223">
        <v>7.0</v>
      </c>
      <c r="M577" s="46" t="s">
        <v>4027</v>
      </c>
      <c r="N577" s="46"/>
      <c r="O577" s="46"/>
      <c r="P577" s="46"/>
      <c r="Q577" s="46"/>
      <c r="R577" s="46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</row>
    <row r="578" ht="14.25" customHeight="1">
      <c r="A578" s="211">
        <v>22.0</v>
      </c>
      <c r="B578" s="46" t="s">
        <v>3706</v>
      </c>
      <c r="C578" s="46" t="s">
        <v>3704</v>
      </c>
      <c r="D578" s="46"/>
      <c r="E578" s="46"/>
      <c r="F578" s="50"/>
      <c r="G578" s="415">
        <v>25.0</v>
      </c>
      <c r="H578" s="223">
        <v>4.0</v>
      </c>
      <c r="I578" s="46"/>
      <c r="J578" s="46"/>
      <c r="K578" s="46"/>
      <c r="L578" s="223">
        <v>1.0</v>
      </c>
      <c r="M578" s="46" t="s">
        <v>4027</v>
      </c>
      <c r="N578" s="46"/>
      <c r="O578" s="46"/>
      <c r="P578" s="46"/>
      <c r="Q578" s="46"/>
      <c r="R578" s="46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  <c r="AD578" s="129"/>
    </row>
    <row r="579" ht="14.25" customHeight="1">
      <c r="A579" s="211">
        <v>23.0</v>
      </c>
      <c r="B579" s="46" t="s">
        <v>1171</v>
      </c>
      <c r="C579" s="46" t="s">
        <v>3704</v>
      </c>
      <c r="D579" s="46"/>
      <c r="E579" s="46"/>
      <c r="F579" s="50"/>
      <c r="G579" s="415">
        <v>25.0</v>
      </c>
      <c r="H579" s="223">
        <v>4.0</v>
      </c>
      <c r="I579" s="46"/>
      <c r="J579" s="46"/>
      <c r="K579" s="46"/>
      <c r="L579" s="223">
        <v>1.0</v>
      </c>
      <c r="M579" s="46" t="s">
        <v>4027</v>
      </c>
      <c r="N579" s="46"/>
      <c r="O579" s="46"/>
      <c r="P579" s="46"/>
      <c r="Q579" s="46"/>
      <c r="R579" s="46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</row>
    <row r="580" ht="14.25" customHeight="1">
      <c r="A580" s="211">
        <v>24.0</v>
      </c>
      <c r="B580" s="46" t="s">
        <v>3707</v>
      </c>
      <c r="C580" s="46" t="s">
        <v>3708</v>
      </c>
      <c r="D580" s="46"/>
      <c r="E580" s="46"/>
      <c r="F580" s="50"/>
      <c r="G580" s="415">
        <v>750.0</v>
      </c>
      <c r="H580" s="223">
        <v>30.0</v>
      </c>
      <c r="I580" s="46"/>
      <c r="J580" s="46"/>
      <c r="K580" s="46"/>
      <c r="L580" s="223">
        <v>12.0</v>
      </c>
      <c r="M580" s="46" t="s">
        <v>4027</v>
      </c>
      <c r="N580" s="46"/>
      <c r="O580" s="46"/>
      <c r="P580" s="46"/>
      <c r="Q580" s="46"/>
      <c r="R580" s="46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</row>
    <row r="581" ht="14.25" customHeight="1">
      <c r="A581" s="211">
        <v>25.0</v>
      </c>
      <c r="B581" s="46" t="s">
        <v>3710</v>
      </c>
      <c r="C581" s="46" t="s">
        <v>3708</v>
      </c>
      <c r="D581" s="46"/>
      <c r="E581" s="46"/>
      <c r="F581" s="50"/>
      <c r="G581" s="415">
        <v>600.0</v>
      </c>
      <c r="H581" s="223">
        <v>28.0</v>
      </c>
      <c r="I581" s="46"/>
      <c r="J581" s="46"/>
      <c r="K581" s="46"/>
      <c r="L581" s="223">
        <v>10.0</v>
      </c>
      <c r="M581" s="46" t="s">
        <v>4027</v>
      </c>
      <c r="N581" s="46"/>
      <c r="O581" s="46"/>
      <c r="P581" s="46"/>
      <c r="Q581" s="46"/>
      <c r="R581" s="46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</row>
    <row r="582" ht="14.25" customHeight="1">
      <c r="A582" s="211">
        <v>26.0</v>
      </c>
      <c r="B582" s="46" t="s">
        <v>3711</v>
      </c>
      <c r="C582" s="46" t="s">
        <v>3712</v>
      </c>
      <c r="D582" s="46"/>
      <c r="E582" s="46"/>
      <c r="F582" s="50"/>
      <c r="G582" s="415">
        <v>100.0</v>
      </c>
      <c r="H582" s="223">
        <v>20.0</v>
      </c>
      <c r="I582" s="46"/>
      <c r="J582" s="46"/>
      <c r="K582" s="46"/>
      <c r="L582" s="223">
        <v>4.0</v>
      </c>
      <c r="M582" s="46" t="s">
        <v>4027</v>
      </c>
      <c r="N582" s="46"/>
      <c r="O582" s="46"/>
      <c r="P582" s="46"/>
      <c r="Q582" s="46"/>
      <c r="R582" s="46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</row>
    <row r="583" ht="14.25" customHeight="1">
      <c r="A583" s="211">
        <v>27.0</v>
      </c>
      <c r="B583" s="46" t="s">
        <v>1171</v>
      </c>
      <c r="C583" s="46" t="s">
        <v>7092</v>
      </c>
      <c r="D583" s="46"/>
      <c r="E583" s="46"/>
      <c r="F583" s="50"/>
      <c r="G583" s="415">
        <v>200.0</v>
      </c>
      <c r="H583" s="223">
        <v>8.0</v>
      </c>
      <c r="I583" s="46"/>
      <c r="J583" s="46"/>
      <c r="K583" s="46"/>
      <c r="L583" s="223">
        <v>8.0</v>
      </c>
      <c r="M583" s="46" t="s">
        <v>4027</v>
      </c>
      <c r="N583" s="46"/>
      <c r="O583" s="46"/>
      <c r="P583" s="46"/>
      <c r="Q583" s="46"/>
      <c r="R583" s="46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</row>
    <row r="584" ht="14.25" customHeight="1">
      <c r="A584" s="211">
        <v>28.0</v>
      </c>
      <c r="B584" s="46" t="s">
        <v>3714</v>
      </c>
      <c r="C584" s="46" t="s">
        <v>3713</v>
      </c>
      <c r="D584" s="46"/>
      <c r="E584" s="46"/>
      <c r="F584" s="50"/>
      <c r="G584" s="415">
        <v>125.0</v>
      </c>
      <c r="H584" s="223">
        <v>15.0</v>
      </c>
      <c r="I584" s="46"/>
      <c r="J584" s="46"/>
      <c r="K584" s="46"/>
      <c r="L584" s="223">
        <v>1.0</v>
      </c>
      <c r="M584" s="46" t="s">
        <v>4027</v>
      </c>
      <c r="N584" s="46"/>
      <c r="O584" s="46"/>
      <c r="P584" s="46"/>
      <c r="Q584" s="46"/>
      <c r="R584" s="46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</row>
    <row r="585" ht="14.25" customHeight="1">
      <c r="A585" s="211">
        <v>29.0</v>
      </c>
      <c r="B585" s="46" t="s">
        <v>1171</v>
      </c>
      <c r="C585" s="46" t="s">
        <v>3715</v>
      </c>
      <c r="D585" s="46"/>
      <c r="E585" s="46"/>
      <c r="F585" s="50"/>
      <c r="G585" s="415">
        <v>100.0</v>
      </c>
      <c r="H585" s="223">
        <v>10.0</v>
      </c>
      <c r="I585" s="46"/>
      <c r="J585" s="46"/>
      <c r="K585" s="46"/>
      <c r="L585" s="223">
        <v>1.0</v>
      </c>
      <c r="M585" s="46" t="s">
        <v>4027</v>
      </c>
      <c r="N585" s="46"/>
      <c r="O585" s="46"/>
      <c r="P585" s="46"/>
      <c r="Q585" s="46"/>
      <c r="R585" s="46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</row>
    <row r="586" ht="14.25" customHeight="1">
      <c r="A586" s="211">
        <v>30.0</v>
      </c>
      <c r="B586" s="46" t="s">
        <v>3716</v>
      </c>
      <c r="C586" s="46" t="s">
        <v>3717</v>
      </c>
      <c r="D586" s="46"/>
      <c r="E586" s="46"/>
      <c r="F586" s="50"/>
      <c r="G586" s="415">
        <v>25.0</v>
      </c>
      <c r="H586" s="223">
        <v>30.0</v>
      </c>
      <c r="I586" s="46"/>
      <c r="J586" s="46"/>
      <c r="K586" s="46"/>
      <c r="L586" s="223">
        <v>1.0</v>
      </c>
      <c r="M586" s="46" t="s">
        <v>4027</v>
      </c>
      <c r="N586" s="46"/>
      <c r="O586" s="46"/>
      <c r="P586" s="46"/>
      <c r="Q586" s="46"/>
      <c r="R586" s="46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</row>
    <row r="587" ht="14.25" customHeight="1">
      <c r="A587" s="211">
        <v>31.0</v>
      </c>
      <c r="B587" s="46" t="s">
        <v>1171</v>
      </c>
      <c r="C587" s="46" t="s">
        <v>3718</v>
      </c>
      <c r="D587" s="46"/>
      <c r="E587" s="46"/>
      <c r="F587" s="50"/>
      <c r="G587" s="415">
        <v>100.0</v>
      </c>
      <c r="H587" s="223">
        <v>10.0</v>
      </c>
      <c r="I587" s="46"/>
      <c r="J587" s="46"/>
      <c r="K587" s="46"/>
      <c r="L587" s="223">
        <v>1.0</v>
      </c>
      <c r="M587" s="46" t="s">
        <v>4027</v>
      </c>
      <c r="N587" s="46"/>
      <c r="O587" s="46"/>
      <c r="P587" s="46"/>
      <c r="Q587" s="46"/>
      <c r="R587" s="46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</row>
    <row r="588" ht="14.25" customHeight="1">
      <c r="A588" s="211">
        <v>32.0</v>
      </c>
      <c r="B588" s="46" t="s">
        <v>3719</v>
      </c>
      <c r="C588" s="46" t="s">
        <v>3720</v>
      </c>
      <c r="D588" s="46"/>
      <c r="E588" s="46"/>
      <c r="F588" s="50"/>
      <c r="G588" s="415">
        <v>100.0</v>
      </c>
      <c r="H588" s="223">
        <v>20.0</v>
      </c>
      <c r="I588" s="46"/>
      <c r="J588" s="46"/>
      <c r="K588" s="46"/>
      <c r="L588" s="223">
        <v>1.0</v>
      </c>
      <c r="M588" s="46" t="s">
        <v>4027</v>
      </c>
      <c r="N588" s="46"/>
      <c r="O588" s="46"/>
      <c r="P588" s="46"/>
      <c r="Q588" s="46"/>
      <c r="R588" s="46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</row>
    <row r="589" ht="14.25" customHeight="1">
      <c r="A589" s="211">
        <v>33.0</v>
      </c>
      <c r="B589" s="46" t="s">
        <v>3721</v>
      </c>
      <c r="C589" s="46" t="s">
        <v>3720</v>
      </c>
      <c r="D589" s="46"/>
      <c r="E589" s="46"/>
      <c r="F589" s="50"/>
      <c r="G589" s="415">
        <v>700.0</v>
      </c>
      <c r="H589" s="223">
        <v>25.0</v>
      </c>
      <c r="I589" s="46"/>
      <c r="J589" s="46"/>
      <c r="K589" s="46"/>
      <c r="L589" s="223">
        <v>1.0</v>
      </c>
      <c r="M589" s="46" t="s">
        <v>4027</v>
      </c>
      <c r="N589" s="46"/>
      <c r="O589" s="46"/>
      <c r="P589" s="46"/>
      <c r="Q589" s="46"/>
      <c r="R589" s="46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</row>
    <row r="590" ht="14.25" customHeight="1">
      <c r="A590" s="211">
        <v>34.0</v>
      </c>
      <c r="B590" s="46" t="s">
        <v>3722</v>
      </c>
      <c r="C590" s="46" t="s">
        <v>3723</v>
      </c>
      <c r="D590" s="46"/>
      <c r="E590" s="46"/>
      <c r="F590" s="50"/>
      <c r="G590" s="415">
        <v>100.0</v>
      </c>
      <c r="H590" s="223">
        <v>10.0</v>
      </c>
      <c r="I590" s="46"/>
      <c r="J590" s="46"/>
      <c r="K590" s="46"/>
      <c r="L590" s="223">
        <v>1.0</v>
      </c>
      <c r="M590" s="46" t="s">
        <v>4027</v>
      </c>
      <c r="N590" s="46"/>
      <c r="O590" s="46"/>
      <c r="P590" s="46"/>
      <c r="Q590" s="46"/>
      <c r="R590" s="46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  <c r="AD590" s="129"/>
    </row>
    <row r="591" ht="14.25" customHeight="1">
      <c r="A591" s="211">
        <v>35.0</v>
      </c>
      <c r="B591" s="46" t="s">
        <v>3711</v>
      </c>
      <c r="C591" s="46" t="s">
        <v>3724</v>
      </c>
      <c r="D591" s="46"/>
      <c r="E591" s="46"/>
      <c r="F591" s="50"/>
      <c r="G591" s="415">
        <v>375.0</v>
      </c>
      <c r="H591" s="223">
        <v>15.0</v>
      </c>
      <c r="I591" s="46"/>
      <c r="J591" s="46"/>
      <c r="K591" s="46"/>
      <c r="L591" s="223">
        <v>15.0</v>
      </c>
      <c r="M591" s="46" t="s">
        <v>4027</v>
      </c>
      <c r="N591" s="46"/>
      <c r="O591" s="46"/>
      <c r="P591" s="46"/>
      <c r="Q591" s="46"/>
      <c r="R591" s="46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  <c r="AD591" s="129"/>
    </row>
    <row r="592" ht="14.25" customHeight="1">
      <c r="A592" s="211">
        <v>36.0</v>
      </c>
      <c r="B592" s="46" t="s">
        <v>3725</v>
      </c>
      <c r="C592" s="46" t="s">
        <v>3724</v>
      </c>
      <c r="D592" s="46"/>
      <c r="E592" s="46"/>
      <c r="F592" s="50"/>
      <c r="G592" s="415">
        <v>50.0</v>
      </c>
      <c r="H592" s="223">
        <v>7.0</v>
      </c>
      <c r="I592" s="46"/>
      <c r="J592" s="46"/>
      <c r="K592" s="46"/>
      <c r="L592" s="223">
        <v>1.0</v>
      </c>
      <c r="M592" s="46" t="s">
        <v>4027</v>
      </c>
      <c r="N592" s="46"/>
      <c r="O592" s="46"/>
      <c r="P592" s="46"/>
      <c r="Q592" s="46"/>
      <c r="R592" s="46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  <c r="AD592" s="129"/>
    </row>
    <row r="593" ht="14.25" customHeight="1">
      <c r="A593" s="211">
        <v>37.0</v>
      </c>
      <c r="B593" s="46" t="s">
        <v>7093</v>
      </c>
      <c r="C593" s="46" t="s">
        <v>3727</v>
      </c>
      <c r="D593" s="46"/>
      <c r="E593" s="46"/>
      <c r="F593" s="50"/>
      <c r="G593" s="415">
        <v>375.0</v>
      </c>
      <c r="H593" s="223">
        <v>15.0</v>
      </c>
      <c r="I593" s="46"/>
      <c r="J593" s="46"/>
      <c r="K593" s="46"/>
      <c r="L593" s="223">
        <v>1.0</v>
      </c>
      <c r="M593" s="46" t="s">
        <v>4027</v>
      </c>
      <c r="N593" s="46"/>
      <c r="O593" s="46"/>
      <c r="P593" s="46"/>
      <c r="Q593" s="46"/>
      <c r="R593" s="46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  <c r="AD593" s="129"/>
    </row>
    <row r="594" ht="14.25" customHeight="1">
      <c r="A594" s="211">
        <v>38.0</v>
      </c>
      <c r="B594" s="46" t="s">
        <v>3728</v>
      </c>
      <c r="C594" s="46" t="s">
        <v>3727</v>
      </c>
      <c r="D594" s="46"/>
      <c r="E594" s="46"/>
      <c r="F594" s="50"/>
      <c r="G594" s="415">
        <v>200.0</v>
      </c>
      <c r="H594" s="223">
        <v>30.0</v>
      </c>
      <c r="I594" s="46"/>
      <c r="J594" s="46"/>
      <c r="K594" s="46"/>
      <c r="L594" s="223">
        <v>5.0</v>
      </c>
      <c r="M594" s="46"/>
      <c r="N594" s="46"/>
      <c r="O594" s="46"/>
      <c r="P594" s="46"/>
      <c r="Q594" s="46"/>
      <c r="R594" s="46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  <c r="AD594" s="129"/>
    </row>
    <row r="595" ht="14.25" customHeight="1">
      <c r="A595" s="211">
        <v>39.0</v>
      </c>
      <c r="B595" s="46" t="s">
        <v>1171</v>
      </c>
      <c r="C595" s="46" t="s">
        <v>3729</v>
      </c>
      <c r="D595" s="46"/>
      <c r="E595" s="46"/>
      <c r="F595" s="50"/>
      <c r="G595" s="415">
        <v>100.0</v>
      </c>
      <c r="H595" s="223">
        <v>15.0</v>
      </c>
      <c r="I595" s="46"/>
      <c r="J595" s="46"/>
      <c r="K595" s="46"/>
      <c r="L595" s="223">
        <v>4.0</v>
      </c>
      <c r="M595" s="46"/>
      <c r="N595" s="46"/>
      <c r="O595" s="46"/>
      <c r="P595" s="46"/>
      <c r="Q595" s="46"/>
      <c r="R595" s="46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  <c r="AD595" s="129"/>
    </row>
    <row r="596" ht="14.25" customHeight="1">
      <c r="A596" s="211">
        <v>40.0</v>
      </c>
      <c r="B596" s="46" t="s">
        <v>3730</v>
      </c>
      <c r="C596" s="46" t="s">
        <v>3729</v>
      </c>
      <c r="D596" s="46"/>
      <c r="E596" s="46"/>
      <c r="F596" s="50"/>
      <c r="G596" s="415">
        <v>200.0</v>
      </c>
      <c r="H596" s="223">
        <v>30.0</v>
      </c>
      <c r="I596" s="46"/>
      <c r="J596" s="46"/>
      <c r="K596" s="46"/>
      <c r="L596" s="223">
        <v>4.0</v>
      </c>
      <c r="M596" s="46"/>
      <c r="N596" s="46"/>
      <c r="O596" s="46"/>
      <c r="P596" s="46"/>
      <c r="Q596" s="46"/>
      <c r="R596" s="46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  <c r="AD596" s="129"/>
    </row>
    <row r="597" ht="14.25" customHeight="1">
      <c r="A597" s="211">
        <v>41.0</v>
      </c>
      <c r="B597" s="46" t="s">
        <v>3731</v>
      </c>
      <c r="C597" s="46" t="s">
        <v>3732</v>
      </c>
      <c r="D597" s="46"/>
      <c r="E597" s="46"/>
      <c r="F597" s="50"/>
      <c r="G597" s="415">
        <v>100.0</v>
      </c>
      <c r="H597" s="223">
        <v>15.0</v>
      </c>
      <c r="I597" s="46"/>
      <c r="J597" s="46"/>
      <c r="K597" s="46"/>
      <c r="L597" s="223">
        <v>4.0</v>
      </c>
      <c r="M597" s="46"/>
      <c r="N597" s="46"/>
      <c r="O597" s="46"/>
      <c r="P597" s="46"/>
      <c r="Q597" s="46"/>
      <c r="R597" s="46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  <c r="AD597" s="129"/>
    </row>
    <row r="598" ht="14.25" customHeight="1">
      <c r="A598" s="211">
        <v>42.0</v>
      </c>
      <c r="B598" s="46" t="s">
        <v>3489</v>
      </c>
      <c r="C598" s="46" t="s">
        <v>3732</v>
      </c>
      <c r="D598" s="46"/>
      <c r="E598" s="46"/>
      <c r="F598" s="50"/>
      <c r="G598" s="415">
        <v>100.0</v>
      </c>
      <c r="H598" s="223">
        <v>10.0</v>
      </c>
      <c r="I598" s="46"/>
      <c r="J598" s="46"/>
      <c r="K598" s="46"/>
      <c r="L598" s="223">
        <v>1.0</v>
      </c>
      <c r="M598" s="46"/>
      <c r="N598" s="46"/>
      <c r="O598" s="46"/>
      <c r="P598" s="46"/>
      <c r="Q598" s="46"/>
      <c r="R598" s="46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  <c r="AD598" s="129"/>
    </row>
    <row r="599" ht="14.25" customHeight="1">
      <c r="A599" s="211">
        <v>43.0</v>
      </c>
      <c r="B599" s="46" t="s">
        <v>3489</v>
      </c>
      <c r="C599" s="46" t="s">
        <v>3733</v>
      </c>
      <c r="D599" s="46"/>
      <c r="E599" s="46"/>
      <c r="F599" s="50"/>
      <c r="G599" s="415">
        <v>200.0</v>
      </c>
      <c r="H599" s="223">
        <v>101.0</v>
      </c>
      <c r="I599" s="46"/>
      <c r="J599" s="46"/>
      <c r="K599" s="46"/>
      <c r="L599" s="223">
        <v>2.0</v>
      </c>
      <c r="M599" s="46"/>
      <c r="N599" s="46"/>
      <c r="O599" s="46"/>
      <c r="P599" s="46"/>
      <c r="Q599" s="46"/>
      <c r="R599" s="46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  <c r="AD599" s="129"/>
    </row>
    <row r="600" ht="14.25" customHeight="1">
      <c r="A600" s="211">
        <v>44.0</v>
      </c>
      <c r="B600" s="46" t="s">
        <v>3734</v>
      </c>
      <c r="C600" s="46" t="s">
        <v>3735</v>
      </c>
      <c r="D600" s="46"/>
      <c r="E600" s="46"/>
      <c r="F600" s="50"/>
      <c r="G600" s="415">
        <v>400.0</v>
      </c>
      <c r="H600" s="46"/>
      <c r="I600" s="223">
        <v>600.0</v>
      </c>
      <c r="J600" s="223">
        <v>1.0</v>
      </c>
      <c r="K600" s="223">
        <v>1.0</v>
      </c>
      <c r="L600" s="46"/>
      <c r="M600" s="46"/>
      <c r="N600" s="46"/>
      <c r="O600" s="46"/>
      <c r="P600" s="46"/>
      <c r="Q600" s="46"/>
      <c r="R600" s="46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  <c r="AD600" s="129"/>
    </row>
    <row r="601" ht="14.25" customHeight="1">
      <c r="A601" s="211">
        <v>45.0</v>
      </c>
      <c r="B601" s="46" t="s">
        <v>3736</v>
      </c>
      <c r="C601" s="46" t="s">
        <v>3737</v>
      </c>
      <c r="D601" s="46"/>
      <c r="E601" s="46"/>
      <c r="F601" s="50"/>
      <c r="G601" s="415">
        <v>150.0</v>
      </c>
      <c r="H601" s="223">
        <v>30.0</v>
      </c>
      <c r="I601" s="46"/>
      <c r="J601" s="46"/>
      <c r="K601" s="46"/>
      <c r="L601" s="223">
        <v>4.0</v>
      </c>
      <c r="M601" s="46"/>
      <c r="N601" s="46"/>
      <c r="O601" s="46"/>
      <c r="P601" s="46"/>
      <c r="Q601" s="46"/>
      <c r="R601" s="46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  <c r="AD601" s="129"/>
    </row>
    <row r="602" ht="14.25" customHeight="1">
      <c r="A602" s="211">
        <v>46.0</v>
      </c>
      <c r="B602" s="46" t="s">
        <v>3738</v>
      </c>
      <c r="C602" s="46" t="s">
        <v>3739</v>
      </c>
      <c r="D602" s="46"/>
      <c r="E602" s="46"/>
      <c r="F602" s="50"/>
      <c r="G602" s="415">
        <v>125.0</v>
      </c>
      <c r="H602" s="46"/>
      <c r="I602" s="46"/>
      <c r="J602" s="46"/>
      <c r="K602" s="46"/>
      <c r="L602" s="223">
        <v>5.0</v>
      </c>
      <c r="M602" s="46"/>
      <c r="N602" s="46"/>
      <c r="O602" s="46"/>
      <c r="P602" s="46"/>
      <c r="Q602" s="46"/>
      <c r="R602" s="46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  <c r="AD602" s="129"/>
    </row>
    <row r="603" ht="14.25" customHeight="1">
      <c r="A603" s="211">
        <v>47.0</v>
      </c>
      <c r="B603" s="46" t="s">
        <v>3740</v>
      </c>
      <c r="C603" s="46" t="s">
        <v>3739</v>
      </c>
      <c r="D603" s="46"/>
      <c r="E603" s="46"/>
      <c r="F603" s="50"/>
      <c r="G603" s="415">
        <v>50.0</v>
      </c>
      <c r="H603" s="223">
        <v>10.0</v>
      </c>
      <c r="I603" s="46"/>
      <c r="J603" s="46"/>
      <c r="K603" s="46"/>
      <c r="L603" s="223">
        <v>1.0</v>
      </c>
      <c r="M603" s="46"/>
      <c r="N603" s="46"/>
      <c r="O603" s="46"/>
      <c r="P603" s="46"/>
      <c r="Q603" s="46"/>
      <c r="R603" s="46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  <c r="AD603" s="129"/>
    </row>
    <row r="604" ht="14.25" customHeight="1">
      <c r="A604" s="211">
        <v>48.0</v>
      </c>
      <c r="B604" s="46" t="s">
        <v>3741</v>
      </c>
      <c r="C604" s="46" t="s">
        <v>3742</v>
      </c>
      <c r="D604" s="46"/>
      <c r="E604" s="46"/>
      <c r="F604" s="50"/>
      <c r="G604" s="415">
        <v>175.0</v>
      </c>
      <c r="H604" s="223">
        <v>7.0</v>
      </c>
      <c r="I604" s="46"/>
      <c r="J604" s="46"/>
      <c r="K604" s="46"/>
      <c r="L604" s="223">
        <v>6.0</v>
      </c>
      <c r="M604" s="46"/>
      <c r="N604" s="46"/>
      <c r="O604" s="46"/>
      <c r="P604" s="46"/>
      <c r="Q604" s="46"/>
      <c r="R604" s="46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  <c r="AD604" s="129"/>
    </row>
    <row r="605" ht="14.25" customHeight="1">
      <c r="A605" s="211">
        <v>49.0</v>
      </c>
      <c r="B605" s="46" t="s">
        <v>3744</v>
      </c>
      <c r="C605" s="46" t="s">
        <v>3742</v>
      </c>
      <c r="D605" s="46"/>
      <c r="E605" s="46"/>
      <c r="F605" s="50"/>
      <c r="G605" s="415">
        <v>100.0</v>
      </c>
      <c r="H605" s="223">
        <v>3.0</v>
      </c>
      <c r="I605" s="46"/>
      <c r="J605" s="46"/>
      <c r="K605" s="46"/>
      <c r="L605" s="223">
        <v>2.0</v>
      </c>
      <c r="M605" s="46"/>
      <c r="N605" s="46"/>
      <c r="O605" s="46"/>
      <c r="P605" s="46"/>
      <c r="Q605" s="46"/>
      <c r="R605" s="46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  <c r="AD605" s="129"/>
    </row>
    <row r="606" ht="15.75" customHeight="1">
      <c r="A606" s="181"/>
      <c r="B606" s="182" t="s">
        <v>3745</v>
      </c>
      <c r="C606" s="182"/>
      <c r="D606" s="182"/>
      <c r="E606" s="182"/>
      <c r="F606" s="403"/>
      <c r="G606" s="404"/>
      <c r="H606" s="182"/>
      <c r="I606" s="182"/>
      <c r="J606" s="91"/>
      <c r="K606" s="91"/>
      <c r="L606" s="91"/>
      <c r="M606" s="91"/>
      <c r="N606" s="91"/>
      <c r="O606" s="91"/>
      <c r="P606" s="182"/>
      <c r="Q606" s="91"/>
      <c r="R606" s="218"/>
      <c r="S606" s="405"/>
      <c r="T606" s="405"/>
      <c r="U606" s="405"/>
      <c r="V606" s="405"/>
      <c r="W606" s="405"/>
      <c r="X606" s="405"/>
      <c r="Y606" s="405"/>
      <c r="Z606" s="405"/>
      <c r="AA606" s="405"/>
      <c r="AB606" s="405"/>
      <c r="AC606" s="405"/>
      <c r="AD606" s="405"/>
    </row>
    <row r="607" ht="14.25" customHeight="1">
      <c r="A607" s="211">
        <v>1.0</v>
      </c>
      <c r="B607" s="46" t="s">
        <v>63</v>
      </c>
      <c r="C607" s="46" t="s">
        <v>3746</v>
      </c>
      <c r="D607" s="46"/>
      <c r="E607" s="46"/>
      <c r="F607" s="50"/>
      <c r="G607" s="275" t="s">
        <v>3747</v>
      </c>
      <c r="H607" s="223">
        <v>25.0</v>
      </c>
      <c r="I607" s="223">
        <v>125.0</v>
      </c>
      <c r="J607" s="223">
        <v>12.0</v>
      </c>
      <c r="K607" s="223">
        <v>12.0</v>
      </c>
      <c r="L607" s="223">
        <v>2.0</v>
      </c>
      <c r="M607" s="46" t="s">
        <v>1638</v>
      </c>
      <c r="N607" s="46" t="s">
        <v>3748</v>
      </c>
      <c r="O607" s="420">
        <v>3000.0</v>
      </c>
      <c r="P607" s="46" t="s">
        <v>66</v>
      </c>
      <c r="Q607" s="223">
        <v>40.0</v>
      </c>
      <c r="R607" s="46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  <c r="AD607" s="129"/>
    </row>
    <row r="608" ht="14.25" customHeight="1">
      <c r="A608" s="211">
        <v>2.0</v>
      </c>
      <c r="B608" s="46" t="s">
        <v>3749</v>
      </c>
      <c r="C608" s="46" t="s">
        <v>3746</v>
      </c>
      <c r="D608" s="46"/>
      <c r="E608" s="46"/>
      <c r="F608" s="50"/>
      <c r="G608" s="275" t="s">
        <v>3750</v>
      </c>
      <c r="H608" s="223">
        <v>20.0</v>
      </c>
      <c r="I608" s="223">
        <v>100.0</v>
      </c>
      <c r="J608" s="223">
        <v>2.0</v>
      </c>
      <c r="K608" s="223">
        <v>2.0</v>
      </c>
      <c r="L608" s="223">
        <v>2.0</v>
      </c>
      <c r="M608" s="46" t="s">
        <v>1638</v>
      </c>
      <c r="N608" s="25" t="s">
        <v>138</v>
      </c>
      <c r="O608" s="25">
        <v>20.0</v>
      </c>
      <c r="P608" s="46" t="s">
        <v>29</v>
      </c>
      <c r="Q608" s="25">
        <v>0.0</v>
      </c>
      <c r="R608" s="46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  <c r="AD608" s="129"/>
    </row>
    <row r="609" ht="14.25" customHeight="1">
      <c r="A609" s="211">
        <v>3.0</v>
      </c>
      <c r="B609" s="46" t="s">
        <v>6700</v>
      </c>
      <c r="C609" s="46" t="s">
        <v>7094</v>
      </c>
      <c r="D609" s="46"/>
      <c r="E609" s="46"/>
      <c r="F609" s="50"/>
      <c r="G609" s="275"/>
      <c r="H609" s="25" t="s">
        <v>39</v>
      </c>
      <c r="I609" s="25" t="s">
        <v>39</v>
      </c>
      <c r="J609" s="25" t="s">
        <v>39</v>
      </c>
      <c r="K609" s="25" t="s">
        <v>39</v>
      </c>
      <c r="L609" s="25" t="s">
        <v>39</v>
      </c>
      <c r="M609" s="46" t="s">
        <v>3753</v>
      </c>
      <c r="N609" s="25" t="s">
        <v>138</v>
      </c>
      <c r="O609" s="25">
        <v>20.0</v>
      </c>
      <c r="P609" s="46" t="s">
        <v>29</v>
      </c>
      <c r="Q609" s="25">
        <v>0.0</v>
      </c>
      <c r="R609" s="46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  <c r="AD609" s="129"/>
    </row>
    <row r="610" ht="14.25" customHeight="1">
      <c r="A610" s="211">
        <v>4.0</v>
      </c>
      <c r="B610" s="46" t="s">
        <v>1171</v>
      </c>
      <c r="C610" s="46" t="s">
        <v>3751</v>
      </c>
      <c r="D610" s="46"/>
      <c r="E610" s="46"/>
      <c r="F610" s="50"/>
      <c r="G610" s="275" t="s">
        <v>3752</v>
      </c>
      <c r="H610" s="223">
        <v>12.0</v>
      </c>
      <c r="I610" s="223">
        <v>64.0</v>
      </c>
      <c r="J610" s="223">
        <v>2.0</v>
      </c>
      <c r="K610" s="223">
        <v>2.0</v>
      </c>
      <c r="L610" s="223">
        <v>1.0</v>
      </c>
      <c r="M610" s="46" t="s">
        <v>3753</v>
      </c>
      <c r="N610" s="25" t="s">
        <v>138</v>
      </c>
      <c r="O610" s="25">
        <v>20.0</v>
      </c>
      <c r="P610" s="46" t="s">
        <v>29</v>
      </c>
      <c r="Q610" s="25">
        <v>0.0</v>
      </c>
      <c r="R610" s="46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  <c r="AD610" s="129"/>
    </row>
    <row r="611" ht="14.25" customHeight="1">
      <c r="A611" s="211">
        <v>5.0</v>
      </c>
      <c r="B611" s="46" t="s">
        <v>1171</v>
      </c>
      <c r="C611" s="46" t="s">
        <v>3754</v>
      </c>
      <c r="D611" s="46"/>
      <c r="E611" s="46"/>
      <c r="F611" s="50"/>
      <c r="G611" s="275" t="s">
        <v>3752</v>
      </c>
      <c r="H611" s="223">
        <v>12.0</v>
      </c>
      <c r="I611" s="223">
        <v>64.0</v>
      </c>
      <c r="J611" s="223">
        <v>2.0</v>
      </c>
      <c r="K611" s="223">
        <v>2.0</v>
      </c>
      <c r="L611" s="223">
        <v>1.0</v>
      </c>
      <c r="M611" s="46" t="s">
        <v>3753</v>
      </c>
      <c r="N611" s="25" t="s">
        <v>138</v>
      </c>
      <c r="O611" s="25">
        <v>20.0</v>
      </c>
      <c r="P611" s="46" t="s">
        <v>29</v>
      </c>
      <c r="Q611" s="25">
        <v>0.0</v>
      </c>
      <c r="R611" s="46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  <c r="AD611" s="129"/>
    </row>
    <row r="612" ht="14.25" customHeight="1">
      <c r="A612" s="211">
        <v>6.0</v>
      </c>
      <c r="B612" s="46" t="s">
        <v>1171</v>
      </c>
      <c r="C612" s="46" t="s">
        <v>3755</v>
      </c>
      <c r="D612" s="46"/>
      <c r="E612" s="46"/>
      <c r="F612" s="50"/>
      <c r="G612" s="275" t="s">
        <v>3752</v>
      </c>
      <c r="H612" s="223">
        <v>12.0</v>
      </c>
      <c r="I612" s="223">
        <v>64.0</v>
      </c>
      <c r="J612" s="223">
        <v>2.0</v>
      </c>
      <c r="K612" s="223">
        <v>2.0</v>
      </c>
      <c r="L612" s="223">
        <v>1.0</v>
      </c>
      <c r="M612" s="46" t="s">
        <v>3753</v>
      </c>
      <c r="N612" s="25" t="s">
        <v>138</v>
      </c>
      <c r="O612" s="25">
        <v>20.0</v>
      </c>
      <c r="P612" s="46" t="s">
        <v>29</v>
      </c>
      <c r="Q612" s="25">
        <v>0.0</v>
      </c>
      <c r="R612" s="46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  <c r="AD612" s="129"/>
    </row>
    <row r="613" ht="14.25" customHeight="1">
      <c r="A613" s="211">
        <v>7.0</v>
      </c>
      <c r="B613" s="46" t="s">
        <v>1171</v>
      </c>
      <c r="C613" s="46" t="s">
        <v>3756</v>
      </c>
      <c r="D613" s="46"/>
      <c r="E613" s="46"/>
      <c r="F613" s="50"/>
      <c r="G613" s="275" t="s">
        <v>3752</v>
      </c>
      <c r="H613" s="223">
        <v>12.0</v>
      </c>
      <c r="I613" s="223">
        <v>64.0</v>
      </c>
      <c r="J613" s="223">
        <v>2.0</v>
      </c>
      <c r="K613" s="223">
        <v>2.0</v>
      </c>
      <c r="L613" s="223">
        <v>1.0</v>
      </c>
      <c r="M613" s="46" t="s">
        <v>3753</v>
      </c>
      <c r="N613" s="25" t="s">
        <v>138</v>
      </c>
      <c r="O613" s="25">
        <v>20.0</v>
      </c>
      <c r="P613" s="46" t="s">
        <v>29</v>
      </c>
      <c r="Q613" s="25">
        <v>0.0</v>
      </c>
      <c r="R613" s="46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  <c r="AD613" s="129"/>
    </row>
    <row r="614" ht="14.25" customHeight="1">
      <c r="A614" s="211">
        <v>8.0</v>
      </c>
      <c r="B614" s="46" t="s">
        <v>1171</v>
      </c>
      <c r="C614" s="46" t="s">
        <v>3757</v>
      </c>
      <c r="D614" s="46"/>
      <c r="E614" s="46"/>
      <c r="F614" s="50"/>
      <c r="G614" s="275" t="s">
        <v>3752</v>
      </c>
      <c r="H614" s="223">
        <v>12.0</v>
      </c>
      <c r="I614" s="223">
        <v>64.0</v>
      </c>
      <c r="J614" s="223">
        <v>2.0</v>
      </c>
      <c r="K614" s="223">
        <v>2.0</v>
      </c>
      <c r="L614" s="223">
        <v>1.0</v>
      </c>
      <c r="M614" s="46" t="s">
        <v>3753</v>
      </c>
      <c r="N614" s="25" t="s">
        <v>138</v>
      </c>
      <c r="O614" s="25">
        <v>20.0</v>
      </c>
      <c r="P614" s="46" t="s">
        <v>29</v>
      </c>
      <c r="Q614" s="25">
        <v>0.0</v>
      </c>
      <c r="R614" s="46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</row>
    <row r="615" ht="14.25" customHeight="1">
      <c r="A615" s="211">
        <v>9.0</v>
      </c>
      <c r="B615" s="46" t="s">
        <v>1171</v>
      </c>
      <c r="C615" s="46" t="s">
        <v>3758</v>
      </c>
      <c r="D615" s="46"/>
      <c r="E615" s="46"/>
      <c r="F615" s="50"/>
      <c r="G615" s="275" t="s">
        <v>3752</v>
      </c>
      <c r="H615" s="223">
        <v>12.0</v>
      </c>
      <c r="I615" s="223">
        <v>64.0</v>
      </c>
      <c r="J615" s="223">
        <v>2.0</v>
      </c>
      <c r="K615" s="223">
        <v>2.0</v>
      </c>
      <c r="L615" s="223">
        <v>1.0</v>
      </c>
      <c r="M615" s="46" t="s">
        <v>3753</v>
      </c>
      <c r="N615" s="25" t="s">
        <v>138</v>
      </c>
      <c r="O615" s="25">
        <v>20.0</v>
      </c>
      <c r="P615" s="46" t="s">
        <v>29</v>
      </c>
      <c r="Q615" s="25">
        <v>0.0</v>
      </c>
      <c r="R615" s="46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</row>
    <row r="616" ht="14.25" customHeight="1">
      <c r="A616" s="211">
        <v>10.0</v>
      </c>
      <c r="B616" s="46" t="s">
        <v>3759</v>
      </c>
      <c r="C616" s="46" t="s">
        <v>3760</v>
      </c>
      <c r="D616" s="46"/>
      <c r="E616" s="46"/>
      <c r="F616" s="50"/>
      <c r="G616" s="275" t="s">
        <v>3761</v>
      </c>
      <c r="H616" s="223">
        <v>25.0</v>
      </c>
      <c r="I616" s="223">
        <v>125.0</v>
      </c>
      <c r="J616" s="223">
        <v>5.0</v>
      </c>
      <c r="K616" s="223">
        <v>5.0</v>
      </c>
      <c r="L616" s="223">
        <v>2.0</v>
      </c>
      <c r="M616" s="46" t="s">
        <v>3753</v>
      </c>
      <c r="N616" s="25" t="s">
        <v>138</v>
      </c>
      <c r="O616" s="25">
        <v>20.0</v>
      </c>
      <c r="P616" s="46" t="s">
        <v>29</v>
      </c>
      <c r="Q616" s="25">
        <v>0.0</v>
      </c>
      <c r="R616" s="46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  <c r="AD616" s="129"/>
    </row>
    <row r="617" ht="14.25" customHeight="1">
      <c r="A617" s="211">
        <v>11.0</v>
      </c>
      <c r="B617" s="46" t="s">
        <v>3762</v>
      </c>
      <c r="C617" s="46" t="s">
        <v>3763</v>
      </c>
      <c r="D617" s="46"/>
      <c r="E617" s="46"/>
      <c r="F617" s="50"/>
      <c r="G617" s="275" t="s">
        <v>3750</v>
      </c>
      <c r="H617" s="223">
        <v>20.0</v>
      </c>
      <c r="I617" s="223">
        <v>100.0</v>
      </c>
      <c r="J617" s="223">
        <v>2.0</v>
      </c>
      <c r="K617" s="223">
        <v>2.0</v>
      </c>
      <c r="L617" s="223">
        <v>2.0</v>
      </c>
      <c r="M617" s="46" t="s">
        <v>3753</v>
      </c>
      <c r="N617" s="25" t="s">
        <v>138</v>
      </c>
      <c r="O617" s="25">
        <v>20.0</v>
      </c>
      <c r="P617" s="46" t="s">
        <v>29</v>
      </c>
      <c r="Q617" s="25">
        <v>0.0</v>
      </c>
      <c r="R617" s="46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</row>
    <row r="618" ht="14.25" customHeight="1">
      <c r="A618" s="211">
        <v>12.0</v>
      </c>
      <c r="B618" s="46" t="s">
        <v>3764</v>
      </c>
      <c r="C618" s="46" t="s">
        <v>3765</v>
      </c>
      <c r="D618" s="46"/>
      <c r="E618" s="46"/>
      <c r="F618" s="50"/>
      <c r="G618" s="275" t="s">
        <v>3750</v>
      </c>
      <c r="H618" s="223">
        <v>20.0</v>
      </c>
      <c r="I618" s="223">
        <v>100.0</v>
      </c>
      <c r="J618" s="223">
        <v>2.0</v>
      </c>
      <c r="K618" s="223">
        <v>2.0</v>
      </c>
      <c r="L618" s="223">
        <v>2.0</v>
      </c>
      <c r="M618" s="46" t="s">
        <v>3753</v>
      </c>
      <c r="N618" s="25" t="s">
        <v>138</v>
      </c>
      <c r="O618" s="25">
        <v>20.0</v>
      </c>
      <c r="P618" s="46" t="s">
        <v>29</v>
      </c>
      <c r="Q618" s="25">
        <v>0.0</v>
      </c>
      <c r="R618" s="46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</row>
    <row r="619" ht="14.25" customHeight="1">
      <c r="A619" s="211">
        <v>13.0</v>
      </c>
      <c r="B619" s="46" t="s">
        <v>3766</v>
      </c>
      <c r="C619" s="46" t="s">
        <v>3767</v>
      </c>
      <c r="D619" s="46"/>
      <c r="E619" s="46"/>
      <c r="F619" s="50"/>
      <c r="G619" s="275" t="s">
        <v>3750</v>
      </c>
      <c r="H619" s="223">
        <v>20.0</v>
      </c>
      <c r="I619" s="223">
        <v>100.0</v>
      </c>
      <c r="J619" s="223">
        <v>2.0</v>
      </c>
      <c r="K619" s="223">
        <v>2.0</v>
      </c>
      <c r="L619" s="223">
        <v>2.0</v>
      </c>
      <c r="M619" s="46" t="s">
        <v>3753</v>
      </c>
      <c r="N619" s="25" t="s">
        <v>138</v>
      </c>
      <c r="O619" s="25">
        <v>20.0</v>
      </c>
      <c r="P619" s="46" t="s">
        <v>29</v>
      </c>
      <c r="Q619" s="25">
        <v>0.0</v>
      </c>
      <c r="R619" s="46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</row>
    <row r="620" ht="14.25" customHeight="1">
      <c r="A620" s="211">
        <v>14.0</v>
      </c>
      <c r="B620" s="46" t="s">
        <v>3768</v>
      </c>
      <c r="C620" s="46" t="s">
        <v>3758</v>
      </c>
      <c r="D620" s="46"/>
      <c r="E620" s="46"/>
      <c r="F620" s="50"/>
      <c r="G620" s="275" t="s">
        <v>3750</v>
      </c>
      <c r="H620" s="223">
        <v>20.0</v>
      </c>
      <c r="I620" s="223">
        <v>100.0</v>
      </c>
      <c r="J620" s="223">
        <v>2.0</v>
      </c>
      <c r="K620" s="223">
        <v>2.0</v>
      </c>
      <c r="L620" s="223">
        <v>2.0</v>
      </c>
      <c r="M620" s="46" t="s">
        <v>3753</v>
      </c>
      <c r="N620" s="25" t="s">
        <v>138</v>
      </c>
      <c r="O620" s="25">
        <v>20.0</v>
      </c>
      <c r="P620" s="46" t="s">
        <v>29</v>
      </c>
      <c r="Q620" s="25">
        <v>0.0</v>
      </c>
      <c r="R620" s="46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</row>
    <row r="621" ht="14.25" customHeight="1">
      <c r="A621" s="211">
        <v>15.0</v>
      </c>
      <c r="B621" s="46" t="s">
        <v>3769</v>
      </c>
      <c r="C621" s="46" t="s">
        <v>3751</v>
      </c>
      <c r="D621" s="46"/>
      <c r="E621" s="46"/>
      <c r="F621" s="50"/>
      <c r="G621" s="275" t="s">
        <v>3750</v>
      </c>
      <c r="H621" s="223">
        <v>20.0</v>
      </c>
      <c r="I621" s="223">
        <v>100.0</v>
      </c>
      <c r="J621" s="223">
        <v>2.0</v>
      </c>
      <c r="K621" s="223">
        <v>2.0</v>
      </c>
      <c r="L621" s="223">
        <v>2.0</v>
      </c>
      <c r="M621" s="46" t="s">
        <v>3753</v>
      </c>
      <c r="N621" s="25" t="s">
        <v>138</v>
      </c>
      <c r="O621" s="25">
        <v>20.0</v>
      </c>
      <c r="P621" s="46" t="s">
        <v>29</v>
      </c>
      <c r="Q621" s="25">
        <v>0.0</v>
      </c>
      <c r="R621" s="46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</row>
    <row r="622" ht="14.25" customHeight="1">
      <c r="A622" s="211">
        <v>16.0</v>
      </c>
      <c r="B622" s="46" t="s">
        <v>3770</v>
      </c>
      <c r="C622" s="46" t="s">
        <v>3771</v>
      </c>
      <c r="D622" s="46"/>
      <c r="E622" s="46"/>
      <c r="F622" s="50"/>
      <c r="G622" s="275" t="s">
        <v>3750</v>
      </c>
      <c r="H622" s="223">
        <v>20.0</v>
      </c>
      <c r="I622" s="223">
        <v>100.0</v>
      </c>
      <c r="J622" s="223">
        <v>2.0</v>
      </c>
      <c r="K622" s="223">
        <v>2.0</v>
      </c>
      <c r="L622" s="223">
        <v>2.0</v>
      </c>
      <c r="M622" s="46" t="s">
        <v>3753</v>
      </c>
      <c r="N622" s="25" t="s">
        <v>138</v>
      </c>
      <c r="O622" s="25">
        <v>20.0</v>
      </c>
      <c r="P622" s="46" t="s">
        <v>29</v>
      </c>
      <c r="Q622" s="25">
        <v>0.0</v>
      </c>
      <c r="R622" s="46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</row>
    <row r="623" ht="14.25" customHeight="1">
      <c r="A623" s="211">
        <v>17.0</v>
      </c>
      <c r="B623" s="46" t="s">
        <v>3772</v>
      </c>
      <c r="C623" s="46" t="s">
        <v>3773</v>
      </c>
      <c r="D623" s="46"/>
      <c r="E623" s="46"/>
      <c r="F623" s="50"/>
      <c r="G623" s="275" t="s">
        <v>3750</v>
      </c>
      <c r="H623" s="223">
        <v>20.0</v>
      </c>
      <c r="I623" s="223">
        <v>100.0</v>
      </c>
      <c r="J623" s="223">
        <v>2.0</v>
      </c>
      <c r="K623" s="223">
        <v>2.0</v>
      </c>
      <c r="L623" s="223">
        <v>2.0</v>
      </c>
      <c r="M623" s="46" t="s">
        <v>3753</v>
      </c>
      <c r="N623" s="25" t="s">
        <v>138</v>
      </c>
      <c r="O623" s="25">
        <v>20.0</v>
      </c>
      <c r="P623" s="46" t="s">
        <v>29</v>
      </c>
      <c r="Q623" s="25">
        <v>0.0</v>
      </c>
      <c r="R623" s="46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</row>
    <row r="624" ht="14.25" customHeight="1">
      <c r="A624" s="211">
        <v>18.0</v>
      </c>
      <c r="B624" s="46" t="s">
        <v>3774</v>
      </c>
      <c r="C624" s="46" t="s">
        <v>3775</v>
      </c>
      <c r="D624" s="46"/>
      <c r="E624" s="46"/>
      <c r="F624" s="50"/>
      <c r="G624" s="275" t="s">
        <v>3750</v>
      </c>
      <c r="H624" s="223">
        <v>20.0</v>
      </c>
      <c r="I624" s="223">
        <v>100.0</v>
      </c>
      <c r="J624" s="223">
        <v>2.0</v>
      </c>
      <c r="K624" s="223">
        <v>2.0</v>
      </c>
      <c r="L624" s="223">
        <v>2.0</v>
      </c>
      <c r="M624" s="46" t="s">
        <v>3753</v>
      </c>
      <c r="N624" s="25" t="s">
        <v>138</v>
      </c>
      <c r="O624" s="25">
        <v>20.0</v>
      </c>
      <c r="P624" s="46" t="s">
        <v>29</v>
      </c>
      <c r="Q624" s="25">
        <v>0.0</v>
      </c>
      <c r="R624" s="46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</row>
    <row r="625" ht="14.25" customHeight="1">
      <c r="A625" s="211">
        <v>19.0</v>
      </c>
      <c r="B625" s="46" t="s">
        <v>3776</v>
      </c>
      <c r="C625" s="46" t="s">
        <v>3777</v>
      </c>
      <c r="D625" s="46"/>
      <c r="E625" s="46"/>
      <c r="F625" s="50"/>
      <c r="G625" s="275" t="s">
        <v>3750</v>
      </c>
      <c r="H625" s="223">
        <v>20.0</v>
      </c>
      <c r="I625" s="223">
        <v>100.0</v>
      </c>
      <c r="J625" s="223">
        <v>2.0</v>
      </c>
      <c r="K625" s="223">
        <v>2.0</v>
      </c>
      <c r="L625" s="223">
        <v>2.0</v>
      </c>
      <c r="M625" s="46" t="s">
        <v>3753</v>
      </c>
      <c r="N625" s="25" t="s">
        <v>138</v>
      </c>
      <c r="O625" s="25">
        <v>20.0</v>
      </c>
      <c r="P625" s="46" t="s">
        <v>29</v>
      </c>
      <c r="Q625" s="25">
        <v>0.0</v>
      </c>
      <c r="R625" s="46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</row>
    <row r="626" ht="14.25" customHeight="1">
      <c r="A626" s="211">
        <v>20.0</v>
      </c>
      <c r="B626" s="46" t="s">
        <v>3778</v>
      </c>
      <c r="C626" s="46" t="s">
        <v>3779</v>
      </c>
      <c r="D626" s="46"/>
      <c r="E626" s="46"/>
      <c r="F626" s="50"/>
      <c r="G626" s="275" t="s">
        <v>3750</v>
      </c>
      <c r="H626" s="223">
        <v>20.0</v>
      </c>
      <c r="I626" s="223">
        <v>100.0</v>
      </c>
      <c r="J626" s="223">
        <v>2.0</v>
      </c>
      <c r="K626" s="223">
        <v>2.0</v>
      </c>
      <c r="L626" s="223">
        <v>2.0</v>
      </c>
      <c r="M626" s="46" t="s">
        <v>3753</v>
      </c>
      <c r="N626" s="25" t="s">
        <v>138</v>
      </c>
      <c r="O626" s="25">
        <v>20.0</v>
      </c>
      <c r="P626" s="46" t="s">
        <v>29</v>
      </c>
      <c r="Q626" s="25">
        <v>0.0</v>
      </c>
      <c r="R626" s="46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</row>
    <row r="627" ht="14.25" customHeight="1">
      <c r="A627" s="211">
        <v>21.0</v>
      </c>
      <c r="B627" s="46" t="s">
        <v>3780</v>
      </c>
      <c r="C627" s="46" t="s">
        <v>3781</v>
      </c>
      <c r="D627" s="46"/>
      <c r="E627" s="46"/>
      <c r="F627" s="50"/>
      <c r="G627" s="275" t="s">
        <v>3750</v>
      </c>
      <c r="H627" s="223">
        <v>20.0</v>
      </c>
      <c r="I627" s="223">
        <v>100.0</v>
      </c>
      <c r="J627" s="223">
        <v>2.0</v>
      </c>
      <c r="K627" s="223">
        <v>2.0</v>
      </c>
      <c r="L627" s="223">
        <v>2.0</v>
      </c>
      <c r="M627" s="46" t="s">
        <v>3753</v>
      </c>
      <c r="N627" s="25" t="s">
        <v>138</v>
      </c>
      <c r="O627" s="25">
        <v>20.0</v>
      </c>
      <c r="P627" s="46" t="s">
        <v>29</v>
      </c>
      <c r="Q627" s="25">
        <v>0.0</v>
      </c>
      <c r="R627" s="46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</row>
    <row r="628" ht="14.25" customHeight="1">
      <c r="A628" s="211">
        <v>22.0</v>
      </c>
      <c r="B628" s="46" t="s">
        <v>3782</v>
      </c>
      <c r="C628" s="46" t="s">
        <v>3755</v>
      </c>
      <c r="D628" s="46"/>
      <c r="E628" s="46"/>
      <c r="F628" s="50"/>
      <c r="G628" s="275" t="s">
        <v>3750</v>
      </c>
      <c r="H628" s="223">
        <v>20.0</v>
      </c>
      <c r="I628" s="223">
        <v>100.0</v>
      </c>
      <c r="J628" s="223">
        <v>2.0</v>
      </c>
      <c r="K628" s="223">
        <v>2.0</v>
      </c>
      <c r="L628" s="223">
        <v>2.0</v>
      </c>
      <c r="M628" s="46" t="s">
        <v>3753</v>
      </c>
      <c r="N628" s="25" t="s">
        <v>138</v>
      </c>
      <c r="O628" s="25">
        <v>20.0</v>
      </c>
      <c r="P628" s="46" t="s">
        <v>29</v>
      </c>
      <c r="Q628" s="25">
        <v>0.0</v>
      </c>
      <c r="R628" s="46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  <c r="AD628" s="129"/>
    </row>
    <row r="629" ht="14.25" customHeight="1">
      <c r="A629" s="211">
        <v>23.0</v>
      </c>
      <c r="B629" s="46" t="s">
        <v>3783</v>
      </c>
      <c r="C629" s="46" t="s">
        <v>3784</v>
      </c>
      <c r="D629" s="46"/>
      <c r="E629" s="46"/>
      <c r="F629" s="50"/>
      <c r="G629" s="275" t="s">
        <v>3750</v>
      </c>
      <c r="H629" s="223">
        <v>20.0</v>
      </c>
      <c r="I629" s="223">
        <v>100.0</v>
      </c>
      <c r="J629" s="223">
        <v>2.0</v>
      </c>
      <c r="K629" s="223">
        <v>2.0</v>
      </c>
      <c r="L629" s="223">
        <v>2.0</v>
      </c>
      <c r="M629" s="46" t="s">
        <v>3753</v>
      </c>
      <c r="N629" s="25" t="s">
        <v>138</v>
      </c>
      <c r="O629" s="25">
        <v>20.0</v>
      </c>
      <c r="P629" s="46" t="s">
        <v>29</v>
      </c>
      <c r="Q629" s="25">
        <v>0.0</v>
      </c>
      <c r="R629" s="46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  <c r="AD629" s="129"/>
    </row>
    <row r="630" ht="14.25" customHeight="1">
      <c r="A630" s="211">
        <v>24.0</v>
      </c>
      <c r="B630" s="46" t="s">
        <v>3785</v>
      </c>
      <c r="C630" s="46" t="s">
        <v>3786</v>
      </c>
      <c r="D630" s="46"/>
      <c r="E630" s="46"/>
      <c r="F630" s="50"/>
      <c r="G630" s="275" t="s">
        <v>3750</v>
      </c>
      <c r="H630" s="223">
        <v>20.0</v>
      </c>
      <c r="I630" s="223">
        <v>100.0</v>
      </c>
      <c r="J630" s="223">
        <v>2.0</v>
      </c>
      <c r="K630" s="223">
        <v>2.0</v>
      </c>
      <c r="L630" s="223">
        <v>2.0</v>
      </c>
      <c r="M630" s="46" t="s">
        <v>3753</v>
      </c>
      <c r="N630" s="25" t="s">
        <v>138</v>
      </c>
      <c r="O630" s="25">
        <v>20.0</v>
      </c>
      <c r="P630" s="46" t="s">
        <v>29</v>
      </c>
      <c r="Q630" s="25">
        <v>0.0</v>
      </c>
      <c r="R630" s="46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  <c r="AD630" s="129"/>
    </row>
    <row r="631" ht="14.25" customHeight="1">
      <c r="A631" s="211">
        <v>25.0</v>
      </c>
      <c r="B631" s="46" t="s">
        <v>3787</v>
      </c>
      <c r="C631" s="46" t="s">
        <v>3788</v>
      </c>
      <c r="D631" s="46"/>
      <c r="E631" s="46"/>
      <c r="F631" s="50"/>
      <c r="G631" s="275" t="s">
        <v>3750</v>
      </c>
      <c r="H631" s="223">
        <v>20.0</v>
      </c>
      <c r="I631" s="223">
        <v>100.0</v>
      </c>
      <c r="J631" s="223">
        <v>2.0</v>
      </c>
      <c r="K631" s="223">
        <v>2.0</v>
      </c>
      <c r="L631" s="223">
        <v>2.0</v>
      </c>
      <c r="M631" s="46" t="s">
        <v>3753</v>
      </c>
      <c r="N631" s="25" t="s">
        <v>138</v>
      </c>
      <c r="O631" s="25">
        <v>20.0</v>
      </c>
      <c r="P631" s="46" t="s">
        <v>29</v>
      </c>
      <c r="Q631" s="25">
        <v>0.0</v>
      </c>
      <c r="R631" s="46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  <c r="AD631" s="129"/>
    </row>
    <row r="632" ht="14.25" customHeight="1">
      <c r="A632" s="211">
        <v>26.0</v>
      </c>
      <c r="B632" s="46" t="s">
        <v>3789</v>
      </c>
      <c r="C632" s="46" t="s">
        <v>3760</v>
      </c>
      <c r="D632" s="46"/>
      <c r="E632" s="46"/>
      <c r="F632" s="50"/>
      <c r="G632" s="275" t="s">
        <v>3750</v>
      </c>
      <c r="H632" s="46">
        <v>10.0</v>
      </c>
      <c r="I632" s="46">
        <v>50.0</v>
      </c>
      <c r="J632" s="46">
        <v>4.0</v>
      </c>
      <c r="K632" s="46">
        <v>4.0</v>
      </c>
      <c r="L632" s="46">
        <v>4.0</v>
      </c>
      <c r="M632" s="46" t="s">
        <v>3753</v>
      </c>
      <c r="N632" s="25" t="s">
        <v>138</v>
      </c>
      <c r="O632" s="25">
        <v>20.0</v>
      </c>
      <c r="P632" s="46" t="s">
        <v>29</v>
      </c>
      <c r="Q632" s="46">
        <v>0.0</v>
      </c>
      <c r="R632" s="46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  <c r="AD632" s="129"/>
    </row>
    <row r="633" ht="15.75" customHeight="1">
      <c r="A633" s="181"/>
      <c r="B633" s="182" t="s">
        <v>3745</v>
      </c>
      <c r="C633" s="182"/>
      <c r="D633" s="182"/>
      <c r="E633" s="182"/>
      <c r="F633" s="403"/>
      <c r="G633" s="404"/>
      <c r="H633" s="182"/>
      <c r="I633" s="182"/>
      <c r="J633" s="91"/>
      <c r="K633" s="91"/>
      <c r="L633" s="91"/>
      <c r="M633" s="91"/>
      <c r="N633" s="91"/>
      <c r="O633" s="91"/>
      <c r="P633" s="182"/>
      <c r="Q633" s="91"/>
      <c r="R633" s="218"/>
      <c r="S633" s="405"/>
      <c r="T633" s="405"/>
      <c r="U633" s="405"/>
      <c r="V633" s="405"/>
      <c r="W633" s="405"/>
      <c r="X633" s="405"/>
      <c r="Y633" s="405"/>
      <c r="Z633" s="405"/>
      <c r="AA633" s="405"/>
      <c r="AB633" s="405"/>
      <c r="AC633" s="405"/>
      <c r="AD633" s="405"/>
    </row>
    <row r="634" ht="14.25" customHeight="1">
      <c r="A634" s="211">
        <v>1.0</v>
      </c>
      <c r="B634" s="46" t="s">
        <v>63</v>
      </c>
      <c r="C634" s="46" t="s">
        <v>3746</v>
      </c>
      <c r="D634" s="46"/>
      <c r="E634" s="46"/>
      <c r="F634" s="50"/>
      <c r="G634" s="275" t="s">
        <v>3747</v>
      </c>
      <c r="H634" s="223">
        <v>25.0</v>
      </c>
      <c r="I634" s="223">
        <v>125.0</v>
      </c>
      <c r="J634" s="223">
        <v>12.0</v>
      </c>
      <c r="K634" s="223">
        <v>12.0</v>
      </c>
      <c r="L634" s="223">
        <v>2.0</v>
      </c>
      <c r="M634" s="46" t="s">
        <v>1638</v>
      </c>
      <c r="N634" s="46" t="s">
        <v>3748</v>
      </c>
      <c r="O634" s="46"/>
      <c r="P634" s="46" t="s">
        <v>66</v>
      </c>
      <c r="Q634" s="223">
        <v>40.0</v>
      </c>
      <c r="R634" s="46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  <c r="AD634" s="129"/>
    </row>
    <row r="635" ht="14.25" customHeight="1">
      <c r="A635" s="211">
        <v>2.0</v>
      </c>
      <c r="B635" s="46" t="s">
        <v>3749</v>
      </c>
      <c r="C635" s="46" t="s">
        <v>3746</v>
      </c>
      <c r="D635" s="46"/>
      <c r="E635" s="46"/>
      <c r="F635" s="50"/>
      <c r="G635" s="275" t="s">
        <v>3750</v>
      </c>
      <c r="H635" s="223">
        <v>20.0</v>
      </c>
      <c r="I635" s="223">
        <v>100.0</v>
      </c>
      <c r="J635" s="223">
        <v>2.0</v>
      </c>
      <c r="K635" s="223">
        <v>2.0</v>
      </c>
      <c r="L635" s="223">
        <v>2.0</v>
      </c>
      <c r="M635" s="46" t="s">
        <v>1638</v>
      </c>
      <c r="N635" s="25" t="s">
        <v>138</v>
      </c>
      <c r="O635" s="25" t="s">
        <v>39</v>
      </c>
      <c r="P635" s="46" t="s">
        <v>29</v>
      </c>
      <c r="Q635" s="25">
        <v>0.0</v>
      </c>
      <c r="R635" s="46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  <c r="AD635" s="129"/>
    </row>
    <row r="636" ht="14.25" customHeight="1">
      <c r="A636" s="211">
        <v>3.0</v>
      </c>
      <c r="B636" s="46" t="s">
        <v>6700</v>
      </c>
      <c r="C636" s="46" t="s">
        <v>7094</v>
      </c>
      <c r="D636" s="46"/>
      <c r="E636" s="46"/>
      <c r="F636" s="50"/>
      <c r="G636" s="275"/>
      <c r="H636" s="25" t="s">
        <v>39</v>
      </c>
      <c r="I636" s="25" t="s">
        <v>39</v>
      </c>
      <c r="J636" s="25" t="s">
        <v>39</v>
      </c>
      <c r="K636" s="25" t="s">
        <v>39</v>
      </c>
      <c r="L636" s="25" t="s">
        <v>39</v>
      </c>
      <c r="M636" s="46" t="s">
        <v>3753</v>
      </c>
      <c r="N636" s="25" t="s">
        <v>39</v>
      </c>
      <c r="O636" s="25" t="s">
        <v>39</v>
      </c>
      <c r="P636" s="46" t="s">
        <v>29</v>
      </c>
      <c r="Q636" s="25">
        <v>0.0</v>
      </c>
      <c r="R636" s="46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  <c r="AD636" s="129"/>
    </row>
    <row r="637" ht="14.25" customHeight="1">
      <c r="A637" s="211">
        <v>4.0</v>
      </c>
      <c r="B637" s="46" t="s">
        <v>1171</v>
      </c>
      <c r="C637" s="46" t="s">
        <v>3751</v>
      </c>
      <c r="D637" s="46"/>
      <c r="E637" s="46"/>
      <c r="F637" s="50"/>
      <c r="G637" s="275" t="s">
        <v>3752</v>
      </c>
      <c r="H637" s="223">
        <v>12.0</v>
      </c>
      <c r="I637" s="223">
        <v>64.0</v>
      </c>
      <c r="J637" s="223">
        <v>2.0</v>
      </c>
      <c r="K637" s="223">
        <v>2.0</v>
      </c>
      <c r="L637" s="223">
        <v>1.0</v>
      </c>
      <c r="M637" s="46" t="s">
        <v>3753</v>
      </c>
      <c r="N637" s="25" t="s">
        <v>39</v>
      </c>
      <c r="O637" s="25" t="s">
        <v>39</v>
      </c>
      <c r="P637" s="46" t="s">
        <v>29</v>
      </c>
      <c r="Q637" s="25">
        <v>0.0</v>
      </c>
      <c r="R637" s="46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  <c r="AD637" s="129"/>
    </row>
    <row r="638" ht="14.25" customHeight="1">
      <c r="A638" s="211">
        <v>5.0</v>
      </c>
      <c r="B638" s="46" t="s">
        <v>1171</v>
      </c>
      <c r="C638" s="46" t="s">
        <v>3754</v>
      </c>
      <c r="D638" s="46"/>
      <c r="E638" s="46"/>
      <c r="F638" s="50"/>
      <c r="G638" s="275" t="s">
        <v>3752</v>
      </c>
      <c r="H638" s="223">
        <v>12.0</v>
      </c>
      <c r="I638" s="223">
        <v>64.0</v>
      </c>
      <c r="J638" s="223">
        <v>2.0</v>
      </c>
      <c r="K638" s="223">
        <v>2.0</v>
      </c>
      <c r="L638" s="223">
        <v>1.0</v>
      </c>
      <c r="M638" s="46" t="s">
        <v>3753</v>
      </c>
      <c r="N638" s="25" t="s">
        <v>39</v>
      </c>
      <c r="O638" s="25" t="s">
        <v>39</v>
      </c>
      <c r="P638" s="46" t="s">
        <v>29</v>
      </c>
      <c r="Q638" s="25">
        <v>0.0</v>
      </c>
      <c r="R638" s="46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  <c r="AD638" s="129"/>
    </row>
    <row r="639" ht="14.25" customHeight="1">
      <c r="A639" s="211">
        <v>6.0</v>
      </c>
      <c r="B639" s="46" t="s">
        <v>1171</v>
      </c>
      <c r="C639" s="46" t="s">
        <v>3755</v>
      </c>
      <c r="D639" s="46"/>
      <c r="E639" s="46"/>
      <c r="F639" s="50"/>
      <c r="G639" s="275" t="s">
        <v>3752</v>
      </c>
      <c r="H639" s="223">
        <v>12.0</v>
      </c>
      <c r="I639" s="223">
        <v>64.0</v>
      </c>
      <c r="J639" s="223">
        <v>2.0</v>
      </c>
      <c r="K639" s="223">
        <v>2.0</v>
      </c>
      <c r="L639" s="223">
        <v>1.0</v>
      </c>
      <c r="M639" s="46" t="s">
        <v>3753</v>
      </c>
      <c r="N639" s="25" t="s">
        <v>39</v>
      </c>
      <c r="O639" s="25" t="s">
        <v>39</v>
      </c>
      <c r="P639" s="46" t="s">
        <v>29</v>
      </c>
      <c r="Q639" s="25">
        <v>0.0</v>
      </c>
      <c r="R639" s="46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  <c r="AD639" s="129"/>
    </row>
    <row r="640" ht="14.25" customHeight="1">
      <c r="A640" s="211">
        <v>7.0</v>
      </c>
      <c r="B640" s="46" t="s">
        <v>1171</v>
      </c>
      <c r="C640" s="46" t="s">
        <v>3756</v>
      </c>
      <c r="D640" s="46"/>
      <c r="E640" s="46"/>
      <c r="F640" s="50"/>
      <c r="G640" s="275" t="s">
        <v>3752</v>
      </c>
      <c r="H640" s="223">
        <v>12.0</v>
      </c>
      <c r="I640" s="223">
        <v>64.0</v>
      </c>
      <c r="J640" s="223">
        <v>2.0</v>
      </c>
      <c r="K640" s="223">
        <v>2.0</v>
      </c>
      <c r="L640" s="223">
        <v>1.0</v>
      </c>
      <c r="M640" s="46" t="s">
        <v>3753</v>
      </c>
      <c r="N640" s="25" t="s">
        <v>39</v>
      </c>
      <c r="O640" s="25" t="s">
        <v>39</v>
      </c>
      <c r="P640" s="46" t="s">
        <v>29</v>
      </c>
      <c r="Q640" s="25">
        <v>0.0</v>
      </c>
      <c r="R640" s="46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  <c r="AD640" s="129"/>
    </row>
    <row r="641" ht="14.25" customHeight="1">
      <c r="A641" s="211">
        <v>8.0</v>
      </c>
      <c r="B641" s="46" t="s">
        <v>1171</v>
      </c>
      <c r="C641" s="46" t="s">
        <v>3757</v>
      </c>
      <c r="D641" s="46"/>
      <c r="E641" s="46"/>
      <c r="F641" s="50"/>
      <c r="G641" s="275" t="s">
        <v>3752</v>
      </c>
      <c r="H641" s="223">
        <v>12.0</v>
      </c>
      <c r="I641" s="223">
        <v>64.0</v>
      </c>
      <c r="J641" s="223">
        <v>2.0</v>
      </c>
      <c r="K641" s="223">
        <v>2.0</v>
      </c>
      <c r="L641" s="223">
        <v>1.0</v>
      </c>
      <c r="M641" s="46" t="s">
        <v>3753</v>
      </c>
      <c r="N641" s="25" t="s">
        <v>39</v>
      </c>
      <c r="O641" s="25" t="s">
        <v>39</v>
      </c>
      <c r="P641" s="46" t="s">
        <v>29</v>
      </c>
      <c r="Q641" s="25">
        <v>0.0</v>
      </c>
      <c r="R641" s="46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  <c r="AD641" s="129"/>
    </row>
    <row r="642" ht="14.25" customHeight="1">
      <c r="A642" s="211">
        <v>9.0</v>
      </c>
      <c r="B642" s="46" t="s">
        <v>1171</v>
      </c>
      <c r="C642" s="46" t="s">
        <v>3758</v>
      </c>
      <c r="D642" s="46"/>
      <c r="E642" s="46"/>
      <c r="F642" s="50"/>
      <c r="G642" s="275" t="s">
        <v>3752</v>
      </c>
      <c r="H642" s="223">
        <v>12.0</v>
      </c>
      <c r="I642" s="223">
        <v>64.0</v>
      </c>
      <c r="J642" s="223">
        <v>2.0</v>
      </c>
      <c r="K642" s="223">
        <v>2.0</v>
      </c>
      <c r="L642" s="223">
        <v>1.0</v>
      </c>
      <c r="M642" s="46" t="s">
        <v>3753</v>
      </c>
      <c r="N642" s="25" t="s">
        <v>39</v>
      </c>
      <c r="O642" s="25" t="s">
        <v>39</v>
      </c>
      <c r="P642" s="46" t="s">
        <v>29</v>
      </c>
      <c r="Q642" s="25">
        <v>0.0</v>
      </c>
      <c r="R642" s="46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  <c r="AD642" s="129"/>
    </row>
    <row r="643" ht="14.25" customHeight="1">
      <c r="A643" s="211">
        <v>10.0</v>
      </c>
      <c r="B643" s="46" t="s">
        <v>3759</v>
      </c>
      <c r="C643" s="46" t="s">
        <v>3760</v>
      </c>
      <c r="D643" s="46"/>
      <c r="E643" s="46"/>
      <c r="F643" s="50"/>
      <c r="G643" s="275" t="s">
        <v>3761</v>
      </c>
      <c r="H643" s="223">
        <v>25.0</v>
      </c>
      <c r="I643" s="223">
        <v>125.0</v>
      </c>
      <c r="J643" s="223">
        <v>5.0</v>
      </c>
      <c r="K643" s="223">
        <v>5.0</v>
      </c>
      <c r="L643" s="223">
        <v>2.0</v>
      </c>
      <c r="M643" s="46" t="s">
        <v>3753</v>
      </c>
      <c r="N643" s="25" t="s">
        <v>39</v>
      </c>
      <c r="O643" s="25" t="s">
        <v>39</v>
      </c>
      <c r="P643" s="46" t="s">
        <v>29</v>
      </c>
      <c r="Q643" s="25">
        <v>0.0</v>
      </c>
      <c r="R643" s="46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  <c r="AD643" s="129"/>
    </row>
    <row r="644" ht="14.25" customHeight="1">
      <c r="A644" s="211">
        <v>11.0</v>
      </c>
      <c r="B644" s="46" t="s">
        <v>3762</v>
      </c>
      <c r="C644" s="46" t="s">
        <v>3763</v>
      </c>
      <c r="D644" s="46"/>
      <c r="E644" s="46"/>
      <c r="F644" s="50"/>
      <c r="G644" s="275" t="s">
        <v>3750</v>
      </c>
      <c r="H644" s="223">
        <v>20.0</v>
      </c>
      <c r="I644" s="223">
        <v>100.0</v>
      </c>
      <c r="J644" s="223">
        <v>2.0</v>
      </c>
      <c r="K644" s="223">
        <v>2.0</v>
      </c>
      <c r="L644" s="223">
        <v>2.0</v>
      </c>
      <c r="M644" s="46" t="s">
        <v>3753</v>
      </c>
      <c r="N644" s="25" t="s">
        <v>39</v>
      </c>
      <c r="O644" s="25" t="s">
        <v>39</v>
      </c>
      <c r="P644" s="46" t="s">
        <v>29</v>
      </c>
      <c r="Q644" s="25">
        <v>0.0</v>
      </c>
      <c r="R644" s="46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  <c r="AD644" s="129"/>
    </row>
    <row r="645" ht="14.25" customHeight="1">
      <c r="A645" s="211">
        <v>12.0</v>
      </c>
      <c r="B645" s="46" t="s">
        <v>3764</v>
      </c>
      <c r="C645" s="46" t="s">
        <v>3765</v>
      </c>
      <c r="D645" s="46"/>
      <c r="E645" s="46"/>
      <c r="F645" s="50"/>
      <c r="G645" s="275" t="s">
        <v>3750</v>
      </c>
      <c r="H645" s="223">
        <v>20.0</v>
      </c>
      <c r="I645" s="223">
        <v>100.0</v>
      </c>
      <c r="J645" s="223">
        <v>2.0</v>
      </c>
      <c r="K645" s="223">
        <v>2.0</v>
      </c>
      <c r="L645" s="223">
        <v>2.0</v>
      </c>
      <c r="M645" s="46" t="s">
        <v>3753</v>
      </c>
      <c r="N645" s="25" t="s">
        <v>39</v>
      </c>
      <c r="O645" s="25" t="s">
        <v>39</v>
      </c>
      <c r="P645" s="46" t="s">
        <v>29</v>
      </c>
      <c r="Q645" s="25">
        <v>0.0</v>
      </c>
      <c r="R645" s="46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  <c r="AD645" s="129"/>
    </row>
    <row r="646" ht="14.25" customHeight="1">
      <c r="A646" s="211">
        <v>13.0</v>
      </c>
      <c r="B646" s="46" t="s">
        <v>3766</v>
      </c>
      <c r="C646" s="46" t="s">
        <v>3767</v>
      </c>
      <c r="D646" s="46"/>
      <c r="E646" s="46"/>
      <c r="F646" s="50"/>
      <c r="G646" s="275" t="s">
        <v>3750</v>
      </c>
      <c r="H646" s="223">
        <v>20.0</v>
      </c>
      <c r="I646" s="223">
        <v>100.0</v>
      </c>
      <c r="J646" s="223">
        <v>2.0</v>
      </c>
      <c r="K646" s="223">
        <v>2.0</v>
      </c>
      <c r="L646" s="223">
        <v>2.0</v>
      </c>
      <c r="M646" s="46" t="s">
        <v>3753</v>
      </c>
      <c r="N646" s="25" t="s">
        <v>39</v>
      </c>
      <c r="O646" s="25" t="s">
        <v>39</v>
      </c>
      <c r="P646" s="46" t="s">
        <v>29</v>
      </c>
      <c r="Q646" s="25">
        <v>0.0</v>
      </c>
      <c r="R646" s="46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  <c r="AD646" s="129"/>
    </row>
    <row r="647" ht="14.25" customHeight="1">
      <c r="A647" s="211">
        <v>14.0</v>
      </c>
      <c r="B647" s="46" t="s">
        <v>3768</v>
      </c>
      <c r="C647" s="46" t="s">
        <v>3758</v>
      </c>
      <c r="D647" s="46"/>
      <c r="E647" s="46"/>
      <c r="F647" s="50"/>
      <c r="G647" s="275" t="s">
        <v>3750</v>
      </c>
      <c r="H647" s="223">
        <v>20.0</v>
      </c>
      <c r="I647" s="223">
        <v>100.0</v>
      </c>
      <c r="J647" s="223">
        <v>2.0</v>
      </c>
      <c r="K647" s="223">
        <v>2.0</v>
      </c>
      <c r="L647" s="223">
        <v>2.0</v>
      </c>
      <c r="M647" s="46" t="s">
        <v>3753</v>
      </c>
      <c r="N647" s="25" t="s">
        <v>39</v>
      </c>
      <c r="O647" s="25" t="s">
        <v>39</v>
      </c>
      <c r="P647" s="46" t="s">
        <v>29</v>
      </c>
      <c r="Q647" s="25">
        <v>0.0</v>
      </c>
      <c r="R647" s="46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  <c r="AD647" s="129"/>
    </row>
    <row r="648" ht="14.25" customHeight="1">
      <c r="A648" s="211">
        <v>15.0</v>
      </c>
      <c r="B648" s="46" t="s">
        <v>3769</v>
      </c>
      <c r="C648" s="46" t="s">
        <v>3751</v>
      </c>
      <c r="D648" s="46"/>
      <c r="E648" s="46"/>
      <c r="F648" s="50"/>
      <c r="G648" s="275" t="s">
        <v>3750</v>
      </c>
      <c r="H648" s="223">
        <v>20.0</v>
      </c>
      <c r="I648" s="223">
        <v>100.0</v>
      </c>
      <c r="J648" s="223">
        <v>2.0</v>
      </c>
      <c r="K648" s="223">
        <v>2.0</v>
      </c>
      <c r="L648" s="223">
        <v>2.0</v>
      </c>
      <c r="M648" s="46" t="s">
        <v>3753</v>
      </c>
      <c r="N648" s="25" t="s">
        <v>39</v>
      </c>
      <c r="O648" s="25" t="s">
        <v>39</v>
      </c>
      <c r="P648" s="46" t="s">
        <v>29</v>
      </c>
      <c r="Q648" s="25">
        <v>0.0</v>
      </c>
      <c r="R648" s="46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  <c r="AD648" s="129"/>
    </row>
    <row r="649" ht="14.25" customHeight="1">
      <c r="A649" s="211">
        <v>16.0</v>
      </c>
      <c r="B649" s="46" t="s">
        <v>3770</v>
      </c>
      <c r="C649" s="46" t="s">
        <v>3771</v>
      </c>
      <c r="D649" s="46"/>
      <c r="E649" s="46"/>
      <c r="F649" s="50"/>
      <c r="G649" s="275" t="s">
        <v>3750</v>
      </c>
      <c r="H649" s="223">
        <v>20.0</v>
      </c>
      <c r="I649" s="223">
        <v>100.0</v>
      </c>
      <c r="J649" s="223">
        <v>2.0</v>
      </c>
      <c r="K649" s="223">
        <v>2.0</v>
      </c>
      <c r="L649" s="223">
        <v>2.0</v>
      </c>
      <c r="M649" s="46" t="s">
        <v>3753</v>
      </c>
      <c r="N649" s="25" t="s">
        <v>39</v>
      </c>
      <c r="O649" s="25" t="s">
        <v>39</v>
      </c>
      <c r="P649" s="46" t="s">
        <v>29</v>
      </c>
      <c r="Q649" s="25">
        <v>0.0</v>
      </c>
      <c r="R649" s="46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  <c r="AD649" s="129"/>
    </row>
    <row r="650" ht="14.25" customHeight="1">
      <c r="A650" s="211">
        <v>17.0</v>
      </c>
      <c r="B650" s="46" t="s">
        <v>3772</v>
      </c>
      <c r="C650" s="46" t="s">
        <v>3773</v>
      </c>
      <c r="D650" s="46"/>
      <c r="E650" s="46"/>
      <c r="F650" s="50"/>
      <c r="G650" s="275" t="s">
        <v>3750</v>
      </c>
      <c r="H650" s="223">
        <v>20.0</v>
      </c>
      <c r="I650" s="223">
        <v>100.0</v>
      </c>
      <c r="J650" s="223">
        <v>2.0</v>
      </c>
      <c r="K650" s="223">
        <v>2.0</v>
      </c>
      <c r="L650" s="223">
        <v>2.0</v>
      </c>
      <c r="M650" s="46" t="s">
        <v>3753</v>
      </c>
      <c r="N650" s="25" t="s">
        <v>39</v>
      </c>
      <c r="O650" s="25" t="s">
        <v>39</v>
      </c>
      <c r="P650" s="46" t="s">
        <v>29</v>
      </c>
      <c r="Q650" s="25">
        <v>0.0</v>
      </c>
      <c r="R650" s="46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  <c r="AD650" s="129"/>
    </row>
    <row r="651" ht="14.25" customHeight="1">
      <c r="A651" s="211">
        <v>18.0</v>
      </c>
      <c r="B651" s="46" t="s">
        <v>3774</v>
      </c>
      <c r="C651" s="46" t="s">
        <v>3775</v>
      </c>
      <c r="D651" s="46"/>
      <c r="E651" s="46"/>
      <c r="F651" s="50"/>
      <c r="G651" s="275" t="s">
        <v>3750</v>
      </c>
      <c r="H651" s="223">
        <v>20.0</v>
      </c>
      <c r="I651" s="223">
        <v>100.0</v>
      </c>
      <c r="J651" s="223">
        <v>2.0</v>
      </c>
      <c r="K651" s="223">
        <v>2.0</v>
      </c>
      <c r="L651" s="223">
        <v>2.0</v>
      </c>
      <c r="M651" s="46" t="s">
        <v>3753</v>
      </c>
      <c r="N651" s="25" t="s">
        <v>39</v>
      </c>
      <c r="O651" s="25" t="s">
        <v>39</v>
      </c>
      <c r="P651" s="46" t="s">
        <v>29</v>
      </c>
      <c r="Q651" s="25">
        <v>0.0</v>
      </c>
      <c r="R651" s="46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  <c r="AD651" s="129"/>
    </row>
    <row r="652" ht="14.25" customHeight="1">
      <c r="A652" s="211">
        <v>19.0</v>
      </c>
      <c r="B652" s="46" t="s">
        <v>3776</v>
      </c>
      <c r="C652" s="46" t="s">
        <v>3777</v>
      </c>
      <c r="D652" s="46"/>
      <c r="E652" s="46"/>
      <c r="F652" s="50"/>
      <c r="G652" s="275" t="s">
        <v>3750</v>
      </c>
      <c r="H652" s="223">
        <v>20.0</v>
      </c>
      <c r="I652" s="223">
        <v>100.0</v>
      </c>
      <c r="J652" s="223">
        <v>2.0</v>
      </c>
      <c r="K652" s="223">
        <v>2.0</v>
      </c>
      <c r="L652" s="223">
        <v>2.0</v>
      </c>
      <c r="M652" s="46" t="s">
        <v>3753</v>
      </c>
      <c r="N652" s="25" t="s">
        <v>39</v>
      </c>
      <c r="O652" s="25" t="s">
        <v>39</v>
      </c>
      <c r="P652" s="46" t="s">
        <v>29</v>
      </c>
      <c r="Q652" s="25">
        <v>0.0</v>
      </c>
      <c r="R652" s="46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</row>
    <row r="653" ht="14.25" customHeight="1">
      <c r="A653" s="211">
        <v>20.0</v>
      </c>
      <c r="B653" s="46" t="s">
        <v>3778</v>
      </c>
      <c r="C653" s="46" t="s">
        <v>3779</v>
      </c>
      <c r="D653" s="46"/>
      <c r="E653" s="46"/>
      <c r="F653" s="50"/>
      <c r="G653" s="275" t="s">
        <v>3750</v>
      </c>
      <c r="H653" s="223">
        <v>20.0</v>
      </c>
      <c r="I653" s="223">
        <v>100.0</v>
      </c>
      <c r="J653" s="223">
        <v>2.0</v>
      </c>
      <c r="K653" s="223">
        <v>2.0</v>
      </c>
      <c r="L653" s="223">
        <v>2.0</v>
      </c>
      <c r="M653" s="46" t="s">
        <v>3753</v>
      </c>
      <c r="N653" s="25" t="s">
        <v>39</v>
      </c>
      <c r="O653" s="25" t="s">
        <v>39</v>
      </c>
      <c r="P653" s="46" t="s">
        <v>29</v>
      </c>
      <c r="Q653" s="25">
        <v>0.0</v>
      </c>
      <c r="R653" s="46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</row>
    <row r="654" ht="14.25" customHeight="1">
      <c r="A654" s="211">
        <v>21.0</v>
      </c>
      <c r="B654" s="46" t="s">
        <v>3780</v>
      </c>
      <c r="C654" s="46" t="s">
        <v>3781</v>
      </c>
      <c r="D654" s="46"/>
      <c r="E654" s="46"/>
      <c r="F654" s="50"/>
      <c r="G654" s="275" t="s">
        <v>3750</v>
      </c>
      <c r="H654" s="223">
        <v>20.0</v>
      </c>
      <c r="I654" s="223">
        <v>100.0</v>
      </c>
      <c r="J654" s="223">
        <v>2.0</v>
      </c>
      <c r="K654" s="223">
        <v>2.0</v>
      </c>
      <c r="L654" s="223">
        <v>2.0</v>
      </c>
      <c r="M654" s="46" t="s">
        <v>3753</v>
      </c>
      <c r="N654" s="25" t="s">
        <v>39</v>
      </c>
      <c r="O654" s="25" t="s">
        <v>39</v>
      </c>
      <c r="P654" s="46" t="s">
        <v>29</v>
      </c>
      <c r="Q654" s="25">
        <v>0.0</v>
      </c>
      <c r="R654" s="46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  <c r="AD654" s="129"/>
    </row>
    <row r="655" ht="14.25" customHeight="1">
      <c r="A655" s="211">
        <v>22.0</v>
      </c>
      <c r="B655" s="46" t="s">
        <v>3782</v>
      </c>
      <c r="C655" s="46" t="s">
        <v>3755</v>
      </c>
      <c r="D655" s="46"/>
      <c r="E655" s="46"/>
      <c r="F655" s="50"/>
      <c r="G655" s="275" t="s">
        <v>3750</v>
      </c>
      <c r="H655" s="223">
        <v>20.0</v>
      </c>
      <c r="I655" s="223">
        <v>100.0</v>
      </c>
      <c r="J655" s="223">
        <v>2.0</v>
      </c>
      <c r="K655" s="223">
        <v>2.0</v>
      </c>
      <c r="L655" s="223">
        <v>2.0</v>
      </c>
      <c r="M655" s="46" t="s">
        <v>3753</v>
      </c>
      <c r="N655" s="25" t="s">
        <v>39</v>
      </c>
      <c r="O655" s="25" t="s">
        <v>39</v>
      </c>
      <c r="P655" s="46" t="s">
        <v>29</v>
      </c>
      <c r="Q655" s="25">
        <v>0.0</v>
      </c>
      <c r="R655" s="46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</row>
    <row r="656" ht="14.25" customHeight="1">
      <c r="A656" s="211">
        <v>23.0</v>
      </c>
      <c r="B656" s="46" t="s">
        <v>3783</v>
      </c>
      <c r="C656" s="46" t="s">
        <v>3784</v>
      </c>
      <c r="D656" s="46"/>
      <c r="E656" s="46"/>
      <c r="F656" s="50"/>
      <c r="G656" s="275" t="s">
        <v>3750</v>
      </c>
      <c r="H656" s="223">
        <v>20.0</v>
      </c>
      <c r="I656" s="223">
        <v>100.0</v>
      </c>
      <c r="J656" s="223">
        <v>2.0</v>
      </c>
      <c r="K656" s="223">
        <v>2.0</v>
      </c>
      <c r="L656" s="223">
        <v>2.0</v>
      </c>
      <c r="M656" s="46" t="s">
        <v>3753</v>
      </c>
      <c r="N656" s="25" t="s">
        <v>39</v>
      </c>
      <c r="O656" s="25" t="s">
        <v>39</v>
      </c>
      <c r="P656" s="46" t="s">
        <v>29</v>
      </c>
      <c r="Q656" s="25">
        <v>0.0</v>
      </c>
      <c r="R656" s="46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</row>
    <row r="657" ht="14.25" customHeight="1">
      <c r="A657" s="211">
        <v>24.0</v>
      </c>
      <c r="B657" s="46" t="s">
        <v>3785</v>
      </c>
      <c r="C657" s="46" t="s">
        <v>3786</v>
      </c>
      <c r="D657" s="46"/>
      <c r="E657" s="46"/>
      <c r="F657" s="50"/>
      <c r="G657" s="275" t="s">
        <v>3750</v>
      </c>
      <c r="H657" s="223">
        <v>20.0</v>
      </c>
      <c r="I657" s="223">
        <v>100.0</v>
      </c>
      <c r="J657" s="223">
        <v>2.0</v>
      </c>
      <c r="K657" s="223">
        <v>2.0</v>
      </c>
      <c r="L657" s="223">
        <v>2.0</v>
      </c>
      <c r="M657" s="46" t="s">
        <v>3753</v>
      </c>
      <c r="N657" s="25" t="s">
        <v>39</v>
      </c>
      <c r="O657" s="25" t="s">
        <v>39</v>
      </c>
      <c r="P657" s="46" t="s">
        <v>29</v>
      </c>
      <c r="Q657" s="25">
        <v>0.0</v>
      </c>
      <c r="R657" s="46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</row>
    <row r="658" ht="14.25" customHeight="1">
      <c r="A658" s="211">
        <v>25.0</v>
      </c>
      <c r="B658" s="46" t="s">
        <v>3787</v>
      </c>
      <c r="C658" s="46" t="s">
        <v>3788</v>
      </c>
      <c r="D658" s="46"/>
      <c r="E658" s="46"/>
      <c r="F658" s="50"/>
      <c r="G658" s="275" t="s">
        <v>3750</v>
      </c>
      <c r="H658" s="223">
        <v>20.0</v>
      </c>
      <c r="I658" s="223">
        <v>100.0</v>
      </c>
      <c r="J658" s="223">
        <v>2.0</v>
      </c>
      <c r="K658" s="223">
        <v>2.0</v>
      </c>
      <c r="L658" s="223">
        <v>2.0</v>
      </c>
      <c r="M658" s="46" t="s">
        <v>3753</v>
      </c>
      <c r="N658" s="25" t="s">
        <v>39</v>
      </c>
      <c r="O658" s="25" t="s">
        <v>39</v>
      </c>
      <c r="P658" s="46" t="s">
        <v>29</v>
      </c>
      <c r="Q658" s="25">
        <v>0.0</v>
      </c>
      <c r="R658" s="46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</row>
    <row r="659" ht="14.25" customHeight="1">
      <c r="A659" s="211">
        <v>26.0</v>
      </c>
      <c r="B659" s="46" t="s">
        <v>3789</v>
      </c>
      <c r="C659" s="46" t="s">
        <v>3760</v>
      </c>
      <c r="D659" s="46"/>
      <c r="E659" s="46"/>
      <c r="F659" s="50"/>
      <c r="G659" s="275" t="s">
        <v>3750</v>
      </c>
      <c r="H659" s="46">
        <v>10.0</v>
      </c>
      <c r="I659" s="46">
        <v>50.0</v>
      </c>
      <c r="J659" s="46">
        <v>4.0</v>
      </c>
      <c r="K659" s="46">
        <v>4.0</v>
      </c>
      <c r="L659" s="46">
        <v>4.0</v>
      </c>
      <c r="M659" s="46" t="s">
        <v>3753</v>
      </c>
      <c r="N659" s="46"/>
      <c r="O659" s="46"/>
      <c r="P659" s="46" t="s">
        <v>29</v>
      </c>
      <c r="Q659" s="46">
        <v>0.0</v>
      </c>
      <c r="R659" s="46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</row>
    <row r="660" ht="15.75" customHeight="1">
      <c r="A660" s="181"/>
      <c r="B660" s="182" t="s">
        <v>3790</v>
      </c>
      <c r="C660" s="182"/>
      <c r="D660" s="182"/>
      <c r="E660" s="182"/>
      <c r="F660" s="403"/>
      <c r="G660" s="404"/>
      <c r="H660" s="182"/>
      <c r="I660" s="182"/>
      <c r="J660" s="91"/>
      <c r="K660" s="91"/>
      <c r="L660" s="91"/>
      <c r="M660" s="91"/>
      <c r="N660" s="91"/>
      <c r="O660" s="91"/>
      <c r="P660" s="182"/>
      <c r="Q660" s="91"/>
      <c r="R660" s="218"/>
      <c r="S660" s="405"/>
      <c r="T660" s="405"/>
      <c r="U660" s="405"/>
      <c r="V660" s="405"/>
      <c r="W660" s="405"/>
      <c r="X660" s="405"/>
      <c r="Y660" s="405"/>
      <c r="Z660" s="405"/>
      <c r="AA660" s="405"/>
      <c r="AB660" s="405"/>
      <c r="AC660" s="405"/>
      <c r="AD660" s="405"/>
    </row>
    <row r="661" ht="14.25" customHeight="1">
      <c r="A661" s="211">
        <v>1.0</v>
      </c>
      <c r="B661" s="291" t="s">
        <v>3791</v>
      </c>
      <c r="C661" s="291" t="s">
        <v>3792</v>
      </c>
      <c r="D661" s="291"/>
      <c r="E661" s="291"/>
      <c r="F661" s="421"/>
      <c r="G661" s="422" t="s">
        <v>28</v>
      </c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</row>
    <row r="662" ht="14.25" customHeight="1">
      <c r="A662" s="211">
        <v>2.0</v>
      </c>
      <c r="B662" s="291" t="s">
        <v>3795</v>
      </c>
      <c r="C662" s="291" t="s">
        <v>3792</v>
      </c>
      <c r="D662" s="291"/>
      <c r="E662" s="291"/>
      <c r="F662" s="421"/>
      <c r="G662" s="422" t="s">
        <v>28</v>
      </c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</row>
    <row r="663" ht="14.25" customHeight="1">
      <c r="A663" s="211">
        <v>3.0</v>
      </c>
      <c r="B663" s="291" t="s">
        <v>3796</v>
      </c>
      <c r="C663" s="291" t="s">
        <v>3797</v>
      </c>
      <c r="D663" s="291"/>
      <c r="E663" s="291"/>
      <c r="F663" s="421"/>
      <c r="G663" s="422" t="s">
        <v>28</v>
      </c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</row>
    <row r="664" ht="14.25" customHeight="1">
      <c r="A664" s="211">
        <v>4.0</v>
      </c>
      <c r="B664" s="291" t="s">
        <v>3799</v>
      </c>
      <c r="C664" s="291" t="s">
        <v>3800</v>
      </c>
      <c r="D664" s="291"/>
      <c r="E664" s="291"/>
      <c r="F664" s="421"/>
      <c r="G664" s="422" t="s">
        <v>28</v>
      </c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</row>
    <row r="665" ht="14.25" customHeight="1">
      <c r="A665" s="211">
        <v>5.0</v>
      </c>
      <c r="B665" s="291" t="s">
        <v>3802</v>
      </c>
      <c r="C665" s="291" t="s">
        <v>3800</v>
      </c>
      <c r="D665" s="291"/>
      <c r="E665" s="291"/>
      <c r="F665" s="421"/>
      <c r="G665" s="422" t="s">
        <v>28</v>
      </c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</row>
    <row r="666" ht="14.25" customHeight="1">
      <c r="A666" s="211">
        <v>6.0</v>
      </c>
      <c r="B666" s="291" t="s">
        <v>3803</v>
      </c>
      <c r="C666" s="291" t="s">
        <v>3800</v>
      </c>
      <c r="D666" s="291"/>
      <c r="E666" s="291"/>
      <c r="F666" s="421"/>
      <c r="G666" s="422" t="s">
        <v>28</v>
      </c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  <c r="AD666" s="129"/>
    </row>
    <row r="667" ht="14.25" customHeight="1">
      <c r="A667" s="211">
        <v>7.0</v>
      </c>
      <c r="B667" s="291" t="s">
        <v>3795</v>
      </c>
      <c r="C667" s="291" t="s">
        <v>3804</v>
      </c>
      <c r="D667" s="291"/>
      <c r="E667" s="291"/>
      <c r="F667" s="421"/>
      <c r="G667" s="422" t="s">
        <v>28</v>
      </c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  <c r="AD667" s="129"/>
    </row>
    <row r="668" ht="14.25" customHeight="1">
      <c r="A668" s="211">
        <v>8.0</v>
      </c>
      <c r="B668" s="291" t="s">
        <v>3806</v>
      </c>
      <c r="C668" s="291" t="s">
        <v>3804</v>
      </c>
      <c r="D668" s="291"/>
      <c r="E668" s="291"/>
      <c r="F668" s="421"/>
      <c r="G668" s="422" t="s">
        <v>28</v>
      </c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  <c r="AD668" s="129"/>
    </row>
    <row r="669" ht="14.25" customHeight="1">
      <c r="A669" s="211">
        <v>9.0</v>
      </c>
      <c r="B669" s="291" t="s">
        <v>3807</v>
      </c>
      <c r="C669" s="291" t="s">
        <v>3804</v>
      </c>
      <c r="D669" s="291"/>
      <c r="E669" s="291"/>
      <c r="F669" s="421"/>
      <c r="G669" s="422" t="s">
        <v>28</v>
      </c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  <c r="AD669" s="129"/>
    </row>
    <row r="670" ht="14.25" customHeight="1">
      <c r="A670" s="211">
        <v>10.0</v>
      </c>
      <c r="B670" s="291" t="s">
        <v>3808</v>
      </c>
      <c r="C670" s="291" t="s">
        <v>3809</v>
      </c>
      <c r="D670" s="291"/>
      <c r="E670" s="291"/>
      <c r="F670" s="421"/>
      <c r="G670" s="422" t="s">
        <v>28</v>
      </c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  <c r="AD670" s="129"/>
    </row>
    <row r="671" ht="14.25" customHeight="1">
      <c r="A671" s="211">
        <v>11.0</v>
      </c>
      <c r="B671" s="291" t="s">
        <v>3811</v>
      </c>
      <c r="C671" s="291" t="s">
        <v>3809</v>
      </c>
      <c r="D671" s="291"/>
      <c r="E671" s="291"/>
      <c r="F671" s="421"/>
      <c r="G671" s="422" t="s">
        <v>28</v>
      </c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  <c r="AD671" s="129"/>
    </row>
    <row r="672" ht="14.25" customHeight="1">
      <c r="A672" s="211">
        <v>12.0</v>
      </c>
      <c r="B672" s="291" t="s">
        <v>6700</v>
      </c>
      <c r="C672" s="291" t="s">
        <v>3809</v>
      </c>
      <c r="D672" s="291"/>
      <c r="E672" s="291"/>
      <c r="F672" s="421"/>
      <c r="G672" s="422" t="s">
        <v>28</v>
      </c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  <c r="AD672" s="129"/>
    </row>
    <row r="673" ht="14.25" customHeight="1">
      <c r="A673" s="211">
        <v>13.0</v>
      </c>
      <c r="B673" s="291" t="s">
        <v>3813</v>
      </c>
      <c r="C673" s="291" t="s">
        <v>3814</v>
      </c>
      <c r="D673" s="291"/>
      <c r="E673" s="291"/>
      <c r="F673" s="421"/>
      <c r="G673" s="422" t="s">
        <v>28</v>
      </c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  <c r="AD673" s="129"/>
    </row>
    <row r="674" ht="14.25" customHeight="1">
      <c r="A674" s="211">
        <v>14.0</v>
      </c>
      <c r="B674" s="291" t="s">
        <v>2772</v>
      </c>
      <c r="C674" s="291" t="s">
        <v>3815</v>
      </c>
      <c r="D674" s="291"/>
      <c r="E674" s="291"/>
      <c r="F674" s="421"/>
      <c r="G674" s="422" t="s">
        <v>28</v>
      </c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  <c r="AD674" s="129"/>
    </row>
    <row r="675" ht="14.25" customHeight="1">
      <c r="A675" s="211">
        <v>15.0</v>
      </c>
      <c r="B675" s="291" t="s">
        <v>7095</v>
      </c>
      <c r="C675" s="291" t="s">
        <v>3815</v>
      </c>
      <c r="D675" s="291"/>
      <c r="E675" s="291"/>
      <c r="F675" s="421"/>
      <c r="G675" s="422" t="s">
        <v>28</v>
      </c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  <c r="AD675" s="129"/>
    </row>
    <row r="676" ht="14.25" customHeight="1">
      <c r="A676" s="211">
        <v>16.0</v>
      </c>
      <c r="B676" s="291" t="s">
        <v>3817</v>
      </c>
      <c r="C676" s="291" t="s">
        <v>3818</v>
      </c>
      <c r="D676" s="291"/>
      <c r="E676" s="291"/>
      <c r="F676" s="421"/>
      <c r="G676" s="422" t="s">
        <v>28</v>
      </c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  <c r="AD676" s="129"/>
    </row>
    <row r="677" ht="14.25" customHeight="1">
      <c r="A677" s="211">
        <v>17.0</v>
      </c>
      <c r="B677" s="291" t="s">
        <v>2772</v>
      </c>
      <c r="C677" s="291" t="s">
        <v>3820</v>
      </c>
      <c r="D677" s="291"/>
      <c r="E677" s="291"/>
      <c r="F677" s="421"/>
      <c r="G677" s="422" t="s">
        <v>28</v>
      </c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  <c r="AD677" s="129"/>
    </row>
    <row r="678" ht="14.25" customHeight="1">
      <c r="A678" s="211">
        <v>18.0</v>
      </c>
      <c r="B678" s="291" t="s">
        <v>3823</v>
      </c>
      <c r="C678" s="291" t="s">
        <v>3820</v>
      </c>
      <c r="D678" s="291"/>
      <c r="E678" s="291"/>
      <c r="F678" s="421"/>
      <c r="G678" s="422" t="s">
        <v>28</v>
      </c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  <c r="AD678" s="129"/>
    </row>
    <row r="679" ht="14.25" customHeight="1">
      <c r="A679" s="211">
        <v>19.0</v>
      </c>
      <c r="B679" s="291" t="s">
        <v>3821</v>
      </c>
      <c r="C679" s="291" t="s">
        <v>3822</v>
      </c>
      <c r="D679" s="291"/>
      <c r="E679" s="291"/>
      <c r="F679" s="421"/>
      <c r="G679" s="422" t="s">
        <v>28</v>
      </c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  <c r="AD679" s="129"/>
    </row>
    <row r="680" ht="14.25" customHeight="1">
      <c r="A680" s="211">
        <v>20.0</v>
      </c>
      <c r="B680" s="291" t="s">
        <v>3824</v>
      </c>
      <c r="C680" s="291" t="s">
        <v>3825</v>
      </c>
      <c r="D680" s="291"/>
      <c r="E680" s="291"/>
      <c r="F680" s="421"/>
      <c r="G680" s="422" t="s">
        <v>28</v>
      </c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  <c r="AD680" s="129"/>
    </row>
    <row r="681" ht="14.25" customHeight="1">
      <c r="A681" s="211">
        <v>21.0</v>
      </c>
      <c r="B681" s="291" t="s">
        <v>3826</v>
      </c>
      <c r="C681" s="291" t="s">
        <v>3760</v>
      </c>
      <c r="D681" s="291"/>
      <c r="E681" s="291"/>
      <c r="F681" s="421"/>
      <c r="G681" s="422" t="s">
        <v>28</v>
      </c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  <c r="AD681" s="129"/>
    </row>
    <row r="682" ht="14.25" customHeight="1">
      <c r="A682" s="211">
        <v>22.0</v>
      </c>
      <c r="B682" s="291" t="s">
        <v>3795</v>
      </c>
      <c r="C682" s="291" t="s">
        <v>3760</v>
      </c>
      <c r="D682" s="291"/>
      <c r="E682" s="291"/>
      <c r="F682" s="421"/>
      <c r="G682" s="422" t="s">
        <v>28</v>
      </c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  <c r="AD682" s="129"/>
    </row>
    <row r="683" ht="14.25" customHeight="1">
      <c r="A683" s="211">
        <v>23.0</v>
      </c>
      <c r="B683" s="291" t="s">
        <v>1190</v>
      </c>
      <c r="C683" s="291" t="s">
        <v>3760</v>
      </c>
      <c r="D683" s="291"/>
      <c r="E683" s="291"/>
      <c r="F683" s="421"/>
      <c r="G683" s="422" t="s">
        <v>28</v>
      </c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  <c r="AD683" s="129"/>
    </row>
    <row r="684" ht="14.25" customHeight="1">
      <c r="A684" s="211">
        <v>24.0</v>
      </c>
      <c r="B684" s="291" t="s">
        <v>3828</v>
      </c>
      <c r="C684" s="291" t="s">
        <v>3760</v>
      </c>
      <c r="D684" s="291"/>
      <c r="E684" s="291"/>
      <c r="F684" s="421"/>
      <c r="G684" s="422" t="s">
        <v>28</v>
      </c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  <c r="AD684" s="129"/>
    </row>
    <row r="685" ht="14.25" customHeight="1">
      <c r="A685" s="211">
        <v>25.0</v>
      </c>
      <c r="B685" s="291" t="s">
        <v>3829</v>
      </c>
      <c r="C685" s="291" t="s">
        <v>3760</v>
      </c>
      <c r="D685" s="291"/>
      <c r="E685" s="291"/>
      <c r="F685" s="421"/>
      <c r="G685" s="422" t="s">
        <v>28</v>
      </c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  <c r="AD685" s="129"/>
    </row>
    <row r="686" ht="14.25" customHeight="1">
      <c r="A686" s="211">
        <v>26.0</v>
      </c>
      <c r="B686" s="291" t="s">
        <v>3830</v>
      </c>
      <c r="C686" s="291" t="s">
        <v>3760</v>
      </c>
      <c r="D686" s="291"/>
      <c r="E686" s="291"/>
      <c r="F686" s="421"/>
      <c r="G686" s="422" t="s">
        <v>28</v>
      </c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  <c r="AD686" s="129"/>
    </row>
    <row r="687" ht="14.25" customHeight="1">
      <c r="A687" s="211">
        <v>27.0</v>
      </c>
      <c r="B687" s="291" t="s">
        <v>3831</v>
      </c>
      <c r="C687" s="291" t="s">
        <v>3760</v>
      </c>
      <c r="D687" s="291"/>
      <c r="E687" s="291"/>
      <c r="F687" s="421"/>
      <c r="G687" s="422" t="s">
        <v>7096</v>
      </c>
      <c r="H687" s="46">
        <v>24.0</v>
      </c>
      <c r="I687" s="46">
        <v>96.0</v>
      </c>
      <c r="J687" s="46">
        <v>3.0</v>
      </c>
      <c r="K687" s="46">
        <v>2.0</v>
      </c>
      <c r="L687" s="46">
        <v>5.0</v>
      </c>
      <c r="M687" s="46" t="s">
        <v>1288</v>
      </c>
      <c r="N687" s="46"/>
      <c r="O687" s="46">
        <v>6000.0</v>
      </c>
      <c r="P687" s="46" t="s">
        <v>66</v>
      </c>
      <c r="Q687" s="46">
        <v>8.0</v>
      </c>
      <c r="R687" s="46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  <c r="AD687" s="129"/>
    </row>
    <row r="688" ht="14.25" customHeight="1">
      <c r="A688" s="211">
        <v>28.0</v>
      </c>
      <c r="B688" s="291" t="s">
        <v>3833</v>
      </c>
      <c r="C688" s="291" t="s">
        <v>3834</v>
      </c>
      <c r="D688" s="291"/>
      <c r="E688" s="291"/>
      <c r="F688" s="421"/>
      <c r="G688" s="422" t="s">
        <v>28</v>
      </c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  <c r="AD688" s="129"/>
    </row>
    <row r="689" ht="15.75" customHeight="1">
      <c r="A689" s="181"/>
      <c r="B689" s="182" t="s">
        <v>7097</v>
      </c>
      <c r="C689" s="182"/>
      <c r="D689" s="182"/>
      <c r="E689" s="182"/>
      <c r="F689" s="403"/>
      <c r="G689" s="404"/>
      <c r="H689" s="182"/>
      <c r="I689" s="182"/>
      <c r="J689" s="91"/>
      <c r="K689" s="91"/>
      <c r="L689" s="91"/>
      <c r="M689" s="91"/>
      <c r="N689" s="91"/>
      <c r="O689" s="91"/>
      <c r="P689" s="182"/>
      <c r="Q689" s="91"/>
      <c r="R689" s="218"/>
      <c r="S689" s="405"/>
      <c r="T689" s="405"/>
      <c r="U689" s="405"/>
      <c r="V689" s="405"/>
      <c r="W689" s="405"/>
      <c r="X689" s="405"/>
      <c r="Y689" s="405"/>
      <c r="Z689" s="405"/>
      <c r="AA689" s="405"/>
      <c r="AB689" s="405"/>
      <c r="AC689" s="405"/>
      <c r="AD689" s="405"/>
    </row>
    <row r="690" ht="14.25" customHeight="1">
      <c r="A690" s="211">
        <v>1.0</v>
      </c>
      <c r="B690" s="33" t="s">
        <v>3836</v>
      </c>
      <c r="C690" s="82" t="s">
        <v>3837</v>
      </c>
      <c r="D690" s="82"/>
      <c r="E690" s="82"/>
      <c r="F690" s="406"/>
      <c r="G690" s="89" t="s">
        <v>3838</v>
      </c>
      <c r="H690" s="216">
        <v>12.0</v>
      </c>
      <c r="I690" s="237">
        <v>50.0</v>
      </c>
      <c r="J690" s="216">
        <v>0.0</v>
      </c>
      <c r="K690" s="216">
        <v>0.0</v>
      </c>
      <c r="L690" s="216">
        <v>1.0</v>
      </c>
      <c r="M690" s="215" t="s">
        <v>3839</v>
      </c>
      <c r="N690" s="216"/>
      <c r="O690" s="216">
        <v>20.0</v>
      </c>
      <c r="P690" s="216" t="s">
        <v>29</v>
      </c>
      <c r="Q690" s="216" t="s">
        <v>401</v>
      </c>
      <c r="R690" s="46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</row>
    <row r="691" ht="14.25" customHeight="1">
      <c r="A691" s="211">
        <v>2.0</v>
      </c>
      <c r="B691" s="74" t="s">
        <v>3840</v>
      </c>
      <c r="C691" s="228" t="s">
        <v>3841</v>
      </c>
      <c r="D691" s="228"/>
      <c r="E691" s="228"/>
      <c r="F691" s="419"/>
      <c r="G691" s="89" t="s">
        <v>3842</v>
      </c>
      <c r="H691" s="216">
        <v>12.0</v>
      </c>
      <c r="I691" s="237">
        <v>50.0</v>
      </c>
      <c r="J691" s="216">
        <v>0.0</v>
      </c>
      <c r="K691" s="216">
        <v>0.0</v>
      </c>
      <c r="L691" s="216">
        <v>1.0</v>
      </c>
      <c r="M691" s="215" t="s">
        <v>3839</v>
      </c>
      <c r="N691" s="216"/>
      <c r="O691" s="216">
        <v>20.0</v>
      </c>
      <c r="P691" s="216" t="s">
        <v>29</v>
      </c>
      <c r="Q691" s="216" t="s">
        <v>401</v>
      </c>
      <c r="R691" s="46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</row>
    <row r="692" ht="14.25" customHeight="1">
      <c r="A692" s="211">
        <v>3.0</v>
      </c>
      <c r="B692" s="74" t="s">
        <v>3843</v>
      </c>
      <c r="C692" s="228" t="s">
        <v>3841</v>
      </c>
      <c r="D692" s="228"/>
      <c r="E692" s="228"/>
      <c r="F692" s="419"/>
      <c r="G692" s="89" t="s">
        <v>3844</v>
      </c>
      <c r="H692" s="216">
        <v>3.0</v>
      </c>
      <c r="I692" s="81">
        <v>20.0</v>
      </c>
      <c r="J692" s="216">
        <v>0.0</v>
      </c>
      <c r="K692" s="216">
        <v>0.0</v>
      </c>
      <c r="L692" s="216">
        <v>1.0</v>
      </c>
      <c r="M692" s="215" t="s">
        <v>3839</v>
      </c>
      <c r="N692" s="216"/>
      <c r="O692" s="216">
        <v>20.0</v>
      </c>
      <c r="P692" s="216" t="s">
        <v>29</v>
      </c>
      <c r="Q692" s="216" t="s">
        <v>401</v>
      </c>
      <c r="R692" s="46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  <c r="AD692" s="129"/>
    </row>
    <row r="693" ht="14.25" customHeight="1">
      <c r="A693" s="211">
        <v>4.0</v>
      </c>
      <c r="B693" s="74" t="s">
        <v>3845</v>
      </c>
      <c r="C693" s="228" t="s">
        <v>3846</v>
      </c>
      <c r="D693" s="228"/>
      <c r="E693" s="228"/>
      <c r="F693" s="419"/>
      <c r="G693" s="89" t="s">
        <v>3847</v>
      </c>
      <c r="H693" s="216">
        <v>3.0</v>
      </c>
      <c r="I693" s="237">
        <v>20.0</v>
      </c>
      <c r="J693" s="216">
        <v>0.0</v>
      </c>
      <c r="K693" s="216">
        <v>0.0</v>
      </c>
      <c r="L693" s="216">
        <v>1.0</v>
      </c>
      <c r="M693" s="215" t="s">
        <v>3839</v>
      </c>
      <c r="N693" s="216"/>
      <c r="O693" s="216">
        <v>20.0</v>
      </c>
      <c r="P693" s="216" t="s">
        <v>29</v>
      </c>
      <c r="Q693" s="216" t="s">
        <v>401</v>
      </c>
      <c r="R693" s="46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</row>
    <row r="694" ht="14.25" customHeight="1">
      <c r="A694" s="211">
        <v>5.0</v>
      </c>
      <c r="B694" s="74" t="s">
        <v>3848</v>
      </c>
      <c r="C694" s="228" t="s">
        <v>3849</v>
      </c>
      <c r="D694" s="228"/>
      <c r="E694" s="228"/>
      <c r="F694" s="419"/>
      <c r="G694" s="89" t="s">
        <v>3850</v>
      </c>
      <c r="H694" s="216">
        <v>20.0</v>
      </c>
      <c r="I694" s="237">
        <v>100.0</v>
      </c>
      <c r="J694" s="216">
        <v>0.0</v>
      </c>
      <c r="K694" s="216">
        <v>0.0</v>
      </c>
      <c r="L694" s="216">
        <v>1.0</v>
      </c>
      <c r="M694" s="215" t="s">
        <v>3839</v>
      </c>
      <c r="N694" s="216"/>
      <c r="O694" s="216">
        <v>50.0</v>
      </c>
      <c r="P694" s="216" t="s">
        <v>29</v>
      </c>
      <c r="Q694" s="216" t="s">
        <v>401</v>
      </c>
      <c r="R694" s="46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</row>
    <row r="695" ht="14.25" customHeight="1">
      <c r="A695" s="211">
        <v>6.0</v>
      </c>
      <c r="B695" s="74" t="s">
        <v>3851</v>
      </c>
      <c r="C695" s="228" t="s">
        <v>3852</v>
      </c>
      <c r="D695" s="228"/>
      <c r="E695" s="228"/>
      <c r="F695" s="419"/>
      <c r="G695" s="89" t="s">
        <v>3854</v>
      </c>
      <c r="H695" s="216">
        <v>12.0</v>
      </c>
      <c r="I695" s="237">
        <v>50.0</v>
      </c>
      <c r="J695" s="216">
        <v>0.0</v>
      </c>
      <c r="K695" s="216">
        <v>0.0</v>
      </c>
      <c r="L695" s="216">
        <v>1.0</v>
      </c>
      <c r="M695" s="215" t="s">
        <v>3839</v>
      </c>
      <c r="N695" s="216"/>
      <c r="O695" s="216">
        <v>20.0</v>
      </c>
      <c r="P695" s="216" t="s">
        <v>29</v>
      </c>
      <c r="Q695" s="216" t="s">
        <v>401</v>
      </c>
      <c r="R695" s="46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</row>
    <row r="696" ht="14.25" customHeight="1">
      <c r="A696" s="211">
        <v>7.0</v>
      </c>
      <c r="B696" s="33" t="s">
        <v>3855</v>
      </c>
      <c r="C696" s="228" t="s">
        <v>3856</v>
      </c>
      <c r="D696" s="228"/>
      <c r="E696" s="228"/>
      <c r="F696" s="419"/>
      <c r="G696" s="89" t="s">
        <v>3857</v>
      </c>
      <c r="H696" s="81">
        <v>5.0</v>
      </c>
      <c r="I696" s="81">
        <v>40.0</v>
      </c>
      <c r="J696" s="216">
        <v>0.0</v>
      </c>
      <c r="K696" s="216">
        <v>0.0</v>
      </c>
      <c r="L696" s="216">
        <v>1.0</v>
      </c>
      <c r="M696" s="215" t="s">
        <v>3839</v>
      </c>
      <c r="N696" s="46"/>
      <c r="O696" s="216">
        <v>20.0</v>
      </c>
      <c r="P696" s="81" t="s">
        <v>29</v>
      </c>
      <c r="Q696" s="216" t="s">
        <v>401</v>
      </c>
      <c r="R696" s="46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</row>
    <row r="697" ht="14.25" customHeight="1">
      <c r="A697" s="211">
        <v>8.0</v>
      </c>
      <c r="B697" s="74" t="s">
        <v>3858</v>
      </c>
      <c r="C697" s="228" t="s">
        <v>3859</v>
      </c>
      <c r="D697" s="228"/>
      <c r="E697" s="228"/>
      <c r="F697" s="419"/>
      <c r="G697" s="89" t="s">
        <v>3860</v>
      </c>
      <c r="H697" s="81">
        <v>5.0</v>
      </c>
      <c r="I697" s="81">
        <v>40.0</v>
      </c>
      <c r="J697" s="216">
        <v>0.0</v>
      </c>
      <c r="K697" s="216">
        <v>0.0</v>
      </c>
      <c r="L697" s="216">
        <v>1.0</v>
      </c>
      <c r="M697" s="215" t="s">
        <v>3839</v>
      </c>
      <c r="N697" s="46"/>
      <c r="O697" s="216">
        <v>20.0</v>
      </c>
      <c r="P697" s="81" t="s">
        <v>29</v>
      </c>
      <c r="Q697" s="216" t="s">
        <v>401</v>
      </c>
      <c r="R697" s="46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</row>
    <row r="698" ht="14.25" customHeight="1">
      <c r="A698" s="211">
        <v>9.0</v>
      </c>
      <c r="B698" s="33" t="s">
        <v>3861</v>
      </c>
      <c r="C698" s="82" t="s">
        <v>3862</v>
      </c>
      <c r="D698" s="82"/>
      <c r="E698" s="82"/>
      <c r="F698" s="406"/>
      <c r="G698" s="89" t="s">
        <v>3854</v>
      </c>
      <c r="H698" s="81">
        <v>5.0</v>
      </c>
      <c r="I698" s="81">
        <v>40.0</v>
      </c>
      <c r="J698" s="216">
        <v>0.0</v>
      </c>
      <c r="K698" s="216">
        <v>0.0</v>
      </c>
      <c r="L698" s="216">
        <v>1.0</v>
      </c>
      <c r="M698" s="215" t="s">
        <v>3839</v>
      </c>
      <c r="N698" s="46"/>
      <c r="O698" s="216">
        <v>20.0</v>
      </c>
      <c r="P698" s="81" t="s">
        <v>29</v>
      </c>
      <c r="Q698" s="216" t="s">
        <v>401</v>
      </c>
      <c r="R698" s="46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</row>
    <row r="699" ht="14.25" customHeight="1">
      <c r="A699" s="211">
        <v>10.0</v>
      </c>
      <c r="B699" s="74" t="s">
        <v>3863</v>
      </c>
      <c r="C699" s="228" t="s">
        <v>3864</v>
      </c>
      <c r="D699" s="228"/>
      <c r="E699" s="228"/>
      <c r="F699" s="419"/>
      <c r="G699" s="89" t="s">
        <v>3854</v>
      </c>
      <c r="H699" s="81">
        <v>4.0</v>
      </c>
      <c r="I699" s="81">
        <v>30.0</v>
      </c>
      <c r="J699" s="216">
        <v>0.0</v>
      </c>
      <c r="K699" s="216">
        <v>0.0</v>
      </c>
      <c r="L699" s="216">
        <v>1.0</v>
      </c>
      <c r="M699" s="215" t="s">
        <v>3839</v>
      </c>
      <c r="N699" s="46"/>
      <c r="O699" s="216">
        <v>20.0</v>
      </c>
      <c r="P699" s="81" t="s">
        <v>29</v>
      </c>
      <c r="Q699" s="216" t="s">
        <v>401</v>
      </c>
      <c r="R699" s="46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</row>
    <row r="700" ht="14.25" customHeight="1">
      <c r="A700" s="211">
        <v>11.0</v>
      </c>
      <c r="B700" s="74" t="s">
        <v>3865</v>
      </c>
      <c r="C700" s="228" t="s">
        <v>3866</v>
      </c>
      <c r="D700" s="228"/>
      <c r="E700" s="228"/>
      <c r="F700" s="419"/>
      <c r="G700" s="89" t="s">
        <v>3867</v>
      </c>
      <c r="H700" s="81">
        <v>10.0</v>
      </c>
      <c r="I700" s="81">
        <v>80.0</v>
      </c>
      <c r="J700" s="216">
        <v>0.0</v>
      </c>
      <c r="K700" s="216">
        <v>0.0</v>
      </c>
      <c r="L700" s="216">
        <v>1.0</v>
      </c>
      <c r="M700" s="215" t="s">
        <v>3839</v>
      </c>
      <c r="N700" s="46"/>
      <c r="O700" s="216">
        <v>20.0</v>
      </c>
      <c r="P700" s="81" t="s">
        <v>29</v>
      </c>
      <c r="Q700" s="216" t="s">
        <v>401</v>
      </c>
      <c r="R700" s="46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</row>
    <row r="701" ht="15.75" customHeight="1">
      <c r="A701" s="181"/>
      <c r="B701" s="182" t="s">
        <v>3868</v>
      </c>
      <c r="C701" s="182"/>
      <c r="D701" s="182"/>
      <c r="E701" s="182"/>
      <c r="F701" s="403"/>
      <c r="G701" s="404"/>
      <c r="H701" s="182"/>
      <c r="I701" s="182"/>
      <c r="J701" s="91"/>
      <c r="K701" s="91"/>
      <c r="L701" s="91"/>
      <c r="M701" s="91"/>
      <c r="N701" s="91"/>
      <c r="O701" s="91"/>
      <c r="P701" s="182"/>
      <c r="Q701" s="91"/>
      <c r="R701" s="218"/>
      <c r="S701" s="405"/>
      <c r="T701" s="405"/>
      <c r="U701" s="405"/>
      <c r="V701" s="405"/>
      <c r="W701" s="405"/>
      <c r="X701" s="405"/>
      <c r="Y701" s="405"/>
      <c r="Z701" s="405"/>
      <c r="AA701" s="405"/>
      <c r="AB701" s="405"/>
      <c r="AC701" s="405"/>
      <c r="AD701" s="405"/>
    </row>
    <row r="702" ht="14.25" customHeight="1">
      <c r="A702" s="211">
        <v>1.0</v>
      </c>
      <c r="B702" s="25" t="s">
        <v>43</v>
      </c>
      <c r="C702" s="25" t="s">
        <v>3869</v>
      </c>
      <c r="D702" s="25"/>
      <c r="E702" s="25"/>
      <c r="F702" s="39"/>
      <c r="G702" s="418">
        <v>173.0</v>
      </c>
      <c r="H702" s="43">
        <v>3.0</v>
      </c>
      <c r="I702" s="43">
        <v>15.0</v>
      </c>
      <c r="J702" s="43">
        <v>0.0</v>
      </c>
      <c r="K702" s="43">
        <v>0.0</v>
      </c>
      <c r="L702" s="43">
        <v>1.0</v>
      </c>
      <c r="M702" s="25" t="s">
        <v>1046</v>
      </c>
      <c r="N702" s="25" t="s">
        <v>138</v>
      </c>
      <c r="O702" s="43">
        <v>15.0</v>
      </c>
      <c r="P702" s="25" t="s">
        <v>335</v>
      </c>
      <c r="Q702" s="43">
        <v>0.0</v>
      </c>
      <c r="R702" s="46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</row>
    <row r="703" ht="14.25" customHeight="1">
      <c r="A703" s="211">
        <v>2.0</v>
      </c>
      <c r="B703" s="27" t="s">
        <v>3870</v>
      </c>
      <c r="C703" s="27" t="s">
        <v>3871</v>
      </c>
      <c r="D703" s="27"/>
      <c r="E703" s="27"/>
      <c r="F703" s="38"/>
      <c r="G703" s="407">
        <v>1650.0</v>
      </c>
      <c r="H703" s="42">
        <v>16.0</v>
      </c>
      <c r="I703" s="42">
        <v>80.0</v>
      </c>
      <c r="J703" s="42">
        <v>1.0</v>
      </c>
      <c r="K703" s="42">
        <v>1.0</v>
      </c>
      <c r="L703" s="42">
        <v>0.0</v>
      </c>
      <c r="M703" s="27" t="s">
        <v>1046</v>
      </c>
      <c r="N703" s="27" t="s">
        <v>138</v>
      </c>
      <c r="O703" s="42">
        <v>16.0</v>
      </c>
      <c r="P703" s="27" t="s">
        <v>47</v>
      </c>
      <c r="Q703" s="42">
        <v>11.0</v>
      </c>
      <c r="R703" s="46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</row>
    <row r="704" ht="14.25" customHeight="1">
      <c r="A704" s="211">
        <v>3.0</v>
      </c>
      <c r="B704" s="27" t="s">
        <v>3872</v>
      </c>
      <c r="C704" s="27" t="s">
        <v>3871</v>
      </c>
      <c r="D704" s="27"/>
      <c r="E704" s="27"/>
      <c r="F704" s="38"/>
      <c r="G704" s="407">
        <v>286.0</v>
      </c>
      <c r="H704" s="42">
        <v>3.0</v>
      </c>
      <c r="I704" s="42">
        <v>10.0</v>
      </c>
      <c r="J704" s="42">
        <v>1.0</v>
      </c>
      <c r="K704" s="42">
        <v>1.0</v>
      </c>
      <c r="L704" s="42">
        <v>0.0</v>
      </c>
      <c r="M704" s="27" t="s">
        <v>1046</v>
      </c>
      <c r="N704" s="27" t="s">
        <v>138</v>
      </c>
      <c r="O704" s="42">
        <v>15.0</v>
      </c>
      <c r="P704" s="27" t="s">
        <v>335</v>
      </c>
      <c r="Q704" s="42">
        <v>0.0</v>
      </c>
      <c r="R704" s="46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  <c r="AD704" s="129"/>
    </row>
    <row r="705" ht="14.25" customHeight="1">
      <c r="A705" s="211">
        <v>4.0</v>
      </c>
      <c r="B705" s="25" t="s">
        <v>2781</v>
      </c>
      <c r="C705" s="25" t="s">
        <v>3871</v>
      </c>
      <c r="D705" s="25"/>
      <c r="E705" s="25"/>
      <c r="F705" s="39"/>
      <c r="G705" s="418">
        <v>500.0</v>
      </c>
      <c r="H705" s="43">
        <v>3.0</v>
      </c>
      <c r="I705" s="43">
        <v>10.0</v>
      </c>
      <c r="J705" s="43">
        <v>0.0</v>
      </c>
      <c r="K705" s="43">
        <v>0.0</v>
      </c>
      <c r="L705" s="43">
        <v>0.0</v>
      </c>
      <c r="M705" s="25" t="s">
        <v>1046</v>
      </c>
      <c r="N705" s="25" t="s">
        <v>138</v>
      </c>
      <c r="O705" s="43">
        <v>15.0</v>
      </c>
      <c r="P705" s="25" t="s">
        <v>335</v>
      </c>
      <c r="Q705" s="43">
        <v>0.0</v>
      </c>
      <c r="R705" s="46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  <c r="AD705" s="129"/>
    </row>
    <row r="706" ht="14.25" customHeight="1">
      <c r="A706" s="211">
        <v>5.0</v>
      </c>
      <c r="B706" s="27" t="s">
        <v>3873</v>
      </c>
      <c r="C706" s="27" t="s">
        <v>3871</v>
      </c>
      <c r="D706" s="27"/>
      <c r="E706" s="27"/>
      <c r="F706" s="38"/>
      <c r="G706" s="407">
        <v>840.0</v>
      </c>
      <c r="H706" s="42">
        <v>5.0</v>
      </c>
      <c r="I706" s="42">
        <v>20.0</v>
      </c>
      <c r="J706" s="42">
        <v>0.0</v>
      </c>
      <c r="K706" s="42">
        <v>0.0</v>
      </c>
      <c r="L706" s="42">
        <v>8.0</v>
      </c>
      <c r="M706" s="27" t="s">
        <v>1046</v>
      </c>
      <c r="N706" s="27" t="s">
        <v>138</v>
      </c>
      <c r="O706" s="42">
        <v>25.0</v>
      </c>
      <c r="P706" s="27" t="s">
        <v>335</v>
      </c>
      <c r="Q706" s="42">
        <v>0.0</v>
      </c>
      <c r="R706" s="46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  <c r="AD706" s="129"/>
    </row>
    <row r="707" ht="14.25" customHeight="1">
      <c r="A707" s="211">
        <v>6.0</v>
      </c>
      <c r="B707" s="25" t="s">
        <v>2934</v>
      </c>
      <c r="C707" s="25" t="s">
        <v>3871</v>
      </c>
      <c r="D707" s="25"/>
      <c r="E707" s="25"/>
      <c r="F707" s="39"/>
      <c r="G707" s="418">
        <v>200.0</v>
      </c>
      <c r="H707" s="43">
        <v>10.0</v>
      </c>
      <c r="I707" s="43">
        <v>3.0</v>
      </c>
      <c r="J707" s="43">
        <v>1.0</v>
      </c>
      <c r="K707" s="43">
        <v>1.0</v>
      </c>
      <c r="L707" s="43">
        <v>1.0</v>
      </c>
      <c r="M707" s="25" t="s">
        <v>1046</v>
      </c>
      <c r="N707" s="25" t="s">
        <v>138</v>
      </c>
      <c r="O707" s="43">
        <v>15.0</v>
      </c>
      <c r="P707" s="25" t="s">
        <v>335</v>
      </c>
      <c r="Q707" s="43">
        <v>0.0</v>
      </c>
      <c r="R707" s="46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  <c r="AD707" s="129"/>
    </row>
    <row r="708" ht="14.25" customHeight="1">
      <c r="A708" s="211">
        <v>7.0</v>
      </c>
      <c r="B708" s="27" t="s">
        <v>3874</v>
      </c>
      <c r="C708" s="27" t="s">
        <v>3871</v>
      </c>
      <c r="D708" s="27"/>
      <c r="E708" s="27"/>
      <c r="F708" s="38"/>
      <c r="G708" s="407">
        <v>600.0</v>
      </c>
      <c r="H708" s="42">
        <v>5.0</v>
      </c>
      <c r="I708" s="42">
        <v>20.0</v>
      </c>
      <c r="J708" s="42">
        <v>0.0</v>
      </c>
      <c r="K708" s="42">
        <v>0.0</v>
      </c>
      <c r="L708" s="42">
        <v>1.0</v>
      </c>
      <c r="M708" s="27" t="s">
        <v>1046</v>
      </c>
      <c r="N708" s="27" t="s">
        <v>138</v>
      </c>
      <c r="O708" s="42">
        <v>25.0</v>
      </c>
      <c r="P708" s="27" t="s">
        <v>335</v>
      </c>
      <c r="Q708" s="42">
        <v>0.0</v>
      </c>
      <c r="R708" s="46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  <c r="AD708" s="129"/>
    </row>
    <row r="709" ht="14.25" customHeight="1">
      <c r="A709" s="211">
        <v>8.0</v>
      </c>
      <c r="B709" s="25" t="s">
        <v>3875</v>
      </c>
      <c r="C709" s="25" t="s">
        <v>3871</v>
      </c>
      <c r="D709" s="25"/>
      <c r="E709" s="25"/>
      <c r="F709" s="39"/>
      <c r="G709" s="418">
        <v>500.0</v>
      </c>
      <c r="H709" s="43">
        <v>2.0</v>
      </c>
      <c r="I709" s="43">
        <v>6.0</v>
      </c>
      <c r="J709" s="43">
        <v>0.0</v>
      </c>
      <c r="K709" s="43">
        <v>0.0</v>
      </c>
      <c r="L709" s="43">
        <v>0.0</v>
      </c>
      <c r="M709" s="25" t="s">
        <v>138</v>
      </c>
      <c r="N709" s="25" t="s">
        <v>138</v>
      </c>
      <c r="O709" s="43">
        <v>10.0</v>
      </c>
      <c r="P709" s="25" t="s">
        <v>335</v>
      </c>
      <c r="Q709" s="43">
        <v>0.0</v>
      </c>
      <c r="R709" s="46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  <c r="AD709" s="129"/>
    </row>
    <row r="710" ht="14.25" customHeight="1">
      <c r="A710" s="211">
        <v>9.0</v>
      </c>
      <c r="B710" s="27" t="s">
        <v>3876</v>
      </c>
      <c r="C710" s="27" t="s">
        <v>3871</v>
      </c>
      <c r="D710" s="27"/>
      <c r="E710" s="27"/>
      <c r="F710" s="38"/>
      <c r="G710" s="92">
        <v>2100.0</v>
      </c>
      <c r="H710" s="42">
        <v>10.0</v>
      </c>
      <c r="I710" s="42">
        <v>40.0</v>
      </c>
      <c r="J710" s="42">
        <v>1.0</v>
      </c>
      <c r="K710" s="42">
        <v>1.0</v>
      </c>
      <c r="L710" s="42">
        <v>0.0</v>
      </c>
      <c r="M710" s="27" t="s">
        <v>1046</v>
      </c>
      <c r="N710" s="27" t="s">
        <v>138</v>
      </c>
      <c r="O710" s="42">
        <v>50.0</v>
      </c>
      <c r="P710" s="27" t="s">
        <v>335</v>
      </c>
      <c r="Q710" s="42">
        <v>0.0</v>
      </c>
      <c r="R710" s="46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  <c r="AD710" s="129"/>
    </row>
    <row r="711" ht="14.25" customHeight="1">
      <c r="A711" s="211">
        <v>10.0</v>
      </c>
      <c r="B711" s="25" t="s">
        <v>801</v>
      </c>
      <c r="C711" s="25" t="s">
        <v>3871</v>
      </c>
      <c r="D711" s="25"/>
      <c r="E711" s="25"/>
      <c r="F711" s="39"/>
      <c r="G711" s="418">
        <v>124.0</v>
      </c>
      <c r="H711" s="43">
        <v>2.0</v>
      </c>
      <c r="I711" s="43">
        <v>4.0</v>
      </c>
      <c r="J711" s="43">
        <v>0.0</v>
      </c>
      <c r="K711" s="43">
        <v>0.0</v>
      </c>
      <c r="L711" s="43">
        <v>0.0</v>
      </c>
      <c r="M711" s="25" t="s">
        <v>1046</v>
      </c>
      <c r="N711" s="25" t="s">
        <v>138</v>
      </c>
      <c r="O711" s="43">
        <v>10.0</v>
      </c>
      <c r="P711" s="25" t="s">
        <v>335</v>
      </c>
      <c r="Q711" s="43">
        <v>0.0</v>
      </c>
      <c r="R711" s="46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  <c r="AD711" s="129"/>
    </row>
    <row r="712" ht="14.25" customHeight="1">
      <c r="A712" s="211">
        <v>11.0</v>
      </c>
      <c r="B712" s="27" t="s">
        <v>1319</v>
      </c>
      <c r="C712" s="27" t="s">
        <v>3877</v>
      </c>
      <c r="D712" s="27"/>
      <c r="E712" s="27"/>
      <c r="F712" s="38"/>
      <c r="G712" s="407">
        <v>60.0</v>
      </c>
      <c r="H712" s="42">
        <v>8.0</v>
      </c>
      <c r="I712" s="42">
        <v>30.0</v>
      </c>
      <c r="J712" s="42">
        <v>0.0</v>
      </c>
      <c r="K712" s="42">
        <v>0.0</v>
      </c>
      <c r="L712" s="42">
        <v>1.0</v>
      </c>
      <c r="M712" s="27" t="s">
        <v>27</v>
      </c>
      <c r="N712" s="27" t="s">
        <v>138</v>
      </c>
      <c r="O712" s="42">
        <v>40.0</v>
      </c>
      <c r="P712" s="27" t="s">
        <v>335</v>
      </c>
      <c r="Q712" s="42">
        <v>0.0</v>
      </c>
      <c r="R712" s="46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  <c r="AD712" s="129"/>
    </row>
    <row r="713" ht="14.25" customHeight="1">
      <c r="A713" s="211">
        <v>12.0</v>
      </c>
      <c r="B713" s="25" t="s">
        <v>1134</v>
      </c>
      <c r="C713" s="25" t="s">
        <v>3877</v>
      </c>
      <c r="D713" s="25"/>
      <c r="E713" s="25"/>
      <c r="F713" s="39"/>
      <c r="G713" s="418">
        <v>20.0</v>
      </c>
      <c r="H713" s="43">
        <v>2.0</v>
      </c>
      <c r="I713" s="43">
        <v>5.0</v>
      </c>
      <c r="J713" s="43">
        <v>0.0</v>
      </c>
      <c r="K713" s="43">
        <v>0.0</v>
      </c>
      <c r="L713" s="43">
        <v>1.0</v>
      </c>
      <c r="M713" s="25" t="s">
        <v>27</v>
      </c>
      <c r="N713" s="25" t="s">
        <v>138</v>
      </c>
      <c r="O713" s="43">
        <v>10.0</v>
      </c>
      <c r="P713" s="25" t="s">
        <v>335</v>
      </c>
      <c r="Q713" s="43">
        <v>0.0</v>
      </c>
      <c r="R713" s="46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  <c r="AD713" s="129"/>
    </row>
    <row r="714" ht="14.25" customHeight="1">
      <c r="A714" s="211">
        <v>13.0</v>
      </c>
      <c r="B714" s="27" t="s">
        <v>68</v>
      </c>
      <c r="C714" s="27" t="s">
        <v>3878</v>
      </c>
      <c r="D714" s="27"/>
      <c r="E714" s="27"/>
      <c r="F714" s="38"/>
      <c r="G714" s="92">
        <v>30.0</v>
      </c>
      <c r="H714" s="42">
        <v>2.0</v>
      </c>
      <c r="I714" s="42">
        <v>6.0</v>
      </c>
      <c r="J714" s="42">
        <v>0.0</v>
      </c>
      <c r="K714" s="42">
        <v>0.0</v>
      </c>
      <c r="L714" s="42">
        <v>1.0</v>
      </c>
      <c r="M714" s="27" t="s">
        <v>27</v>
      </c>
      <c r="N714" s="27" t="s">
        <v>138</v>
      </c>
      <c r="O714" s="42">
        <v>10.0</v>
      </c>
      <c r="P714" s="27" t="s">
        <v>335</v>
      </c>
      <c r="Q714" s="42">
        <v>0.0</v>
      </c>
      <c r="R714" s="46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  <c r="AD714" s="129"/>
    </row>
    <row r="715" ht="14.25" customHeight="1">
      <c r="A715" s="211">
        <v>14.0</v>
      </c>
      <c r="B715" s="25" t="s">
        <v>68</v>
      </c>
      <c r="C715" s="25" t="s">
        <v>3879</v>
      </c>
      <c r="D715" s="25"/>
      <c r="E715" s="25"/>
      <c r="F715" s="39"/>
      <c r="G715" s="418">
        <v>80.0</v>
      </c>
      <c r="H715" s="43">
        <v>2.0</v>
      </c>
      <c r="I715" s="43">
        <v>6.0</v>
      </c>
      <c r="J715" s="43">
        <v>0.0</v>
      </c>
      <c r="K715" s="43">
        <v>0.0</v>
      </c>
      <c r="L715" s="43">
        <v>1.0</v>
      </c>
      <c r="M715" s="25" t="s">
        <v>27</v>
      </c>
      <c r="N715" s="25" t="s">
        <v>138</v>
      </c>
      <c r="O715" s="43">
        <v>10.0</v>
      </c>
      <c r="P715" s="25" t="s">
        <v>335</v>
      </c>
      <c r="Q715" s="43">
        <v>0.0</v>
      </c>
      <c r="R715" s="46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  <c r="AD715" s="129"/>
    </row>
    <row r="716" ht="14.25" customHeight="1">
      <c r="A716" s="211">
        <v>15.0</v>
      </c>
      <c r="B716" s="27" t="s">
        <v>68</v>
      </c>
      <c r="C716" s="27" t="s">
        <v>3880</v>
      </c>
      <c r="D716" s="27"/>
      <c r="E716" s="27"/>
      <c r="F716" s="38"/>
      <c r="G716" s="407" t="s">
        <v>39</v>
      </c>
      <c r="H716" s="42">
        <v>2.0</v>
      </c>
      <c r="I716" s="42">
        <v>8.0</v>
      </c>
      <c r="J716" s="42">
        <v>0.0</v>
      </c>
      <c r="K716" s="42">
        <v>0.0</v>
      </c>
      <c r="L716" s="42">
        <v>1.0</v>
      </c>
      <c r="M716" s="27" t="s">
        <v>27</v>
      </c>
      <c r="N716" s="27" t="s">
        <v>138</v>
      </c>
      <c r="O716" s="42">
        <v>10.0</v>
      </c>
      <c r="P716" s="27" t="s">
        <v>335</v>
      </c>
      <c r="Q716" s="42">
        <v>0.0</v>
      </c>
      <c r="R716" s="46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  <c r="AD716" s="129"/>
    </row>
    <row r="717" ht="14.25" customHeight="1">
      <c r="A717" s="211">
        <v>16.0</v>
      </c>
      <c r="B717" s="25" t="s">
        <v>3881</v>
      </c>
      <c r="C717" s="25" t="s">
        <v>3882</v>
      </c>
      <c r="D717" s="25"/>
      <c r="E717" s="25"/>
      <c r="F717" s="39"/>
      <c r="G717" s="418">
        <v>154.0</v>
      </c>
      <c r="H717" s="43">
        <v>3.0</v>
      </c>
      <c r="I717" s="43">
        <v>10.0</v>
      </c>
      <c r="J717" s="43">
        <v>0.0</v>
      </c>
      <c r="K717" s="43">
        <v>0.0</v>
      </c>
      <c r="L717" s="43">
        <v>1.0</v>
      </c>
      <c r="M717" s="25" t="s">
        <v>27</v>
      </c>
      <c r="N717" s="25" t="s">
        <v>138</v>
      </c>
      <c r="O717" s="43">
        <v>15.0</v>
      </c>
      <c r="P717" s="25" t="s">
        <v>335</v>
      </c>
      <c r="Q717" s="43">
        <v>0.0</v>
      </c>
      <c r="R717" s="46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  <c r="AD717" s="129"/>
    </row>
    <row r="718" ht="14.25" customHeight="1">
      <c r="A718" s="211">
        <v>17.0</v>
      </c>
      <c r="B718" s="27" t="s">
        <v>3883</v>
      </c>
      <c r="C718" s="27" t="s">
        <v>3884</v>
      </c>
      <c r="D718" s="27"/>
      <c r="E718" s="27"/>
      <c r="F718" s="38"/>
      <c r="G718" s="92">
        <v>120.0</v>
      </c>
      <c r="H718" s="42">
        <v>8.0</v>
      </c>
      <c r="I718" s="42">
        <v>30.0</v>
      </c>
      <c r="J718" s="42">
        <v>0.0</v>
      </c>
      <c r="K718" s="42">
        <v>0.0</v>
      </c>
      <c r="L718" s="42">
        <v>1.0</v>
      </c>
      <c r="M718" s="27" t="s">
        <v>27</v>
      </c>
      <c r="N718" s="27" t="s">
        <v>138</v>
      </c>
      <c r="O718" s="42">
        <v>40.0</v>
      </c>
      <c r="P718" s="27" t="s">
        <v>335</v>
      </c>
      <c r="Q718" s="42">
        <v>0.0</v>
      </c>
      <c r="R718" s="46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  <c r="AD718" s="129"/>
    </row>
    <row r="719" ht="14.25" customHeight="1">
      <c r="A719" s="211">
        <v>18.0</v>
      </c>
      <c r="B719" s="25" t="s">
        <v>1134</v>
      </c>
      <c r="C719" s="25" t="s">
        <v>3884</v>
      </c>
      <c r="D719" s="25"/>
      <c r="E719" s="25"/>
      <c r="F719" s="39"/>
      <c r="G719" s="418">
        <v>90.0</v>
      </c>
      <c r="H719" s="43">
        <v>3.0</v>
      </c>
      <c r="I719" s="43">
        <v>9.0</v>
      </c>
      <c r="J719" s="43">
        <v>0.0</v>
      </c>
      <c r="K719" s="43">
        <v>0.0</v>
      </c>
      <c r="L719" s="43">
        <v>1.0</v>
      </c>
      <c r="M719" s="25" t="s">
        <v>27</v>
      </c>
      <c r="N719" s="25" t="s">
        <v>138</v>
      </c>
      <c r="O719" s="43">
        <v>15.0</v>
      </c>
      <c r="P719" s="25" t="s">
        <v>335</v>
      </c>
      <c r="Q719" s="43">
        <v>0.0</v>
      </c>
      <c r="R719" s="46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  <c r="AD719" s="129"/>
    </row>
    <row r="720" ht="14.25" customHeight="1">
      <c r="A720" s="211">
        <v>19.0</v>
      </c>
      <c r="B720" s="27" t="s">
        <v>2772</v>
      </c>
      <c r="C720" s="27" t="s">
        <v>3884</v>
      </c>
      <c r="D720" s="27"/>
      <c r="E720" s="27"/>
      <c r="F720" s="38"/>
      <c r="G720" s="407" t="s">
        <v>39</v>
      </c>
      <c r="H720" s="42">
        <v>2.0</v>
      </c>
      <c r="I720" s="42">
        <v>5.0</v>
      </c>
      <c r="J720" s="42">
        <v>0.0</v>
      </c>
      <c r="K720" s="42">
        <v>0.0</v>
      </c>
      <c r="L720" s="42">
        <v>1.0</v>
      </c>
      <c r="M720" s="27" t="s">
        <v>27</v>
      </c>
      <c r="N720" s="27" t="s">
        <v>138</v>
      </c>
      <c r="O720" s="42">
        <v>10.0</v>
      </c>
      <c r="P720" s="27" t="s">
        <v>335</v>
      </c>
      <c r="Q720" s="42">
        <v>0.0</v>
      </c>
      <c r="R720" s="46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  <c r="AD720" s="129"/>
    </row>
    <row r="721" ht="14.25" customHeight="1">
      <c r="A721" s="211">
        <v>20.0</v>
      </c>
      <c r="B721" s="25" t="s">
        <v>3885</v>
      </c>
      <c r="C721" s="25" t="s">
        <v>3884</v>
      </c>
      <c r="D721" s="25"/>
      <c r="E721" s="25"/>
      <c r="F721" s="39"/>
      <c r="G721" s="423">
        <v>80.0</v>
      </c>
      <c r="H721" s="43">
        <v>2.0</v>
      </c>
      <c r="I721" s="43">
        <v>6.0</v>
      </c>
      <c r="J721" s="43">
        <v>0.0</v>
      </c>
      <c r="K721" s="43">
        <v>0.0</v>
      </c>
      <c r="L721" s="43">
        <v>1.0</v>
      </c>
      <c r="M721" s="25" t="s">
        <v>27</v>
      </c>
      <c r="N721" s="25" t="s">
        <v>138</v>
      </c>
      <c r="O721" s="43">
        <v>10.0</v>
      </c>
      <c r="P721" s="25" t="s">
        <v>335</v>
      </c>
      <c r="Q721" s="43">
        <v>0.0</v>
      </c>
      <c r="R721" s="46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  <c r="AD721" s="129"/>
    </row>
    <row r="722" ht="14.25" customHeight="1">
      <c r="A722" s="211">
        <v>21.0</v>
      </c>
      <c r="B722" s="27" t="s">
        <v>2772</v>
      </c>
      <c r="C722" s="27" t="s">
        <v>3884</v>
      </c>
      <c r="D722" s="27"/>
      <c r="E722" s="27"/>
      <c r="F722" s="38"/>
      <c r="G722" s="92">
        <v>100.0</v>
      </c>
      <c r="H722" s="42">
        <v>2.0</v>
      </c>
      <c r="I722" s="42">
        <v>10.0</v>
      </c>
      <c r="J722" s="42">
        <v>0.0</v>
      </c>
      <c r="K722" s="42">
        <v>0.0</v>
      </c>
      <c r="L722" s="42">
        <v>1.0</v>
      </c>
      <c r="M722" s="27" t="s">
        <v>27</v>
      </c>
      <c r="N722" s="27" t="s">
        <v>138</v>
      </c>
      <c r="O722" s="42">
        <v>10.0</v>
      </c>
      <c r="P722" s="27" t="s">
        <v>335</v>
      </c>
      <c r="Q722" s="42">
        <v>0.0</v>
      </c>
      <c r="R722" s="46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  <c r="AD722" s="129"/>
    </row>
    <row r="723" ht="14.25" customHeight="1">
      <c r="A723" s="211">
        <v>22.0</v>
      </c>
      <c r="B723" s="25" t="s">
        <v>3886</v>
      </c>
      <c r="C723" s="25" t="s">
        <v>3887</v>
      </c>
      <c r="D723" s="25"/>
      <c r="E723" s="25"/>
      <c r="F723" s="39"/>
      <c r="G723" s="418">
        <v>200.0</v>
      </c>
      <c r="H723" s="43">
        <v>8.0</v>
      </c>
      <c r="I723" s="43">
        <v>30.0</v>
      </c>
      <c r="J723" s="43">
        <v>0.0</v>
      </c>
      <c r="K723" s="43">
        <v>0.0</v>
      </c>
      <c r="L723" s="43">
        <v>1.0</v>
      </c>
      <c r="M723" s="25" t="s">
        <v>3888</v>
      </c>
      <c r="N723" s="25" t="s">
        <v>138</v>
      </c>
      <c r="O723" s="43">
        <v>40.0</v>
      </c>
      <c r="P723" s="25" t="s">
        <v>335</v>
      </c>
      <c r="Q723" s="43">
        <v>0.0</v>
      </c>
      <c r="R723" s="46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  <c r="AD723" s="129"/>
    </row>
    <row r="724" ht="14.25" customHeight="1">
      <c r="A724" s="211">
        <v>23.0</v>
      </c>
      <c r="B724" s="27" t="s">
        <v>1134</v>
      </c>
      <c r="C724" s="27" t="s">
        <v>3889</v>
      </c>
      <c r="D724" s="27"/>
      <c r="E724" s="27"/>
      <c r="F724" s="38"/>
      <c r="G724" s="407" t="s">
        <v>39</v>
      </c>
      <c r="H724" s="42">
        <v>4.0</v>
      </c>
      <c r="I724" s="42">
        <v>15.0</v>
      </c>
      <c r="J724" s="42">
        <v>0.0</v>
      </c>
      <c r="K724" s="42">
        <v>0.0</v>
      </c>
      <c r="L724" s="42">
        <v>1.0</v>
      </c>
      <c r="M724" s="27" t="s">
        <v>3888</v>
      </c>
      <c r="N724" s="27" t="s">
        <v>138</v>
      </c>
      <c r="O724" s="42">
        <v>20.0</v>
      </c>
      <c r="P724" s="27" t="s">
        <v>335</v>
      </c>
      <c r="Q724" s="42">
        <v>0.0</v>
      </c>
      <c r="R724" s="46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  <c r="AD724" s="129"/>
    </row>
    <row r="725" ht="14.25" customHeight="1">
      <c r="A725" s="211">
        <v>24.0</v>
      </c>
      <c r="B725" s="25" t="s">
        <v>3883</v>
      </c>
      <c r="C725" s="25" t="s">
        <v>3890</v>
      </c>
      <c r="D725" s="25"/>
      <c r="E725" s="25"/>
      <c r="F725" s="39"/>
      <c r="G725" s="418">
        <v>50.0</v>
      </c>
      <c r="H725" s="43">
        <v>3.0</v>
      </c>
      <c r="I725" s="43">
        <v>12.0</v>
      </c>
      <c r="J725" s="43">
        <v>0.0</v>
      </c>
      <c r="K725" s="43">
        <v>0.0</v>
      </c>
      <c r="L725" s="43">
        <v>1.0</v>
      </c>
      <c r="M725" s="25" t="s">
        <v>27</v>
      </c>
      <c r="N725" s="25" t="s">
        <v>138</v>
      </c>
      <c r="O725" s="43">
        <v>15.0</v>
      </c>
      <c r="P725" s="25" t="s">
        <v>335</v>
      </c>
      <c r="Q725" s="43">
        <v>0.0</v>
      </c>
      <c r="R725" s="46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  <c r="AD725" s="129"/>
    </row>
    <row r="726" ht="14.25" customHeight="1">
      <c r="A726" s="211">
        <v>25.0</v>
      </c>
      <c r="B726" s="27" t="s">
        <v>2772</v>
      </c>
      <c r="C726" s="27" t="s">
        <v>3890</v>
      </c>
      <c r="D726" s="27"/>
      <c r="E726" s="27"/>
      <c r="F726" s="38"/>
      <c r="G726" s="407">
        <v>96.0</v>
      </c>
      <c r="H726" s="42">
        <v>5.0</v>
      </c>
      <c r="I726" s="42">
        <v>20.0</v>
      </c>
      <c r="J726" s="42">
        <v>0.0</v>
      </c>
      <c r="K726" s="42">
        <v>0.0</v>
      </c>
      <c r="L726" s="42">
        <v>1.0</v>
      </c>
      <c r="M726" s="27" t="s">
        <v>27</v>
      </c>
      <c r="N726" s="27" t="s">
        <v>138</v>
      </c>
      <c r="O726" s="42">
        <v>25.0</v>
      </c>
      <c r="P726" s="27" t="s">
        <v>335</v>
      </c>
      <c r="Q726" s="42">
        <v>0.0</v>
      </c>
      <c r="R726" s="46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  <c r="AD726" s="129"/>
    </row>
    <row r="727" ht="14.25" customHeight="1">
      <c r="A727" s="211">
        <v>26.0</v>
      </c>
      <c r="B727" s="25" t="s">
        <v>68</v>
      </c>
      <c r="C727" s="25" t="s">
        <v>3891</v>
      </c>
      <c r="D727" s="25"/>
      <c r="E727" s="25"/>
      <c r="F727" s="39"/>
      <c r="G727" s="418" t="s">
        <v>39</v>
      </c>
      <c r="H727" s="43">
        <v>2.0</v>
      </c>
      <c r="I727" s="43">
        <v>8.0</v>
      </c>
      <c r="J727" s="43">
        <v>0.0</v>
      </c>
      <c r="K727" s="43">
        <v>0.0</v>
      </c>
      <c r="L727" s="43">
        <v>1.0</v>
      </c>
      <c r="M727" s="25" t="s">
        <v>3892</v>
      </c>
      <c r="N727" s="25" t="s">
        <v>138</v>
      </c>
      <c r="O727" s="43">
        <v>10.0</v>
      </c>
      <c r="P727" s="25" t="s">
        <v>335</v>
      </c>
      <c r="Q727" s="43">
        <v>0.0</v>
      </c>
      <c r="R727" s="46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  <c r="AD727" s="129"/>
    </row>
    <row r="728" ht="14.25" customHeight="1">
      <c r="A728" s="211">
        <v>27.0</v>
      </c>
      <c r="B728" s="27" t="s">
        <v>1142</v>
      </c>
      <c r="C728" s="27" t="s">
        <v>3891</v>
      </c>
      <c r="D728" s="27"/>
      <c r="E728" s="27"/>
      <c r="F728" s="38"/>
      <c r="G728" s="407" t="s">
        <v>39</v>
      </c>
      <c r="H728" s="42">
        <v>1.0</v>
      </c>
      <c r="I728" s="42">
        <v>4.0</v>
      </c>
      <c r="J728" s="42">
        <v>0.0</v>
      </c>
      <c r="K728" s="42">
        <v>0.0</v>
      </c>
      <c r="L728" s="42">
        <v>1.0</v>
      </c>
      <c r="M728" s="27" t="s">
        <v>27</v>
      </c>
      <c r="N728" s="27" t="s">
        <v>138</v>
      </c>
      <c r="O728" s="42">
        <v>5.0</v>
      </c>
      <c r="P728" s="27" t="s">
        <v>335</v>
      </c>
      <c r="Q728" s="42">
        <v>0.0</v>
      </c>
      <c r="R728" s="46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</row>
    <row r="729" ht="14.25" customHeight="1">
      <c r="A729" s="211">
        <v>28.0</v>
      </c>
      <c r="B729" s="25" t="s">
        <v>68</v>
      </c>
      <c r="C729" s="25" t="s">
        <v>3893</v>
      </c>
      <c r="D729" s="25"/>
      <c r="E729" s="25"/>
      <c r="F729" s="39"/>
      <c r="G729" s="418">
        <v>720.0</v>
      </c>
      <c r="H729" s="43">
        <v>2.0</v>
      </c>
      <c r="I729" s="43">
        <v>8.0</v>
      </c>
      <c r="J729" s="43">
        <v>0.0</v>
      </c>
      <c r="K729" s="43">
        <v>0.0</v>
      </c>
      <c r="L729" s="43">
        <v>1.0</v>
      </c>
      <c r="M729" s="25" t="s">
        <v>27</v>
      </c>
      <c r="N729" s="25" t="s">
        <v>138</v>
      </c>
      <c r="O729" s="43">
        <v>10.0</v>
      </c>
      <c r="P729" s="25" t="s">
        <v>335</v>
      </c>
      <c r="Q729" s="43">
        <v>0.0</v>
      </c>
      <c r="R729" s="46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</row>
    <row r="730" ht="14.25" customHeight="1">
      <c r="A730" s="211">
        <v>29.0</v>
      </c>
      <c r="B730" s="27" t="s">
        <v>1134</v>
      </c>
      <c r="C730" s="27" t="s">
        <v>3893</v>
      </c>
      <c r="D730" s="27"/>
      <c r="E730" s="27"/>
      <c r="F730" s="38"/>
      <c r="G730" s="407">
        <v>80.0</v>
      </c>
      <c r="H730" s="42">
        <v>1.0</v>
      </c>
      <c r="I730" s="42">
        <v>4.0</v>
      </c>
      <c r="J730" s="42">
        <v>0.0</v>
      </c>
      <c r="K730" s="42">
        <v>0.0</v>
      </c>
      <c r="L730" s="42">
        <v>1.0</v>
      </c>
      <c r="M730" s="27" t="s">
        <v>27</v>
      </c>
      <c r="N730" s="27" t="s">
        <v>138</v>
      </c>
      <c r="O730" s="42">
        <v>5.0</v>
      </c>
      <c r="P730" s="27" t="s">
        <v>335</v>
      </c>
      <c r="Q730" s="42">
        <v>0.0</v>
      </c>
      <c r="R730" s="46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</row>
    <row r="731" ht="14.25" customHeight="1">
      <c r="A731" s="211">
        <v>30.0</v>
      </c>
      <c r="B731" s="25" t="s">
        <v>2772</v>
      </c>
      <c r="C731" s="25" t="s">
        <v>3893</v>
      </c>
      <c r="D731" s="25"/>
      <c r="E731" s="25"/>
      <c r="F731" s="39"/>
      <c r="G731" s="418">
        <v>63.0</v>
      </c>
      <c r="H731" s="43">
        <v>1.0</v>
      </c>
      <c r="I731" s="43">
        <v>3.0</v>
      </c>
      <c r="J731" s="43">
        <v>0.0</v>
      </c>
      <c r="K731" s="43">
        <v>0.0</v>
      </c>
      <c r="L731" s="43">
        <v>1.0</v>
      </c>
      <c r="M731" s="25" t="s">
        <v>27</v>
      </c>
      <c r="N731" s="25" t="s">
        <v>138</v>
      </c>
      <c r="O731" s="43">
        <v>5.0</v>
      </c>
      <c r="P731" s="25" t="s">
        <v>335</v>
      </c>
      <c r="Q731" s="43">
        <v>0.0</v>
      </c>
      <c r="R731" s="46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</row>
    <row r="732" ht="14.25" customHeight="1">
      <c r="A732" s="211">
        <v>31.0</v>
      </c>
      <c r="B732" s="27" t="s">
        <v>68</v>
      </c>
      <c r="C732" s="27" t="s">
        <v>3894</v>
      </c>
      <c r="D732" s="27"/>
      <c r="E732" s="27"/>
      <c r="F732" s="38"/>
      <c r="G732" s="407">
        <v>388.0</v>
      </c>
      <c r="H732" s="42">
        <v>2.0</v>
      </c>
      <c r="I732" s="42">
        <v>8.0</v>
      </c>
      <c r="J732" s="42">
        <v>0.0</v>
      </c>
      <c r="K732" s="42">
        <v>0.0</v>
      </c>
      <c r="L732" s="42">
        <v>1.0</v>
      </c>
      <c r="M732" s="27" t="s">
        <v>27</v>
      </c>
      <c r="N732" s="27" t="s">
        <v>138</v>
      </c>
      <c r="O732" s="42">
        <v>10.0</v>
      </c>
      <c r="P732" s="27" t="s">
        <v>335</v>
      </c>
      <c r="Q732" s="42">
        <v>0.0</v>
      </c>
      <c r="R732" s="46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</row>
    <row r="733" ht="14.25" customHeight="1">
      <c r="A733" s="211">
        <v>32.0</v>
      </c>
      <c r="B733" s="25" t="s">
        <v>68</v>
      </c>
      <c r="C733" s="25" t="s">
        <v>3895</v>
      </c>
      <c r="D733" s="25"/>
      <c r="E733" s="25"/>
      <c r="F733" s="39"/>
      <c r="G733" s="418">
        <v>28.0</v>
      </c>
      <c r="H733" s="43">
        <v>1.0</v>
      </c>
      <c r="I733" s="43">
        <v>2.0</v>
      </c>
      <c r="J733" s="43">
        <v>0.0</v>
      </c>
      <c r="K733" s="43">
        <v>0.0</v>
      </c>
      <c r="L733" s="43">
        <v>1.0</v>
      </c>
      <c r="M733" s="25" t="s">
        <v>27</v>
      </c>
      <c r="N733" s="25" t="s">
        <v>138</v>
      </c>
      <c r="O733" s="43">
        <v>5.0</v>
      </c>
      <c r="P733" s="25" t="s">
        <v>335</v>
      </c>
      <c r="Q733" s="43">
        <v>0.0</v>
      </c>
      <c r="R733" s="46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</row>
    <row r="734" ht="14.25" customHeight="1">
      <c r="A734" s="211">
        <v>33.0</v>
      </c>
      <c r="B734" s="27" t="s">
        <v>1142</v>
      </c>
      <c r="C734" s="27" t="s">
        <v>3895</v>
      </c>
      <c r="D734" s="27"/>
      <c r="E734" s="27"/>
      <c r="F734" s="38"/>
      <c r="G734" s="407">
        <v>28.0</v>
      </c>
      <c r="H734" s="42">
        <v>1.0</v>
      </c>
      <c r="I734" s="42">
        <v>2.0</v>
      </c>
      <c r="J734" s="42">
        <v>0.0</v>
      </c>
      <c r="K734" s="42">
        <v>0.0</v>
      </c>
      <c r="L734" s="42">
        <v>1.0</v>
      </c>
      <c r="M734" s="27" t="s">
        <v>27</v>
      </c>
      <c r="N734" s="27" t="s">
        <v>138</v>
      </c>
      <c r="O734" s="42">
        <v>5.0</v>
      </c>
      <c r="P734" s="27" t="s">
        <v>335</v>
      </c>
      <c r="Q734" s="42">
        <v>0.0</v>
      </c>
      <c r="R734" s="46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</row>
    <row r="735" ht="14.25" customHeight="1">
      <c r="A735" s="211">
        <v>34.0</v>
      </c>
      <c r="B735" s="25" t="s">
        <v>68</v>
      </c>
      <c r="C735" s="25" t="s">
        <v>3896</v>
      </c>
      <c r="D735" s="25"/>
      <c r="E735" s="25"/>
      <c r="F735" s="39"/>
      <c r="G735" s="418">
        <v>220.0</v>
      </c>
      <c r="H735" s="43">
        <v>10.0</v>
      </c>
      <c r="I735" s="43">
        <v>40.0</v>
      </c>
      <c r="J735" s="43">
        <v>0.0</v>
      </c>
      <c r="K735" s="43">
        <v>0.0</v>
      </c>
      <c r="L735" s="43">
        <v>1.0</v>
      </c>
      <c r="M735" s="25" t="s">
        <v>27</v>
      </c>
      <c r="N735" s="25" t="s">
        <v>138</v>
      </c>
      <c r="O735" s="43">
        <v>50.0</v>
      </c>
      <c r="P735" s="25" t="s">
        <v>335</v>
      </c>
      <c r="Q735" s="43">
        <v>0.0</v>
      </c>
      <c r="R735" s="46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</row>
    <row r="736" ht="14.25" customHeight="1">
      <c r="A736" s="211">
        <v>35.0</v>
      </c>
      <c r="B736" s="27" t="s">
        <v>1134</v>
      </c>
      <c r="C736" s="27" t="s">
        <v>3897</v>
      </c>
      <c r="D736" s="27"/>
      <c r="E736" s="27"/>
      <c r="F736" s="38"/>
      <c r="G736" s="407">
        <v>56.0</v>
      </c>
      <c r="H736" s="42">
        <v>1.0</v>
      </c>
      <c r="I736" s="42">
        <v>2.0</v>
      </c>
      <c r="J736" s="42">
        <v>0.0</v>
      </c>
      <c r="K736" s="42">
        <v>0.0</v>
      </c>
      <c r="L736" s="42">
        <v>1.0</v>
      </c>
      <c r="M736" s="27" t="s">
        <v>27</v>
      </c>
      <c r="N736" s="27" t="s">
        <v>138</v>
      </c>
      <c r="O736" s="42">
        <v>5.0</v>
      </c>
      <c r="P736" s="27" t="s">
        <v>335</v>
      </c>
      <c r="Q736" s="42">
        <v>0.0</v>
      </c>
      <c r="R736" s="46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</row>
    <row r="737" ht="14.25" customHeight="1">
      <c r="A737" s="211">
        <v>36.0</v>
      </c>
      <c r="B737" s="25" t="s">
        <v>3898</v>
      </c>
      <c r="C737" s="25" t="s">
        <v>3899</v>
      </c>
      <c r="D737" s="25"/>
      <c r="E737" s="25"/>
      <c r="F737" s="39"/>
      <c r="G737" s="418">
        <v>150.0</v>
      </c>
      <c r="H737" s="43">
        <v>15.0</v>
      </c>
      <c r="I737" s="43">
        <v>60.0</v>
      </c>
      <c r="J737" s="43">
        <v>0.0</v>
      </c>
      <c r="K737" s="43">
        <v>0.0</v>
      </c>
      <c r="L737" s="43">
        <v>1.0</v>
      </c>
      <c r="M737" s="25" t="s">
        <v>27</v>
      </c>
      <c r="N737" s="25" t="s">
        <v>138</v>
      </c>
      <c r="O737" s="43">
        <v>75.0</v>
      </c>
      <c r="P737" s="25" t="s">
        <v>335</v>
      </c>
      <c r="Q737" s="43">
        <v>0.0</v>
      </c>
      <c r="R737" s="46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</row>
    <row r="738" ht="14.25" customHeight="1">
      <c r="A738" s="211">
        <v>37.0</v>
      </c>
      <c r="B738" s="27" t="s">
        <v>3900</v>
      </c>
      <c r="C738" s="27" t="s">
        <v>3899</v>
      </c>
      <c r="D738" s="27"/>
      <c r="E738" s="27"/>
      <c r="F738" s="38"/>
      <c r="G738" s="92">
        <v>95.0</v>
      </c>
      <c r="H738" s="42">
        <v>15.0</v>
      </c>
      <c r="I738" s="42">
        <v>60.0</v>
      </c>
      <c r="J738" s="42">
        <v>0.0</v>
      </c>
      <c r="K738" s="42">
        <v>0.0</v>
      </c>
      <c r="L738" s="42">
        <v>1.0</v>
      </c>
      <c r="M738" s="27" t="s">
        <v>27</v>
      </c>
      <c r="N738" s="27" t="s">
        <v>138</v>
      </c>
      <c r="O738" s="42">
        <v>75.0</v>
      </c>
      <c r="P738" s="27" t="s">
        <v>335</v>
      </c>
      <c r="Q738" s="42">
        <v>0.0</v>
      </c>
      <c r="R738" s="46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</row>
    <row r="739" ht="14.25" customHeight="1">
      <c r="A739" s="211">
        <v>38.0</v>
      </c>
      <c r="B739" s="25" t="s">
        <v>3901</v>
      </c>
      <c r="C739" s="25" t="s">
        <v>3902</v>
      </c>
      <c r="D739" s="25"/>
      <c r="E739" s="25"/>
      <c r="F739" s="39"/>
      <c r="G739" s="418">
        <v>16.0</v>
      </c>
      <c r="H739" s="43">
        <v>3.0</v>
      </c>
      <c r="I739" s="43">
        <v>10.0</v>
      </c>
      <c r="J739" s="43">
        <v>0.0</v>
      </c>
      <c r="K739" s="43">
        <v>0.0</v>
      </c>
      <c r="L739" s="43">
        <v>1.0</v>
      </c>
      <c r="M739" s="25" t="s">
        <v>27</v>
      </c>
      <c r="N739" s="25" t="s">
        <v>138</v>
      </c>
      <c r="O739" s="43">
        <v>15.0</v>
      </c>
      <c r="P739" s="25" t="s">
        <v>335</v>
      </c>
      <c r="Q739" s="43">
        <v>0.0</v>
      </c>
      <c r="R739" s="46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</row>
    <row r="740" ht="14.25" customHeight="1">
      <c r="A740" s="211">
        <v>39.0</v>
      </c>
      <c r="B740" s="27" t="s">
        <v>3903</v>
      </c>
      <c r="C740" s="27" t="s">
        <v>3899</v>
      </c>
      <c r="D740" s="27"/>
      <c r="E740" s="27"/>
      <c r="F740" s="38"/>
      <c r="G740" s="407">
        <v>16.0</v>
      </c>
      <c r="H740" s="42">
        <v>1.0</v>
      </c>
      <c r="I740" s="42">
        <v>2.0</v>
      </c>
      <c r="J740" s="42">
        <v>0.0</v>
      </c>
      <c r="K740" s="42">
        <v>0.0</v>
      </c>
      <c r="L740" s="42">
        <v>1.0</v>
      </c>
      <c r="M740" s="27" t="s">
        <v>27</v>
      </c>
      <c r="N740" s="27" t="s">
        <v>138</v>
      </c>
      <c r="O740" s="42">
        <v>5.0</v>
      </c>
      <c r="P740" s="27" t="s">
        <v>335</v>
      </c>
      <c r="Q740" s="42">
        <v>0.0</v>
      </c>
      <c r="R740" s="46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</row>
    <row r="741" ht="14.25" customHeight="1">
      <c r="A741" s="211">
        <v>40.0</v>
      </c>
      <c r="B741" s="25" t="s">
        <v>1134</v>
      </c>
      <c r="C741" s="25" t="s">
        <v>3904</v>
      </c>
      <c r="D741" s="25"/>
      <c r="E741" s="25"/>
      <c r="F741" s="39"/>
      <c r="G741" s="418">
        <v>16.0</v>
      </c>
      <c r="H741" s="43">
        <v>3.0</v>
      </c>
      <c r="I741" s="43">
        <v>10.0</v>
      </c>
      <c r="J741" s="43">
        <v>0.0</v>
      </c>
      <c r="K741" s="43">
        <v>0.0</v>
      </c>
      <c r="L741" s="43">
        <v>1.0</v>
      </c>
      <c r="M741" s="25" t="s">
        <v>27</v>
      </c>
      <c r="N741" s="25" t="s">
        <v>138</v>
      </c>
      <c r="O741" s="43">
        <v>15.0</v>
      </c>
      <c r="P741" s="25" t="s">
        <v>335</v>
      </c>
      <c r="Q741" s="43">
        <v>0.0</v>
      </c>
      <c r="R741" s="46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</row>
    <row r="742" ht="14.25" customHeight="1">
      <c r="A742" s="211">
        <v>41.0</v>
      </c>
      <c r="B742" s="27" t="s">
        <v>3886</v>
      </c>
      <c r="C742" s="27" t="s">
        <v>3905</v>
      </c>
      <c r="D742" s="27"/>
      <c r="E742" s="27"/>
      <c r="F742" s="38"/>
      <c r="G742" s="92">
        <v>150.0</v>
      </c>
      <c r="H742" s="42">
        <v>13.0</v>
      </c>
      <c r="I742" s="42">
        <v>50.0</v>
      </c>
      <c r="J742" s="42">
        <v>0.0</v>
      </c>
      <c r="K742" s="42">
        <v>0.0</v>
      </c>
      <c r="L742" s="42">
        <v>1.0</v>
      </c>
      <c r="M742" s="27" t="s">
        <v>27</v>
      </c>
      <c r="N742" s="27" t="s">
        <v>138</v>
      </c>
      <c r="O742" s="42">
        <v>65.0</v>
      </c>
      <c r="P742" s="27" t="s">
        <v>335</v>
      </c>
      <c r="Q742" s="42">
        <v>0.0</v>
      </c>
      <c r="R742" s="46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  <c r="AD742" s="129"/>
    </row>
    <row r="743" ht="14.25" customHeight="1">
      <c r="A743" s="211">
        <v>42.0</v>
      </c>
      <c r="B743" s="25" t="s">
        <v>3886</v>
      </c>
      <c r="C743" s="25" t="s">
        <v>3905</v>
      </c>
      <c r="D743" s="25"/>
      <c r="E743" s="25"/>
      <c r="F743" s="39"/>
      <c r="G743" s="418">
        <v>54.0</v>
      </c>
      <c r="H743" s="43">
        <v>3.0</v>
      </c>
      <c r="I743" s="43">
        <v>10.0</v>
      </c>
      <c r="J743" s="43">
        <v>0.0</v>
      </c>
      <c r="K743" s="43">
        <v>0.0</v>
      </c>
      <c r="L743" s="43">
        <v>1.0</v>
      </c>
      <c r="M743" s="25" t="s">
        <v>27</v>
      </c>
      <c r="N743" s="25" t="s">
        <v>138</v>
      </c>
      <c r="O743" s="43">
        <v>15.0</v>
      </c>
      <c r="P743" s="25" t="s">
        <v>335</v>
      </c>
      <c r="Q743" s="43">
        <v>0.0</v>
      </c>
      <c r="R743" s="46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  <c r="AD743" s="129"/>
    </row>
    <row r="744" ht="14.25" customHeight="1">
      <c r="A744" s="211">
        <v>43.0</v>
      </c>
      <c r="B744" s="27" t="s">
        <v>1142</v>
      </c>
      <c r="C744" s="27" t="s">
        <v>3905</v>
      </c>
      <c r="D744" s="27"/>
      <c r="E744" s="27"/>
      <c r="F744" s="38"/>
      <c r="G744" s="407" t="s">
        <v>39</v>
      </c>
      <c r="H744" s="42">
        <v>2.0</v>
      </c>
      <c r="I744" s="42">
        <v>7.0</v>
      </c>
      <c r="J744" s="42">
        <v>0.0</v>
      </c>
      <c r="K744" s="42">
        <v>0.0</v>
      </c>
      <c r="L744" s="42">
        <v>1.0</v>
      </c>
      <c r="M744" s="27" t="s">
        <v>27</v>
      </c>
      <c r="N744" s="27" t="s">
        <v>138</v>
      </c>
      <c r="O744" s="42">
        <v>10.0</v>
      </c>
      <c r="P744" s="27" t="s">
        <v>335</v>
      </c>
      <c r="Q744" s="42">
        <v>0.0</v>
      </c>
      <c r="R744" s="46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  <c r="AD744" s="129"/>
    </row>
    <row r="745" ht="14.25" customHeight="1">
      <c r="A745" s="211">
        <v>44.0</v>
      </c>
      <c r="B745" s="25" t="s">
        <v>1134</v>
      </c>
      <c r="C745" s="25" t="s">
        <v>3905</v>
      </c>
      <c r="D745" s="25"/>
      <c r="E745" s="25"/>
      <c r="F745" s="39"/>
      <c r="G745" s="418">
        <v>40.0</v>
      </c>
      <c r="H745" s="43">
        <v>1.0</v>
      </c>
      <c r="I745" s="43">
        <v>5.0</v>
      </c>
      <c r="J745" s="43">
        <v>0.0</v>
      </c>
      <c r="K745" s="43">
        <v>0.0</v>
      </c>
      <c r="L745" s="43">
        <v>1.0</v>
      </c>
      <c r="M745" s="25" t="s">
        <v>27</v>
      </c>
      <c r="N745" s="25" t="s">
        <v>138</v>
      </c>
      <c r="O745" s="43">
        <v>5.0</v>
      </c>
      <c r="P745" s="25" t="s">
        <v>335</v>
      </c>
      <c r="Q745" s="43">
        <v>0.0</v>
      </c>
      <c r="R745" s="46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  <c r="AD745" s="129"/>
    </row>
    <row r="746" ht="14.25" customHeight="1">
      <c r="A746" s="211">
        <v>45.0</v>
      </c>
      <c r="B746" s="27" t="s">
        <v>68</v>
      </c>
      <c r="C746" s="27" t="s">
        <v>3906</v>
      </c>
      <c r="D746" s="27"/>
      <c r="E746" s="27"/>
      <c r="F746" s="38"/>
      <c r="G746" s="407">
        <v>100.0</v>
      </c>
      <c r="H746" s="42">
        <v>5.0</v>
      </c>
      <c r="I746" s="42">
        <v>20.0</v>
      </c>
      <c r="J746" s="42">
        <v>0.0</v>
      </c>
      <c r="K746" s="42">
        <v>0.0</v>
      </c>
      <c r="L746" s="42">
        <v>1.0</v>
      </c>
      <c r="M746" s="27" t="s">
        <v>3888</v>
      </c>
      <c r="N746" s="27" t="s">
        <v>138</v>
      </c>
      <c r="O746" s="42">
        <v>25.0</v>
      </c>
      <c r="P746" s="27" t="s">
        <v>335</v>
      </c>
      <c r="Q746" s="42">
        <v>0.0</v>
      </c>
      <c r="R746" s="46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  <c r="AD746" s="129"/>
    </row>
    <row r="747" ht="14.25" customHeight="1">
      <c r="A747" s="211">
        <v>46.0</v>
      </c>
      <c r="B747" s="25" t="s">
        <v>3907</v>
      </c>
      <c r="C747" s="25" t="s">
        <v>3906</v>
      </c>
      <c r="D747" s="25"/>
      <c r="E747" s="25"/>
      <c r="F747" s="39"/>
      <c r="G747" s="418">
        <v>100.0</v>
      </c>
      <c r="H747" s="43">
        <v>25.0</v>
      </c>
      <c r="I747" s="43">
        <v>100.0</v>
      </c>
      <c r="J747" s="43">
        <v>1.0</v>
      </c>
      <c r="K747" s="43">
        <v>1.0</v>
      </c>
      <c r="L747" s="43">
        <v>0.0</v>
      </c>
      <c r="M747" s="25" t="s">
        <v>3888</v>
      </c>
      <c r="N747" s="25" t="s">
        <v>138</v>
      </c>
      <c r="O747" s="43">
        <v>125.0</v>
      </c>
      <c r="P747" s="25" t="s">
        <v>335</v>
      </c>
      <c r="Q747" s="43">
        <v>0.0</v>
      </c>
      <c r="R747" s="46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  <c r="AD747" s="129"/>
    </row>
    <row r="748" ht="14.25" customHeight="1">
      <c r="A748" s="211">
        <v>47.0</v>
      </c>
      <c r="B748" s="27" t="s">
        <v>1134</v>
      </c>
      <c r="C748" s="27" t="s">
        <v>3906</v>
      </c>
      <c r="D748" s="27"/>
      <c r="E748" s="27"/>
      <c r="F748" s="38"/>
      <c r="G748" s="407" t="s">
        <v>39</v>
      </c>
      <c r="H748" s="42">
        <v>1.0</v>
      </c>
      <c r="I748" s="42">
        <v>2.0</v>
      </c>
      <c r="J748" s="42">
        <v>0.0</v>
      </c>
      <c r="K748" s="42">
        <v>0.0</v>
      </c>
      <c r="L748" s="42">
        <v>1.0</v>
      </c>
      <c r="M748" s="27" t="s">
        <v>3888</v>
      </c>
      <c r="N748" s="27" t="s">
        <v>138</v>
      </c>
      <c r="O748" s="42">
        <v>5.0</v>
      </c>
      <c r="P748" s="27" t="s">
        <v>335</v>
      </c>
      <c r="Q748" s="42">
        <v>0.0</v>
      </c>
      <c r="R748" s="46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  <c r="AD748" s="129"/>
    </row>
    <row r="749" ht="14.25" customHeight="1">
      <c r="A749" s="211">
        <v>48.0</v>
      </c>
      <c r="B749" s="25" t="s">
        <v>68</v>
      </c>
      <c r="C749" s="25" t="s">
        <v>3908</v>
      </c>
      <c r="D749" s="25"/>
      <c r="E749" s="25"/>
      <c r="F749" s="39"/>
      <c r="G749" s="418">
        <v>120.0</v>
      </c>
      <c r="H749" s="43">
        <v>2.0</v>
      </c>
      <c r="I749" s="43">
        <v>7.0</v>
      </c>
      <c r="J749" s="43">
        <v>0.0</v>
      </c>
      <c r="K749" s="43">
        <v>0.0</v>
      </c>
      <c r="L749" s="43">
        <v>1.0</v>
      </c>
      <c r="M749" s="25" t="s">
        <v>27</v>
      </c>
      <c r="N749" s="25" t="s">
        <v>138</v>
      </c>
      <c r="O749" s="43">
        <v>10.0</v>
      </c>
      <c r="P749" s="25" t="s">
        <v>335</v>
      </c>
      <c r="Q749" s="43">
        <v>0.0</v>
      </c>
      <c r="R749" s="46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  <c r="AD749" s="129"/>
    </row>
    <row r="750" ht="14.25" customHeight="1">
      <c r="A750" s="211">
        <v>49.0</v>
      </c>
      <c r="B750" s="27" t="s">
        <v>2772</v>
      </c>
      <c r="C750" s="27" t="s">
        <v>3908</v>
      </c>
      <c r="D750" s="27"/>
      <c r="E750" s="27"/>
      <c r="F750" s="38"/>
      <c r="G750" s="92">
        <v>288.0</v>
      </c>
      <c r="H750" s="42">
        <v>5.0</v>
      </c>
      <c r="I750" s="42">
        <v>20.0</v>
      </c>
      <c r="J750" s="42">
        <v>0.0</v>
      </c>
      <c r="K750" s="42">
        <v>0.0</v>
      </c>
      <c r="L750" s="42">
        <v>1.0</v>
      </c>
      <c r="M750" s="27" t="s">
        <v>27</v>
      </c>
      <c r="N750" s="27" t="s">
        <v>138</v>
      </c>
      <c r="O750" s="42">
        <v>25.0</v>
      </c>
      <c r="P750" s="27" t="s">
        <v>335</v>
      </c>
      <c r="Q750" s="42">
        <v>0.0</v>
      </c>
      <c r="R750" s="46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  <c r="AD750" s="129"/>
    </row>
    <row r="751" ht="14.25" customHeight="1">
      <c r="A751" s="211">
        <v>50.0</v>
      </c>
      <c r="B751" s="25" t="s">
        <v>68</v>
      </c>
      <c r="C751" s="25" t="s">
        <v>3871</v>
      </c>
      <c r="D751" s="25"/>
      <c r="E751" s="25"/>
      <c r="F751" s="39"/>
      <c r="G751" s="418">
        <v>72.0</v>
      </c>
      <c r="H751" s="43">
        <v>1.0</v>
      </c>
      <c r="I751" s="43">
        <v>5.0</v>
      </c>
      <c r="J751" s="43">
        <v>0.0</v>
      </c>
      <c r="K751" s="43">
        <v>0.0</v>
      </c>
      <c r="L751" s="43">
        <v>1.0</v>
      </c>
      <c r="M751" s="25" t="s">
        <v>27</v>
      </c>
      <c r="N751" s="25" t="s">
        <v>138</v>
      </c>
      <c r="O751" s="43">
        <v>5.0</v>
      </c>
      <c r="P751" s="25" t="s">
        <v>335</v>
      </c>
      <c r="Q751" s="43">
        <v>0.0</v>
      </c>
      <c r="R751" s="46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  <c r="AD751" s="129"/>
    </row>
    <row r="752" ht="14.25" customHeight="1">
      <c r="A752" s="211">
        <v>51.0</v>
      </c>
      <c r="B752" s="27" t="s">
        <v>68</v>
      </c>
      <c r="C752" s="27" t="s">
        <v>3871</v>
      </c>
      <c r="D752" s="27"/>
      <c r="E752" s="27"/>
      <c r="F752" s="38"/>
      <c r="G752" s="407">
        <v>72.0</v>
      </c>
      <c r="H752" s="42">
        <v>2.0</v>
      </c>
      <c r="I752" s="42">
        <v>6.0</v>
      </c>
      <c r="J752" s="42">
        <v>0.0</v>
      </c>
      <c r="K752" s="42">
        <v>0.0</v>
      </c>
      <c r="L752" s="42">
        <v>1.0</v>
      </c>
      <c r="M752" s="27" t="s">
        <v>27</v>
      </c>
      <c r="N752" s="27" t="s">
        <v>138</v>
      </c>
      <c r="O752" s="42">
        <v>10.0</v>
      </c>
      <c r="P752" s="27" t="s">
        <v>335</v>
      </c>
      <c r="Q752" s="42">
        <v>0.0</v>
      </c>
      <c r="R752" s="46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  <c r="AD752" s="129"/>
    </row>
    <row r="753" ht="14.25" customHeight="1">
      <c r="A753" s="211">
        <v>52.0</v>
      </c>
      <c r="B753" s="25" t="s">
        <v>3909</v>
      </c>
      <c r="C753" s="25" t="s">
        <v>3871</v>
      </c>
      <c r="D753" s="25"/>
      <c r="E753" s="25"/>
      <c r="F753" s="39"/>
      <c r="G753" s="418">
        <v>36.0</v>
      </c>
      <c r="H753" s="43">
        <v>1.0</v>
      </c>
      <c r="I753" s="43">
        <v>4.0</v>
      </c>
      <c r="J753" s="43">
        <v>0.0</v>
      </c>
      <c r="K753" s="43">
        <v>0.0</v>
      </c>
      <c r="L753" s="43">
        <v>1.0</v>
      </c>
      <c r="M753" s="25" t="s">
        <v>27</v>
      </c>
      <c r="N753" s="25" t="s">
        <v>138</v>
      </c>
      <c r="O753" s="43">
        <v>5.0</v>
      </c>
      <c r="P753" s="25" t="s">
        <v>335</v>
      </c>
      <c r="Q753" s="43">
        <v>0.0</v>
      </c>
      <c r="R753" s="46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  <c r="AD753" s="129"/>
    </row>
    <row r="754" ht="14.25" customHeight="1">
      <c r="A754" s="211">
        <v>53.0</v>
      </c>
      <c r="B754" s="27" t="s">
        <v>1134</v>
      </c>
      <c r="C754" s="27" t="s">
        <v>3910</v>
      </c>
      <c r="D754" s="27"/>
      <c r="E754" s="27"/>
      <c r="F754" s="38"/>
      <c r="G754" s="407">
        <v>36.0</v>
      </c>
      <c r="H754" s="42">
        <v>1.0</v>
      </c>
      <c r="I754" s="42">
        <v>4.0</v>
      </c>
      <c r="J754" s="42">
        <v>0.0</v>
      </c>
      <c r="K754" s="42">
        <v>0.0</v>
      </c>
      <c r="L754" s="42">
        <v>1.0</v>
      </c>
      <c r="M754" s="27" t="s">
        <v>27</v>
      </c>
      <c r="N754" s="27" t="s">
        <v>138</v>
      </c>
      <c r="O754" s="42">
        <v>5.0</v>
      </c>
      <c r="P754" s="27" t="s">
        <v>335</v>
      </c>
      <c r="Q754" s="42">
        <v>0.0</v>
      </c>
      <c r="R754" s="46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  <c r="AD754" s="129"/>
    </row>
    <row r="755" ht="14.25" customHeight="1">
      <c r="A755" s="211">
        <v>54.0</v>
      </c>
      <c r="B755" s="25" t="s">
        <v>68</v>
      </c>
      <c r="C755" s="25" t="s">
        <v>3911</v>
      </c>
      <c r="D755" s="25"/>
      <c r="E755" s="25"/>
      <c r="F755" s="39"/>
      <c r="G755" s="423">
        <v>26.0</v>
      </c>
      <c r="H755" s="43">
        <v>2.0</v>
      </c>
      <c r="I755" s="43">
        <v>8.0</v>
      </c>
      <c r="J755" s="43">
        <v>0.0</v>
      </c>
      <c r="K755" s="43">
        <v>0.0</v>
      </c>
      <c r="L755" s="43">
        <v>1.0</v>
      </c>
      <c r="M755" s="25" t="s">
        <v>27</v>
      </c>
      <c r="N755" s="25" t="s">
        <v>3912</v>
      </c>
      <c r="O755" s="43">
        <v>10.0</v>
      </c>
      <c r="P755" s="25" t="s">
        <v>335</v>
      </c>
      <c r="Q755" s="43">
        <v>0.0</v>
      </c>
      <c r="R755" s="46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  <c r="AD755" s="129"/>
    </row>
    <row r="756" ht="14.25" customHeight="1">
      <c r="A756" s="211">
        <v>55.0</v>
      </c>
      <c r="B756" s="46" t="s">
        <v>1134</v>
      </c>
      <c r="C756" s="46" t="s">
        <v>3911</v>
      </c>
      <c r="D756" s="46"/>
      <c r="E756" s="46"/>
      <c r="F756" s="50"/>
      <c r="G756" s="275" t="s">
        <v>39</v>
      </c>
      <c r="H756" s="46">
        <v>1.0</v>
      </c>
      <c r="I756" s="46">
        <v>4.0</v>
      </c>
      <c r="J756" s="46">
        <v>0.0</v>
      </c>
      <c r="K756" s="46">
        <v>0.0</v>
      </c>
      <c r="L756" s="46">
        <v>1.0</v>
      </c>
      <c r="M756" s="46" t="s">
        <v>27</v>
      </c>
      <c r="N756" s="46" t="s">
        <v>138</v>
      </c>
      <c r="O756" s="46">
        <v>5.0</v>
      </c>
      <c r="P756" s="46" t="s">
        <v>335</v>
      </c>
      <c r="Q756" s="46">
        <v>0.0</v>
      </c>
      <c r="R756" s="46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  <c r="AD756" s="129"/>
    </row>
    <row r="757" ht="14.25" customHeight="1">
      <c r="A757" s="211">
        <v>56.0</v>
      </c>
      <c r="B757" s="46" t="s">
        <v>2772</v>
      </c>
      <c r="C757" s="46" t="s">
        <v>3911</v>
      </c>
      <c r="D757" s="46"/>
      <c r="E757" s="46"/>
      <c r="F757" s="50"/>
      <c r="G757" s="275">
        <v>45.0</v>
      </c>
      <c r="H757" s="46">
        <v>4.0</v>
      </c>
      <c r="I757" s="46">
        <v>15.0</v>
      </c>
      <c r="J757" s="46">
        <v>0.0</v>
      </c>
      <c r="K757" s="46">
        <v>0.0</v>
      </c>
      <c r="L757" s="46">
        <v>1.0</v>
      </c>
      <c r="M757" s="46" t="s">
        <v>27</v>
      </c>
      <c r="N757" s="46" t="s">
        <v>138</v>
      </c>
      <c r="O757" s="46">
        <v>20.0</v>
      </c>
      <c r="P757" s="46" t="s">
        <v>335</v>
      </c>
      <c r="Q757" s="46">
        <v>0.0</v>
      </c>
      <c r="R757" s="46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  <c r="AD757" s="129"/>
    </row>
    <row r="758" ht="14.25" customHeight="1">
      <c r="A758" s="211">
        <v>57.0</v>
      </c>
      <c r="B758" s="46" t="s">
        <v>68</v>
      </c>
      <c r="C758" s="46" t="s">
        <v>3913</v>
      </c>
      <c r="D758" s="46"/>
      <c r="E758" s="46"/>
      <c r="F758" s="50"/>
      <c r="G758" s="275">
        <v>63.0</v>
      </c>
      <c r="H758" s="46">
        <v>4.0</v>
      </c>
      <c r="I758" s="46">
        <v>15.0</v>
      </c>
      <c r="J758" s="46">
        <v>0.0</v>
      </c>
      <c r="K758" s="46">
        <v>0.0</v>
      </c>
      <c r="L758" s="46">
        <v>1.0</v>
      </c>
      <c r="M758" s="46" t="s">
        <v>27</v>
      </c>
      <c r="N758" s="46" t="s">
        <v>138</v>
      </c>
      <c r="O758" s="46">
        <v>20.0</v>
      </c>
      <c r="P758" s="46" t="s">
        <v>335</v>
      </c>
      <c r="Q758" s="46">
        <v>0.0</v>
      </c>
      <c r="R758" s="46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  <c r="AD758" s="129"/>
    </row>
    <row r="759" ht="14.25" customHeight="1">
      <c r="A759" s="211">
        <v>58.0</v>
      </c>
      <c r="B759" s="46" t="s">
        <v>1134</v>
      </c>
      <c r="C759" s="46" t="s">
        <v>3914</v>
      </c>
      <c r="D759" s="46"/>
      <c r="E759" s="46"/>
      <c r="F759" s="50"/>
      <c r="G759" s="275">
        <v>49.0</v>
      </c>
      <c r="H759" s="46">
        <v>3.0</v>
      </c>
      <c r="I759" s="46">
        <v>10.0</v>
      </c>
      <c r="J759" s="46">
        <v>0.0</v>
      </c>
      <c r="K759" s="46">
        <v>0.0</v>
      </c>
      <c r="L759" s="46">
        <v>1.0</v>
      </c>
      <c r="M759" s="46" t="s">
        <v>27</v>
      </c>
      <c r="N759" s="46" t="s">
        <v>138</v>
      </c>
      <c r="O759" s="46">
        <v>15.0</v>
      </c>
      <c r="P759" s="46" t="s">
        <v>335</v>
      </c>
      <c r="Q759" s="46">
        <v>0.0</v>
      </c>
      <c r="R759" s="46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  <c r="AD759" s="129"/>
    </row>
    <row r="760" ht="14.25" customHeight="1">
      <c r="A760" s="211">
        <v>59.0</v>
      </c>
      <c r="B760" s="46" t="s">
        <v>68</v>
      </c>
      <c r="C760" s="46" t="s">
        <v>3915</v>
      </c>
      <c r="D760" s="46"/>
      <c r="E760" s="46"/>
      <c r="F760" s="50"/>
      <c r="G760" s="275">
        <v>37.5</v>
      </c>
      <c r="H760" s="46">
        <v>1.0</v>
      </c>
      <c r="I760" s="46">
        <v>4.0</v>
      </c>
      <c r="J760" s="46">
        <v>0.0</v>
      </c>
      <c r="K760" s="46">
        <v>0.0</v>
      </c>
      <c r="L760" s="46">
        <v>1.0</v>
      </c>
      <c r="M760" s="46" t="s">
        <v>27</v>
      </c>
      <c r="N760" s="46" t="s">
        <v>138</v>
      </c>
      <c r="O760" s="46">
        <v>5.0</v>
      </c>
      <c r="P760" s="46" t="s">
        <v>335</v>
      </c>
      <c r="Q760" s="46">
        <v>0.0</v>
      </c>
      <c r="R760" s="46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  <c r="AD760" s="129"/>
    </row>
    <row r="761" ht="14.25" customHeight="1">
      <c r="A761" s="211">
        <v>60.0</v>
      </c>
      <c r="B761" s="46" t="s">
        <v>3916</v>
      </c>
      <c r="C761" s="46" t="s">
        <v>3917</v>
      </c>
      <c r="D761" s="46"/>
      <c r="E761" s="46"/>
      <c r="F761" s="50"/>
      <c r="G761" s="275" t="s">
        <v>39</v>
      </c>
      <c r="H761" s="46">
        <v>1.0</v>
      </c>
      <c r="I761" s="46">
        <v>2.0</v>
      </c>
      <c r="J761" s="46">
        <v>0.0</v>
      </c>
      <c r="K761" s="46">
        <v>0.0</v>
      </c>
      <c r="L761" s="46">
        <v>0.0</v>
      </c>
      <c r="M761" s="46" t="s">
        <v>27</v>
      </c>
      <c r="N761" s="46" t="s">
        <v>138</v>
      </c>
      <c r="O761" s="46">
        <v>5.0</v>
      </c>
      <c r="P761" s="46" t="s">
        <v>335</v>
      </c>
      <c r="Q761" s="46">
        <v>0.0</v>
      </c>
      <c r="R761" s="46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  <c r="AD761" s="129"/>
    </row>
    <row r="762" ht="15.75" customHeight="1">
      <c r="A762" s="181"/>
      <c r="B762" s="182" t="s">
        <v>3918</v>
      </c>
      <c r="C762" s="182"/>
      <c r="D762" s="182"/>
      <c r="E762" s="182"/>
      <c r="F762" s="403"/>
      <c r="G762" s="404"/>
      <c r="H762" s="182"/>
      <c r="I762" s="182"/>
      <c r="J762" s="91"/>
      <c r="K762" s="91"/>
      <c r="L762" s="91"/>
      <c r="M762" s="91"/>
      <c r="N762" s="91"/>
      <c r="O762" s="91"/>
      <c r="P762" s="182"/>
      <c r="Q762" s="91"/>
      <c r="R762" s="218"/>
      <c r="S762" s="405"/>
      <c r="T762" s="405"/>
      <c r="U762" s="405"/>
      <c r="V762" s="405"/>
      <c r="W762" s="405"/>
      <c r="X762" s="405"/>
      <c r="Y762" s="405"/>
      <c r="Z762" s="405"/>
      <c r="AA762" s="405"/>
      <c r="AB762" s="405"/>
      <c r="AC762" s="405"/>
      <c r="AD762" s="405"/>
    </row>
    <row r="763" ht="14.25" customHeight="1">
      <c r="A763" s="211">
        <v>1.0</v>
      </c>
      <c r="B763" s="34" t="s">
        <v>3919</v>
      </c>
      <c r="C763" s="34" t="s">
        <v>1552</v>
      </c>
      <c r="D763" s="34"/>
      <c r="E763" s="34"/>
      <c r="F763" s="410"/>
      <c r="G763" s="424">
        <v>250.0</v>
      </c>
      <c r="H763" s="34">
        <v>60.0</v>
      </c>
      <c r="I763" s="425">
        <v>180.0</v>
      </c>
      <c r="J763" s="425">
        <v>6.0</v>
      </c>
      <c r="K763" s="425">
        <v>6.0</v>
      </c>
      <c r="L763" s="34">
        <v>0.0</v>
      </c>
      <c r="M763" s="34" t="s">
        <v>3920</v>
      </c>
      <c r="N763" s="34"/>
      <c r="O763" s="426">
        <v>1450.0</v>
      </c>
      <c r="P763" s="34" t="s">
        <v>29</v>
      </c>
      <c r="Q763" s="34"/>
      <c r="R763" s="46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  <c r="AD763" s="129"/>
    </row>
    <row r="764" ht="14.25" customHeight="1">
      <c r="A764" s="211">
        <v>2.0</v>
      </c>
      <c r="B764" s="28" t="s">
        <v>3921</v>
      </c>
      <c r="C764" s="28" t="s">
        <v>3922</v>
      </c>
      <c r="D764" s="28"/>
      <c r="E764" s="28"/>
      <c r="F764" s="412"/>
      <c r="G764" s="427" t="s">
        <v>3481</v>
      </c>
      <c r="H764" s="28">
        <v>20.0</v>
      </c>
      <c r="I764" s="428">
        <v>60.0</v>
      </c>
      <c r="J764" s="428">
        <v>1.0</v>
      </c>
      <c r="K764" s="428">
        <v>1.0</v>
      </c>
      <c r="L764" s="28">
        <v>0.0</v>
      </c>
      <c r="M764" s="28"/>
      <c r="N764" s="28"/>
      <c r="O764" s="28" t="s">
        <v>3481</v>
      </c>
      <c r="P764" s="28" t="s">
        <v>29</v>
      </c>
      <c r="Q764" s="28"/>
      <c r="R764" s="46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  <c r="AD764" s="129"/>
    </row>
    <row r="765" ht="14.25" customHeight="1">
      <c r="A765" s="211">
        <v>3.0</v>
      </c>
      <c r="B765" s="34" t="s">
        <v>3923</v>
      </c>
      <c r="C765" s="34" t="s">
        <v>3924</v>
      </c>
      <c r="D765" s="34"/>
      <c r="E765" s="34"/>
      <c r="F765" s="410"/>
      <c r="G765" s="424" t="s">
        <v>3481</v>
      </c>
      <c r="H765" s="34">
        <v>20.0</v>
      </c>
      <c r="I765" s="425">
        <v>60.0</v>
      </c>
      <c r="J765" s="425">
        <v>1.0</v>
      </c>
      <c r="K765" s="425">
        <v>1.0</v>
      </c>
      <c r="L765" s="34">
        <v>0.0</v>
      </c>
      <c r="M765" s="34"/>
      <c r="N765" s="34"/>
      <c r="O765" s="34" t="s">
        <v>3481</v>
      </c>
      <c r="P765" s="34" t="s">
        <v>29</v>
      </c>
      <c r="Q765" s="34"/>
      <c r="R765" s="46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  <c r="AD765" s="129"/>
    </row>
    <row r="766" ht="14.25" customHeight="1">
      <c r="A766" s="211">
        <v>4.0</v>
      </c>
      <c r="B766" s="28" t="s">
        <v>3925</v>
      </c>
      <c r="C766" s="28" t="s">
        <v>3926</v>
      </c>
      <c r="D766" s="28"/>
      <c r="E766" s="28"/>
      <c r="F766" s="412"/>
      <c r="G766" s="427" t="s">
        <v>3481</v>
      </c>
      <c r="H766" s="28">
        <v>10.0</v>
      </c>
      <c r="I766" s="428">
        <v>30.0</v>
      </c>
      <c r="J766" s="428">
        <v>0.0</v>
      </c>
      <c r="K766" s="428">
        <v>0.0</v>
      </c>
      <c r="L766" s="28">
        <v>1.0</v>
      </c>
      <c r="M766" s="28" t="s">
        <v>3920</v>
      </c>
      <c r="N766" s="28"/>
      <c r="O766" s="28" t="s">
        <v>3481</v>
      </c>
      <c r="P766" s="28" t="s">
        <v>29</v>
      </c>
      <c r="Q766" s="28"/>
      <c r="R766" s="46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</row>
    <row r="767" ht="14.25" customHeight="1">
      <c r="A767" s="211">
        <v>5.0</v>
      </c>
      <c r="B767" s="34" t="s">
        <v>3927</v>
      </c>
      <c r="C767" s="34" t="s">
        <v>3928</v>
      </c>
      <c r="D767" s="34"/>
      <c r="E767" s="34"/>
      <c r="F767" s="410"/>
      <c r="G767" s="424" t="s">
        <v>3481</v>
      </c>
      <c r="H767" s="34">
        <v>10.0</v>
      </c>
      <c r="I767" s="425">
        <v>30.0</v>
      </c>
      <c r="J767" s="425" t="s">
        <v>3481</v>
      </c>
      <c r="K767" s="425" t="s">
        <v>3481</v>
      </c>
      <c r="L767" s="34" t="s">
        <v>3481</v>
      </c>
      <c r="M767" s="34"/>
      <c r="N767" s="34"/>
      <c r="O767" s="34" t="s">
        <v>3481</v>
      </c>
      <c r="P767" s="34" t="s">
        <v>29</v>
      </c>
      <c r="Q767" s="34"/>
      <c r="R767" s="46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</row>
    <row r="768" ht="14.25" customHeight="1">
      <c r="A768" s="211">
        <v>6.0</v>
      </c>
      <c r="B768" s="28" t="s">
        <v>3929</v>
      </c>
      <c r="C768" s="28" t="s">
        <v>3930</v>
      </c>
      <c r="D768" s="28"/>
      <c r="E768" s="28"/>
      <c r="F768" s="412"/>
      <c r="G768" s="427" t="s">
        <v>3481</v>
      </c>
      <c r="H768" s="28">
        <v>10.0</v>
      </c>
      <c r="I768" s="428">
        <v>30.0</v>
      </c>
      <c r="J768" s="428" t="s">
        <v>3481</v>
      </c>
      <c r="K768" s="428" t="s">
        <v>3481</v>
      </c>
      <c r="L768" s="28" t="s">
        <v>3481</v>
      </c>
      <c r="M768" s="28"/>
      <c r="N768" s="28"/>
      <c r="O768" s="28" t="s">
        <v>3481</v>
      </c>
      <c r="P768" s="28" t="s">
        <v>29</v>
      </c>
      <c r="Q768" s="28"/>
      <c r="R768" s="46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  <c r="AD768" s="129"/>
    </row>
    <row r="769" ht="14.25" customHeight="1">
      <c r="A769" s="211">
        <v>7.0</v>
      </c>
      <c r="B769" s="34" t="s">
        <v>3931</v>
      </c>
      <c r="C769" s="34" t="s">
        <v>3932</v>
      </c>
      <c r="D769" s="34"/>
      <c r="E769" s="34"/>
      <c r="F769" s="410"/>
      <c r="G769" s="424">
        <v>55.0</v>
      </c>
      <c r="H769" s="34">
        <v>10.0</v>
      </c>
      <c r="I769" s="425">
        <v>30.0</v>
      </c>
      <c r="J769" s="425">
        <v>2.0</v>
      </c>
      <c r="K769" s="425">
        <v>2.0</v>
      </c>
      <c r="L769" s="34">
        <v>2.0</v>
      </c>
      <c r="M769" s="34" t="s">
        <v>3920</v>
      </c>
      <c r="N769" s="34"/>
      <c r="O769" s="34">
        <v>500.0</v>
      </c>
      <c r="P769" s="34" t="s">
        <v>29</v>
      </c>
      <c r="Q769" s="34"/>
      <c r="R769" s="46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</row>
    <row r="770" ht="14.25" customHeight="1">
      <c r="A770" s="211">
        <v>8.0</v>
      </c>
      <c r="B770" s="28" t="s">
        <v>3933</v>
      </c>
      <c r="C770" s="28" t="s">
        <v>3934</v>
      </c>
      <c r="D770" s="28"/>
      <c r="E770" s="28"/>
      <c r="F770" s="412"/>
      <c r="G770" s="427">
        <v>70.0</v>
      </c>
      <c r="H770" s="28">
        <v>10.0</v>
      </c>
      <c r="I770" s="428">
        <v>30.0</v>
      </c>
      <c r="J770" s="428">
        <v>0.0</v>
      </c>
      <c r="K770" s="428">
        <v>0.0</v>
      </c>
      <c r="L770" s="28">
        <v>1.0</v>
      </c>
      <c r="M770" s="28" t="s">
        <v>3920</v>
      </c>
      <c r="N770" s="28"/>
      <c r="O770" s="28" t="s">
        <v>3481</v>
      </c>
      <c r="P770" s="28" t="s">
        <v>29</v>
      </c>
      <c r="Q770" s="28"/>
      <c r="R770" s="46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</row>
    <row r="771" ht="14.25" customHeight="1">
      <c r="A771" s="211">
        <v>9.0</v>
      </c>
      <c r="B771" s="34" t="s">
        <v>3935</v>
      </c>
      <c r="C771" s="34" t="s">
        <v>3922</v>
      </c>
      <c r="D771" s="34"/>
      <c r="E771" s="34"/>
      <c r="F771" s="410"/>
      <c r="G771" s="424" t="s">
        <v>3481</v>
      </c>
      <c r="H771" s="34">
        <v>10.0</v>
      </c>
      <c r="I771" s="425">
        <v>30.0</v>
      </c>
      <c r="J771" s="425" t="s">
        <v>3481</v>
      </c>
      <c r="K771" s="425" t="s">
        <v>3481</v>
      </c>
      <c r="L771" s="34" t="s">
        <v>3481</v>
      </c>
      <c r="M771" s="34"/>
      <c r="N771" s="34"/>
      <c r="O771" s="34" t="s">
        <v>3481</v>
      </c>
      <c r="P771" s="34" t="s">
        <v>29</v>
      </c>
      <c r="Q771" s="34"/>
      <c r="R771" s="46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</row>
    <row r="772" ht="14.25" customHeight="1">
      <c r="A772" s="211">
        <v>10.0</v>
      </c>
      <c r="B772" s="28" t="s">
        <v>3936</v>
      </c>
      <c r="C772" s="28" t="s">
        <v>3922</v>
      </c>
      <c r="D772" s="28"/>
      <c r="E772" s="28"/>
      <c r="F772" s="412"/>
      <c r="G772" s="427" t="s">
        <v>3481</v>
      </c>
      <c r="H772" s="28">
        <v>30.0</v>
      </c>
      <c r="I772" s="428">
        <v>90.0</v>
      </c>
      <c r="J772" s="428" t="s">
        <v>3481</v>
      </c>
      <c r="K772" s="428" t="s">
        <v>3481</v>
      </c>
      <c r="L772" s="28" t="s">
        <v>3481</v>
      </c>
      <c r="M772" s="28"/>
      <c r="N772" s="28"/>
      <c r="O772" s="28" t="s">
        <v>3481</v>
      </c>
      <c r="P772" s="28" t="s">
        <v>29</v>
      </c>
      <c r="Q772" s="28"/>
      <c r="R772" s="46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</row>
    <row r="773" ht="14.25" customHeight="1">
      <c r="A773" s="211">
        <v>11.0</v>
      </c>
      <c r="B773" s="34" t="s">
        <v>3937</v>
      </c>
      <c r="C773" s="34" t="s">
        <v>3938</v>
      </c>
      <c r="D773" s="34"/>
      <c r="E773" s="34"/>
      <c r="F773" s="410"/>
      <c r="G773" s="424" t="s">
        <v>3481</v>
      </c>
      <c r="H773" s="34">
        <v>10.0</v>
      </c>
      <c r="I773" s="425">
        <v>30.0</v>
      </c>
      <c r="J773" s="425">
        <v>0.0</v>
      </c>
      <c r="K773" s="425">
        <v>0.0</v>
      </c>
      <c r="L773" s="34">
        <v>2.0</v>
      </c>
      <c r="M773" s="34" t="s">
        <v>3920</v>
      </c>
      <c r="N773" s="34"/>
      <c r="O773" s="34" t="s">
        <v>3481</v>
      </c>
      <c r="P773" s="34" t="s">
        <v>29</v>
      </c>
      <c r="Q773" s="34"/>
      <c r="R773" s="46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</row>
    <row r="774" ht="14.25" customHeight="1">
      <c r="A774" s="211">
        <v>12.0</v>
      </c>
      <c r="B774" s="28" t="s">
        <v>3939</v>
      </c>
      <c r="C774" s="28" t="s">
        <v>3940</v>
      </c>
      <c r="D774" s="28"/>
      <c r="E774" s="28"/>
      <c r="F774" s="412"/>
      <c r="G774" s="427">
        <v>48.0</v>
      </c>
      <c r="H774" s="28">
        <v>10.0</v>
      </c>
      <c r="I774" s="428">
        <v>30.0</v>
      </c>
      <c r="J774" s="428" t="s">
        <v>3481</v>
      </c>
      <c r="K774" s="428" t="s">
        <v>3481</v>
      </c>
      <c r="L774" s="28" t="s">
        <v>3481</v>
      </c>
      <c r="M774" s="28"/>
      <c r="N774" s="28"/>
      <c r="O774" s="28" t="s">
        <v>3481</v>
      </c>
      <c r="P774" s="28" t="s">
        <v>29</v>
      </c>
      <c r="Q774" s="28"/>
      <c r="R774" s="46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</row>
    <row r="775" ht="14.25" customHeight="1">
      <c r="A775" s="211">
        <v>13.0</v>
      </c>
      <c r="B775" s="34" t="s">
        <v>3941</v>
      </c>
      <c r="C775" s="34" t="s">
        <v>3942</v>
      </c>
      <c r="D775" s="34"/>
      <c r="E775" s="34"/>
      <c r="F775" s="410"/>
      <c r="G775" s="424" t="s">
        <v>3481</v>
      </c>
      <c r="H775" s="34">
        <v>10.0</v>
      </c>
      <c r="I775" s="425">
        <v>30.0</v>
      </c>
      <c r="J775" s="425" t="s">
        <v>3481</v>
      </c>
      <c r="K775" s="425" t="s">
        <v>3481</v>
      </c>
      <c r="L775" s="34" t="s">
        <v>3481</v>
      </c>
      <c r="M775" s="34"/>
      <c r="N775" s="34"/>
      <c r="O775" s="34" t="s">
        <v>3481</v>
      </c>
      <c r="P775" s="34" t="s">
        <v>29</v>
      </c>
      <c r="Q775" s="34"/>
      <c r="R775" s="46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</row>
    <row r="776" ht="14.25" customHeight="1">
      <c r="A776" s="211">
        <v>14.0</v>
      </c>
      <c r="B776" s="28" t="s">
        <v>3943</v>
      </c>
      <c r="C776" s="28" t="s">
        <v>3944</v>
      </c>
      <c r="D776" s="28"/>
      <c r="E776" s="28"/>
      <c r="F776" s="412"/>
      <c r="G776" s="427" t="s">
        <v>3481</v>
      </c>
      <c r="H776" s="28">
        <v>10.0</v>
      </c>
      <c r="I776" s="428">
        <v>30.0</v>
      </c>
      <c r="J776" s="428" t="s">
        <v>3481</v>
      </c>
      <c r="K776" s="428" t="s">
        <v>3481</v>
      </c>
      <c r="L776" s="28" t="s">
        <v>3481</v>
      </c>
      <c r="M776" s="28"/>
      <c r="N776" s="28"/>
      <c r="O776" s="28" t="s">
        <v>3481</v>
      </c>
      <c r="P776" s="28" t="s">
        <v>29</v>
      </c>
      <c r="Q776" s="28"/>
      <c r="R776" s="46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</row>
    <row r="777" ht="14.25" customHeight="1">
      <c r="A777" s="211">
        <v>15.0</v>
      </c>
      <c r="B777" s="34" t="s">
        <v>1082</v>
      </c>
      <c r="C777" s="34" t="s">
        <v>1552</v>
      </c>
      <c r="D777" s="34"/>
      <c r="E777" s="34"/>
      <c r="F777" s="410"/>
      <c r="G777" s="424" t="s">
        <v>3481</v>
      </c>
      <c r="H777" s="34">
        <v>10.0</v>
      </c>
      <c r="I777" s="425">
        <v>30.0</v>
      </c>
      <c r="J777" s="425" t="s">
        <v>3481</v>
      </c>
      <c r="K777" s="425" t="s">
        <v>3481</v>
      </c>
      <c r="L777" s="34" t="s">
        <v>3481</v>
      </c>
      <c r="M777" s="34"/>
      <c r="N777" s="34"/>
      <c r="O777" s="34" t="s">
        <v>3481</v>
      </c>
      <c r="P777" s="34" t="s">
        <v>29</v>
      </c>
      <c r="Q777" s="34"/>
      <c r="R777" s="46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</row>
    <row r="778" ht="14.25" customHeight="1">
      <c r="A778" s="211">
        <v>16.0</v>
      </c>
      <c r="B778" s="28" t="s">
        <v>3945</v>
      </c>
      <c r="C778" s="28" t="s">
        <v>3946</v>
      </c>
      <c r="D778" s="28"/>
      <c r="E778" s="28"/>
      <c r="F778" s="412"/>
      <c r="G778" s="427" t="s">
        <v>3481</v>
      </c>
      <c r="H778" s="28">
        <v>10.0</v>
      </c>
      <c r="I778" s="428">
        <v>30.0</v>
      </c>
      <c r="J778" s="428">
        <v>0.0</v>
      </c>
      <c r="K778" s="428">
        <v>0.0</v>
      </c>
      <c r="L778" s="28">
        <v>1.0</v>
      </c>
      <c r="M778" s="28" t="s">
        <v>3920</v>
      </c>
      <c r="N778" s="28"/>
      <c r="O778" s="28" t="s">
        <v>3481</v>
      </c>
      <c r="P778" s="28" t="s">
        <v>29</v>
      </c>
      <c r="Q778" s="28"/>
      <c r="R778" s="46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</row>
    <row r="779" ht="14.25" customHeight="1">
      <c r="A779" s="211">
        <v>17.0</v>
      </c>
      <c r="B779" s="34" t="s">
        <v>3947</v>
      </c>
      <c r="C779" s="34" t="s">
        <v>3946</v>
      </c>
      <c r="D779" s="34"/>
      <c r="E779" s="34"/>
      <c r="F779" s="410"/>
      <c r="G779" s="424" t="s">
        <v>3481</v>
      </c>
      <c r="H779" s="34">
        <v>30.0</v>
      </c>
      <c r="I779" s="425">
        <v>90.0</v>
      </c>
      <c r="J779" s="425" t="s">
        <v>3481</v>
      </c>
      <c r="K779" s="425" t="s">
        <v>3481</v>
      </c>
      <c r="L779" s="34" t="s">
        <v>3481</v>
      </c>
      <c r="M779" s="34"/>
      <c r="N779" s="34"/>
      <c r="O779" s="34" t="s">
        <v>3481</v>
      </c>
      <c r="P779" s="34" t="s">
        <v>29</v>
      </c>
      <c r="Q779" s="34"/>
      <c r="R779" s="46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</row>
    <row r="780" ht="14.25" customHeight="1">
      <c r="A780" s="211">
        <v>18.0</v>
      </c>
      <c r="B780" s="28" t="s">
        <v>3948</v>
      </c>
      <c r="C780" s="28" t="s">
        <v>3949</v>
      </c>
      <c r="D780" s="28"/>
      <c r="E780" s="28"/>
      <c r="F780" s="412"/>
      <c r="G780" s="427" t="s">
        <v>3481</v>
      </c>
      <c r="H780" s="28">
        <v>30.0</v>
      </c>
      <c r="I780" s="428">
        <v>90.0</v>
      </c>
      <c r="J780" s="428">
        <v>0.0</v>
      </c>
      <c r="K780" s="428">
        <v>1.0</v>
      </c>
      <c r="L780" s="28">
        <v>0.0</v>
      </c>
      <c r="M780" s="28" t="s">
        <v>3920</v>
      </c>
      <c r="N780" s="28"/>
      <c r="O780" s="28" t="s">
        <v>3481</v>
      </c>
      <c r="P780" s="28" t="s">
        <v>29</v>
      </c>
      <c r="Q780" s="28"/>
      <c r="R780" s="46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  <c r="AD780" s="129"/>
    </row>
    <row r="781" ht="14.25" customHeight="1">
      <c r="A781" s="211">
        <v>19.0</v>
      </c>
      <c r="B781" s="34" t="s">
        <v>3950</v>
      </c>
      <c r="C781" s="34" t="s">
        <v>3949</v>
      </c>
      <c r="D781" s="34"/>
      <c r="E781" s="34"/>
      <c r="F781" s="410"/>
      <c r="G781" s="424" t="s">
        <v>3481</v>
      </c>
      <c r="H781" s="34">
        <v>10.0</v>
      </c>
      <c r="I781" s="425">
        <v>30.0</v>
      </c>
      <c r="J781" s="425">
        <v>0.0</v>
      </c>
      <c r="K781" s="425">
        <v>2.0</v>
      </c>
      <c r="L781" s="34">
        <v>0.0</v>
      </c>
      <c r="M781" s="34" t="s">
        <v>3920</v>
      </c>
      <c r="N781" s="34"/>
      <c r="O781" s="34" t="s">
        <v>3481</v>
      </c>
      <c r="P781" s="34" t="s">
        <v>29</v>
      </c>
      <c r="Q781" s="34"/>
      <c r="R781" s="46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  <c r="AD781" s="129"/>
    </row>
    <row r="782" ht="14.25" customHeight="1">
      <c r="A782" s="211">
        <v>20.0</v>
      </c>
      <c r="B782" s="28" t="s">
        <v>3951</v>
      </c>
      <c r="C782" s="28" t="s">
        <v>3952</v>
      </c>
      <c r="D782" s="28"/>
      <c r="E782" s="28"/>
      <c r="F782" s="412"/>
      <c r="G782" s="427">
        <v>201.3</v>
      </c>
      <c r="H782" s="28">
        <v>10.0</v>
      </c>
      <c r="I782" s="428">
        <v>30.0</v>
      </c>
      <c r="J782" s="428">
        <v>2.0</v>
      </c>
      <c r="K782" s="428">
        <v>2.0</v>
      </c>
      <c r="L782" s="28">
        <v>0.0</v>
      </c>
      <c r="M782" s="28" t="s">
        <v>3920</v>
      </c>
      <c r="N782" s="28"/>
      <c r="O782" s="28" t="s">
        <v>3481</v>
      </c>
      <c r="P782" s="28" t="s">
        <v>29</v>
      </c>
      <c r="Q782" s="28"/>
      <c r="R782" s="46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  <c r="AD782" s="129"/>
    </row>
    <row r="783" ht="14.25" customHeight="1">
      <c r="A783" s="211">
        <v>21.0</v>
      </c>
      <c r="B783" s="34" t="s">
        <v>3953</v>
      </c>
      <c r="C783" s="34" t="s">
        <v>3954</v>
      </c>
      <c r="D783" s="34"/>
      <c r="E783" s="34"/>
      <c r="F783" s="410"/>
      <c r="G783" s="424" t="s">
        <v>3481</v>
      </c>
      <c r="H783" s="34">
        <v>10.0</v>
      </c>
      <c r="I783" s="425">
        <v>30.0</v>
      </c>
      <c r="J783" s="425">
        <v>0.0</v>
      </c>
      <c r="K783" s="425">
        <v>0.0</v>
      </c>
      <c r="L783" s="34">
        <v>2.0</v>
      </c>
      <c r="M783" s="34" t="s">
        <v>3920</v>
      </c>
      <c r="N783" s="34"/>
      <c r="O783" s="34" t="s">
        <v>3481</v>
      </c>
      <c r="P783" s="34" t="s">
        <v>29</v>
      </c>
      <c r="Q783" s="34"/>
      <c r="R783" s="46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  <c r="AD783" s="129"/>
    </row>
    <row r="784" ht="14.25" customHeight="1">
      <c r="A784" s="211">
        <v>22.0</v>
      </c>
      <c r="B784" s="46" t="s">
        <v>3955</v>
      </c>
      <c r="C784" s="46" t="s">
        <v>3956</v>
      </c>
      <c r="D784" s="46"/>
      <c r="E784" s="46"/>
      <c r="F784" s="50"/>
      <c r="G784" s="275" t="s">
        <v>3481</v>
      </c>
      <c r="H784" s="46">
        <v>10.0</v>
      </c>
      <c r="I784" s="46">
        <v>30.0</v>
      </c>
      <c r="J784" s="46" t="s">
        <v>3481</v>
      </c>
      <c r="K784" s="46" t="s">
        <v>3481</v>
      </c>
      <c r="L784" s="46" t="s">
        <v>3481</v>
      </c>
      <c r="M784" s="46"/>
      <c r="N784" s="46"/>
      <c r="O784" s="46" t="s">
        <v>3481</v>
      </c>
      <c r="P784" s="46" t="s">
        <v>29</v>
      </c>
      <c r="Q784" s="46"/>
      <c r="R784" s="46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  <c r="AD784" s="129"/>
    </row>
    <row r="785" ht="14.25" customHeight="1">
      <c r="A785" s="211">
        <v>23.0</v>
      </c>
      <c r="B785" s="46" t="s">
        <v>3957</v>
      </c>
      <c r="C785" s="46" t="s">
        <v>3956</v>
      </c>
      <c r="D785" s="46"/>
      <c r="E785" s="46"/>
      <c r="F785" s="50"/>
      <c r="G785" s="275" t="s">
        <v>3481</v>
      </c>
      <c r="H785" s="46">
        <v>30.0</v>
      </c>
      <c r="I785" s="46">
        <v>90.0</v>
      </c>
      <c r="J785" s="46">
        <v>2.0</v>
      </c>
      <c r="K785" s="46">
        <v>2.0</v>
      </c>
      <c r="L785" s="46">
        <v>0.0</v>
      </c>
      <c r="M785" s="46" t="s">
        <v>3920</v>
      </c>
      <c r="N785" s="46"/>
      <c r="O785" s="46" t="s">
        <v>3481</v>
      </c>
      <c r="P785" s="46" t="s">
        <v>29</v>
      </c>
      <c r="Q785" s="46"/>
      <c r="R785" s="46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  <c r="AD785" s="129"/>
    </row>
    <row r="786" ht="14.25" customHeight="1">
      <c r="A786" s="211">
        <v>24.0</v>
      </c>
      <c r="B786" s="46" t="s">
        <v>2287</v>
      </c>
      <c r="C786" s="46" t="s">
        <v>2247</v>
      </c>
      <c r="D786" s="46"/>
      <c r="E786" s="46"/>
      <c r="F786" s="50"/>
      <c r="G786" s="275" t="s">
        <v>3481</v>
      </c>
      <c r="H786" s="46">
        <v>10.0</v>
      </c>
      <c r="I786" s="46">
        <v>30.0</v>
      </c>
      <c r="J786" s="46">
        <v>1.0</v>
      </c>
      <c r="K786" s="46">
        <v>1.0</v>
      </c>
      <c r="L786" s="46">
        <v>0.0</v>
      </c>
      <c r="M786" s="46" t="s">
        <v>3920</v>
      </c>
      <c r="N786" s="46"/>
      <c r="O786" s="46" t="s">
        <v>3481</v>
      </c>
      <c r="P786" s="46" t="s">
        <v>29</v>
      </c>
      <c r="Q786" s="46"/>
      <c r="R786" s="46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  <c r="AD786" s="129"/>
    </row>
    <row r="787" ht="14.25" customHeight="1">
      <c r="A787" s="211">
        <v>25.0</v>
      </c>
      <c r="B787" s="46" t="s">
        <v>3958</v>
      </c>
      <c r="C787" s="46" t="s">
        <v>3959</v>
      </c>
      <c r="D787" s="46"/>
      <c r="E787" s="46"/>
      <c r="F787" s="50"/>
      <c r="G787" s="275" t="s">
        <v>3481</v>
      </c>
      <c r="H787" s="46">
        <v>10.0</v>
      </c>
      <c r="I787" s="46">
        <v>30.0</v>
      </c>
      <c r="J787" s="46">
        <v>1.0</v>
      </c>
      <c r="K787" s="46">
        <v>1.0</v>
      </c>
      <c r="L787" s="46">
        <v>0.0</v>
      </c>
      <c r="M787" s="46" t="s">
        <v>3920</v>
      </c>
      <c r="N787" s="46"/>
      <c r="O787" s="46" t="s">
        <v>3481</v>
      </c>
      <c r="P787" s="46" t="s">
        <v>29</v>
      </c>
      <c r="Q787" s="46"/>
      <c r="R787" s="46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  <c r="AD787" s="129"/>
    </row>
    <row r="788" ht="14.25" customHeight="1">
      <c r="A788" s="211">
        <v>26.0</v>
      </c>
      <c r="B788" s="46" t="s">
        <v>3960</v>
      </c>
      <c r="C788" s="46" t="s">
        <v>3961</v>
      </c>
      <c r="D788" s="46"/>
      <c r="E788" s="46"/>
      <c r="F788" s="50"/>
      <c r="G788" s="275" t="s">
        <v>3481</v>
      </c>
      <c r="H788" s="46">
        <v>10.0</v>
      </c>
      <c r="I788" s="46">
        <v>30.0</v>
      </c>
      <c r="J788" s="46">
        <v>0.0</v>
      </c>
      <c r="K788" s="46">
        <v>0.0</v>
      </c>
      <c r="L788" s="46">
        <v>2.0</v>
      </c>
      <c r="M788" s="46" t="s">
        <v>3920</v>
      </c>
      <c r="N788" s="46"/>
      <c r="O788" s="46" t="s">
        <v>3481</v>
      </c>
      <c r="P788" s="46" t="s">
        <v>29</v>
      </c>
      <c r="Q788" s="46"/>
      <c r="R788" s="46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  <c r="AD788" s="129"/>
    </row>
    <row r="789" ht="14.25" customHeight="1">
      <c r="A789" s="211">
        <v>27.0</v>
      </c>
      <c r="B789" s="46" t="s">
        <v>3962</v>
      </c>
      <c r="C789" s="46" t="s">
        <v>3963</v>
      </c>
      <c r="D789" s="46"/>
      <c r="E789" s="46"/>
      <c r="F789" s="50"/>
      <c r="G789" s="275">
        <v>25.0</v>
      </c>
      <c r="H789" s="46">
        <v>10.0</v>
      </c>
      <c r="I789" s="46">
        <v>30.0</v>
      </c>
      <c r="J789" s="46">
        <v>0.0</v>
      </c>
      <c r="K789" s="46">
        <v>0.0</v>
      </c>
      <c r="L789" s="46">
        <v>1.0</v>
      </c>
      <c r="M789" s="46" t="s">
        <v>3920</v>
      </c>
      <c r="N789" s="46"/>
      <c r="O789" s="46" t="s">
        <v>3481</v>
      </c>
      <c r="P789" s="46" t="s">
        <v>29</v>
      </c>
      <c r="Q789" s="46"/>
      <c r="R789" s="46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  <c r="AD789" s="129"/>
    </row>
    <row r="790" ht="14.25" customHeight="1">
      <c r="A790" s="211">
        <v>28.0</v>
      </c>
      <c r="B790" s="46" t="s">
        <v>3964</v>
      </c>
      <c r="C790" s="46" t="s">
        <v>3963</v>
      </c>
      <c r="D790" s="46"/>
      <c r="E790" s="46"/>
      <c r="F790" s="50"/>
      <c r="G790" s="275" t="s">
        <v>3481</v>
      </c>
      <c r="H790" s="46">
        <v>10.0</v>
      </c>
      <c r="I790" s="46">
        <v>30.0</v>
      </c>
      <c r="J790" s="46" t="s">
        <v>3481</v>
      </c>
      <c r="K790" s="46" t="s">
        <v>3481</v>
      </c>
      <c r="L790" s="46" t="s">
        <v>3481</v>
      </c>
      <c r="M790" s="46"/>
      <c r="N790" s="46"/>
      <c r="O790" s="46" t="s">
        <v>3481</v>
      </c>
      <c r="P790" s="46" t="s">
        <v>29</v>
      </c>
      <c r="Q790" s="46"/>
      <c r="R790" s="46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  <c r="AD790" s="129"/>
    </row>
    <row r="791" ht="14.25" customHeight="1">
      <c r="A791" s="211">
        <v>29.0</v>
      </c>
      <c r="B791" s="46" t="s">
        <v>3965</v>
      </c>
      <c r="C791" s="46" t="s">
        <v>3966</v>
      </c>
      <c r="D791" s="46"/>
      <c r="E791" s="46"/>
      <c r="F791" s="50"/>
      <c r="G791" s="275" t="s">
        <v>3481</v>
      </c>
      <c r="H791" s="46">
        <v>10.0</v>
      </c>
      <c r="I791" s="46">
        <v>30.0</v>
      </c>
      <c r="J791" s="46">
        <v>0.0</v>
      </c>
      <c r="K791" s="46">
        <v>0.0</v>
      </c>
      <c r="L791" s="46">
        <v>2.0</v>
      </c>
      <c r="M791" s="46" t="s">
        <v>3920</v>
      </c>
      <c r="N791" s="46"/>
      <c r="O791" s="46" t="s">
        <v>3481</v>
      </c>
      <c r="P791" s="46" t="s">
        <v>29</v>
      </c>
      <c r="Q791" s="46"/>
      <c r="R791" s="46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  <c r="AD791" s="129"/>
    </row>
    <row r="792" ht="14.25" customHeight="1">
      <c r="A792" s="211">
        <v>30.0</v>
      </c>
      <c r="B792" s="46" t="s">
        <v>3967</v>
      </c>
      <c r="C792" s="46" t="s">
        <v>3966</v>
      </c>
      <c r="D792" s="46"/>
      <c r="E792" s="46"/>
      <c r="F792" s="50"/>
      <c r="G792" s="275" t="s">
        <v>3481</v>
      </c>
      <c r="H792" s="46">
        <v>30.0</v>
      </c>
      <c r="I792" s="46">
        <v>90.0</v>
      </c>
      <c r="J792" s="46">
        <v>0.0</v>
      </c>
      <c r="K792" s="46">
        <v>0.0</v>
      </c>
      <c r="L792" s="46">
        <v>1.0</v>
      </c>
      <c r="M792" s="46" t="s">
        <v>3920</v>
      </c>
      <c r="N792" s="46"/>
      <c r="O792" s="46" t="s">
        <v>3481</v>
      </c>
      <c r="P792" s="46" t="s">
        <v>29</v>
      </c>
      <c r="Q792" s="46"/>
      <c r="R792" s="46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  <c r="AD792" s="129"/>
    </row>
    <row r="793" ht="14.25" customHeight="1">
      <c r="A793" s="211">
        <v>31.0</v>
      </c>
      <c r="B793" s="46" t="s">
        <v>3968</v>
      </c>
      <c r="C793" s="46" t="s">
        <v>3969</v>
      </c>
      <c r="D793" s="46"/>
      <c r="E793" s="46"/>
      <c r="F793" s="50"/>
      <c r="G793" s="275" t="s">
        <v>3481</v>
      </c>
      <c r="H793" s="46">
        <v>10.0</v>
      </c>
      <c r="I793" s="46">
        <v>30.0</v>
      </c>
      <c r="J793" s="46" t="s">
        <v>3481</v>
      </c>
      <c r="K793" s="46" t="s">
        <v>3481</v>
      </c>
      <c r="L793" s="46" t="s">
        <v>3481</v>
      </c>
      <c r="M793" s="46"/>
      <c r="N793" s="46"/>
      <c r="O793" s="46" t="s">
        <v>3481</v>
      </c>
      <c r="P793" s="46" t="s">
        <v>29</v>
      </c>
      <c r="Q793" s="46"/>
      <c r="R793" s="46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  <c r="AD793" s="129"/>
    </row>
    <row r="794" ht="14.25" customHeight="1">
      <c r="A794" s="211">
        <v>32.0</v>
      </c>
      <c r="B794" s="46" t="s">
        <v>3970</v>
      </c>
      <c r="C794" s="46" t="s">
        <v>3971</v>
      </c>
      <c r="D794" s="46"/>
      <c r="E794" s="46"/>
      <c r="F794" s="50"/>
      <c r="G794" s="275" t="s">
        <v>3481</v>
      </c>
      <c r="H794" s="46">
        <v>10.0</v>
      </c>
      <c r="I794" s="46">
        <v>30.0</v>
      </c>
      <c r="J794" s="46" t="s">
        <v>3481</v>
      </c>
      <c r="K794" s="46" t="s">
        <v>3481</v>
      </c>
      <c r="L794" s="46" t="s">
        <v>3481</v>
      </c>
      <c r="M794" s="46"/>
      <c r="N794" s="46"/>
      <c r="O794" s="46" t="s">
        <v>3481</v>
      </c>
      <c r="P794" s="46" t="s">
        <v>29</v>
      </c>
      <c r="Q794" s="46"/>
      <c r="R794" s="46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  <c r="AD794" s="129"/>
    </row>
    <row r="795" ht="14.25" customHeight="1">
      <c r="A795" s="211">
        <v>33.0</v>
      </c>
      <c r="B795" s="46" t="s">
        <v>3972</v>
      </c>
      <c r="C795" s="46" t="s">
        <v>3973</v>
      </c>
      <c r="D795" s="46"/>
      <c r="E795" s="46"/>
      <c r="F795" s="50"/>
      <c r="G795" s="275" t="s">
        <v>3481</v>
      </c>
      <c r="H795" s="46">
        <v>10.0</v>
      </c>
      <c r="I795" s="46">
        <v>30.0</v>
      </c>
      <c r="J795" s="46">
        <v>0.0</v>
      </c>
      <c r="K795" s="46">
        <v>0.0</v>
      </c>
      <c r="L795" s="46">
        <v>3.0</v>
      </c>
      <c r="M795" s="46" t="s">
        <v>3920</v>
      </c>
      <c r="N795" s="46"/>
      <c r="O795" s="46" t="s">
        <v>3481</v>
      </c>
      <c r="P795" s="46" t="s">
        <v>29</v>
      </c>
      <c r="Q795" s="46"/>
      <c r="R795" s="46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  <c r="AD795" s="129"/>
    </row>
    <row r="796" ht="14.25" customHeight="1">
      <c r="A796" s="211">
        <v>34.0</v>
      </c>
      <c r="B796" s="46" t="s">
        <v>3974</v>
      </c>
      <c r="C796" s="46" t="s">
        <v>3973</v>
      </c>
      <c r="D796" s="46"/>
      <c r="E796" s="46"/>
      <c r="F796" s="50"/>
      <c r="G796" s="275" t="s">
        <v>3481</v>
      </c>
      <c r="H796" s="46">
        <v>30.0</v>
      </c>
      <c r="I796" s="46">
        <v>90.0</v>
      </c>
      <c r="J796" s="46" t="s">
        <v>3481</v>
      </c>
      <c r="K796" s="46" t="s">
        <v>3481</v>
      </c>
      <c r="L796" s="46" t="s">
        <v>3481</v>
      </c>
      <c r="M796" s="46"/>
      <c r="N796" s="46"/>
      <c r="O796" s="46" t="s">
        <v>3481</v>
      </c>
      <c r="P796" s="46" t="s">
        <v>29</v>
      </c>
      <c r="Q796" s="46"/>
      <c r="R796" s="46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  <c r="AD796" s="129"/>
    </row>
    <row r="797" ht="14.25" customHeight="1">
      <c r="A797" s="211">
        <v>35.0</v>
      </c>
      <c r="B797" s="46" t="s">
        <v>3975</v>
      </c>
      <c r="C797" s="46" t="s">
        <v>3976</v>
      </c>
      <c r="D797" s="46"/>
      <c r="E797" s="46"/>
      <c r="F797" s="50"/>
      <c r="G797" s="275" t="s">
        <v>7098</v>
      </c>
      <c r="H797" s="46">
        <v>10.0</v>
      </c>
      <c r="I797" s="46">
        <v>30.0</v>
      </c>
      <c r="J797" s="46">
        <v>0.0</v>
      </c>
      <c r="K797" s="46">
        <v>0.0</v>
      </c>
      <c r="L797" s="46">
        <v>2.0</v>
      </c>
      <c r="M797" s="46" t="s">
        <v>3920</v>
      </c>
      <c r="N797" s="46"/>
      <c r="O797" s="46" t="s">
        <v>3481</v>
      </c>
      <c r="P797" s="46" t="s">
        <v>29</v>
      </c>
      <c r="Q797" s="46"/>
      <c r="R797" s="46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  <c r="AD797" s="129"/>
    </row>
    <row r="798" ht="14.25" customHeight="1">
      <c r="A798" s="211">
        <v>36.0</v>
      </c>
      <c r="B798" s="46" t="s">
        <v>3977</v>
      </c>
      <c r="C798" s="46" t="s">
        <v>3976</v>
      </c>
      <c r="D798" s="46"/>
      <c r="E798" s="46"/>
      <c r="F798" s="50"/>
      <c r="G798" s="275" t="s">
        <v>7098</v>
      </c>
      <c r="H798" s="46">
        <v>30.0</v>
      </c>
      <c r="I798" s="46">
        <v>90.0</v>
      </c>
      <c r="J798" s="46" t="s">
        <v>3481</v>
      </c>
      <c r="K798" s="46" t="s">
        <v>3481</v>
      </c>
      <c r="L798" s="46" t="s">
        <v>3481</v>
      </c>
      <c r="M798" s="46"/>
      <c r="N798" s="46"/>
      <c r="O798" s="46" t="s">
        <v>3481</v>
      </c>
      <c r="P798" s="46" t="s">
        <v>29</v>
      </c>
      <c r="Q798" s="46"/>
      <c r="R798" s="46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  <c r="AD798" s="129"/>
    </row>
    <row r="799" ht="14.25" customHeight="1">
      <c r="A799" s="211">
        <v>37.0</v>
      </c>
      <c r="B799" s="46" t="s">
        <v>3978</v>
      </c>
      <c r="C799" s="46" t="s">
        <v>3979</v>
      </c>
      <c r="D799" s="46"/>
      <c r="E799" s="46"/>
      <c r="F799" s="50"/>
      <c r="G799" s="275" t="s">
        <v>3481</v>
      </c>
      <c r="H799" s="46">
        <v>10.0</v>
      </c>
      <c r="I799" s="46">
        <v>30.0</v>
      </c>
      <c r="J799" s="46">
        <v>0.0</v>
      </c>
      <c r="K799" s="46">
        <v>0.0</v>
      </c>
      <c r="L799" s="46">
        <v>2.0</v>
      </c>
      <c r="M799" s="46" t="s">
        <v>3920</v>
      </c>
      <c r="N799" s="46"/>
      <c r="O799" s="46" t="s">
        <v>3481</v>
      </c>
      <c r="P799" s="46" t="s">
        <v>29</v>
      </c>
      <c r="Q799" s="46"/>
      <c r="R799" s="46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  <c r="AD799" s="129"/>
    </row>
    <row r="800" ht="14.25" customHeight="1">
      <c r="A800" s="211">
        <v>38.0</v>
      </c>
      <c r="B800" s="46" t="s">
        <v>3980</v>
      </c>
      <c r="C800" s="46" t="s">
        <v>3981</v>
      </c>
      <c r="D800" s="46"/>
      <c r="E800" s="46"/>
      <c r="F800" s="50"/>
      <c r="G800" s="275">
        <v>48.0</v>
      </c>
      <c r="H800" s="46">
        <v>10.0</v>
      </c>
      <c r="I800" s="46">
        <v>30.0</v>
      </c>
      <c r="J800" s="46">
        <v>1.0</v>
      </c>
      <c r="K800" s="46">
        <v>1.0</v>
      </c>
      <c r="L800" s="46">
        <v>0.0</v>
      </c>
      <c r="M800" s="46" t="s">
        <v>3920</v>
      </c>
      <c r="N800" s="46"/>
      <c r="O800" s="46" t="s">
        <v>3481</v>
      </c>
      <c r="P800" s="46" t="s">
        <v>29</v>
      </c>
      <c r="Q800" s="46"/>
      <c r="R800" s="46"/>
      <c r="S800" s="129"/>
      <c r="T800" s="129"/>
      <c r="U800" s="129"/>
      <c r="V800" s="129"/>
      <c r="W800" s="129"/>
      <c r="X800" s="129"/>
      <c r="Y800" s="129"/>
      <c r="Z800" s="129"/>
      <c r="AA800" s="129"/>
      <c r="AB800" s="129"/>
      <c r="AC800" s="129"/>
      <c r="AD800" s="129"/>
    </row>
    <row r="801" ht="14.25" customHeight="1">
      <c r="A801" s="211">
        <v>39.0</v>
      </c>
      <c r="B801" s="46" t="s">
        <v>3982</v>
      </c>
      <c r="C801" s="46" t="s">
        <v>3981</v>
      </c>
      <c r="D801" s="46"/>
      <c r="E801" s="46"/>
      <c r="F801" s="50"/>
      <c r="G801" s="275" t="s">
        <v>3481</v>
      </c>
      <c r="H801" s="46">
        <v>30.0</v>
      </c>
      <c r="I801" s="46">
        <v>90.0</v>
      </c>
      <c r="J801" s="46" t="s">
        <v>3481</v>
      </c>
      <c r="K801" s="46" t="s">
        <v>3481</v>
      </c>
      <c r="L801" s="46" t="s">
        <v>3481</v>
      </c>
      <c r="M801" s="46"/>
      <c r="N801" s="46"/>
      <c r="O801" s="46" t="s">
        <v>3481</v>
      </c>
      <c r="P801" s="46" t="s">
        <v>29</v>
      </c>
      <c r="Q801" s="46"/>
      <c r="R801" s="46"/>
      <c r="S801" s="129"/>
      <c r="T801" s="129"/>
      <c r="U801" s="129"/>
      <c r="V801" s="129"/>
      <c r="W801" s="129"/>
      <c r="X801" s="129"/>
      <c r="Y801" s="129"/>
      <c r="Z801" s="129"/>
      <c r="AA801" s="129"/>
      <c r="AB801" s="129"/>
      <c r="AC801" s="129"/>
      <c r="AD801" s="129"/>
    </row>
    <row r="802" ht="14.25" customHeight="1">
      <c r="A802" s="211">
        <v>40.0</v>
      </c>
      <c r="B802" s="46" t="s">
        <v>3983</v>
      </c>
      <c r="C802" s="46" t="s">
        <v>3984</v>
      </c>
      <c r="D802" s="46"/>
      <c r="E802" s="46"/>
      <c r="F802" s="50"/>
      <c r="G802" s="275" t="s">
        <v>3481</v>
      </c>
      <c r="H802" s="46">
        <v>10.0</v>
      </c>
      <c r="I802" s="46">
        <v>30.0</v>
      </c>
      <c r="J802" s="46" t="s">
        <v>3481</v>
      </c>
      <c r="K802" s="46" t="s">
        <v>3481</v>
      </c>
      <c r="L802" s="46" t="s">
        <v>3481</v>
      </c>
      <c r="M802" s="46"/>
      <c r="N802" s="46"/>
      <c r="O802" s="46" t="s">
        <v>3481</v>
      </c>
      <c r="P802" s="46" t="s">
        <v>29</v>
      </c>
      <c r="Q802" s="46"/>
      <c r="R802" s="46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  <c r="AD802" s="129"/>
    </row>
    <row r="803" ht="14.25" customHeight="1">
      <c r="A803" s="211">
        <v>41.0</v>
      </c>
      <c r="B803" s="46" t="s">
        <v>3985</v>
      </c>
      <c r="C803" s="46" t="s">
        <v>3984</v>
      </c>
      <c r="D803" s="46"/>
      <c r="E803" s="46"/>
      <c r="F803" s="50"/>
      <c r="G803" s="275" t="s">
        <v>3481</v>
      </c>
      <c r="H803" s="46">
        <v>30.0</v>
      </c>
      <c r="I803" s="46">
        <v>90.0</v>
      </c>
      <c r="J803" s="46" t="s">
        <v>3481</v>
      </c>
      <c r="K803" s="46" t="s">
        <v>3481</v>
      </c>
      <c r="L803" s="46" t="s">
        <v>3481</v>
      </c>
      <c r="M803" s="46"/>
      <c r="N803" s="46"/>
      <c r="O803" s="46" t="s">
        <v>3481</v>
      </c>
      <c r="P803" s="46" t="s">
        <v>29</v>
      </c>
      <c r="Q803" s="46"/>
      <c r="R803" s="46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  <c r="AD803" s="129"/>
    </row>
    <row r="804" ht="14.25" customHeight="1">
      <c r="A804" s="211">
        <v>42.0</v>
      </c>
      <c r="B804" s="46" t="s">
        <v>3986</v>
      </c>
      <c r="C804" s="46" t="s">
        <v>3987</v>
      </c>
      <c r="D804" s="46"/>
      <c r="E804" s="46"/>
      <c r="F804" s="50"/>
      <c r="G804" s="275" t="s">
        <v>3481</v>
      </c>
      <c r="H804" s="46">
        <v>10.0</v>
      </c>
      <c r="I804" s="46">
        <v>30.0</v>
      </c>
      <c r="J804" s="46" t="s">
        <v>3481</v>
      </c>
      <c r="K804" s="46" t="s">
        <v>3481</v>
      </c>
      <c r="L804" s="46" t="s">
        <v>3481</v>
      </c>
      <c r="M804" s="46"/>
      <c r="N804" s="46"/>
      <c r="O804" s="46" t="s">
        <v>3481</v>
      </c>
      <c r="P804" s="46" t="s">
        <v>29</v>
      </c>
      <c r="Q804" s="46"/>
      <c r="R804" s="46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</row>
    <row r="805" ht="14.25" customHeight="1">
      <c r="A805" s="211">
        <v>43.0</v>
      </c>
      <c r="B805" s="46" t="s">
        <v>3988</v>
      </c>
      <c r="C805" s="46" t="s">
        <v>3926</v>
      </c>
      <c r="D805" s="46"/>
      <c r="E805" s="46"/>
      <c r="F805" s="50"/>
      <c r="G805" s="275" t="s">
        <v>3989</v>
      </c>
      <c r="H805" s="46">
        <v>4.0</v>
      </c>
      <c r="I805" s="46">
        <v>12.0</v>
      </c>
      <c r="J805" s="46" t="s">
        <v>3481</v>
      </c>
      <c r="K805" s="46" t="s">
        <v>3481</v>
      </c>
      <c r="L805" s="46" t="s">
        <v>3481</v>
      </c>
      <c r="M805" s="46"/>
      <c r="N805" s="46"/>
      <c r="O805" s="46" t="s">
        <v>3481</v>
      </c>
      <c r="P805" s="46" t="s">
        <v>29</v>
      </c>
      <c r="Q805" s="46"/>
      <c r="R805" s="46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</row>
    <row r="806" ht="14.25" customHeight="1">
      <c r="A806" s="211">
        <v>44.0</v>
      </c>
      <c r="B806" s="46" t="s">
        <v>3990</v>
      </c>
      <c r="C806" s="46" t="s">
        <v>3932</v>
      </c>
      <c r="D806" s="46"/>
      <c r="E806" s="46"/>
      <c r="F806" s="50"/>
      <c r="G806" s="275" t="s">
        <v>3481</v>
      </c>
      <c r="H806" s="46" t="s">
        <v>3481</v>
      </c>
      <c r="I806" s="46" t="s">
        <v>3481</v>
      </c>
      <c r="J806" s="46" t="s">
        <v>3481</v>
      </c>
      <c r="K806" s="46" t="s">
        <v>3481</v>
      </c>
      <c r="L806" s="46" t="s">
        <v>3481</v>
      </c>
      <c r="M806" s="46"/>
      <c r="N806" s="46"/>
      <c r="O806" s="46" t="s">
        <v>3481</v>
      </c>
      <c r="P806" s="46" t="s">
        <v>29</v>
      </c>
      <c r="Q806" s="46"/>
      <c r="R806" s="46"/>
      <c r="S806" s="129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  <c r="AD806" s="129"/>
    </row>
    <row r="807" ht="14.25" customHeight="1">
      <c r="A807" s="211">
        <v>45.0</v>
      </c>
      <c r="B807" s="46" t="s">
        <v>3991</v>
      </c>
      <c r="C807" s="46" t="s">
        <v>3934</v>
      </c>
      <c r="D807" s="46"/>
      <c r="E807" s="46"/>
      <c r="F807" s="50"/>
      <c r="G807" s="275" t="s">
        <v>3481</v>
      </c>
      <c r="H807" s="46" t="s">
        <v>3481</v>
      </c>
      <c r="I807" s="46" t="s">
        <v>3481</v>
      </c>
      <c r="J807" s="46" t="s">
        <v>3481</v>
      </c>
      <c r="K807" s="46" t="s">
        <v>3481</v>
      </c>
      <c r="L807" s="46" t="s">
        <v>3481</v>
      </c>
      <c r="M807" s="46"/>
      <c r="N807" s="46"/>
      <c r="O807" s="46" t="s">
        <v>3481</v>
      </c>
      <c r="P807" s="46" t="s">
        <v>29</v>
      </c>
      <c r="Q807" s="46"/>
      <c r="R807" s="46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</row>
    <row r="808" ht="14.25" customHeight="1">
      <c r="A808" s="211">
        <v>46.0</v>
      </c>
      <c r="B808" s="46" t="s">
        <v>3992</v>
      </c>
      <c r="C808" s="46" t="s">
        <v>3938</v>
      </c>
      <c r="D808" s="46"/>
      <c r="E808" s="46"/>
      <c r="F808" s="50"/>
      <c r="G808" s="275" t="s">
        <v>3481</v>
      </c>
      <c r="H808" s="46" t="s">
        <v>3481</v>
      </c>
      <c r="I808" s="46" t="s">
        <v>3481</v>
      </c>
      <c r="J808" s="46">
        <v>2.0</v>
      </c>
      <c r="K808" s="46">
        <v>2.0</v>
      </c>
      <c r="L808" s="46">
        <v>20.0</v>
      </c>
      <c r="M808" s="46" t="s">
        <v>3920</v>
      </c>
      <c r="N808" s="46"/>
      <c r="O808" s="46" t="s">
        <v>3481</v>
      </c>
      <c r="P808" s="46" t="s">
        <v>29</v>
      </c>
      <c r="Q808" s="46"/>
      <c r="R808" s="46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</row>
    <row r="809" ht="14.25" customHeight="1">
      <c r="A809" s="211">
        <v>47.0</v>
      </c>
      <c r="B809" s="46" t="s">
        <v>3993</v>
      </c>
      <c r="C809" s="46" t="s">
        <v>3940</v>
      </c>
      <c r="D809" s="46"/>
      <c r="E809" s="46"/>
      <c r="F809" s="50"/>
      <c r="G809" s="275" t="s">
        <v>3481</v>
      </c>
      <c r="H809" s="46" t="s">
        <v>3481</v>
      </c>
      <c r="I809" s="46" t="s">
        <v>3481</v>
      </c>
      <c r="J809" s="46" t="s">
        <v>3481</v>
      </c>
      <c r="K809" s="46" t="s">
        <v>3481</v>
      </c>
      <c r="L809" s="46" t="s">
        <v>3481</v>
      </c>
      <c r="M809" s="46"/>
      <c r="N809" s="46"/>
      <c r="O809" s="46" t="s">
        <v>3481</v>
      </c>
      <c r="P809" s="46" t="s">
        <v>29</v>
      </c>
      <c r="Q809" s="46"/>
      <c r="R809" s="46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</row>
    <row r="810" ht="14.25" customHeight="1">
      <c r="A810" s="211">
        <v>48.0</v>
      </c>
      <c r="B810" s="46" t="s">
        <v>3993</v>
      </c>
      <c r="C810" s="46" t="s">
        <v>3942</v>
      </c>
      <c r="D810" s="46"/>
      <c r="E810" s="46"/>
      <c r="F810" s="50"/>
      <c r="G810" s="275" t="s">
        <v>3481</v>
      </c>
      <c r="H810" s="46" t="s">
        <v>3481</v>
      </c>
      <c r="I810" s="46" t="s">
        <v>3481</v>
      </c>
      <c r="J810" s="46" t="s">
        <v>3481</v>
      </c>
      <c r="K810" s="46" t="s">
        <v>3481</v>
      </c>
      <c r="L810" s="46" t="s">
        <v>3481</v>
      </c>
      <c r="M810" s="46"/>
      <c r="N810" s="46"/>
      <c r="O810" s="46" t="s">
        <v>3481</v>
      </c>
      <c r="P810" s="46" t="s">
        <v>29</v>
      </c>
      <c r="Q810" s="46"/>
      <c r="R810" s="46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</row>
    <row r="811" ht="14.25" customHeight="1">
      <c r="A811" s="211">
        <v>49.0</v>
      </c>
      <c r="B811" s="46" t="s">
        <v>3994</v>
      </c>
      <c r="C811" s="46" t="s">
        <v>3995</v>
      </c>
      <c r="D811" s="46"/>
      <c r="E811" s="46"/>
      <c r="F811" s="50"/>
      <c r="G811" s="275" t="s">
        <v>3481</v>
      </c>
      <c r="H811" s="46" t="s">
        <v>3481</v>
      </c>
      <c r="I811" s="46" t="s">
        <v>3481</v>
      </c>
      <c r="J811" s="46" t="s">
        <v>3481</v>
      </c>
      <c r="K811" s="46" t="s">
        <v>3481</v>
      </c>
      <c r="L811" s="46" t="s">
        <v>3481</v>
      </c>
      <c r="M811" s="46"/>
      <c r="N811" s="46"/>
      <c r="O811" s="46" t="s">
        <v>3481</v>
      </c>
      <c r="P811" s="46" t="s">
        <v>29</v>
      </c>
      <c r="Q811" s="46"/>
      <c r="R811" s="46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</row>
    <row r="812" ht="14.25" customHeight="1">
      <c r="A812" s="211">
        <v>50.0</v>
      </c>
      <c r="B812" s="46" t="s">
        <v>2847</v>
      </c>
      <c r="C812" s="46" t="s">
        <v>1552</v>
      </c>
      <c r="D812" s="46"/>
      <c r="E812" s="46"/>
      <c r="F812" s="50"/>
      <c r="G812" s="275" t="s">
        <v>3481</v>
      </c>
      <c r="H812" s="46" t="s">
        <v>3481</v>
      </c>
      <c r="I812" s="46" t="s">
        <v>3481</v>
      </c>
      <c r="J812" s="46" t="s">
        <v>3481</v>
      </c>
      <c r="K812" s="46" t="s">
        <v>3481</v>
      </c>
      <c r="L812" s="46" t="s">
        <v>3481</v>
      </c>
      <c r="M812" s="46"/>
      <c r="N812" s="46"/>
      <c r="O812" s="46" t="s">
        <v>3481</v>
      </c>
      <c r="P812" s="46" t="s">
        <v>29</v>
      </c>
      <c r="Q812" s="46"/>
      <c r="R812" s="46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</row>
    <row r="813" ht="14.25" customHeight="1">
      <c r="A813" s="211">
        <v>51.0</v>
      </c>
      <c r="B813" s="46" t="s">
        <v>3996</v>
      </c>
      <c r="C813" s="46" t="s">
        <v>3952</v>
      </c>
      <c r="D813" s="46"/>
      <c r="E813" s="46"/>
      <c r="F813" s="50"/>
      <c r="G813" s="275" t="s">
        <v>3481</v>
      </c>
      <c r="H813" s="46" t="s">
        <v>3481</v>
      </c>
      <c r="I813" s="46" t="s">
        <v>3481</v>
      </c>
      <c r="J813" s="46" t="s">
        <v>3481</v>
      </c>
      <c r="K813" s="46" t="s">
        <v>3481</v>
      </c>
      <c r="L813" s="46" t="s">
        <v>3481</v>
      </c>
      <c r="M813" s="46"/>
      <c r="N813" s="46"/>
      <c r="O813" s="46" t="s">
        <v>3481</v>
      </c>
      <c r="P813" s="46" t="s">
        <v>29</v>
      </c>
      <c r="Q813" s="46"/>
      <c r="R813" s="46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</row>
    <row r="814" ht="14.25" customHeight="1">
      <c r="A814" s="211">
        <v>52.0</v>
      </c>
      <c r="B814" s="46" t="s">
        <v>3997</v>
      </c>
      <c r="C814" s="46" t="s">
        <v>3954</v>
      </c>
      <c r="D814" s="46"/>
      <c r="E814" s="46"/>
      <c r="F814" s="50"/>
      <c r="G814" s="275" t="s">
        <v>3481</v>
      </c>
      <c r="H814" s="46" t="s">
        <v>3481</v>
      </c>
      <c r="I814" s="46" t="s">
        <v>3481</v>
      </c>
      <c r="J814" s="46" t="s">
        <v>3481</v>
      </c>
      <c r="K814" s="46" t="s">
        <v>3481</v>
      </c>
      <c r="L814" s="46" t="s">
        <v>3481</v>
      </c>
      <c r="M814" s="46"/>
      <c r="N814" s="46"/>
      <c r="O814" s="46" t="s">
        <v>3481</v>
      </c>
      <c r="P814" s="46" t="s">
        <v>29</v>
      </c>
      <c r="Q814" s="46"/>
      <c r="R814" s="46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</row>
    <row r="815" ht="14.25" customHeight="1">
      <c r="A815" s="211">
        <v>53.0</v>
      </c>
      <c r="B815" s="46" t="s">
        <v>2246</v>
      </c>
      <c r="C815" s="46" t="s">
        <v>2247</v>
      </c>
      <c r="D815" s="46"/>
      <c r="E815" s="46"/>
      <c r="F815" s="50"/>
      <c r="G815" s="275" t="s">
        <v>3481</v>
      </c>
      <c r="H815" s="46" t="s">
        <v>3481</v>
      </c>
      <c r="I815" s="46" t="s">
        <v>3481</v>
      </c>
      <c r="J815" s="46">
        <v>0.0</v>
      </c>
      <c r="K815" s="46">
        <v>0.0</v>
      </c>
      <c r="L815" s="46">
        <v>7.0</v>
      </c>
      <c r="M815" s="46" t="s">
        <v>3920</v>
      </c>
      <c r="N815" s="46"/>
      <c r="O815" s="46" t="s">
        <v>3481</v>
      </c>
      <c r="P815" s="46" t="s">
        <v>29</v>
      </c>
      <c r="Q815" s="46"/>
      <c r="R815" s="46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</row>
    <row r="816" ht="14.25" customHeight="1">
      <c r="A816" s="211">
        <v>54.0</v>
      </c>
      <c r="B816" s="46" t="s">
        <v>3998</v>
      </c>
      <c r="C816" s="46" t="s">
        <v>3959</v>
      </c>
      <c r="D816" s="46"/>
      <c r="E816" s="46"/>
      <c r="F816" s="50"/>
      <c r="G816" s="275" t="s">
        <v>3481</v>
      </c>
      <c r="H816" s="46" t="s">
        <v>3481</v>
      </c>
      <c r="I816" s="46" t="s">
        <v>3481</v>
      </c>
      <c r="J816" s="46">
        <v>0.0</v>
      </c>
      <c r="K816" s="46">
        <v>0.0</v>
      </c>
      <c r="L816" s="46">
        <v>20.0</v>
      </c>
      <c r="M816" s="46" t="s">
        <v>3920</v>
      </c>
      <c r="N816" s="46"/>
      <c r="O816" s="46" t="s">
        <v>3481</v>
      </c>
      <c r="P816" s="46" t="s">
        <v>29</v>
      </c>
      <c r="Q816" s="46"/>
      <c r="R816" s="46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</row>
    <row r="817" ht="14.25" customHeight="1">
      <c r="A817" s="211">
        <v>55.0</v>
      </c>
      <c r="B817" s="46" t="s">
        <v>3999</v>
      </c>
      <c r="C817" s="46" t="s">
        <v>3969</v>
      </c>
      <c r="D817" s="46"/>
      <c r="E817" s="46"/>
      <c r="F817" s="50"/>
      <c r="G817" s="275" t="s">
        <v>3481</v>
      </c>
      <c r="H817" s="46" t="s">
        <v>3481</v>
      </c>
      <c r="I817" s="46" t="s">
        <v>3481</v>
      </c>
      <c r="J817" s="46" t="s">
        <v>3481</v>
      </c>
      <c r="K817" s="46" t="s">
        <v>3481</v>
      </c>
      <c r="L817" s="46" t="s">
        <v>3481</v>
      </c>
      <c r="M817" s="46"/>
      <c r="N817" s="46"/>
      <c r="O817" s="46" t="s">
        <v>3481</v>
      </c>
      <c r="P817" s="46" t="s">
        <v>29</v>
      </c>
      <c r="Q817" s="46"/>
      <c r="R817" s="46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</row>
    <row r="818" ht="14.25" customHeight="1">
      <c r="A818" s="211">
        <v>56.0</v>
      </c>
      <c r="B818" s="46" t="s">
        <v>4000</v>
      </c>
      <c r="C818" s="46" t="s">
        <v>3971</v>
      </c>
      <c r="D818" s="46"/>
      <c r="E818" s="46"/>
      <c r="F818" s="50"/>
      <c r="G818" s="275" t="s">
        <v>3481</v>
      </c>
      <c r="H818" s="46" t="s">
        <v>3481</v>
      </c>
      <c r="I818" s="46" t="s">
        <v>3481</v>
      </c>
      <c r="J818" s="46" t="s">
        <v>3481</v>
      </c>
      <c r="K818" s="46" t="s">
        <v>3481</v>
      </c>
      <c r="L818" s="46" t="s">
        <v>3481</v>
      </c>
      <c r="M818" s="46"/>
      <c r="N818" s="46"/>
      <c r="O818" s="46" t="s">
        <v>3481</v>
      </c>
      <c r="P818" s="46" t="s">
        <v>29</v>
      </c>
      <c r="Q818" s="46"/>
      <c r="R818" s="46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  <c r="AD818" s="129"/>
    </row>
    <row r="819" ht="14.25" customHeight="1">
      <c r="A819" s="211">
        <v>57.0</v>
      </c>
      <c r="B819" s="46" t="s">
        <v>2856</v>
      </c>
      <c r="C819" s="46" t="s">
        <v>3979</v>
      </c>
      <c r="D819" s="46"/>
      <c r="E819" s="46"/>
      <c r="F819" s="50"/>
      <c r="G819" s="275" t="s">
        <v>3481</v>
      </c>
      <c r="H819" s="46" t="s">
        <v>3481</v>
      </c>
      <c r="I819" s="46" t="s">
        <v>3481</v>
      </c>
      <c r="J819" s="46" t="s">
        <v>3481</v>
      </c>
      <c r="K819" s="46" t="s">
        <v>3481</v>
      </c>
      <c r="L819" s="46" t="s">
        <v>3481</v>
      </c>
      <c r="M819" s="46"/>
      <c r="N819" s="46"/>
      <c r="O819" s="46" t="s">
        <v>3481</v>
      </c>
      <c r="P819" s="46" t="s">
        <v>29</v>
      </c>
      <c r="Q819" s="46"/>
      <c r="R819" s="46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  <c r="AD819" s="129"/>
    </row>
    <row r="820" ht="14.25" customHeight="1">
      <c r="A820" s="211">
        <v>58.0</v>
      </c>
      <c r="B820" s="46" t="s">
        <v>4001</v>
      </c>
      <c r="C820" s="46" t="s">
        <v>3987</v>
      </c>
      <c r="D820" s="46"/>
      <c r="E820" s="46"/>
      <c r="F820" s="50"/>
      <c r="G820" s="275" t="s">
        <v>3481</v>
      </c>
      <c r="H820" s="46" t="s">
        <v>3481</v>
      </c>
      <c r="I820" s="46" t="s">
        <v>3481</v>
      </c>
      <c r="J820" s="46" t="s">
        <v>3481</v>
      </c>
      <c r="K820" s="46" t="s">
        <v>3481</v>
      </c>
      <c r="L820" s="46" t="s">
        <v>3481</v>
      </c>
      <c r="M820" s="46"/>
      <c r="N820" s="46"/>
      <c r="O820" s="46" t="s">
        <v>3481</v>
      </c>
      <c r="P820" s="46" t="s">
        <v>29</v>
      </c>
      <c r="Q820" s="46"/>
      <c r="R820" s="46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  <c r="AD820" s="129"/>
    </row>
    <row r="821" ht="14.25" customHeight="1">
      <c r="A821" s="211">
        <v>59.0</v>
      </c>
      <c r="B821" s="46" t="s">
        <v>4002</v>
      </c>
      <c r="C821" s="46" t="s">
        <v>3928</v>
      </c>
      <c r="D821" s="46"/>
      <c r="E821" s="46"/>
      <c r="F821" s="50"/>
      <c r="G821" s="275" t="s">
        <v>3481</v>
      </c>
      <c r="H821" s="46" t="s">
        <v>3481</v>
      </c>
      <c r="I821" s="46" t="s">
        <v>3481</v>
      </c>
      <c r="J821" s="46" t="s">
        <v>3481</v>
      </c>
      <c r="K821" s="46" t="s">
        <v>3481</v>
      </c>
      <c r="L821" s="46" t="s">
        <v>3481</v>
      </c>
      <c r="M821" s="46"/>
      <c r="N821" s="46"/>
      <c r="O821" s="46" t="s">
        <v>3481</v>
      </c>
      <c r="P821" s="46" t="s">
        <v>29</v>
      </c>
      <c r="Q821" s="46"/>
      <c r="R821" s="46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  <c r="AD821" s="129"/>
    </row>
    <row r="822" ht="14.25" customHeight="1">
      <c r="A822" s="211">
        <v>60.0</v>
      </c>
      <c r="B822" s="46" t="s">
        <v>4003</v>
      </c>
      <c r="C822" s="46" t="s">
        <v>3930</v>
      </c>
      <c r="D822" s="46"/>
      <c r="E822" s="46"/>
      <c r="F822" s="50"/>
      <c r="G822" s="275" t="s">
        <v>3481</v>
      </c>
      <c r="H822" s="46" t="s">
        <v>3481</v>
      </c>
      <c r="I822" s="46" t="s">
        <v>3481</v>
      </c>
      <c r="J822" s="46" t="s">
        <v>3481</v>
      </c>
      <c r="K822" s="46" t="s">
        <v>3481</v>
      </c>
      <c r="L822" s="46" t="s">
        <v>3481</v>
      </c>
      <c r="M822" s="46"/>
      <c r="N822" s="46"/>
      <c r="O822" s="46" t="s">
        <v>3481</v>
      </c>
      <c r="P822" s="46" t="s">
        <v>29</v>
      </c>
      <c r="Q822" s="46"/>
      <c r="R822" s="46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  <c r="AD822" s="129"/>
    </row>
    <row r="823" ht="15.75" customHeight="1">
      <c r="A823" s="181"/>
      <c r="B823" s="182" t="s">
        <v>3144</v>
      </c>
      <c r="C823" s="182"/>
      <c r="D823" s="182"/>
      <c r="E823" s="182"/>
      <c r="F823" s="403"/>
      <c r="G823" s="404"/>
      <c r="H823" s="182"/>
      <c r="I823" s="182"/>
      <c r="J823" s="91"/>
      <c r="K823" s="91"/>
      <c r="L823" s="91"/>
      <c r="M823" s="91"/>
      <c r="N823" s="91"/>
      <c r="O823" s="91"/>
      <c r="P823" s="182"/>
      <c r="Q823" s="91"/>
      <c r="R823" s="218"/>
      <c r="S823" s="405"/>
      <c r="T823" s="405"/>
      <c r="U823" s="405"/>
      <c r="V823" s="405"/>
      <c r="W823" s="405"/>
      <c r="X823" s="405"/>
      <c r="Y823" s="405"/>
      <c r="Z823" s="405"/>
      <c r="AA823" s="405"/>
      <c r="AB823" s="405"/>
      <c r="AC823" s="405"/>
      <c r="AD823" s="405"/>
    </row>
    <row r="824" ht="14.25" customHeight="1">
      <c r="A824" s="211">
        <v>1.0</v>
      </c>
      <c r="B824" s="46" t="s">
        <v>4004</v>
      </c>
      <c r="C824" s="46" t="s">
        <v>4005</v>
      </c>
      <c r="D824" s="46"/>
      <c r="E824" s="46"/>
      <c r="F824" s="50"/>
      <c r="G824" s="275">
        <v>395.46</v>
      </c>
      <c r="H824" s="46">
        <v>25.0</v>
      </c>
      <c r="I824" s="46">
        <v>120.0</v>
      </c>
      <c r="J824" s="46">
        <v>2.0</v>
      </c>
      <c r="K824" s="46">
        <v>2.0</v>
      </c>
      <c r="L824" s="46"/>
      <c r="M824" s="46" t="s">
        <v>523</v>
      </c>
      <c r="N824" s="46"/>
      <c r="O824" s="46">
        <v>500.0</v>
      </c>
      <c r="P824" s="46" t="s">
        <v>29</v>
      </c>
      <c r="Q824" s="46"/>
      <c r="R824" s="46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  <c r="AD824" s="129"/>
    </row>
    <row r="825" ht="14.25" customHeight="1">
      <c r="A825" s="211">
        <v>3.0</v>
      </c>
      <c r="B825" s="46" t="s">
        <v>4007</v>
      </c>
      <c r="C825" s="46" t="s">
        <v>4005</v>
      </c>
      <c r="D825" s="46"/>
      <c r="E825" s="46"/>
      <c r="F825" s="50"/>
      <c r="G825" s="275" t="s">
        <v>7099</v>
      </c>
      <c r="H825" s="46">
        <v>38.0</v>
      </c>
      <c r="I825" s="46">
        <v>192.0</v>
      </c>
      <c r="J825" s="46"/>
      <c r="K825" s="46"/>
      <c r="L825" s="46"/>
      <c r="M825" s="46" t="s">
        <v>523</v>
      </c>
      <c r="N825" s="46"/>
      <c r="O825" s="46">
        <v>250.0</v>
      </c>
      <c r="P825" s="46" t="s">
        <v>29</v>
      </c>
      <c r="Q825" s="46"/>
      <c r="R825" s="46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  <c r="AD825" s="129"/>
    </row>
    <row r="826" ht="14.25" customHeight="1">
      <c r="A826" s="211">
        <v>4.0</v>
      </c>
      <c r="B826" s="46" t="s">
        <v>4008</v>
      </c>
      <c r="C826" s="46" t="s">
        <v>4009</v>
      </c>
      <c r="D826" s="46"/>
      <c r="E826" s="46"/>
      <c r="F826" s="50"/>
      <c r="G826" s="275" t="s">
        <v>4249</v>
      </c>
      <c r="H826" s="46">
        <v>25.0</v>
      </c>
      <c r="I826" s="46">
        <v>250.0</v>
      </c>
      <c r="J826" s="46">
        <v>1.0</v>
      </c>
      <c r="K826" s="46">
        <v>1.0</v>
      </c>
      <c r="L826" s="46"/>
      <c r="M826" s="46" t="s">
        <v>4011</v>
      </c>
      <c r="N826" s="46"/>
      <c r="O826" s="46"/>
      <c r="P826" s="46" t="s">
        <v>29</v>
      </c>
      <c r="Q826" s="46"/>
      <c r="R826" s="46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  <c r="AD826" s="129"/>
    </row>
    <row r="827" ht="14.25" customHeight="1">
      <c r="A827" s="211">
        <v>5.0</v>
      </c>
      <c r="B827" s="46" t="s">
        <v>4012</v>
      </c>
      <c r="C827" s="46" t="s">
        <v>4009</v>
      </c>
      <c r="D827" s="46"/>
      <c r="E827" s="46"/>
      <c r="F827" s="50"/>
      <c r="G827" s="275" t="s">
        <v>7100</v>
      </c>
      <c r="H827" s="46">
        <v>6.0</v>
      </c>
      <c r="I827" s="46">
        <v>30.0</v>
      </c>
      <c r="J827" s="46"/>
      <c r="K827" s="46"/>
      <c r="L827" s="46">
        <v>1.0</v>
      </c>
      <c r="M827" s="46" t="s">
        <v>4011</v>
      </c>
      <c r="N827" s="46"/>
      <c r="O827" s="46">
        <v>250.0</v>
      </c>
      <c r="P827" s="46" t="s">
        <v>29</v>
      </c>
      <c r="Q827" s="46"/>
      <c r="R827" s="46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  <c r="AD827" s="129"/>
    </row>
    <row r="828" ht="14.25" customHeight="1">
      <c r="A828" s="211">
        <v>6.0</v>
      </c>
      <c r="B828" s="46" t="s">
        <v>4013</v>
      </c>
      <c r="C828" s="46" t="s">
        <v>4014</v>
      </c>
      <c r="D828" s="46"/>
      <c r="E828" s="46"/>
      <c r="F828" s="50"/>
      <c r="G828" s="275" t="s">
        <v>7101</v>
      </c>
      <c r="H828" s="46">
        <v>15.0</v>
      </c>
      <c r="I828" s="46">
        <v>75.0</v>
      </c>
      <c r="J828" s="46">
        <v>1.0</v>
      </c>
      <c r="K828" s="46">
        <v>1.0</v>
      </c>
      <c r="L828" s="46"/>
      <c r="M828" s="46" t="s">
        <v>4011</v>
      </c>
      <c r="N828" s="46"/>
      <c r="O828" s="46"/>
      <c r="P828" s="46" t="s">
        <v>29</v>
      </c>
      <c r="Q828" s="46"/>
      <c r="R828" s="46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  <c r="AD828" s="129"/>
    </row>
    <row r="829" ht="14.25" customHeight="1">
      <c r="A829" s="211">
        <v>7.0</v>
      </c>
      <c r="B829" s="46" t="s">
        <v>4016</v>
      </c>
      <c r="C829" s="46" t="s">
        <v>4014</v>
      </c>
      <c r="D829" s="46"/>
      <c r="E829" s="46"/>
      <c r="F829" s="50"/>
      <c r="G829" s="275" t="s">
        <v>7102</v>
      </c>
      <c r="H829" s="46">
        <v>10.0</v>
      </c>
      <c r="I829" s="46">
        <v>50.0</v>
      </c>
      <c r="J829" s="46"/>
      <c r="K829" s="46"/>
      <c r="L829" s="46">
        <v>1.0</v>
      </c>
      <c r="M829" s="46" t="s">
        <v>4011</v>
      </c>
      <c r="N829" s="46"/>
      <c r="O829" s="46">
        <v>326.0</v>
      </c>
      <c r="P829" s="46" t="s">
        <v>29</v>
      </c>
      <c r="Q829" s="46"/>
      <c r="R829" s="46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  <c r="AD829" s="129"/>
    </row>
    <row r="830" ht="14.25" customHeight="1">
      <c r="A830" s="211">
        <v>8.0</v>
      </c>
      <c r="B830" s="46" t="s">
        <v>4017</v>
      </c>
      <c r="C830" s="46" t="s">
        <v>4018</v>
      </c>
      <c r="D830" s="46"/>
      <c r="E830" s="46"/>
      <c r="F830" s="50"/>
      <c r="G830" s="275" t="s">
        <v>7103</v>
      </c>
      <c r="H830" s="46">
        <v>20.0</v>
      </c>
      <c r="I830" s="46">
        <v>100.0</v>
      </c>
      <c r="J830" s="46"/>
      <c r="K830" s="46"/>
      <c r="L830" s="46"/>
      <c r="M830" s="46" t="s">
        <v>396</v>
      </c>
      <c r="N830" s="46"/>
      <c r="O830" s="46"/>
      <c r="P830" s="46" t="s">
        <v>29</v>
      </c>
      <c r="Q830" s="46"/>
      <c r="R830" s="46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  <c r="AD830" s="129"/>
    </row>
    <row r="831" ht="14.25" customHeight="1">
      <c r="A831" s="211">
        <v>9.0</v>
      </c>
      <c r="B831" s="46" t="s">
        <v>4021</v>
      </c>
      <c r="C831" s="46" t="s">
        <v>4018</v>
      </c>
      <c r="D831" s="46"/>
      <c r="E831" s="46"/>
      <c r="F831" s="50"/>
      <c r="G831" s="275" t="s">
        <v>7104</v>
      </c>
      <c r="H831" s="46">
        <v>6.0</v>
      </c>
      <c r="I831" s="46">
        <v>30.0</v>
      </c>
      <c r="J831" s="46">
        <v>1.0</v>
      </c>
      <c r="K831" s="46">
        <v>1.0</v>
      </c>
      <c r="L831" s="46">
        <v>3.0</v>
      </c>
      <c r="M831" s="46" t="s">
        <v>449</v>
      </c>
      <c r="N831" s="46"/>
      <c r="O831" s="46">
        <v>353.0</v>
      </c>
      <c r="P831" s="46" t="s">
        <v>29</v>
      </c>
      <c r="Q831" s="46"/>
      <c r="R831" s="46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  <c r="AD831" s="129"/>
    </row>
    <row r="832" ht="14.25" customHeight="1">
      <c r="A832" s="211">
        <v>10.0</v>
      </c>
      <c r="B832" s="46" t="s">
        <v>4022</v>
      </c>
      <c r="C832" s="46" t="s">
        <v>4005</v>
      </c>
      <c r="D832" s="46"/>
      <c r="E832" s="46"/>
      <c r="F832" s="50"/>
      <c r="G832" s="275" t="s">
        <v>7105</v>
      </c>
      <c r="H832" s="46">
        <v>10.0</v>
      </c>
      <c r="I832" s="46">
        <v>50.0</v>
      </c>
      <c r="J832" s="46"/>
      <c r="K832" s="46"/>
      <c r="L832" s="46">
        <v>2.0</v>
      </c>
      <c r="M832" s="46" t="s">
        <v>4024</v>
      </c>
      <c r="N832" s="46"/>
      <c r="O832" s="46">
        <v>150.0</v>
      </c>
      <c r="P832" s="46" t="s">
        <v>29</v>
      </c>
      <c r="Q832" s="46"/>
      <c r="R832" s="46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  <c r="AD832" s="129"/>
    </row>
    <row r="833" ht="14.25" customHeight="1">
      <c r="A833" s="211">
        <v>11.0</v>
      </c>
      <c r="B833" s="46" t="s">
        <v>4025</v>
      </c>
      <c r="C833" s="46" t="s">
        <v>4026</v>
      </c>
      <c r="D833" s="46"/>
      <c r="E833" s="46"/>
      <c r="F833" s="50"/>
      <c r="G833" s="275" t="s">
        <v>7106</v>
      </c>
      <c r="H833" s="46">
        <v>15.0</v>
      </c>
      <c r="I833" s="46">
        <v>75.0</v>
      </c>
      <c r="J833" s="46"/>
      <c r="K833" s="46"/>
      <c r="L833" s="46">
        <v>1.0</v>
      </c>
      <c r="M833" s="46" t="s">
        <v>4027</v>
      </c>
      <c r="N833" s="46"/>
      <c r="O833" s="46">
        <v>100.0</v>
      </c>
      <c r="P833" s="46" t="s">
        <v>29</v>
      </c>
      <c r="Q833" s="46"/>
      <c r="R833" s="46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  <c r="AD833" s="129"/>
    </row>
    <row r="834" ht="14.25" customHeight="1">
      <c r="A834" s="211">
        <v>12.0</v>
      </c>
      <c r="B834" s="46" t="s">
        <v>4028</v>
      </c>
      <c r="C834" s="46" t="s">
        <v>4029</v>
      </c>
      <c r="D834" s="46"/>
      <c r="E834" s="46"/>
      <c r="F834" s="50"/>
      <c r="G834" s="275" t="s">
        <v>7107</v>
      </c>
      <c r="H834" s="46">
        <v>20.0</v>
      </c>
      <c r="I834" s="46">
        <v>100.0</v>
      </c>
      <c r="J834" s="46">
        <v>2.0</v>
      </c>
      <c r="K834" s="46">
        <v>2.0</v>
      </c>
      <c r="L834" s="46">
        <v>1.0</v>
      </c>
      <c r="M834" s="46" t="s">
        <v>4011</v>
      </c>
      <c r="N834" s="46"/>
      <c r="O834" s="46">
        <v>150.0</v>
      </c>
      <c r="P834" s="46" t="s">
        <v>29</v>
      </c>
      <c r="Q834" s="46"/>
      <c r="R834" s="46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  <c r="AD834" s="129"/>
    </row>
    <row r="835" ht="14.25" customHeight="1">
      <c r="A835" s="211">
        <v>13.0</v>
      </c>
      <c r="B835" s="46" t="s">
        <v>4031</v>
      </c>
      <c r="C835" s="46" t="s">
        <v>4032</v>
      </c>
      <c r="D835" s="46"/>
      <c r="E835" s="46"/>
      <c r="F835" s="50"/>
      <c r="G835" s="275" t="s">
        <v>7108</v>
      </c>
      <c r="H835" s="46">
        <v>24.0</v>
      </c>
      <c r="I835" s="46">
        <v>120.0</v>
      </c>
      <c r="J835" s="46">
        <v>1.0</v>
      </c>
      <c r="K835" s="46">
        <v>1.0</v>
      </c>
      <c r="L835" s="46">
        <v>4.0</v>
      </c>
      <c r="M835" s="46" t="s">
        <v>4011</v>
      </c>
      <c r="N835" s="46"/>
      <c r="O835" s="46">
        <v>200.0</v>
      </c>
      <c r="P835" s="46" t="s">
        <v>29</v>
      </c>
      <c r="Q835" s="46"/>
      <c r="R835" s="46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  <c r="AD835" s="129"/>
    </row>
    <row r="836" ht="14.25" customHeight="1">
      <c r="A836" s="211">
        <v>14.0</v>
      </c>
      <c r="B836" s="46" t="s">
        <v>4034</v>
      </c>
      <c r="C836" s="46" t="s">
        <v>4035</v>
      </c>
      <c r="D836" s="46"/>
      <c r="E836" s="46"/>
      <c r="F836" s="50"/>
      <c r="G836" s="275" t="s">
        <v>7109</v>
      </c>
      <c r="H836" s="46">
        <v>10.0</v>
      </c>
      <c r="I836" s="46">
        <v>50.0</v>
      </c>
      <c r="J836" s="46">
        <v>1.0</v>
      </c>
      <c r="K836" s="46">
        <v>1.0</v>
      </c>
      <c r="L836" s="46">
        <v>1.0</v>
      </c>
      <c r="M836" s="46" t="s">
        <v>4011</v>
      </c>
      <c r="N836" s="46"/>
      <c r="O836" s="46"/>
      <c r="P836" s="46" t="s">
        <v>29</v>
      </c>
      <c r="Q836" s="46"/>
      <c r="R836" s="46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  <c r="AD836" s="129"/>
    </row>
    <row r="837" ht="14.25" customHeight="1">
      <c r="A837" s="211">
        <v>15.0</v>
      </c>
      <c r="B837" s="46" t="s">
        <v>4037</v>
      </c>
      <c r="C837" s="46" t="s">
        <v>4035</v>
      </c>
      <c r="D837" s="46"/>
      <c r="E837" s="46"/>
      <c r="F837" s="50"/>
      <c r="G837" s="275" t="s">
        <v>7110</v>
      </c>
      <c r="H837" s="46">
        <v>30.0</v>
      </c>
      <c r="I837" s="46">
        <v>150.0</v>
      </c>
      <c r="J837" s="46"/>
      <c r="K837" s="46"/>
      <c r="L837" s="46">
        <v>1.0</v>
      </c>
      <c r="M837" s="46" t="s">
        <v>4011</v>
      </c>
      <c r="N837" s="46"/>
      <c r="O837" s="46">
        <v>250.0</v>
      </c>
      <c r="P837" s="46" t="s">
        <v>29</v>
      </c>
      <c r="Q837" s="46"/>
      <c r="R837" s="46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  <c r="AD837" s="129"/>
    </row>
    <row r="838" ht="14.25" customHeight="1">
      <c r="A838" s="211">
        <v>16.0</v>
      </c>
      <c r="B838" s="46" t="s">
        <v>4038</v>
      </c>
      <c r="C838" s="46" t="s">
        <v>4039</v>
      </c>
      <c r="D838" s="46"/>
      <c r="E838" s="46"/>
      <c r="F838" s="50"/>
      <c r="G838" s="275" t="s">
        <v>4249</v>
      </c>
      <c r="H838" s="46">
        <v>10.0</v>
      </c>
      <c r="I838" s="46">
        <v>50.0</v>
      </c>
      <c r="J838" s="46"/>
      <c r="K838" s="46"/>
      <c r="L838" s="46">
        <v>2.0</v>
      </c>
      <c r="M838" s="46" t="s">
        <v>4011</v>
      </c>
      <c r="N838" s="46"/>
      <c r="O838" s="46"/>
      <c r="P838" s="46" t="s">
        <v>29</v>
      </c>
      <c r="Q838" s="46"/>
      <c r="R838" s="46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  <c r="AD838" s="129"/>
    </row>
    <row r="839" ht="14.25" customHeight="1">
      <c r="A839" s="211">
        <v>17.0</v>
      </c>
      <c r="B839" s="46" t="s">
        <v>4040</v>
      </c>
      <c r="C839" s="46" t="s">
        <v>4039</v>
      </c>
      <c r="D839" s="46"/>
      <c r="E839" s="46"/>
      <c r="F839" s="50"/>
      <c r="G839" s="275" t="s">
        <v>4252</v>
      </c>
      <c r="H839" s="46">
        <v>6.0</v>
      </c>
      <c r="I839" s="46">
        <v>30.0</v>
      </c>
      <c r="J839" s="46"/>
      <c r="K839" s="46"/>
      <c r="L839" s="46">
        <v>1.0</v>
      </c>
      <c r="M839" s="46" t="s">
        <v>4011</v>
      </c>
      <c r="N839" s="46"/>
      <c r="O839" s="46">
        <v>70.0</v>
      </c>
      <c r="P839" s="46" t="s">
        <v>29</v>
      </c>
      <c r="Q839" s="46"/>
      <c r="R839" s="46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  <c r="AD839" s="129"/>
    </row>
    <row r="840" ht="14.25" customHeight="1">
      <c r="A840" s="211">
        <v>18.0</v>
      </c>
      <c r="B840" s="46" t="s">
        <v>4041</v>
      </c>
      <c r="C840" s="46" t="s">
        <v>7111</v>
      </c>
      <c r="D840" s="46"/>
      <c r="E840" s="46"/>
      <c r="F840" s="50"/>
      <c r="G840" s="275" t="s">
        <v>7029</v>
      </c>
      <c r="H840" s="46">
        <v>30.0</v>
      </c>
      <c r="I840" s="46">
        <v>150.0</v>
      </c>
      <c r="J840" s="46">
        <v>1.0</v>
      </c>
      <c r="K840" s="46">
        <v>1.0</v>
      </c>
      <c r="L840" s="46">
        <v>2.0</v>
      </c>
      <c r="M840" s="46" t="s">
        <v>4011</v>
      </c>
      <c r="N840" s="46"/>
      <c r="O840" s="46">
        <v>150.0</v>
      </c>
      <c r="P840" s="46" t="s">
        <v>29</v>
      </c>
      <c r="Q840" s="46"/>
      <c r="R840" s="46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  <c r="AD840" s="129"/>
    </row>
    <row r="841" ht="14.25" customHeight="1">
      <c r="A841" s="211">
        <v>19.0</v>
      </c>
      <c r="B841" s="46" t="s">
        <v>4043</v>
      </c>
      <c r="C841" s="46" t="s">
        <v>7111</v>
      </c>
      <c r="D841" s="46"/>
      <c r="E841" s="46"/>
      <c r="F841" s="50"/>
      <c r="G841" s="275" t="s">
        <v>7029</v>
      </c>
      <c r="H841" s="46">
        <v>30.0</v>
      </c>
      <c r="I841" s="46">
        <v>150.0</v>
      </c>
      <c r="J841" s="46">
        <v>1.0</v>
      </c>
      <c r="K841" s="46">
        <v>1.0</v>
      </c>
      <c r="L841" s="46">
        <v>2.0</v>
      </c>
      <c r="M841" s="46" t="s">
        <v>4011</v>
      </c>
      <c r="N841" s="46"/>
      <c r="O841" s="46"/>
      <c r="P841" s="46" t="s">
        <v>29</v>
      </c>
      <c r="Q841" s="46"/>
      <c r="R841" s="46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  <c r="AD841" s="129"/>
    </row>
    <row r="842" ht="15.75" customHeight="1">
      <c r="A842" s="181"/>
      <c r="B842" s="182" t="s">
        <v>4044</v>
      </c>
      <c r="C842" s="182"/>
      <c r="D842" s="182"/>
      <c r="E842" s="182"/>
      <c r="F842" s="403"/>
      <c r="G842" s="404"/>
      <c r="H842" s="182"/>
      <c r="I842" s="182"/>
      <c r="J842" s="91"/>
      <c r="K842" s="91"/>
      <c r="L842" s="91"/>
      <c r="M842" s="91"/>
      <c r="N842" s="91"/>
      <c r="O842" s="91"/>
      <c r="P842" s="182"/>
      <c r="Q842" s="91"/>
      <c r="R842" s="218"/>
      <c r="S842" s="405"/>
      <c r="T842" s="405"/>
      <c r="U842" s="405"/>
      <c r="V842" s="405"/>
      <c r="W842" s="405"/>
      <c r="X842" s="405"/>
      <c r="Y842" s="405"/>
      <c r="Z842" s="405"/>
      <c r="AA842" s="405"/>
      <c r="AB842" s="405"/>
      <c r="AC842" s="405"/>
      <c r="AD842" s="405"/>
    </row>
    <row r="843" ht="14.25" customHeight="1">
      <c r="A843" s="211">
        <v>1.0</v>
      </c>
      <c r="B843" s="46" t="s">
        <v>4045</v>
      </c>
      <c r="C843" s="46" t="s">
        <v>1552</v>
      </c>
      <c r="D843" s="46"/>
      <c r="E843" s="46"/>
      <c r="F843" s="50"/>
      <c r="G843" s="275">
        <v>5000.0</v>
      </c>
      <c r="H843" s="81">
        <v>30.0</v>
      </c>
      <c r="I843" s="46">
        <v>150.0</v>
      </c>
      <c r="J843" s="46">
        <v>3.0</v>
      </c>
      <c r="K843" s="46">
        <v>3.0</v>
      </c>
      <c r="L843" s="81">
        <v>1.0</v>
      </c>
      <c r="M843" s="46" t="s">
        <v>7112</v>
      </c>
      <c r="N843" s="81" t="s">
        <v>46</v>
      </c>
      <c r="O843" s="46"/>
      <c r="P843" s="46" t="s">
        <v>29</v>
      </c>
      <c r="Q843" s="46">
        <v>4.0</v>
      </c>
      <c r="R843" s="46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</row>
    <row r="844" ht="14.25" customHeight="1">
      <c r="A844" s="211">
        <v>2.0</v>
      </c>
      <c r="B844" s="49" t="s">
        <v>4048</v>
      </c>
      <c r="C844" s="228" t="s">
        <v>7113</v>
      </c>
      <c r="D844" s="228"/>
      <c r="E844" s="228"/>
      <c r="F844" s="419"/>
      <c r="G844" s="275">
        <v>300.0</v>
      </c>
      <c r="H844" s="237">
        <v>10.0</v>
      </c>
      <c r="I844" s="46">
        <v>40.0</v>
      </c>
      <c r="J844" s="46"/>
      <c r="K844" s="46"/>
      <c r="L844" s="81">
        <v>1.0</v>
      </c>
      <c r="M844" s="46" t="s">
        <v>7112</v>
      </c>
      <c r="N844" s="81" t="s">
        <v>46</v>
      </c>
      <c r="O844" s="46"/>
      <c r="P844" s="46" t="s">
        <v>29</v>
      </c>
      <c r="Q844" s="81">
        <v>0.0</v>
      </c>
      <c r="R844" s="46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  <c r="AD844" s="129"/>
    </row>
    <row r="845" ht="14.25" customHeight="1">
      <c r="A845" s="211">
        <v>3.0</v>
      </c>
      <c r="B845" s="49" t="s">
        <v>4052</v>
      </c>
      <c r="C845" s="228" t="s">
        <v>7114</v>
      </c>
      <c r="D845" s="228"/>
      <c r="E845" s="228"/>
      <c r="F845" s="419"/>
      <c r="G845" s="275">
        <v>500.0</v>
      </c>
      <c r="H845" s="237">
        <v>30.0</v>
      </c>
      <c r="I845" s="46">
        <v>180.0</v>
      </c>
      <c r="J845" s="46"/>
      <c r="K845" s="46"/>
      <c r="L845" s="81">
        <v>1.0</v>
      </c>
      <c r="M845" s="46" t="s">
        <v>7112</v>
      </c>
      <c r="N845" s="81" t="s">
        <v>46</v>
      </c>
      <c r="O845" s="46"/>
      <c r="P845" s="46" t="s">
        <v>29</v>
      </c>
      <c r="Q845" s="81">
        <v>0.0</v>
      </c>
      <c r="R845" s="46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</row>
    <row r="846" ht="14.25" customHeight="1">
      <c r="A846" s="211">
        <v>4.0</v>
      </c>
      <c r="B846" s="49" t="s">
        <v>4054</v>
      </c>
      <c r="C846" s="228" t="s">
        <v>7115</v>
      </c>
      <c r="D846" s="228"/>
      <c r="E846" s="228"/>
      <c r="F846" s="419"/>
      <c r="G846" s="275">
        <v>300.0</v>
      </c>
      <c r="H846" s="237">
        <v>10.0</v>
      </c>
      <c r="I846" s="46">
        <v>50.0</v>
      </c>
      <c r="J846" s="46"/>
      <c r="K846" s="46"/>
      <c r="L846" s="81">
        <v>1.0</v>
      </c>
      <c r="M846" s="46" t="s">
        <v>7112</v>
      </c>
      <c r="N846" s="81" t="s">
        <v>46</v>
      </c>
      <c r="O846" s="46"/>
      <c r="P846" s="46" t="s">
        <v>29</v>
      </c>
      <c r="Q846" s="81">
        <v>0.0</v>
      </c>
      <c r="R846" s="46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</row>
    <row r="847" ht="14.25" customHeight="1">
      <c r="A847" s="211">
        <v>5.0</v>
      </c>
      <c r="B847" s="49" t="s">
        <v>4057</v>
      </c>
      <c r="C847" s="228" t="s">
        <v>4058</v>
      </c>
      <c r="D847" s="228"/>
      <c r="E847" s="228"/>
      <c r="F847" s="419"/>
      <c r="G847" s="275">
        <v>300.0</v>
      </c>
      <c r="H847" s="237">
        <v>5.0</v>
      </c>
      <c r="I847" s="46">
        <v>30.0</v>
      </c>
      <c r="J847" s="46"/>
      <c r="K847" s="46"/>
      <c r="L847" s="81">
        <v>1.0</v>
      </c>
      <c r="M847" s="46" t="s">
        <v>7112</v>
      </c>
      <c r="N847" s="81" t="s">
        <v>46</v>
      </c>
      <c r="O847" s="46"/>
      <c r="P847" s="46" t="s">
        <v>29</v>
      </c>
      <c r="Q847" s="81">
        <v>0.0</v>
      </c>
      <c r="R847" s="46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</row>
    <row r="848" ht="14.25" customHeight="1">
      <c r="A848" s="211">
        <v>6.0</v>
      </c>
      <c r="B848" s="49" t="s">
        <v>4059</v>
      </c>
      <c r="C848" s="228" t="s">
        <v>4060</v>
      </c>
      <c r="D848" s="228"/>
      <c r="E848" s="228"/>
      <c r="F848" s="419"/>
      <c r="G848" s="275">
        <v>300.0</v>
      </c>
      <c r="H848" s="237">
        <v>5.0</v>
      </c>
      <c r="I848" s="46">
        <v>30.0</v>
      </c>
      <c r="J848" s="46"/>
      <c r="K848" s="46"/>
      <c r="L848" s="81">
        <v>1.0</v>
      </c>
      <c r="M848" s="46" t="s">
        <v>7112</v>
      </c>
      <c r="N848" s="81" t="s">
        <v>46</v>
      </c>
      <c r="O848" s="46"/>
      <c r="P848" s="46" t="s">
        <v>29</v>
      </c>
      <c r="Q848" s="81">
        <v>0.0</v>
      </c>
      <c r="R848" s="46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</row>
    <row r="849" ht="14.25" customHeight="1">
      <c r="A849" s="211">
        <v>7.0</v>
      </c>
      <c r="B849" s="49" t="s">
        <v>4061</v>
      </c>
      <c r="C849" s="228" t="s">
        <v>4062</v>
      </c>
      <c r="D849" s="228"/>
      <c r="E849" s="228"/>
      <c r="F849" s="419"/>
      <c r="G849" s="275">
        <v>300.0</v>
      </c>
      <c r="H849" s="237">
        <v>5.0</v>
      </c>
      <c r="I849" s="46">
        <v>30.0</v>
      </c>
      <c r="J849" s="46"/>
      <c r="K849" s="46"/>
      <c r="L849" s="81">
        <v>1.0</v>
      </c>
      <c r="M849" s="46" t="s">
        <v>7112</v>
      </c>
      <c r="N849" s="81" t="s">
        <v>46</v>
      </c>
      <c r="O849" s="46"/>
      <c r="P849" s="46" t="s">
        <v>29</v>
      </c>
      <c r="Q849" s="81">
        <v>0.0</v>
      </c>
      <c r="R849" s="46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</row>
    <row r="850" ht="14.25" customHeight="1">
      <c r="A850" s="211">
        <v>8.0</v>
      </c>
      <c r="B850" s="49" t="s">
        <v>4064</v>
      </c>
      <c r="C850" s="228" t="s">
        <v>4065</v>
      </c>
      <c r="D850" s="228"/>
      <c r="E850" s="228"/>
      <c r="F850" s="419"/>
      <c r="G850" s="275">
        <v>300.0</v>
      </c>
      <c r="H850" s="237">
        <v>10.0</v>
      </c>
      <c r="I850" s="46">
        <v>50.0</v>
      </c>
      <c r="J850" s="46"/>
      <c r="K850" s="46"/>
      <c r="L850" s="81">
        <v>1.0</v>
      </c>
      <c r="M850" s="46" t="s">
        <v>7112</v>
      </c>
      <c r="N850" s="81" t="s">
        <v>46</v>
      </c>
      <c r="O850" s="46"/>
      <c r="P850" s="46" t="s">
        <v>29</v>
      </c>
      <c r="Q850" s="81">
        <v>0.0</v>
      </c>
      <c r="R850" s="46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</row>
    <row r="851" ht="14.25" customHeight="1">
      <c r="A851" s="211">
        <v>9.0</v>
      </c>
      <c r="B851" s="49" t="s">
        <v>4066</v>
      </c>
      <c r="C851" s="228" t="s">
        <v>4067</v>
      </c>
      <c r="D851" s="228"/>
      <c r="E851" s="228"/>
      <c r="F851" s="419"/>
      <c r="G851" s="275">
        <v>300.0</v>
      </c>
      <c r="H851" s="237">
        <v>10.0</v>
      </c>
      <c r="I851" s="46">
        <v>50.0</v>
      </c>
      <c r="J851" s="46"/>
      <c r="K851" s="46"/>
      <c r="L851" s="81">
        <v>1.0</v>
      </c>
      <c r="M851" s="46" t="s">
        <v>7112</v>
      </c>
      <c r="N851" s="81" t="s">
        <v>46</v>
      </c>
      <c r="O851" s="46"/>
      <c r="P851" s="46" t="s">
        <v>29</v>
      </c>
      <c r="Q851" s="81">
        <v>0.0</v>
      </c>
      <c r="R851" s="46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</row>
    <row r="852" ht="14.25" customHeight="1">
      <c r="A852" s="211">
        <v>10.0</v>
      </c>
      <c r="B852" s="49" t="s">
        <v>4068</v>
      </c>
      <c r="C852" s="228" t="s">
        <v>4069</v>
      </c>
      <c r="D852" s="228"/>
      <c r="E852" s="228"/>
      <c r="F852" s="419"/>
      <c r="G852" s="275">
        <v>300.0</v>
      </c>
      <c r="H852" s="237">
        <v>10.0</v>
      </c>
      <c r="I852" s="46">
        <v>50.0</v>
      </c>
      <c r="J852" s="46"/>
      <c r="K852" s="46"/>
      <c r="L852" s="81">
        <v>1.0</v>
      </c>
      <c r="M852" s="46" t="s">
        <v>7112</v>
      </c>
      <c r="N852" s="81" t="s">
        <v>46</v>
      </c>
      <c r="O852" s="46"/>
      <c r="P852" s="46" t="s">
        <v>29</v>
      </c>
      <c r="Q852" s="81">
        <v>0.0</v>
      </c>
      <c r="R852" s="46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</row>
    <row r="853" ht="14.25" customHeight="1">
      <c r="A853" s="211">
        <v>11.0</v>
      </c>
      <c r="B853" s="49" t="s">
        <v>7116</v>
      </c>
      <c r="C853" s="228" t="s">
        <v>4071</v>
      </c>
      <c r="D853" s="228"/>
      <c r="E853" s="228"/>
      <c r="F853" s="419"/>
      <c r="G853" s="275">
        <v>300.0</v>
      </c>
      <c r="H853" s="237">
        <v>5.0</v>
      </c>
      <c r="I853" s="46">
        <v>30.0</v>
      </c>
      <c r="J853" s="46"/>
      <c r="K853" s="46"/>
      <c r="L853" s="81">
        <v>1.0</v>
      </c>
      <c r="M853" s="46" t="s">
        <v>7112</v>
      </c>
      <c r="N853" s="81" t="s">
        <v>46</v>
      </c>
      <c r="O853" s="46"/>
      <c r="P853" s="46" t="s">
        <v>29</v>
      </c>
      <c r="Q853" s="81">
        <v>0.0</v>
      </c>
      <c r="R853" s="46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</row>
    <row r="854" ht="14.25" customHeight="1">
      <c r="A854" s="211">
        <v>12.0</v>
      </c>
      <c r="B854" s="49" t="s">
        <v>4072</v>
      </c>
      <c r="C854" s="228" t="s">
        <v>4073</v>
      </c>
      <c r="D854" s="228"/>
      <c r="E854" s="228"/>
      <c r="F854" s="419"/>
      <c r="G854" s="275">
        <v>300.0</v>
      </c>
      <c r="H854" s="237">
        <v>10.0</v>
      </c>
      <c r="I854" s="46">
        <v>60.0</v>
      </c>
      <c r="J854" s="46"/>
      <c r="K854" s="46"/>
      <c r="L854" s="81">
        <v>1.0</v>
      </c>
      <c r="M854" s="46" t="s">
        <v>7112</v>
      </c>
      <c r="N854" s="81" t="s">
        <v>46</v>
      </c>
      <c r="O854" s="46"/>
      <c r="P854" s="46" t="s">
        <v>29</v>
      </c>
      <c r="Q854" s="81">
        <v>0.0</v>
      </c>
      <c r="R854" s="46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</row>
    <row r="855" ht="14.25" customHeight="1">
      <c r="A855" s="211">
        <v>13.0</v>
      </c>
      <c r="B855" s="49" t="s">
        <v>4075</v>
      </c>
      <c r="C855" s="228" t="s">
        <v>4076</v>
      </c>
      <c r="D855" s="228"/>
      <c r="E855" s="228"/>
      <c r="F855" s="419"/>
      <c r="G855" s="275">
        <v>300.0</v>
      </c>
      <c r="H855" s="237">
        <v>10.0</v>
      </c>
      <c r="I855" s="46">
        <v>50.0</v>
      </c>
      <c r="J855" s="46"/>
      <c r="K855" s="46"/>
      <c r="L855" s="81">
        <v>1.0</v>
      </c>
      <c r="M855" s="46" t="s">
        <v>7112</v>
      </c>
      <c r="N855" s="81" t="s">
        <v>46</v>
      </c>
      <c r="O855" s="46"/>
      <c r="P855" s="46" t="s">
        <v>29</v>
      </c>
      <c r="Q855" s="81">
        <v>0.0</v>
      </c>
      <c r="R855" s="46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</row>
    <row r="856" ht="14.25" customHeight="1">
      <c r="A856" s="211">
        <v>14.0</v>
      </c>
      <c r="B856" s="49" t="s">
        <v>4077</v>
      </c>
      <c r="C856" s="228" t="s">
        <v>7117</v>
      </c>
      <c r="D856" s="228"/>
      <c r="E856" s="228"/>
      <c r="F856" s="419"/>
      <c r="G856" s="275">
        <v>300.0</v>
      </c>
      <c r="H856" s="237">
        <v>10.0</v>
      </c>
      <c r="I856" s="46">
        <v>50.0</v>
      </c>
      <c r="J856" s="46"/>
      <c r="K856" s="46"/>
      <c r="L856" s="81">
        <v>1.0</v>
      </c>
      <c r="M856" s="46" t="s">
        <v>7112</v>
      </c>
      <c r="N856" s="81" t="s">
        <v>46</v>
      </c>
      <c r="O856" s="46"/>
      <c r="P856" s="46" t="s">
        <v>29</v>
      </c>
      <c r="Q856" s="81">
        <v>0.0</v>
      </c>
      <c r="R856" s="46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  <c r="AD856" s="129"/>
    </row>
    <row r="857" ht="14.25" customHeight="1">
      <c r="A857" s="211">
        <v>15.0</v>
      </c>
      <c r="B857" s="49" t="s">
        <v>4079</v>
      </c>
      <c r="C857" s="228" t="s">
        <v>4080</v>
      </c>
      <c r="D857" s="228"/>
      <c r="E857" s="228"/>
      <c r="F857" s="419"/>
      <c r="G857" s="275">
        <v>300.0</v>
      </c>
      <c r="H857" s="237">
        <v>10.0</v>
      </c>
      <c r="I857" s="46">
        <v>50.0</v>
      </c>
      <c r="J857" s="46"/>
      <c r="K857" s="46"/>
      <c r="L857" s="81">
        <v>1.0</v>
      </c>
      <c r="M857" s="46" t="s">
        <v>7112</v>
      </c>
      <c r="N857" s="81" t="s">
        <v>46</v>
      </c>
      <c r="O857" s="46"/>
      <c r="P857" s="46" t="s">
        <v>29</v>
      </c>
      <c r="Q857" s="81">
        <v>0.0</v>
      </c>
      <c r="R857" s="46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  <c r="AD857" s="129"/>
    </row>
    <row r="858" ht="14.25" customHeight="1">
      <c r="A858" s="211">
        <v>16.0</v>
      </c>
      <c r="B858" s="49" t="s">
        <v>4081</v>
      </c>
      <c r="C858" s="228" t="s">
        <v>4082</v>
      </c>
      <c r="D858" s="228"/>
      <c r="E858" s="228"/>
      <c r="F858" s="419"/>
      <c r="G858" s="275">
        <v>300.0</v>
      </c>
      <c r="H858" s="237">
        <v>10.0</v>
      </c>
      <c r="I858" s="46">
        <v>50.0</v>
      </c>
      <c r="J858" s="46"/>
      <c r="K858" s="46"/>
      <c r="L858" s="81">
        <v>1.0</v>
      </c>
      <c r="M858" s="46" t="s">
        <v>7112</v>
      </c>
      <c r="N858" s="81" t="s">
        <v>46</v>
      </c>
      <c r="O858" s="46"/>
      <c r="P858" s="46" t="s">
        <v>29</v>
      </c>
      <c r="Q858" s="81">
        <v>0.0</v>
      </c>
      <c r="R858" s="46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  <c r="AD858" s="129"/>
    </row>
    <row r="859" ht="14.25" customHeight="1">
      <c r="A859" s="211">
        <v>17.0</v>
      </c>
      <c r="B859" s="49" t="s">
        <v>4083</v>
      </c>
      <c r="C859" s="228" t="s">
        <v>4084</v>
      </c>
      <c r="D859" s="228"/>
      <c r="E859" s="228"/>
      <c r="F859" s="419"/>
      <c r="G859" s="275">
        <v>300.0</v>
      </c>
      <c r="H859" s="237">
        <v>10.0</v>
      </c>
      <c r="I859" s="46">
        <v>50.0</v>
      </c>
      <c r="J859" s="46"/>
      <c r="K859" s="46"/>
      <c r="L859" s="81">
        <v>1.0</v>
      </c>
      <c r="M859" s="46" t="s">
        <v>7112</v>
      </c>
      <c r="N859" s="81" t="s">
        <v>46</v>
      </c>
      <c r="O859" s="46"/>
      <c r="P859" s="46" t="s">
        <v>29</v>
      </c>
      <c r="Q859" s="81">
        <v>0.0</v>
      </c>
      <c r="R859" s="46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  <c r="AD859" s="129"/>
    </row>
    <row r="860" ht="14.25" customHeight="1">
      <c r="A860" s="211">
        <v>18.0</v>
      </c>
      <c r="B860" s="49" t="s">
        <v>4085</v>
      </c>
      <c r="C860" s="228" t="s">
        <v>4086</v>
      </c>
      <c r="D860" s="228"/>
      <c r="E860" s="228"/>
      <c r="F860" s="419"/>
      <c r="G860" s="275">
        <v>300.0</v>
      </c>
      <c r="H860" s="237">
        <v>10.0</v>
      </c>
      <c r="I860" s="46">
        <v>50.0</v>
      </c>
      <c r="J860" s="46"/>
      <c r="K860" s="46"/>
      <c r="L860" s="81">
        <v>1.0</v>
      </c>
      <c r="M860" s="46" t="s">
        <v>7112</v>
      </c>
      <c r="N860" s="81" t="s">
        <v>46</v>
      </c>
      <c r="O860" s="46"/>
      <c r="P860" s="46" t="s">
        <v>29</v>
      </c>
      <c r="Q860" s="81">
        <v>0.0</v>
      </c>
      <c r="R860" s="46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  <c r="AD860" s="129"/>
    </row>
    <row r="861" ht="14.25" customHeight="1">
      <c r="A861" s="211">
        <v>19.0</v>
      </c>
      <c r="B861" s="49" t="s">
        <v>4087</v>
      </c>
      <c r="C861" s="228" t="s">
        <v>4088</v>
      </c>
      <c r="D861" s="228"/>
      <c r="E861" s="228"/>
      <c r="F861" s="419"/>
      <c r="G861" s="275">
        <v>300.0</v>
      </c>
      <c r="H861" s="237">
        <v>10.0</v>
      </c>
      <c r="I861" s="46">
        <v>50.0</v>
      </c>
      <c r="J861" s="46"/>
      <c r="K861" s="46"/>
      <c r="L861" s="81">
        <v>1.0</v>
      </c>
      <c r="M861" s="46" t="s">
        <v>7112</v>
      </c>
      <c r="N861" s="81" t="s">
        <v>46</v>
      </c>
      <c r="O861" s="46"/>
      <c r="P861" s="46" t="s">
        <v>29</v>
      </c>
      <c r="Q861" s="81">
        <v>0.0</v>
      </c>
      <c r="R861" s="46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  <c r="AD861" s="129"/>
    </row>
    <row r="862" ht="14.25" customHeight="1">
      <c r="A862" s="211">
        <v>20.0</v>
      </c>
      <c r="B862" s="49" t="s">
        <v>4089</v>
      </c>
      <c r="C862" s="228" t="s">
        <v>4090</v>
      </c>
      <c r="D862" s="228"/>
      <c r="E862" s="228"/>
      <c r="F862" s="419"/>
      <c r="G862" s="275">
        <v>300.0</v>
      </c>
      <c r="H862" s="237">
        <v>10.0</v>
      </c>
      <c r="I862" s="46">
        <v>50.0</v>
      </c>
      <c r="J862" s="46"/>
      <c r="K862" s="46"/>
      <c r="L862" s="81">
        <v>1.0</v>
      </c>
      <c r="M862" s="46" t="s">
        <v>7112</v>
      </c>
      <c r="N862" s="81" t="s">
        <v>46</v>
      </c>
      <c r="O862" s="46"/>
      <c r="P862" s="46" t="s">
        <v>29</v>
      </c>
      <c r="Q862" s="81">
        <v>0.0</v>
      </c>
      <c r="R862" s="46"/>
      <c r="S862" s="129"/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  <c r="AD862" s="129"/>
    </row>
    <row r="863" ht="14.25" customHeight="1">
      <c r="A863" s="211">
        <v>21.0</v>
      </c>
      <c r="B863" s="49" t="s">
        <v>4091</v>
      </c>
      <c r="C863" s="228" t="s">
        <v>4092</v>
      </c>
      <c r="D863" s="228"/>
      <c r="E863" s="228"/>
      <c r="F863" s="419"/>
      <c r="G863" s="275">
        <v>300.0</v>
      </c>
      <c r="H863" s="237">
        <v>10.0</v>
      </c>
      <c r="I863" s="46">
        <v>50.0</v>
      </c>
      <c r="J863" s="46"/>
      <c r="K863" s="46"/>
      <c r="L863" s="81">
        <v>1.0</v>
      </c>
      <c r="M863" s="46" t="s">
        <v>7112</v>
      </c>
      <c r="N863" s="81" t="s">
        <v>46</v>
      </c>
      <c r="O863" s="46"/>
      <c r="P863" s="46" t="s">
        <v>29</v>
      </c>
      <c r="Q863" s="81">
        <v>0.0</v>
      </c>
      <c r="R863" s="46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  <c r="AD863" s="129"/>
    </row>
    <row r="864" ht="14.25" customHeight="1">
      <c r="A864" s="211">
        <v>22.0</v>
      </c>
      <c r="B864" s="49" t="s">
        <v>4093</v>
      </c>
      <c r="C864" s="228" t="s">
        <v>4094</v>
      </c>
      <c r="D864" s="228"/>
      <c r="E864" s="228"/>
      <c r="F864" s="419"/>
      <c r="G864" s="275">
        <v>300.0</v>
      </c>
      <c r="H864" s="237">
        <v>10.0</v>
      </c>
      <c r="I864" s="46">
        <v>50.0</v>
      </c>
      <c r="J864" s="46"/>
      <c r="K864" s="46"/>
      <c r="L864" s="81">
        <v>1.0</v>
      </c>
      <c r="M864" s="46" t="s">
        <v>7112</v>
      </c>
      <c r="N864" s="81" t="s">
        <v>46</v>
      </c>
      <c r="O864" s="46"/>
      <c r="P864" s="46" t="s">
        <v>29</v>
      </c>
      <c r="Q864" s="81">
        <v>0.0</v>
      </c>
      <c r="R864" s="46"/>
      <c r="S864" s="129"/>
      <c r="T864" s="129"/>
      <c r="U864" s="129"/>
      <c r="V864" s="129"/>
      <c r="W864" s="129"/>
      <c r="X864" s="129"/>
      <c r="Y864" s="129"/>
      <c r="Z864" s="129"/>
      <c r="AA864" s="129"/>
      <c r="AB864" s="129"/>
      <c r="AC864" s="129"/>
      <c r="AD864" s="129"/>
    </row>
    <row r="865" ht="14.25" customHeight="1">
      <c r="A865" s="211">
        <v>23.0</v>
      </c>
      <c r="B865" s="49" t="s">
        <v>4095</v>
      </c>
      <c r="C865" s="228" t="s">
        <v>4096</v>
      </c>
      <c r="D865" s="228"/>
      <c r="E865" s="228"/>
      <c r="F865" s="419"/>
      <c r="G865" s="275">
        <v>300.0</v>
      </c>
      <c r="H865" s="237">
        <v>10.0</v>
      </c>
      <c r="I865" s="46">
        <v>50.0</v>
      </c>
      <c r="J865" s="46"/>
      <c r="K865" s="46"/>
      <c r="L865" s="81">
        <v>1.0</v>
      </c>
      <c r="M865" s="46" t="s">
        <v>7112</v>
      </c>
      <c r="N865" s="81" t="s">
        <v>46</v>
      </c>
      <c r="O865" s="46"/>
      <c r="P865" s="46" t="s">
        <v>29</v>
      </c>
      <c r="Q865" s="81">
        <v>0.0</v>
      </c>
      <c r="R865" s="46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  <c r="AD865" s="129"/>
    </row>
    <row r="866" ht="14.25" customHeight="1">
      <c r="A866" s="211">
        <v>24.0</v>
      </c>
      <c r="B866" s="49" t="s">
        <v>4097</v>
      </c>
      <c r="C866" s="228" t="s">
        <v>4098</v>
      </c>
      <c r="D866" s="228"/>
      <c r="E866" s="228"/>
      <c r="F866" s="419"/>
      <c r="G866" s="275">
        <v>300.0</v>
      </c>
      <c r="H866" s="237">
        <v>5.0</v>
      </c>
      <c r="I866" s="46">
        <v>25.0</v>
      </c>
      <c r="J866" s="46"/>
      <c r="K866" s="46"/>
      <c r="L866" s="81">
        <v>1.0</v>
      </c>
      <c r="M866" s="46" t="s">
        <v>7112</v>
      </c>
      <c r="N866" s="81" t="s">
        <v>46</v>
      </c>
      <c r="O866" s="46"/>
      <c r="P866" s="46" t="s">
        <v>29</v>
      </c>
      <c r="Q866" s="81">
        <v>0.0</v>
      </c>
      <c r="R866" s="46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  <c r="AD866" s="129"/>
    </row>
    <row r="867" ht="14.25" customHeight="1">
      <c r="A867" s="211">
        <v>25.0</v>
      </c>
      <c r="B867" s="49" t="s">
        <v>4099</v>
      </c>
      <c r="C867" s="228" t="s">
        <v>4100</v>
      </c>
      <c r="D867" s="228"/>
      <c r="E867" s="228"/>
      <c r="F867" s="419"/>
      <c r="G867" s="275">
        <v>300.0</v>
      </c>
      <c r="H867" s="237">
        <v>10.0</v>
      </c>
      <c r="I867" s="46">
        <v>30.0</v>
      </c>
      <c r="J867" s="46"/>
      <c r="K867" s="46"/>
      <c r="L867" s="81">
        <v>1.0</v>
      </c>
      <c r="M867" s="46" t="s">
        <v>7112</v>
      </c>
      <c r="N867" s="81" t="s">
        <v>46</v>
      </c>
      <c r="O867" s="46"/>
      <c r="P867" s="46" t="s">
        <v>29</v>
      </c>
      <c r="Q867" s="81">
        <v>0.0</v>
      </c>
      <c r="R867" s="46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  <c r="AD867" s="129"/>
    </row>
    <row r="868" ht="14.25" customHeight="1">
      <c r="A868" s="211">
        <v>26.0</v>
      </c>
      <c r="B868" s="49" t="s">
        <v>7118</v>
      </c>
      <c r="C868" s="228" t="s">
        <v>7119</v>
      </c>
      <c r="D868" s="228"/>
      <c r="E868" s="228"/>
      <c r="F868" s="419"/>
      <c r="G868" s="275">
        <v>300.0</v>
      </c>
      <c r="H868" s="237">
        <v>5.0</v>
      </c>
      <c r="I868" s="46">
        <v>25.0</v>
      </c>
      <c r="J868" s="46"/>
      <c r="K868" s="46"/>
      <c r="L868" s="81">
        <v>1.0</v>
      </c>
      <c r="M868" s="46" t="s">
        <v>7112</v>
      </c>
      <c r="N868" s="81" t="s">
        <v>46</v>
      </c>
      <c r="O868" s="46"/>
      <c r="P868" s="46" t="s">
        <v>29</v>
      </c>
      <c r="Q868" s="81">
        <v>0.0</v>
      </c>
      <c r="R868" s="46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  <c r="AD868" s="129"/>
    </row>
    <row r="869" ht="14.25" customHeight="1">
      <c r="A869" s="211">
        <v>27.0</v>
      </c>
      <c r="B869" s="49" t="s">
        <v>4103</v>
      </c>
      <c r="C869" s="228" t="s">
        <v>4104</v>
      </c>
      <c r="D869" s="228"/>
      <c r="E869" s="228"/>
      <c r="F869" s="419"/>
      <c r="G869" s="275">
        <v>300.0</v>
      </c>
      <c r="H869" s="237">
        <v>5.0</v>
      </c>
      <c r="I869" s="46">
        <v>25.0</v>
      </c>
      <c r="J869" s="46"/>
      <c r="K869" s="46"/>
      <c r="L869" s="81">
        <v>1.0</v>
      </c>
      <c r="M869" s="46" t="s">
        <v>7112</v>
      </c>
      <c r="N869" s="81" t="s">
        <v>46</v>
      </c>
      <c r="O869" s="46"/>
      <c r="P869" s="46" t="s">
        <v>29</v>
      </c>
      <c r="Q869" s="81">
        <v>0.0</v>
      </c>
      <c r="R869" s="46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  <c r="AD869" s="129"/>
    </row>
    <row r="870" ht="14.25" customHeight="1">
      <c r="A870" s="211">
        <v>28.0</v>
      </c>
      <c r="B870" s="49" t="s">
        <v>7120</v>
      </c>
      <c r="C870" s="228" t="s">
        <v>7121</v>
      </c>
      <c r="D870" s="228"/>
      <c r="E870" s="228"/>
      <c r="F870" s="419"/>
      <c r="G870" s="275">
        <v>300.0</v>
      </c>
      <c r="H870" s="237">
        <v>5.0</v>
      </c>
      <c r="I870" s="46">
        <v>25.0</v>
      </c>
      <c r="J870" s="46"/>
      <c r="K870" s="46"/>
      <c r="L870" s="81">
        <v>1.0</v>
      </c>
      <c r="M870" s="46" t="s">
        <v>7112</v>
      </c>
      <c r="N870" s="81" t="s">
        <v>46</v>
      </c>
      <c r="O870" s="46"/>
      <c r="P870" s="46" t="s">
        <v>29</v>
      </c>
      <c r="Q870" s="81">
        <v>0.0</v>
      </c>
      <c r="R870" s="46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  <c r="AD870" s="129"/>
    </row>
    <row r="871" ht="14.25" customHeight="1">
      <c r="A871" s="211">
        <v>29.0</v>
      </c>
      <c r="B871" s="49" t="s">
        <v>4107</v>
      </c>
      <c r="C871" s="228" t="s">
        <v>4108</v>
      </c>
      <c r="D871" s="228"/>
      <c r="E871" s="228"/>
      <c r="F871" s="419"/>
      <c r="G871" s="275">
        <v>300.0</v>
      </c>
      <c r="H871" s="237">
        <v>5.0</v>
      </c>
      <c r="I871" s="46">
        <v>25.0</v>
      </c>
      <c r="J871" s="46"/>
      <c r="K871" s="46"/>
      <c r="L871" s="81">
        <v>1.0</v>
      </c>
      <c r="M871" s="46" t="s">
        <v>7112</v>
      </c>
      <c r="N871" s="81" t="s">
        <v>46</v>
      </c>
      <c r="O871" s="46"/>
      <c r="P871" s="46" t="s">
        <v>29</v>
      </c>
      <c r="Q871" s="81">
        <v>0.0</v>
      </c>
      <c r="R871" s="46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  <c r="AD871" s="129"/>
    </row>
    <row r="872" ht="14.25" customHeight="1">
      <c r="A872" s="211">
        <v>30.0</v>
      </c>
      <c r="B872" s="49" t="s">
        <v>7122</v>
      </c>
      <c r="C872" s="228" t="s">
        <v>7123</v>
      </c>
      <c r="D872" s="228"/>
      <c r="E872" s="228"/>
      <c r="F872" s="419"/>
      <c r="G872" s="275">
        <v>300.0</v>
      </c>
      <c r="H872" s="237">
        <v>10.0</v>
      </c>
      <c r="I872" s="46">
        <v>50.0</v>
      </c>
      <c r="J872" s="46"/>
      <c r="K872" s="46"/>
      <c r="L872" s="81">
        <v>1.0</v>
      </c>
      <c r="M872" s="46" t="s">
        <v>7112</v>
      </c>
      <c r="N872" s="81" t="s">
        <v>46</v>
      </c>
      <c r="O872" s="46"/>
      <c r="P872" s="46" t="s">
        <v>29</v>
      </c>
      <c r="Q872" s="81">
        <v>0.0</v>
      </c>
      <c r="R872" s="46"/>
      <c r="S872" s="129"/>
      <c r="T872" s="129"/>
      <c r="U872" s="129"/>
      <c r="V872" s="129"/>
      <c r="W872" s="129"/>
      <c r="X872" s="129"/>
      <c r="Y872" s="129"/>
      <c r="Z872" s="129"/>
      <c r="AA872" s="129"/>
      <c r="AB872" s="129"/>
      <c r="AC872" s="129"/>
      <c r="AD872" s="129"/>
    </row>
    <row r="873" ht="14.25" customHeight="1">
      <c r="A873" s="211">
        <v>31.0</v>
      </c>
      <c r="B873" s="49" t="s">
        <v>7124</v>
      </c>
      <c r="C873" s="228" t="s">
        <v>4112</v>
      </c>
      <c r="D873" s="228"/>
      <c r="E873" s="228"/>
      <c r="F873" s="419"/>
      <c r="G873" s="275">
        <v>300.0</v>
      </c>
      <c r="H873" s="237">
        <v>10.0</v>
      </c>
      <c r="I873" s="46">
        <v>50.0</v>
      </c>
      <c r="J873" s="46"/>
      <c r="K873" s="46"/>
      <c r="L873" s="81">
        <v>1.0</v>
      </c>
      <c r="M873" s="46" t="s">
        <v>7112</v>
      </c>
      <c r="N873" s="81" t="s">
        <v>46</v>
      </c>
      <c r="O873" s="46"/>
      <c r="P873" s="46" t="s">
        <v>29</v>
      </c>
      <c r="Q873" s="81">
        <v>0.0</v>
      </c>
      <c r="R873" s="46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  <c r="AD873" s="129"/>
    </row>
    <row r="874" ht="14.25" customHeight="1">
      <c r="A874" s="211">
        <v>32.0</v>
      </c>
      <c r="B874" s="49" t="s">
        <v>4113</v>
      </c>
      <c r="C874" s="228" t="s">
        <v>4114</v>
      </c>
      <c r="D874" s="228"/>
      <c r="E874" s="228"/>
      <c r="F874" s="419"/>
      <c r="G874" s="275">
        <v>300.0</v>
      </c>
      <c r="H874" s="237">
        <v>5.0</v>
      </c>
      <c r="I874" s="46">
        <v>25.0</v>
      </c>
      <c r="J874" s="46"/>
      <c r="K874" s="46"/>
      <c r="L874" s="81">
        <v>1.0</v>
      </c>
      <c r="M874" s="46" t="s">
        <v>7112</v>
      </c>
      <c r="N874" s="81" t="s">
        <v>46</v>
      </c>
      <c r="O874" s="46"/>
      <c r="P874" s="46" t="s">
        <v>29</v>
      </c>
      <c r="Q874" s="81">
        <v>0.0</v>
      </c>
      <c r="R874" s="46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  <c r="AD874" s="129"/>
    </row>
    <row r="875" ht="14.25" customHeight="1">
      <c r="A875" s="211">
        <v>33.0</v>
      </c>
      <c r="B875" s="49" t="s">
        <v>4115</v>
      </c>
      <c r="C875" s="228" t="s">
        <v>4116</v>
      </c>
      <c r="D875" s="228"/>
      <c r="E875" s="228"/>
      <c r="F875" s="419"/>
      <c r="G875" s="275">
        <v>300.0</v>
      </c>
      <c r="H875" s="237">
        <v>10.0</v>
      </c>
      <c r="I875" s="46">
        <v>50.0</v>
      </c>
      <c r="J875" s="46"/>
      <c r="K875" s="46"/>
      <c r="L875" s="81">
        <v>1.0</v>
      </c>
      <c r="M875" s="46" t="s">
        <v>7112</v>
      </c>
      <c r="N875" s="81" t="s">
        <v>46</v>
      </c>
      <c r="O875" s="46"/>
      <c r="P875" s="46" t="s">
        <v>29</v>
      </c>
      <c r="Q875" s="81">
        <v>0.0</v>
      </c>
      <c r="R875" s="46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  <c r="AD875" s="129"/>
    </row>
    <row r="876" ht="14.25" customHeight="1">
      <c r="A876" s="211">
        <v>34.0</v>
      </c>
      <c r="B876" s="49" t="s">
        <v>4117</v>
      </c>
      <c r="C876" s="228" t="s">
        <v>4118</v>
      </c>
      <c r="D876" s="228"/>
      <c r="E876" s="228"/>
      <c r="F876" s="419"/>
      <c r="G876" s="275">
        <v>300.0</v>
      </c>
      <c r="H876" s="237">
        <v>5.0</v>
      </c>
      <c r="I876" s="46">
        <v>20.0</v>
      </c>
      <c r="J876" s="46"/>
      <c r="K876" s="46"/>
      <c r="L876" s="81">
        <v>1.0</v>
      </c>
      <c r="M876" s="46" t="s">
        <v>7112</v>
      </c>
      <c r="N876" s="81" t="s">
        <v>46</v>
      </c>
      <c r="O876" s="46"/>
      <c r="P876" s="46" t="s">
        <v>29</v>
      </c>
      <c r="Q876" s="81">
        <v>0.0</v>
      </c>
      <c r="R876" s="46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  <c r="AD876" s="129"/>
    </row>
    <row r="877" ht="14.25" customHeight="1">
      <c r="A877" s="211">
        <v>35.0</v>
      </c>
      <c r="B877" s="49" t="s">
        <v>4119</v>
      </c>
      <c r="C877" s="228" t="s">
        <v>7125</v>
      </c>
      <c r="D877" s="228"/>
      <c r="E877" s="228"/>
      <c r="F877" s="419"/>
      <c r="G877" s="275">
        <v>300.0</v>
      </c>
      <c r="H877" s="237">
        <v>10.0</v>
      </c>
      <c r="I877" s="46">
        <v>50.0</v>
      </c>
      <c r="J877" s="46"/>
      <c r="K877" s="46"/>
      <c r="L877" s="81">
        <v>1.0</v>
      </c>
      <c r="M877" s="46" t="s">
        <v>7112</v>
      </c>
      <c r="N877" s="81" t="s">
        <v>46</v>
      </c>
      <c r="O877" s="46"/>
      <c r="P877" s="46" t="s">
        <v>29</v>
      </c>
      <c r="Q877" s="81">
        <v>0.0</v>
      </c>
      <c r="R877" s="46"/>
      <c r="S877" s="129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  <c r="AD877" s="129"/>
    </row>
    <row r="878" ht="14.25" customHeight="1">
      <c r="A878" s="211">
        <v>36.0</v>
      </c>
      <c r="B878" s="49" t="s">
        <v>4121</v>
      </c>
      <c r="C878" s="228" t="s">
        <v>4122</v>
      </c>
      <c r="D878" s="228"/>
      <c r="E878" s="228"/>
      <c r="F878" s="419"/>
      <c r="G878" s="275">
        <v>300.0</v>
      </c>
      <c r="H878" s="237">
        <v>10.0</v>
      </c>
      <c r="I878" s="46">
        <v>50.0</v>
      </c>
      <c r="J878" s="46"/>
      <c r="K878" s="46"/>
      <c r="L878" s="81">
        <v>1.0</v>
      </c>
      <c r="M878" s="46" t="s">
        <v>7112</v>
      </c>
      <c r="N878" s="81" t="s">
        <v>46</v>
      </c>
      <c r="O878" s="46"/>
      <c r="P878" s="46" t="s">
        <v>29</v>
      </c>
      <c r="Q878" s="81">
        <v>0.0</v>
      </c>
      <c r="R878" s="46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  <c r="AD878" s="129"/>
    </row>
    <row r="879" ht="14.25" customHeight="1">
      <c r="A879" s="211">
        <v>37.0</v>
      </c>
      <c r="B879" s="49" t="s">
        <v>7126</v>
      </c>
      <c r="C879" s="228" t="s">
        <v>4124</v>
      </c>
      <c r="D879" s="228"/>
      <c r="E879" s="228"/>
      <c r="F879" s="419"/>
      <c r="G879" s="275">
        <v>300.0</v>
      </c>
      <c r="H879" s="237">
        <v>10.0</v>
      </c>
      <c r="I879" s="46">
        <v>50.0</v>
      </c>
      <c r="J879" s="46"/>
      <c r="K879" s="46"/>
      <c r="L879" s="81">
        <v>1.0</v>
      </c>
      <c r="M879" s="46" t="s">
        <v>7112</v>
      </c>
      <c r="N879" s="81" t="s">
        <v>46</v>
      </c>
      <c r="O879" s="46"/>
      <c r="P879" s="46" t="s">
        <v>29</v>
      </c>
      <c r="Q879" s="81">
        <v>0.0</v>
      </c>
      <c r="R879" s="46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  <c r="AD879" s="129"/>
    </row>
    <row r="880" ht="14.25" customHeight="1">
      <c r="A880" s="211">
        <v>38.0</v>
      </c>
      <c r="B880" s="49" t="s">
        <v>4125</v>
      </c>
      <c r="C880" s="228" t="s">
        <v>4126</v>
      </c>
      <c r="D880" s="228"/>
      <c r="E880" s="228"/>
      <c r="F880" s="419"/>
      <c r="G880" s="275">
        <v>300.0</v>
      </c>
      <c r="H880" s="237">
        <v>10.0</v>
      </c>
      <c r="I880" s="46">
        <v>50.0</v>
      </c>
      <c r="J880" s="46"/>
      <c r="K880" s="46"/>
      <c r="L880" s="81">
        <v>1.0</v>
      </c>
      <c r="M880" s="46" t="s">
        <v>7112</v>
      </c>
      <c r="N880" s="81" t="s">
        <v>46</v>
      </c>
      <c r="O880" s="46"/>
      <c r="P880" s="46" t="s">
        <v>29</v>
      </c>
      <c r="Q880" s="81">
        <v>0.0</v>
      </c>
      <c r="R880" s="46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</row>
    <row r="881" ht="14.25" customHeight="1">
      <c r="A881" s="211">
        <v>39.0</v>
      </c>
      <c r="B881" s="49" t="s">
        <v>4127</v>
      </c>
      <c r="C881" s="228" t="s">
        <v>4128</v>
      </c>
      <c r="D881" s="228"/>
      <c r="E881" s="228"/>
      <c r="F881" s="419"/>
      <c r="G881" s="275">
        <v>300.0</v>
      </c>
      <c r="H881" s="237">
        <v>5.0</v>
      </c>
      <c r="I881" s="46">
        <v>25.0</v>
      </c>
      <c r="J881" s="46"/>
      <c r="K881" s="46"/>
      <c r="L881" s="81">
        <v>1.0</v>
      </c>
      <c r="M881" s="46" t="s">
        <v>7112</v>
      </c>
      <c r="N881" s="81" t="s">
        <v>46</v>
      </c>
      <c r="O881" s="46"/>
      <c r="P881" s="46" t="s">
        <v>29</v>
      </c>
      <c r="Q881" s="81">
        <v>0.0</v>
      </c>
      <c r="R881" s="46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</row>
    <row r="882" ht="14.25" customHeight="1">
      <c r="A882" s="211">
        <v>40.0</v>
      </c>
      <c r="B882" s="49" t="s">
        <v>7127</v>
      </c>
      <c r="C882" s="228" t="s">
        <v>7128</v>
      </c>
      <c r="D882" s="228"/>
      <c r="E882" s="228"/>
      <c r="F882" s="419"/>
      <c r="G882" s="275">
        <v>300.0</v>
      </c>
      <c r="H882" s="237">
        <v>5.0</v>
      </c>
      <c r="I882" s="46">
        <v>25.0</v>
      </c>
      <c r="J882" s="46"/>
      <c r="K882" s="46"/>
      <c r="L882" s="81">
        <v>1.0</v>
      </c>
      <c r="M882" s="46" t="s">
        <v>7112</v>
      </c>
      <c r="N882" s="81" t="s">
        <v>46</v>
      </c>
      <c r="O882" s="46"/>
      <c r="P882" s="46" t="s">
        <v>29</v>
      </c>
      <c r="Q882" s="81">
        <v>0.0</v>
      </c>
      <c r="R882" s="46"/>
      <c r="S882" s="129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  <c r="AD882" s="129"/>
    </row>
    <row r="883" ht="14.25" customHeight="1">
      <c r="A883" s="211">
        <v>41.0</v>
      </c>
      <c r="B883" s="49" t="s">
        <v>4131</v>
      </c>
      <c r="C883" s="228" t="s">
        <v>3156</v>
      </c>
      <c r="D883" s="228"/>
      <c r="E883" s="228"/>
      <c r="F883" s="419"/>
      <c r="G883" s="275">
        <v>300.0</v>
      </c>
      <c r="H883" s="237">
        <v>10.0</v>
      </c>
      <c r="I883" s="46">
        <v>50.0</v>
      </c>
      <c r="J883" s="46"/>
      <c r="K883" s="46"/>
      <c r="L883" s="81">
        <v>1.0</v>
      </c>
      <c r="M883" s="46" t="s">
        <v>7112</v>
      </c>
      <c r="N883" s="81" t="s">
        <v>46</v>
      </c>
      <c r="O883" s="46"/>
      <c r="P883" s="46" t="s">
        <v>29</v>
      </c>
      <c r="Q883" s="81">
        <v>0.0</v>
      </c>
      <c r="R883" s="46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</row>
    <row r="884" ht="14.25" customHeight="1">
      <c r="A884" s="211">
        <v>42.0</v>
      </c>
      <c r="B884" s="49" t="s">
        <v>4132</v>
      </c>
      <c r="C884" s="228" t="s">
        <v>4133</v>
      </c>
      <c r="D884" s="228"/>
      <c r="E884" s="228"/>
      <c r="F884" s="419"/>
      <c r="G884" s="275">
        <v>300.0</v>
      </c>
      <c r="H884" s="237">
        <v>10.0</v>
      </c>
      <c r="I884" s="46">
        <v>50.0</v>
      </c>
      <c r="J884" s="46"/>
      <c r="K884" s="46"/>
      <c r="L884" s="81">
        <v>1.0</v>
      </c>
      <c r="M884" s="46" t="s">
        <v>7112</v>
      </c>
      <c r="N884" s="81" t="s">
        <v>46</v>
      </c>
      <c r="O884" s="46"/>
      <c r="P884" s="46" t="s">
        <v>29</v>
      </c>
      <c r="Q884" s="81">
        <v>0.0</v>
      </c>
      <c r="R884" s="46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</row>
    <row r="885" ht="14.25" customHeight="1">
      <c r="A885" s="211">
        <v>43.0</v>
      </c>
      <c r="B885" s="49" t="s">
        <v>4134</v>
      </c>
      <c r="C885" s="228" t="s">
        <v>4135</v>
      </c>
      <c r="D885" s="228"/>
      <c r="E885" s="228"/>
      <c r="F885" s="419"/>
      <c r="G885" s="275">
        <v>300.0</v>
      </c>
      <c r="H885" s="237">
        <v>10.0</v>
      </c>
      <c r="I885" s="46">
        <v>50.0</v>
      </c>
      <c r="J885" s="46"/>
      <c r="K885" s="46"/>
      <c r="L885" s="81">
        <v>1.0</v>
      </c>
      <c r="M885" s="46" t="s">
        <v>7112</v>
      </c>
      <c r="N885" s="81" t="s">
        <v>46</v>
      </c>
      <c r="O885" s="46"/>
      <c r="P885" s="46" t="s">
        <v>29</v>
      </c>
      <c r="Q885" s="81">
        <v>0.0</v>
      </c>
      <c r="R885" s="46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</row>
    <row r="886" ht="14.25" customHeight="1">
      <c r="A886" s="211">
        <v>44.0</v>
      </c>
      <c r="B886" s="49" t="s">
        <v>4136</v>
      </c>
      <c r="C886" s="228" t="s">
        <v>4137</v>
      </c>
      <c r="D886" s="228"/>
      <c r="E886" s="228"/>
      <c r="F886" s="419"/>
      <c r="G886" s="275">
        <v>300.0</v>
      </c>
      <c r="H886" s="237">
        <v>10.0</v>
      </c>
      <c r="I886" s="46">
        <v>50.0</v>
      </c>
      <c r="J886" s="46"/>
      <c r="K886" s="46"/>
      <c r="L886" s="81">
        <v>1.0</v>
      </c>
      <c r="M886" s="46" t="s">
        <v>7112</v>
      </c>
      <c r="N886" s="81" t="s">
        <v>46</v>
      </c>
      <c r="O886" s="46"/>
      <c r="P886" s="46" t="s">
        <v>29</v>
      </c>
      <c r="Q886" s="81">
        <v>0.0</v>
      </c>
      <c r="R886" s="46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</row>
    <row r="887" ht="14.25" customHeight="1">
      <c r="A887" s="211">
        <v>45.0</v>
      </c>
      <c r="B887" s="49" t="s">
        <v>4138</v>
      </c>
      <c r="C887" s="228" t="s">
        <v>4139</v>
      </c>
      <c r="D887" s="228"/>
      <c r="E887" s="228"/>
      <c r="F887" s="419"/>
      <c r="G887" s="275">
        <v>300.0</v>
      </c>
      <c r="H887" s="237">
        <v>10.0</v>
      </c>
      <c r="I887" s="46">
        <v>50.0</v>
      </c>
      <c r="J887" s="46"/>
      <c r="K887" s="46"/>
      <c r="L887" s="81">
        <v>1.0</v>
      </c>
      <c r="M887" s="46" t="s">
        <v>7112</v>
      </c>
      <c r="N887" s="81" t="s">
        <v>46</v>
      </c>
      <c r="O887" s="46"/>
      <c r="P887" s="46" t="s">
        <v>29</v>
      </c>
      <c r="Q887" s="81">
        <v>0.0</v>
      </c>
      <c r="R887" s="46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</row>
    <row r="888" ht="14.25" customHeight="1">
      <c r="A888" s="211">
        <v>46.0</v>
      </c>
      <c r="B888" s="49" t="s">
        <v>4140</v>
      </c>
      <c r="C888" s="228" t="s">
        <v>4141</v>
      </c>
      <c r="D888" s="228"/>
      <c r="E888" s="228"/>
      <c r="F888" s="419"/>
      <c r="G888" s="275">
        <v>300.0</v>
      </c>
      <c r="H888" s="237">
        <v>10.0</v>
      </c>
      <c r="I888" s="46">
        <v>50.0</v>
      </c>
      <c r="J888" s="46"/>
      <c r="K888" s="46"/>
      <c r="L888" s="81">
        <v>1.0</v>
      </c>
      <c r="M888" s="46" t="s">
        <v>7112</v>
      </c>
      <c r="N888" s="81" t="s">
        <v>46</v>
      </c>
      <c r="O888" s="46"/>
      <c r="P888" s="46" t="s">
        <v>29</v>
      </c>
      <c r="Q888" s="81">
        <v>0.0</v>
      </c>
      <c r="R888" s="46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</row>
    <row r="889" ht="14.25" customHeight="1">
      <c r="A889" s="211">
        <v>47.0</v>
      </c>
      <c r="B889" s="49" t="s">
        <v>4142</v>
      </c>
      <c r="C889" s="228" t="s">
        <v>4143</v>
      </c>
      <c r="D889" s="228"/>
      <c r="E889" s="228"/>
      <c r="F889" s="419"/>
      <c r="G889" s="275">
        <v>300.0</v>
      </c>
      <c r="H889" s="237">
        <v>10.0</v>
      </c>
      <c r="I889" s="46">
        <v>50.0</v>
      </c>
      <c r="J889" s="46"/>
      <c r="K889" s="46"/>
      <c r="L889" s="81">
        <v>1.0</v>
      </c>
      <c r="M889" s="46" t="s">
        <v>7112</v>
      </c>
      <c r="N889" s="81" t="s">
        <v>46</v>
      </c>
      <c r="O889" s="46"/>
      <c r="P889" s="46" t="s">
        <v>29</v>
      </c>
      <c r="Q889" s="81">
        <v>0.0</v>
      </c>
      <c r="R889" s="46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</row>
    <row r="890" ht="14.25" customHeight="1">
      <c r="A890" s="211">
        <v>48.0</v>
      </c>
      <c r="B890" s="49" t="s">
        <v>4144</v>
      </c>
      <c r="C890" s="228" t="s">
        <v>4145</v>
      </c>
      <c r="D890" s="228"/>
      <c r="E890" s="228"/>
      <c r="F890" s="419"/>
      <c r="G890" s="275">
        <v>300.0</v>
      </c>
      <c r="H890" s="237">
        <v>10.0</v>
      </c>
      <c r="I890" s="46">
        <v>50.0</v>
      </c>
      <c r="J890" s="46"/>
      <c r="K890" s="46"/>
      <c r="L890" s="81">
        <v>1.0</v>
      </c>
      <c r="M890" s="46" t="s">
        <v>7112</v>
      </c>
      <c r="N890" s="81" t="s">
        <v>46</v>
      </c>
      <c r="O890" s="46"/>
      <c r="P890" s="46" t="s">
        <v>29</v>
      </c>
      <c r="Q890" s="81">
        <v>0.0</v>
      </c>
      <c r="R890" s="46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</row>
    <row r="891" ht="14.25" customHeight="1">
      <c r="A891" s="211">
        <v>49.0</v>
      </c>
      <c r="B891" s="49" t="s">
        <v>4146</v>
      </c>
      <c r="C891" s="228" t="s">
        <v>4147</v>
      </c>
      <c r="D891" s="228"/>
      <c r="E891" s="228"/>
      <c r="F891" s="419"/>
      <c r="G891" s="275">
        <v>300.0</v>
      </c>
      <c r="H891" s="237">
        <v>10.0</v>
      </c>
      <c r="I891" s="46">
        <v>50.0</v>
      </c>
      <c r="J891" s="46"/>
      <c r="K891" s="46"/>
      <c r="L891" s="81">
        <v>1.0</v>
      </c>
      <c r="M891" s="46" t="s">
        <v>7112</v>
      </c>
      <c r="N891" s="81" t="s">
        <v>46</v>
      </c>
      <c r="O891" s="46"/>
      <c r="P891" s="46" t="s">
        <v>29</v>
      </c>
      <c r="Q891" s="81">
        <v>0.0</v>
      </c>
      <c r="R891" s="46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</row>
    <row r="892" ht="14.25" customHeight="1">
      <c r="A892" s="211">
        <v>50.0</v>
      </c>
      <c r="B892" s="49" t="s">
        <v>4117</v>
      </c>
      <c r="C892" s="228" t="s">
        <v>4118</v>
      </c>
      <c r="D892" s="228"/>
      <c r="E892" s="228"/>
      <c r="F892" s="419"/>
      <c r="G892" s="275">
        <v>300.0</v>
      </c>
      <c r="H892" s="237">
        <v>10.0</v>
      </c>
      <c r="I892" s="46">
        <v>50.0</v>
      </c>
      <c r="J892" s="46"/>
      <c r="K892" s="46"/>
      <c r="L892" s="81">
        <v>1.0</v>
      </c>
      <c r="M892" s="46" t="s">
        <v>7112</v>
      </c>
      <c r="N892" s="81" t="s">
        <v>46</v>
      </c>
      <c r="O892" s="46"/>
      <c r="P892" s="46" t="s">
        <v>29</v>
      </c>
      <c r="Q892" s="81">
        <v>0.0</v>
      </c>
      <c r="R892" s="46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</row>
    <row r="893" ht="14.25" customHeight="1">
      <c r="A893" s="211">
        <v>51.0</v>
      </c>
      <c r="B893" s="49" t="s">
        <v>4148</v>
      </c>
      <c r="C893" s="228" t="s">
        <v>4149</v>
      </c>
      <c r="D893" s="228"/>
      <c r="E893" s="228"/>
      <c r="F893" s="419"/>
      <c r="G893" s="275">
        <v>300.0</v>
      </c>
      <c r="H893" s="237">
        <v>10.0</v>
      </c>
      <c r="I893" s="46">
        <v>50.0</v>
      </c>
      <c r="J893" s="46"/>
      <c r="K893" s="46"/>
      <c r="L893" s="81">
        <v>1.0</v>
      </c>
      <c r="M893" s="46" t="s">
        <v>7112</v>
      </c>
      <c r="N893" s="81" t="s">
        <v>46</v>
      </c>
      <c r="O893" s="46"/>
      <c r="P893" s="46" t="s">
        <v>29</v>
      </c>
      <c r="Q893" s="81">
        <v>0.0</v>
      </c>
      <c r="R893" s="46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</row>
    <row r="894" ht="14.25" customHeight="1">
      <c r="A894" s="211">
        <v>52.0</v>
      </c>
      <c r="B894" s="49" t="s">
        <v>4150</v>
      </c>
      <c r="C894" s="228" t="s">
        <v>4151</v>
      </c>
      <c r="D894" s="228"/>
      <c r="E894" s="228"/>
      <c r="F894" s="419"/>
      <c r="G894" s="275">
        <v>300.0</v>
      </c>
      <c r="H894" s="237">
        <v>10.0</v>
      </c>
      <c r="I894" s="46">
        <v>50.0</v>
      </c>
      <c r="J894" s="46"/>
      <c r="K894" s="46"/>
      <c r="L894" s="81">
        <v>1.0</v>
      </c>
      <c r="M894" s="46" t="s">
        <v>7112</v>
      </c>
      <c r="N894" s="81" t="s">
        <v>46</v>
      </c>
      <c r="O894" s="46"/>
      <c r="P894" s="46" t="s">
        <v>29</v>
      </c>
      <c r="Q894" s="81">
        <v>0.0</v>
      </c>
      <c r="R894" s="46"/>
      <c r="S894" s="129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  <c r="AD894" s="129"/>
    </row>
    <row r="895" ht="14.25" customHeight="1">
      <c r="A895" s="211">
        <v>53.0</v>
      </c>
      <c r="B895" s="49" t="s">
        <v>4152</v>
      </c>
      <c r="C895" s="228" t="s">
        <v>4153</v>
      </c>
      <c r="D895" s="228"/>
      <c r="E895" s="228"/>
      <c r="F895" s="419"/>
      <c r="G895" s="275">
        <v>300.0</v>
      </c>
      <c r="H895" s="237">
        <v>10.0</v>
      </c>
      <c r="I895" s="46">
        <v>50.0</v>
      </c>
      <c r="J895" s="46"/>
      <c r="K895" s="46"/>
      <c r="L895" s="81">
        <v>1.0</v>
      </c>
      <c r="M895" s="46" t="s">
        <v>7112</v>
      </c>
      <c r="N895" s="81" t="s">
        <v>46</v>
      </c>
      <c r="O895" s="46"/>
      <c r="P895" s="46" t="s">
        <v>29</v>
      </c>
      <c r="Q895" s="81">
        <v>0.0</v>
      </c>
      <c r="R895" s="46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  <c r="AD895" s="129"/>
    </row>
    <row r="896" ht="14.25" customHeight="1">
      <c r="A896" s="211">
        <v>54.0</v>
      </c>
      <c r="B896" s="49" t="s">
        <v>4154</v>
      </c>
      <c r="C896" s="228" t="s">
        <v>4155</v>
      </c>
      <c r="D896" s="228"/>
      <c r="E896" s="228"/>
      <c r="F896" s="419"/>
      <c r="G896" s="275">
        <v>300.0</v>
      </c>
      <c r="H896" s="237">
        <v>10.0</v>
      </c>
      <c r="I896" s="46">
        <v>50.0</v>
      </c>
      <c r="J896" s="46"/>
      <c r="K896" s="46"/>
      <c r="L896" s="81">
        <v>1.0</v>
      </c>
      <c r="M896" s="46" t="s">
        <v>7112</v>
      </c>
      <c r="N896" s="81" t="s">
        <v>46</v>
      </c>
      <c r="O896" s="46"/>
      <c r="P896" s="46" t="s">
        <v>29</v>
      </c>
      <c r="Q896" s="81">
        <v>0.0</v>
      </c>
      <c r="R896" s="46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  <c r="AD896" s="129"/>
    </row>
    <row r="897" ht="14.25" customHeight="1">
      <c r="A897" s="211">
        <v>55.0</v>
      </c>
      <c r="B897" s="49" t="s">
        <v>4156</v>
      </c>
      <c r="C897" s="228" t="s">
        <v>4157</v>
      </c>
      <c r="D897" s="228"/>
      <c r="E897" s="228"/>
      <c r="F897" s="419"/>
      <c r="G897" s="275">
        <v>300.0</v>
      </c>
      <c r="H897" s="237">
        <v>10.0</v>
      </c>
      <c r="I897" s="46">
        <v>50.0</v>
      </c>
      <c r="J897" s="46"/>
      <c r="K897" s="46"/>
      <c r="L897" s="81">
        <v>1.0</v>
      </c>
      <c r="M897" s="46" t="s">
        <v>7112</v>
      </c>
      <c r="N897" s="81" t="s">
        <v>46</v>
      </c>
      <c r="O897" s="46"/>
      <c r="P897" s="46" t="s">
        <v>29</v>
      </c>
      <c r="Q897" s="81">
        <v>0.0</v>
      </c>
      <c r="R897" s="46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  <c r="AD897" s="129"/>
    </row>
    <row r="898" ht="14.25" customHeight="1">
      <c r="A898" s="211">
        <v>56.0</v>
      </c>
      <c r="B898" s="49" t="s">
        <v>7129</v>
      </c>
      <c r="C898" s="228" t="s">
        <v>7130</v>
      </c>
      <c r="D898" s="228"/>
      <c r="E898" s="228"/>
      <c r="F898" s="419"/>
      <c r="G898" s="275">
        <v>300.0</v>
      </c>
      <c r="H898" s="237">
        <v>10.0</v>
      </c>
      <c r="I898" s="46">
        <v>50.0</v>
      </c>
      <c r="J898" s="46"/>
      <c r="K898" s="46"/>
      <c r="L898" s="81">
        <v>1.0</v>
      </c>
      <c r="M898" s="46" t="s">
        <v>7112</v>
      </c>
      <c r="N898" s="81" t="s">
        <v>46</v>
      </c>
      <c r="O898" s="46"/>
      <c r="P898" s="46" t="s">
        <v>29</v>
      </c>
      <c r="Q898" s="81">
        <v>0.0</v>
      </c>
      <c r="R898" s="46"/>
      <c r="S898" s="129"/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  <c r="AD898" s="129"/>
    </row>
    <row r="899" ht="14.25" customHeight="1">
      <c r="A899" s="211">
        <v>57.0</v>
      </c>
      <c r="B899" s="49" t="s">
        <v>4160</v>
      </c>
      <c r="C899" s="228" t="s">
        <v>4161</v>
      </c>
      <c r="D899" s="228"/>
      <c r="E899" s="228"/>
      <c r="F899" s="419"/>
      <c r="G899" s="275">
        <v>300.0</v>
      </c>
      <c r="H899" s="237">
        <v>10.0</v>
      </c>
      <c r="I899" s="46">
        <v>50.0</v>
      </c>
      <c r="J899" s="46"/>
      <c r="K899" s="46"/>
      <c r="L899" s="81">
        <v>1.0</v>
      </c>
      <c r="M899" s="46" t="s">
        <v>7112</v>
      </c>
      <c r="N899" s="81" t="s">
        <v>46</v>
      </c>
      <c r="O899" s="46"/>
      <c r="P899" s="46" t="s">
        <v>29</v>
      </c>
      <c r="Q899" s="81">
        <v>0.0</v>
      </c>
      <c r="R899" s="46"/>
      <c r="S899" s="129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  <c r="AD899" s="129"/>
    </row>
    <row r="900" ht="14.25" customHeight="1">
      <c r="A900" s="211">
        <v>58.0</v>
      </c>
      <c r="B900" s="49" t="s">
        <v>4163</v>
      </c>
      <c r="C900" s="228" t="s">
        <v>3942</v>
      </c>
      <c r="D900" s="228"/>
      <c r="E900" s="228"/>
      <c r="F900" s="419"/>
      <c r="G900" s="275">
        <v>300.0</v>
      </c>
      <c r="H900" s="237">
        <v>10.0</v>
      </c>
      <c r="I900" s="46">
        <v>50.0</v>
      </c>
      <c r="J900" s="46"/>
      <c r="K900" s="46"/>
      <c r="L900" s="81">
        <v>1.0</v>
      </c>
      <c r="M900" s="46" t="s">
        <v>7112</v>
      </c>
      <c r="N900" s="81" t="s">
        <v>46</v>
      </c>
      <c r="O900" s="46"/>
      <c r="P900" s="46" t="s">
        <v>29</v>
      </c>
      <c r="Q900" s="81">
        <v>0.0</v>
      </c>
      <c r="R900" s="46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  <c r="AD900" s="129"/>
    </row>
    <row r="901" ht="14.25" customHeight="1">
      <c r="A901" s="211">
        <v>59.0</v>
      </c>
      <c r="B901" s="49" t="s">
        <v>4164</v>
      </c>
      <c r="C901" s="228" t="s">
        <v>4165</v>
      </c>
      <c r="D901" s="228"/>
      <c r="E901" s="228"/>
      <c r="F901" s="419"/>
      <c r="G901" s="275">
        <v>300.0</v>
      </c>
      <c r="H901" s="237">
        <v>10.0</v>
      </c>
      <c r="I901" s="46">
        <v>50.0</v>
      </c>
      <c r="J901" s="46"/>
      <c r="K901" s="46"/>
      <c r="L901" s="81">
        <v>1.0</v>
      </c>
      <c r="M901" s="46" t="s">
        <v>7112</v>
      </c>
      <c r="N901" s="81" t="s">
        <v>46</v>
      </c>
      <c r="O901" s="46"/>
      <c r="P901" s="46" t="s">
        <v>29</v>
      </c>
      <c r="Q901" s="81">
        <v>0.0</v>
      </c>
      <c r="R901" s="46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  <c r="AD901" s="129"/>
    </row>
    <row r="902" ht="14.25" customHeight="1">
      <c r="A902" s="211">
        <v>60.0</v>
      </c>
      <c r="B902" s="49" t="s">
        <v>7131</v>
      </c>
      <c r="C902" s="228" t="s">
        <v>7132</v>
      </c>
      <c r="D902" s="228"/>
      <c r="E902" s="228"/>
      <c r="F902" s="419"/>
      <c r="G902" s="275">
        <v>300.0</v>
      </c>
      <c r="H902" s="237">
        <v>10.0</v>
      </c>
      <c r="I902" s="46">
        <v>50.0</v>
      </c>
      <c r="J902" s="46"/>
      <c r="K902" s="46"/>
      <c r="L902" s="81">
        <v>1.0</v>
      </c>
      <c r="M902" s="46" t="s">
        <v>7112</v>
      </c>
      <c r="N902" s="81" t="s">
        <v>46</v>
      </c>
      <c r="O902" s="46"/>
      <c r="P902" s="46" t="s">
        <v>29</v>
      </c>
      <c r="Q902" s="81">
        <v>0.0</v>
      </c>
      <c r="R902" s="46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  <c r="AD902" s="129"/>
    </row>
    <row r="903" ht="14.25" customHeight="1">
      <c r="A903" s="211">
        <v>61.0</v>
      </c>
      <c r="B903" s="49" t="s">
        <v>4168</v>
      </c>
      <c r="C903" s="228" t="s">
        <v>4169</v>
      </c>
      <c r="D903" s="228"/>
      <c r="E903" s="228"/>
      <c r="F903" s="419"/>
      <c r="G903" s="275">
        <v>300.0</v>
      </c>
      <c r="H903" s="237">
        <v>10.0</v>
      </c>
      <c r="I903" s="46">
        <v>50.0</v>
      </c>
      <c r="J903" s="46"/>
      <c r="K903" s="46"/>
      <c r="L903" s="81">
        <v>1.0</v>
      </c>
      <c r="M903" s="46" t="s">
        <v>7112</v>
      </c>
      <c r="N903" s="81" t="s">
        <v>46</v>
      </c>
      <c r="O903" s="46"/>
      <c r="P903" s="46" t="s">
        <v>29</v>
      </c>
      <c r="Q903" s="81">
        <v>0.0</v>
      </c>
      <c r="R903" s="46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  <c r="AD903" s="129"/>
    </row>
    <row r="904" ht="14.25" customHeight="1">
      <c r="A904" s="211">
        <v>62.0</v>
      </c>
      <c r="B904" s="49" t="s">
        <v>4170</v>
      </c>
      <c r="C904" s="228" t="s">
        <v>4171</v>
      </c>
      <c r="D904" s="228"/>
      <c r="E904" s="228"/>
      <c r="F904" s="419"/>
      <c r="G904" s="275">
        <v>300.0</v>
      </c>
      <c r="H904" s="237">
        <v>10.0</v>
      </c>
      <c r="I904" s="46">
        <v>50.0</v>
      </c>
      <c r="J904" s="46"/>
      <c r="K904" s="46"/>
      <c r="L904" s="81">
        <v>1.0</v>
      </c>
      <c r="M904" s="46" t="s">
        <v>7112</v>
      </c>
      <c r="N904" s="81" t="s">
        <v>46</v>
      </c>
      <c r="O904" s="46"/>
      <c r="P904" s="46" t="s">
        <v>29</v>
      </c>
      <c r="Q904" s="81">
        <v>0.0</v>
      </c>
      <c r="R904" s="46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  <c r="AD904" s="129"/>
    </row>
    <row r="905" ht="14.25" customHeight="1">
      <c r="A905" s="211">
        <v>63.0</v>
      </c>
      <c r="B905" s="49" t="s">
        <v>4081</v>
      </c>
      <c r="C905" s="228" t="s">
        <v>4082</v>
      </c>
      <c r="D905" s="228"/>
      <c r="E905" s="228"/>
      <c r="F905" s="419"/>
      <c r="G905" s="275">
        <v>300.0</v>
      </c>
      <c r="H905" s="237">
        <v>10.0</v>
      </c>
      <c r="I905" s="46">
        <v>50.0</v>
      </c>
      <c r="J905" s="46"/>
      <c r="K905" s="46"/>
      <c r="L905" s="81">
        <v>1.0</v>
      </c>
      <c r="M905" s="46" t="s">
        <v>7112</v>
      </c>
      <c r="N905" s="81" t="s">
        <v>46</v>
      </c>
      <c r="O905" s="46"/>
      <c r="P905" s="46" t="s">
        <v>29</v>
      </c>
      <c r="Q905" s="81">
        <v>0.0</v>
      </c>
      <c r="R905" s="46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  <c r="AD905" s="129"/>
    </row>
    <row r="906" ht="14.25" customHeight="1">
      <c r="A906" s="211">
        <v>64.0</v>
      </c>
      <c r="B906" s="49" t="s">
        <v>4172</v>
      </c>
      <c r="C906" s="228" t="s">
        <v>4173</v>
      </c>
      <c r="D906" s="228"/>
      <c r="E906" s="228"/>
      <c r="F906" s="419"/>
      <c r="G906" s="275">
        <v>300.0</v>
      </c>
      <c r="H906" s="237">
        <v>10.0</v>
      </c>
      <c r="I906" s="46">
        <v>50.0</v>
      </c>
      <c r="J906" s="46"/>
      <c r="K906" s="46"/>
      <c r="L906" s="81">
        <v>1.0</v>
      </c>
      <c r="M906" s="46" t="s">
        <v>7112</v>
      </c>
      <c r="N906" s="81" t="s">
        <v>46</v>
      </c>
      <c r="O906" s="46"/>
      <c r="P906" s="46" t="s">
        <v>29</v>
      </c>
      <c r="Q906" s="81">
        <v>0.0</v>
      </c>
      <c r="R906" s="46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  <c r="AD906" s="129"/>
    </row>
    <row r="907" ht="14.25" customHeight="1">
      <c r="A907" s="211">
        <v>65.0</v>
      </c>
      <c r="B907" s="49" t="s">
        <v>4174</v>
      </c>
      <c r="C907" s="228" t="s">
        <v>4175</v>
      </c>
      <c r="D907" s="228"/>
      <c r="E907" s="228"/>
      <c r="F907" s="419"/>
      <c r="G907" s="275">
        <v>300.0</v>
      </c>
      <c r="H907" s="237">
        <v>10.0</v>
      </c>
      <c r="I907" s="46">
        <v>50.0</v>
      </c>
      <c r="J907" s="46"/>
      <c r="K907" s="46"/>
      <c r="L907" s="81">
        <v>1.0</v>
      </c>
      <c r="M907" s="46" t="s">
        <v>7112</v>
      </c>
      <c r="N907" s="81" t="s">
        <v>46</v>
      </c>
      <c r="O907" s="46"/>
      <c r="P907" s="46" t="s">
        <v>29</v>
      </c>
      <c r="Q907" s="81">
        <v>0.0</v>
      </c>
      <c r="R907" s="46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  <c r="AD907" s="129"/>
    </row>
    <row r="908" ht="14.25" customHeight="1">
      <c r="A908" s="211">
        <v>66.0</v>
      </c>
      <c r="B908" s="49" t="s">
        <v>4176</v>
      </c>
      <c r="C908" s="228" t="s">
        <v>4177</v>
      </c>
      <c r="D908" s="228"/>
      <c r="E908" s="228"/>
      <c r="F908" s="419"/>
      <c r="G908" s="275">
        <v>300.0</v>
      </c>
      <c r="H908" s="237">
        <v>10.0</v>
      </c>
      <c r="I908" s="46">
        <v>50.0</v>
      </c>
      <c r="J908" s="46"/>
      <c r="K908" s="46"/>
      <c r="L908" s="81">
        <v>1.0</v>
      </c>
      <c r="M908" s="46" t="s">
        <v>7112</v>
      </c>
      <c r="N908" s="81" t="s">
        <v>46</v>
      </c>
      <c r="O908" s="46"/>
      <c r="P908" s="46" t="s">
        <v>29</v>
      </c>
      <c r="Q908" s="81">
        <v>0.0</v>
      </c>
      <c r="R908" s="46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  <c r="AD908" s="129"/>
    </row>
    <row r="909" ht="14.25" customHeight="1">
      <c r="A909" s="211">
        <v>67.0</v>
      </c>
      <c r="B909" s="49" t="s">
        <v>4178</v>
      </c>
      <c r="C909" s="228" t="s">
        <v>3739</v>
      </c>
      <c r="D909" s="228"/>
      <c r="E909" s="228"/>
      <c r="F909" s="419"/>
      <c r="G909" s="275">
        <v>300.0</v>
      </c>
      <c r="H909" s="237">
        <v>10.0</v>
      </c>
      <c r="I909" s="46">
        <v>50.0</v>
      </c>
      <c r="J909" s="46"/>
      <c r="K909" s="46"/>
      <c r="L909" s="81">
        <v>1.0</v>
      </c>
      <c r="M909" s="46" t="s">
        <v>7112</v>
      </c>
      <c r="N909" s="81" t="s">
        <v>46</v>
      </c>
      <c r="O909" s="46"/>
      <c r="P909" s="46" t="s">
        <v>29</v>
      </c>
      <c r="Q909" s="81">
        <v>0.0</v>
      </c>
      <c r="R909" s="46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  <c r="AD909" s="129"/>
    </row>
    <row r="910" ht="14.25" customHeight="1">
      <c r="A910" s="211">
        <v>68.0</v>
      </c>
      <c r="B910" s="49" t="s">
        <v>4179</v>
      </c>
      <c r="C910" s="228" t="s">
        <v>4180</v>
      </c>
      <c r="D910" s="228"/>
      <c r="E910" s="228"/>
      <c r="F910" s="419"/>
      <c r="G910" s="275">
        <v>300.0</v>
      </c>
      <c r="H910" s="237">
        <v>10.0</v>
      </c>
      <c r="I910" s="46">
        <v>50.0</v>
      </c>
      <c r="J910" s="46"/>
      <c r="K910" s="46"/>
      <c r="L910" s="81">
        <v>1.0</v>
      </c>
      <c r="M910" s="46" t="s">
        <v>7112</v>
      </c>
      <c r="N910" s="81" t="s">
        <v>46</v>
      </c>
      <c r="O910" s="46"/>
      <c r="P910" s="46" t="s">
        <v>29</v>
      </c>
      <c r="Q910" s="81">
        <v>0.0</v>
      </c>
      <c r="R910" s="46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29"/>
      <c r="AC910" s="129"/>
      <c r="AD910" s="129"/>
    </row>
    <row r="911" ht="14.25" customHeight="1">
      <c r="A911" s="211">
        <v>69.0</v>
      </c>
      <c r="B911" s="49" t="s">
        <v>4181</v>
      </c>
      <c r="C911" s="228" t="s">
        <v>4182</v>
      </c>
      <c r="D911" s="228"/>
      <c r="E911" s="228"/>
      <c r="F911" s="419"/>
      <c r="G911" s="275">
        <v>300.0</v>
      </c>
      <c r="H911" s="237">
        <v>10.0</v>
      </c>
      <c r="I911" s="46">
        <v>50.0</v>
      </c>
      <c r="J911" s="46"/>
      <c r="K911" s="46"/>
      <c r="L911" s="81">
        <v>1.0</v>
      </c>
      <c r="M911" s="46" t="s">
        <v>7112</v>
      </c>
      <c r="N911" s="81" t="s">
        <v>46</v>
      </c>
      <c r="O911" s="46"/>
      <c r="P911" s="46" t="s">
        <v>29</v>
      </c>
      <c r="Q911" s="81">
        <v>0.0</v>
      </c>
      <c r="R911" s="46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  <c r="AD911" s="129"/>
    </row>
    <row r="912" ht="14.25" customHeight="1">
      <c r="A912" s="211">
        <v>70.0</v>
      </c>
      <c r="B912" s="49" t="s">
        <v>4183</v>
      </c>
      <c r="C912" s="228" t="s">
        <v>4184</v>
      </c>
      <c r="D912" s="228"/>
      <c r="E912" s="228"/>
      <c r="F912" s="419"/>
      <c r="G912" s="275">
        <v>300.0</v>
      </c>
      <c r="H912" s="237">
        <v>10.0</v>
      </c>
      <c r="I912" s="46">
        <v>50.0</v>
      </c>
      <c r="J912" s="46"/>
      <c r="K912" s="46"/>
      <c r="L912" s="81">
        <v>1.0</v>
      </c>
      <c r="M912" s="46" t="s">
        <v>7112</v>
      </c>
      <c r="N912" s="81" t="s">
        <v>46</v>
      </c>
      <c r="O912" s="46"/>
      <c r="P912" s="46" t="s">
        <v>29</v>
      </c>
      <c r="Q912" s="81">
        <v>0.0</v>
      </c>
      <c r="R912" s="46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  <c r="AD912" s="129"/>
    </row>
    <row r="913" ht="14.25" customHeight="1">
      <c r="A913" s="211">
        <v>71.0</v>
      </c>
      <c r="B913" s="49" t="s">
        <v>4185</v>
      </c>
      <c r="C913" s="228" t="s">
        <v>4186</v>
      </c>
      <c r="D913" s="228"/>
      <c r="E913" s="228"/>
      <c r="F913" s="419"/>
      <c r="G913" s="275">
        <v>300.0</v>
      </c>
      <c r="H913" s="237">
        <v>10.0</v>
      </c>
      <c r="I913" s="46">
        <v>50.0</v>
      </c>
      <c r="J913" s="46"/>
      <c r="K913" s="46"/>
      <c r="L913" s="81">
        <v>1.0</v>
      </c>
      <c r="M913" s="46" t="s">
        <v>7112</v>
      </c>
      <c r="N913" s="81" t="s">
        <v>46</v>
      </c>
      <c r="O913" s="46"/>
      <c r="P913" s="46" t="s">
        <v>29</v>
      </c>
      <c r="Q913" s="81">
        <v>0.0</v>
      </c>
      <c r="R913" s="46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  <c r="AD913" s="129"/>
    </row>
    <row r="914" ht="14.25" customHeight="1">
      <c r="A914" s="211">
        <v>72.0</v>
      </c>
      <c r="B914" s="49" t="s">
        <v>4187</v>
      </c>
      <c r="C914" s="228" t="s">
        <v>4188</v>
      </c>
      <c r="D914" s="228"/>
      <c r="E914" s="228"/>
      <c r="F914" s="419"/>
      <c r="G914" s="275">
        <v>300.0</v>
      </c>
      <c r="H914" s="237">
        <v>10.0</v>
      </c>
      <c r="I914" s="46">
        <v>50.0</v>
      </c>
      <c r="J914" s="46"/>
      <c r="K914" s="46"/>
      <c r="L914" s="81">
        <v>1.0</v>
      </c>
      <c r="M914" s="46" t="s">
        <v>7112</v>
      </c>
      <c r="N914" s="81" t="s">
        <v>46</v>
      </c>
      <c r="O914" s="46"/>
      <c r="P914" s="46" t="s">
        <v>29</v>
      </c>
      <c r="Q914" s="81">
        <v>0.0</v>
      </c>
      <c r="R914" s="46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  <c r="AD914" s="129"/>
    </row>
    <row r="915" ht="14.25" customHeight="1">
      <c r="A915" s="429">
        <v>73.0</v>
      </c>
      <c r="B915" s="46" t="s">
        <v>4172</v>
      </c>
      <c r="C915" s="46" t="s">
        <v>4173</v>
      </c>
      <c r="D915" s="46"/>
      <c r="E915" s="46"/>
      <c r="F915" s="50"/>
      <c r="G915" s="275">
        <v>300.0</v>
      </c>
      <c r="H915" s="81">
        <v>10.0</v>
      </c>
      <c r="I915" s="46">
        <v>50.0</v>
      </c>
      <c r="J915" s="46"/>
      <c r="K915" s="46"/>
      <c r="L915" s="81">
        <v>1.0</v>
      </c>
      <c r="M915" s="46" t="s">
        <v>7112</v>
      </c>
      <c r="N915" s="81" t="s">
        <v>46</v>
      </c>
      <c r="O915" s="46"/>
      <c r="P915" s="46" t="s">
        <v>29</v>
      </c>
      <c r="Q915" s="81">
        <v>0.0</v>
      </c>
      <c r="R915" s="46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  <c r="AD915" s="129"/>
    </row>
    <row r="916" ht="14.25" customHeight="1">
      <c r="A916" s="429">
        <v>74.0</v>
      </c>
      <c r="B916" s="46" t="s">
        <v>4156</v>
      </c>
      <c r="C916" s="46" t="s">
        <v>4157</v>
      </c>
      <c r="D916" s="46"/>
      <c r="E916" s="46"/>
      <c r="F916" s="50"/>
      <c r="G916" s="275">
        <v>300.0</v>
      </c>
      <c r="H916" s="81">
        <v>10.0</v>
      </c>
      <c r="I916" s="46">
        <v>50.0</v>
      </c>
      <c r="J916" s="46"/>
      <c r="K916" s="46"/>
      <c r="L916" s="81">
        <v>1.0</v>
      </c>
      <c r="M916" s="46" t="s">
        <v>7112</v>
      </c>
      <c r="N916" s="81" t="s">
        <v>46</v>
      </c>
      <c r="O916" s="46"/>
      <c r="P916" s="46" t="s">
        <v>29</v>
      </c>
      <c r="Q916" s="81">
        <v>0.0</v>
      </c>
      <c r="R916" s="46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  <c r="AD916" s="129"/>
    </row>
    <row r="917" ht="14.25" customHeight="1">
      <c r="A917" s="429">
        <v>75.0</v>
      </c>
      <c r="B917" s="46" t="s">
        <v>7133</v>
      </c>
      <c r="C917" s="46" t="s">
        <v>4190</v>
      </c>
      <c r="D917" s="46"/>
      <c r="E917" s="46"/>
      <c r="F917" s="50"/>
      <c r="G917" s="275">
        <v>300.0</v>
      </c>
      <c r="H917" s="81">
        <v>10.0</v>
      </c>
      <c r="I917" s="46">
        <v>50.0</v>
      </c>
      <c r="J917" s="46"/>
      <c r="K917" s="46"/>
      <c r="L917" s="81">
        <v>1.0</v>
      </c>
      <c r="M917" s="46" t="s">
        <v>7112</v>
      </c>
      <c r="N917" s="81" t="s">
        <v>46</v>
      </c>
      <c r="O917" s="46"/>
      <c r="P917" s="46" t="s">
        <v>29</v>
      </c>
      <c r="Q917" s="81">
        <v>0.0</v>
      </c>
      <c r="R917" s="46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  <c r="AD917" s="129"/>
    </row>
    <row r="918" ht="14.25" customHeight="1">
      <c r="A918" s="429">
        <v>76.0</v>
      </c>
      <c r="B918" s="46" t="s">
        <v>4061</v>
      </c>
      <c r="C918" s="46" t="s">
        <v>4062</v>
      </c>
      <c r="D918" s="46"/>
      <c r="E918" s="46"/>
      <c r="F918" s="50"/>
      <c r="G918" s="275">
        <v>300.0</v>
      </c>
      <c r="H918" s="81">
        <v>10.0</v>
      </c>
      <c r="I918" s="46">
        <v>50.0</v>
      </c>
      <c r="J918" s="46"/>
      <c r="K918" s="46"/>
      <c r="L918" s="81">
        <v>1.0</v>
      </c>
      <c r="M918" s="46" t="s">
        <v>7112</v>
      </c>
      <c r="N918" s="81" t="s">
        <v>46</v>
      </c>
      <c r="O918" s="46"/>
      <c r="P918" s="46" t="s">
        <v>29</v>
      </c>
      <c r="Q918" s="81">
        <v>0.0</v>
      </c>
      <c r="R918" s="46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</row>
    <row r="919" ht="15.75" customHeight="1">
      <c r="A919" s="181"/>
      <c r="B919" s="182" t="s">
        <v>4191</v>
      </c>
      <c r="C919" s="182"/>
      <c r="D919" s="182"/>
      <c r="E919" s="182"/>
      <c r="F919" s="403"/>
      <c r="G919" s="404"/>
      <c r="H919" s="182"/>
      <c r="I919" s="182"/>
      <c r="J919" s="91"/>
      <c r="K919" s="91"/>
      <c r="L919" s="91"/>
      <c r="M919" s="91"/>
      <c r="N919" s="91"/>
      <c r="O919" s="91"/>
      <c r="P919" s="182"/>
      <c r="Q919" s="91"/>
      <c r="R919" s="218"/>
      <c r="S919" s="405"/>
      <c r="T919" s="405"/>
      <c r="U919" s="405"/>
      <c r="V919" s="405"/>
      <c r="W919" s="405"/>
      <c r="X919" s="405"/>
      <c r="Y919" s="405"/>
      <c r="Z919" s="405"/>
      <c r="AA919" s="405"/>
      <c r="AB919" s="405"/>
      <c r="AC919" s="405"/>
      <c r="AD919" s="405"/>
    </row>
    <row r="920" ht="14.25" customHeight="1">
      <c r="A920" s="211">
        <v>1.0</v>
      </c>
      <c r="B920" s="46" t="s">
        <v>63</v>
      </c>
      <c r="C920" s="46" t="s">
        <v>4192</v>
      </c>
      <c r="D920" s="46"/>
      <c r="E920" s="46"/>
      <c r="F920" s="50"/>
      <c r="G920" s="275" t="s">
        <v>4193</v>
      </c>
      <c r="H920" s="46">
        <v>30.0</v>
      </c>
      <c r="I920" s="46">
        <v>150.0</v>
      </c>
      <c r="J920" s="46">
        <v>2.0</v>
      </c>
      <c r="K920" s="46">
        <v>2.0</v>
      </c>
      <c r="L920" s="46">
        <v>3.0</v>
      </c>
      <c r="M920" s="46" t="s">
        <v>4215</v>
      </c>
      <c r="N920" s="46"/>
      <c r="O920" s="46">
        <v>1000.0</v>
      </c>
      <c r="P920" s="46" t="s">
        <v>47</v>
      </c>
      <c r="Q920" s="46">
        <v>25.0</v>
      </c>
      <c r="R920" s="46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  <c r="AD920" s="129"/>
    </row>
    <row r="921" ht="14.25" customHeight="1">
      <c r="A921" s="211">
        <v>2.0</v>
      </c>
      <c r="B921" s="46" t="s">
        <v>4196</v>
      </c>
      <c r="C921" s="46" t="s">
        <v>4197</v>
      </c>
      <c r="D921" s="46"/>
      <c r="E921" s="46"/>
      <c r="F921" s="50"/>
      <c r="G921" s="275"/>
      <c r="H921" s="46">
        <v>50.0</v>
      </c>
      <c r="I921" s="46">
        <v>500.0</v>
      </c>
      <c r="J921" s="46">
        <v>1.0</v>
      </c>
      <c r="K921" s="46">
        <v>1.0</v>
      </c>
      <c r="L921" s="46"/>
      <c r="M921" s="46" t="s">
        <v>4215</v>
      </c>
      <c r="N921" s="46"/>
      <c r="O921" s="46"/>
      <c r="P921" s="46" t="s">
        <v>335</v>
      </c>
      <c r="Q921" s="46">
        <v>0.0</v>
      </c>
      <c r="R921" s="46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</row>
    <row r="922" ht="14.25" customHeight="1">
      <c r="A922" s="211">
        <v>3.0</v>
      </c>
      <c r="B922" s="46" t="s">
        <v>4198</v>
      </c>
      <c r="C922" s="46" t="s">
        <v>4199</v>
      </c>
      <c r="D922" s="46"/>
      <c r="E922" s="46"/>
      <c r="F922" s="50"/>
      <c r="G922" s="275">
        <v>34.96</v>
      </c>
      <c r="H922" s="46">
        <v>4.0</v>
      </c>
      <c r="I922" s="46">
        <v>20.0</v>
      </c>
      <c r="J922" s="46">
        <v>0.0</v>
      </c>
      <c r="K922" s="46">
        <v>0.0</v>
      </c>
      <c r="L922" s="46">
        <v>1.0</v>
      </c>
      <c r="M922" s="46" t="s">
        <v>4215</v>
      </c>
      <c r="N922" s="46"/>
      <c r="O922" s="46"/>
      <c r="P922" s="46" t="s">
        <v>335</v>
      </c>
      <c r="Q922" s="46">
        <v>20.0</v>
      </c>
      <c r="R922" s="46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</row>
    <row r="923" ht="14.25" customHeight="1">
      <c r="A923" s="211">
        <v>4.0</v>
      </c>
      <c r="B923" s="46" t="s">
        <v>4198</v>
      </c>
      <c r="C923" s="46" t="s">
        <v>4200</v>
      </c>
      <c r="D923" s="46"/>
      <c r="E923" s="46"/>
      <c r="F923" s="50"/>
      <c r="G923" s="275">
        <v>34.96</v>
      </c>
      <c r="H923" s="46">
        <v>4.0</v>
      </c>
      <c r="I923" s="46">
        <v>20.0</v>
      </c>
      <c r="J923" s="46">
        <v>0.0</v>
      </c>
      <c r="K923" s="46">
        <v>0.0</v>
      </c>
      <c r="L923" s="46">
        <v>1.0</v>
      </c>
      <c r="M923" s="46" t="s">
        <v>4215</v>
      </c>
      <c r="N923" s="46"/>
      <c r="O923" s="46"/>
      <c r="P923" s="46" t="s">
        <v>335</v>
      </c>
      <c r="Q923" s="46">
        <v>20.0</v>
      </c>
      <c r="R923" s="46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</row>
    <row r="924" ht="14.25" customHeight="1">
      <c r="A924" s="211">
        <v>5.0</v>
      </c>
      <c r="B924" s="46" t="s">
        <v>4198</v>
      </c>
      <c r="C924" s="46" t="s">
        <v>4201</v>
      </c>
      <c r="D924" s="46"/>
      <c r="E924" s="46"/>
      <c r="F924" s="50"/>
      <c r="G924" s="275">
        <v>335.2</v>
      </c>
      <c r="H924" s="46">
        <v>15.0</v>
      </c>
      <c r="I924" s="46">
        <v>75.0</v>
      </c>
      <c r="J924" s="46">
        <v>1.0</v>
      </c>
      <c r="K924" s="46">
        <v>1.0</v>
      </c>
      <c r="L924" s="46">
        <v>0.0</v>
      </c>
      <c r="M924" s="46" t="s">
        <v>4215</v>
      </c>
      <c r="N924" s="46"/>
      <c r="O924" s="46"/>
      <c r="P924" s="46" t="s">
        <v>335</v>
      </c>
      <c r="Q924" s="46">
        <v>75.0</v>
      </c>
      <c r="R924" s="46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</row>
    <row r="925" ht="14.25" customHeight="1">
      <c r="A925" s="211">
        <v>6.0</v>
      </c>
      <c r="B925" s="46" t="s">
        <v>4202</v>
      </c>
      <c r="C925" s="46" t="s">
        <v>4203</v>
      </c>
      <c r="D925" s="46"/>
      <c r="E925" s="46"/>
      <c r="F925" s="50"/>
      <c r="G925" s="275">
        <v>63.0</v>
      </c>
      <c r="H925" s="46">
        <v>12.0</v>
      </c>
      <c r="I925" s="46">
        <v>300.0</v>
      </c>
      <c r="J925" s="46">
        <v>0.0</v>
      </c>
      <c r="K925" s="46">
        <v>0.0</v>
      </c>
      <c r="L925" s="46">
        <v>5.0</v>
      </c>
      <c r="M925" s="46" t="s">
        <v>7134</v>
      </c>
      <c r="N925" s="46"/>
      <c r="O925" s="46"/>
      <c r="P925" s="46" t="s">
        <v>335</v>
      </c>
      <c r="Q925" s="46"/>
      <c r="R925" s="46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</row>
    <row r="926" ht="14.25" customHeight="1">
      <c r="A926" s="211">
        <v>7.0</v>
      </c>
      <c r="B926" s="46" t="s">
        <v>4202</v>
      </c>
      <c r="C926" s="46" t="s">
        <v>4205</v>
      </c>
      <c r="D926" s="46"/>
      <c r="E926" s="46"/>
      <c r="F926" s="50"/>
      <c r="G926" s="275">
        <v>279.0</v>
      </c>
      <c r="H926" s="46">
        <v>60.0</v>
      </c>
      <c r="I926" s="46">
        <v>300.0</v>
      </c>
      <c r="J926" s="46">
        <v>0.0</v>
      </c>
      <c r="K926" s="46">
        <v>0.0</v>
      </c>
      <c r="L926" s="46"/>
      <c r="M926" s="46"/>
      <c r="N926" s="46"/>
      <c r="O926" s="46"/>
      <c r="P926" s="46" t="s">
        <v>335</v>
      </c>
      <c r="Q926" s="46"/>
      <c r="R926" s="46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</row>
    <row r="927" ht="14.25" customHeight="1">
      <c r="A927" s="211">
        <v>8.0</v>
      </c>
      <c r="B927" s="46" t="s">
        <v>4206</v>
      </c>
      <c r="C927" s="46" t="s">
        <v>4207</v>
      </c>
      <c r="D927" s="46"/>
      <c r="E927" s="46"/>
      <c r="F927" s="50"/>
      <c r="G927" s="275" t="s">
        <v>4208</v>
      </c>
      <c r="H927" s="46">
        <v>5.0</v>
      </c>
      <c r="I927" s="46">
        <v>25.0</v>
      </c>
      <c r="J927" s="46">
        <v>0.0</v>
      </c>
      <c r="K927" s="46">
        <v>0.0</v>
      </c>
      <c r="L927" s="46">
        <v>1.0</v>
      </c>
      <c r="M927" s="46" t="s">
        <v>4215</v>
      </c>
      <c r="N927" s="46"/>
      <c r="O927" s="46"/>
      <c r="P927" s="46" t="s">
        <v>335</v>
      </c>
      <c r="Q927" s="46"/>
      <c r="R927" s="46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</row>
    <row r="928" ht="14.25" customHeight="1">
      <c r="A928" s="211">
        <v>9.0</v>
      </c>
      <c r="B928" s="46" t="s">
        <v>4206</v>
      </c>
      <c r="C928" s="46" t="s">
        <v>4209</v>
      </c>
      <c r="D928" s="46"/>
      <c r="E928" s="46"/>
      <c r="F928" s="50"/>
      <c r="G928" s="275" t="s">
        <v>4210</v>
      </c>
      <c r="H928" s="46">
        <v>18.0</v>
      </c>
      <c r="I928" s="46">
        <v>210.0</v>
      </c>
      <c r="J928" s="46">
        <v>0.0</v>
      </c>
      <c r="K928" s="46">
        <v>0.0</v>
      </c>
      <c r="L928" s="46">
        <v>0.0</v>
      </c>
      <c r="M928" s="46"/>
      <c r="N928" s="46"/>
      <c r="O928" s="46"/>
      <c r="P928" s="46" t="s">
        <v>335</v>
      </c>
      <c r="Q928" s="46"/>
      <c r="R928" s="46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</row>
    <row r="929" ht="14.25" customHeight="1">
      <c r="A929" s="211">
        <v>10.0</v>
      </c>
      <c r="B929" s="46" t="s">
        <v>4206</v>
      </c>
      <c r="C929" s="46" t="s">
        <v>4211</v>
      </c>
      <c r="D929" s="46"/>
      <c r="E929" s="46"/>
      <c r="F929" s="50"/>
      <c r="G929" s="275" t="s">
        <v>4212</v>
      </c>
      <c r="H929" s="46">
        <v>24.0</v>
      </c>
      <c r="I929" s="46">
        <v>288.0</v>
      </c>
      <c r="J929" s="46">
        <v>0.0</v>
      </c>
      <c r="K929" s="46">
        <v>0.0</v>
      </c>
      <c r="L929" s="46">
        <v>0.0</v>
      </c>
      <c r="M929" s="46"/>
      <c r="N929" s="46"/>
      <c r="O929" s="46"/>
      <c r="P929" s="46" t="s">
        <v>335</v>
      </c>
      <c r="Q929" s="46"/>
      <c r="R929" s="46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</row>
    <row r="930" ht="14.25" customHeight="1">
      <c r="A930" s="211">
        <v>11.0</v>
      </c>
      <c r="B930" s="46" t="s">
        <v>4213</v>
      </c>
      <c r="C930" s="46" t="s">
        <v>4214</v>
      </c>
      <c r="D930" s="46"/>
      <c r="E930" s="46"/>
      <c r="F930" s="50"/>
      <c r="G930" s="275">
        <v>63.0</v>
      </c>
      <c r="H930" s="46">
        <v>4.0</v>
      </c>
      <c r="I930" s="46">
        <v>24.0</v>
      </c>
      <c r="J930" s="46">
        <v>0.0</v>
      </c>
      <c r="K930" s="46">
        <v>0.0</v>
      </c>
      <c r="L930" s="46">
        <v>1.0</v>
      </c>
      <c r="M930" s="46" t="s">
        <v>4215</v>
      </c>
      <c r="N930" s="46"/>
      <c r="O930" s="46"/>
      <c r="P930" s="46" t="s">
        <v>335</v>
      </c>
      <c r="Q930" s="46">
        <v>4.0</v>
      </c>
      <c r="R930" s="46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</row>
    <row r="931" ht="14.25" customHeight="1">
      <c r="A931" s="211">
        <v>12.0</v>
      </c>
      <c r="B931" s="46" t="s">
        <v>4213</v>
      </c>
      <c r="C931" s="46" t="s">
        <v>4216</v>
      </c>
      <c r="D931" s="46"/>
      <c r="E931" s="46"/>
      <c r="F931" s="50"/>
      <c r="G931" s="275">
        <v>396.88</v>
      </c>
      <c r="H931" s="46">
        <v>10.0</v>
      </c>
      <c r="I931" s="46">
        <v>80.0</v>
      </c>
      <c r="J931" s="46">
        <v>0.0</v>
      </c>
      <c r="K931" s="46">
        <v>0.0</v>
      </c>
      <c r="L931" s="46">
        <v>1.0</v>
      </c>
      <c r="M931" s="46" t="s">
        <v>449</v>
      </c>
      <c r="N931" s="46"/>
      <c r="O931" s="46"/>
      <c r="P931" s="46" t="s">
        <v>335</v>
      </c>
      <c r="Q931" s="46">
        <v>8.0</v>
      </c>
      <c r="R931" s="46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</row>
    <row r="932" ht="14.25" customHeight="1">
      <c r="A932" s="211">
        <v>13.0</v>
      </c>
      <c r="B932" s="46" t="s">
        <v>4217</v>
      </c>
      <c r="C932" s="46" t="s">
        <v>4218</v>
      </c>
      <c r="D932" s="46"/>
      <c r="E932" s="46"/>
      <c r="F932" s="50"/>
      <c r="G932" s="275" t="s">
        <v>4219</v>
      </c>
      <c r="H932" s="46">
        <v>12.0</v>
      </c>
      <c r="I932" s="46">
        <v>72.0</v>
      </c>
      <c r="J932" s="46">
        <v>0.0</v>
      </c>
      <c r="K932" s="46">
        <v>0.0</v>
      </c>
      <c r="L932" s="46">
        <v>6.0</v>
      </c>
      <c r="M932" s="46" t="s">
        <v>4215</v>
      </c>
      <c r="N932" s="46"/>
      <c r="O932" s="46"/>
      <c r="P932" s="46" t="s">
        <v>335</v>
      </c>
      <c r="Q932" s="46">
        <v>72.0</v>
      </c>
      <c r="R932" s="46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  <c r="AD932" s="129"/>
    </row>
    <row r="933" ht="14.25" customHeight="1">
      <c r="A933" s="211">
        <v>14.0</v>
      </c>
      <c r="B933" s="46" t="s">
        <v>4220</v>
      </c>
      <c r="C933" s="46" t="s">
        <v>4221</v>
      </c>
      <c r="D933" s="46"/>
      <c r="E933" s="46"/>
      <c r="F933" s="50"/>
      <c r="G933" s="275" t="s">
        <v>4222</v>
      </c>
      <c r="H933" s="46">
        <v>4.0</v>
      </c>
      <c r="I933" s="46">
        <v>20.0</v>
      </c>
      <c r="J933" s="46">
        <v>1.0</v>
      </c>
      <c r="K933" s="46">
        <v>1.0</v>
      </c>
      <c r="L933" s="46">
        <v>10.0</v>
      </c>
      <c r="M933" s="46" t="s">
        <v>4215</v>
      </c>
      <c r="N933" s="46"/>
      <c r="O933" s="46"/>
      <c r="P933" s="46" t="s">
        <v>335</v>
      </c>
      <c r="Q933" s="46"/>
      <c r="R933" s="46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  <c r="AC933" s="129"/>
      <c r="AD933" s="129"/>
    </row>
    <row r="934" ht="14.25" customHeight="1">
      <c r="A934" s="211">
        <v>15.0</v>
      </c>
      <c r="B934" s="46" t="s">
        <v>4220</v>
      </c>
      <c r="C934" s="46" t="s">
        <v>4223</v>
      </c>
      <c r="D934" s="46"/>
      <c r="E934" s="46"/>
      <c r="F934" s="50"/>
      <c r="G934" s="275" t="s">
        <v>4224</v>
      </c>
      <c r="H934" s="46">
        <v>10.0</v>
      </c>
      <c r="I934" s="46">
        <v>50.0</v>
      </c>
      <c r="J934" s="46">
        <v>0.0</v>
      </c>
      <c r="K934" s="46">
        <v>0.0</v>
      </c>
      <c r="L934" s="46">
        <v>0.0</v>
      </c>
      <c r="M934" s="46"/>
      <c r="N934" s="46"/>
      <c r="O934" s="46"/>
      <c r="P934" s="46" t="s">
        <v>335</v>
      </c>
      <c r="Q934" s="46"/>
      <c r="R934" s="46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  <c r="AD934" s="129"/>
    </row>
    <row r="935" ht="14.25" customHeight="1">
      <c r="A935" s="211">
        <v>16.0</v>
      </c>
      <c r="B935" s="46" t="s">
        <v>4225</v>
      </c>
      <c r="C935" s="46" t="s">
        <v>4226</v>
      </c>
      <c r="D935" s="46"/>
      <c r="E935" s="46"/>
      <c r="F935" s="50"/>
      <c r="G935" s="275">
        <v>68.4</v>
      </c>
      <c r="H935" s="46">
        <v>0.0</v>
      </c>
      <c r="I935" s="46">
        <v>0.0</v>
      </c>
      <c r="J935" s="46">
        <v>0.0</v>
      </c>
      <c r="K935" s="46">
        <v>0.0</v>
      </c>
      <c r="L935" s="46">
        <v>3.0</v>
      </c>
      <c r="M935" s="46" t="s">
        <v>4215</v>
      </c>
      <c r="N935" s="46"/>
      <c r="O935" s="46"/>
      <c r="P935" s="46" t="s">
        <v>335</v>
      </c>
      <c r="Q935" s="46"/>
      <c r="R935" s="46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  <c r="AD935" s="129"/>
    </row>
    <row r="936" ht="14.25" customHeight="1">
      <c r="A936" s="211">
        <v>17.0</v>
      </c>
      <c r="B936" s="46" t="s">
        <v>4225</v>
      </c>
      <c r="C936" s="46" t="s">
        <v>4227</v>
      </c>
      <c r="D936" s="46"/>
      <c r="E936" s="46"/>
      <c r="F936" s="50"/>
      <c r="G936" s="275">
        <v>50.84</v>
      </c>
      <c r="H936" s="46">
        <v>0.0</v>
      </c>
      <c r="I936" s="46">
        <v>0.0</v>
      </c>
      <c r="J936" s="46">
        <v>0.0</v>
      </c>
      <c r="K936" s="46">
        <v>0.0</v>
      </c>
      <c r="L936" s="46">
        <v>3.0</v>
      </c>
      <c r="M936" s="46" t="s">
        <v>4215</v>
      </c>
      <c r="N936" s="46"/>
      <c r="O936" s="46"/>
      <c r="P936" s="46" t="s">
        <v>335</v>
      </c>
      <c r="Q936" s="46"/>
      <c r="R936" s="46"/>
      <c r="S936" s="129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  <c r="AD936" s="129"/>
    </row>
    <row r="937" ht="14.25" customHeight="1">
      <c r="A937" s="211">
        <v>18.0</v>
      </c>
      <c r="B937" s="46" t="s">
        <v>4225</v>
      </c>
      <c r="C937" s="46" t="s">
        <v>4228</v>
      </c>
      <c r="D937" s="46"/>
      <c r="E937" s="46"/>
      <c r="F937" s="50"/>
      <c r="G937" s="275"/>
      <c r="H937" s="46"/>
      <c r="I937" s="46"/>
      <c r="J937" s="46"/>
      <c r="K937" s="46"/>
      <c r="L937" s="46"/>
      <c r="M937" s="46" t="s">
        <v>4215</v>
      </c>
      <c r="N937" s="46"/>
      <c r="O937" s="46"/>
      <c r="P937" s="46" t="s">
        <v>335</v>
      </c>
      <c r="Q937" s="46"/>
      <c r="R937" s="46"/>
      <c r="S937" s="129"/>
      <c r="T937" s="129"/>
      <c r="U937" s="129"/>
      <c r="V937" s="129"/>
      <c r="W937" s="129"/>
      <c r="X937" s="129"/>
      <c r="Y937" s="129"/>
      <c r="Z937" s="129"/>
      <c r="AA937" s="129"/>
      <c r="AB937" s="129"/>
      <c r="AC937" s="129"/>
      <c r="AD937" s="129"/>
    </row>
    <row r="938" ht="14.25" customHeight="1">
      <c r="A938" s="211">
        <v>19.0</v>
      </c>
      <c r="B938" s="46" t="s">
        <v>4229</v>
      </c>
      <c r="C938" s="46" t="s">
        <v>4230</v>
      </c>
      <c r="D938" s="46"/>
      <c r="E938" s="46"/>
      <c r="F938" s="50"/>
      <c r="G938" s="275" t="s">
        <v>4231</v>
      </c>
      <c r="H938" s="46">
        <v>15.0</v>
      </c>
      <c r="I938" s="46">
        <v>75.0</v>
      </c>
      <c r="J938" s="46">
        <v>1.0</v>
      </c>
      <c r="K938" s="46">
        <v>1.0</v>
      </c>
      <c r="L938" s="46">
        <v>0.0</v>
      </c>
      <c r="M938" s="46" t="s">
        <v>7135</v>
      </c>
      <c r="N938" s="46"/>
      <c r="O938" s="46"/>
      <c r="P938" s="46" t="s">
        <v>335</v>
      </c>
      <c r="Q938" s="46"/>
      <c r="R938" s="46"/>
      <c r="S938" s="129"/>
      <c r="T938" s="129"/>
      <c r="U938" s="129"/>
      <c r="V938" s="129"/>
      <c r="W938" s="129"/>
      <c r="X938" s="129"/>
      <c r="Y938" s="129"/>
      <c r="Z938" s="129"/>
      <c r="AA938" s="129"/>
      <c r="AB938" s="129"/>
      <c r="AC938" s="129"/>
      <c r="AD938" s="129"/>
    </row>
    <row r="939" ht="14.25" customHeight="1">
      <c r="A939" s="211">
        <v>20.0</v>
      </c>
      <c r="B939" s="46" t="s">
        <v>4229</v>
      </c>
      <c r="C939" s="46" t="s">
        <v>4232</v>
      </c>
      <c r="D939" s="46"/>
      <c r="E939" s="46"/>
      <c r="F939" s="50"/>
      <c r="G939" s="275" t="s">
        <v>4233</v>
      </c>
      <c r="H939" s="46">
        <v>10.0</v>
      </c>
      <c r="I939" s="46">
        <v>50.0</v>
      </c>
      <c r="J939" s="46">
        <v>1.0</v>
      </c>
      <c r="K939" s="46">
        <v>1.0</v>
      </c>
      <c r="L939" s="46">
        <v>0.0</v>
      </c>
      <c r="M939" s="46" t="s">
        <v>4215</v>
      </c>
      <c r="N939" s="46"/>
      <c r="O939" s="46"/>
      <c r="P939" s="46" t="s">
        <v>335</v>
      </c>
      <c r="Q939" s="46"/>
      <c r="R939" s="46"/>
      <c r="S939" s="129"/>
      <c r="T939" s="129"/>
      <c r="U939" s="129"/>
      <c r="V939" s="129"/>
      <c r="W939" s="129"/>
      <c r="X939" s="129"/>
      <c r="Y939" s="129"/>
      <c r="Z939" s="129"/>
      <c r="AA939" s="129"/>
      <c r="AB939" s="129"/>
      <c r="AC939" s="129"/>
      <c r="AD939" s="129"/>
    </row>
    <row r="940" ht="14.25" customHeight="1">
      <c r="A940" s="211">
        <v>21.0</v>
      </c>
      <c r="B940" s="46" t="s">
        <v>4229</v>
      </c>
      <c r="C940" s="46" t="s">
        <v>4234</v>
      </c>
      <c r="D940" s="46"/>
      <c r="E940" s="46"/>
      <c r="F940" s="50"/>
      <c r="G940" s="275" t="s">
        <v>4233</v>
      </c>
      <c r="H940" s="46">
        <v>20.0</v>
      </c>
      <c r="I940" s="46">
        <v>100.0</v>
      </c>
      <c r="J940" s="46">
        <v>2.0</v>
      </c>
      <c r="K940" s="46">
        <v>2.0</v>
      </c>
      <c r="L940" s="46">
        <v>0.0</v>
      </c>
      <c r="M940" s="46" t="s">
        <v>4215</v>
      </c>
      <c r="N940" s="46"/>
      <c r="O940" s="46"/>
      <c r="P940" s="46" t="s">
        <v>335</v>
      </c>
      <c r="Q940" s="46"/>
      <c r="R940" s="46"/>
      <c r="S940" s="129"/>
      <c r="T940" s="129"/>
      <c r="U940" s="129"/>
      <c r="V940" s="129"/>
      <c r="W940" s="129"/>
      <c r="X940" s="129"/>
      <c r="Y940" s="129"/>
      <c r="Z940" s="129"/>
      <c r="AA940" s="129"/>
      <c r="AB940" s="129"/>
      <c r="AC940" s="129"/>
      <c r="AD940" s="129"/>
    </row>
    <row r="941" ht="14.25" customHeight="1">
      <c r="A941" s="211">
        <v>22.0</v>
      </c>
      <c r="B941" s="46" t="s">
        <v>4235</v>
      </c>
      <c r="C941" s="46" t="s">
        <v>4197</v>
      </c>
      <c r="D941" s="46"/>
      <c r="E941" s="46"/>
      <c r="F941" s="50"/>
      <c r="G941" s="275" t="s">
        <v>4236</v>
      </c>
      <c r="H941" s="46">
        <v>42.0</v>
      </c>
      <c r="I941" s="46">
        <v>250.0</v>
      </c>
      <c r="J941" s="46">
        <v>5.0</v>
      </c>
      <c r="K941" s="46">
        <v>5.0</v>
      </c>
      <c r="L941" s="46">
        <v>10.0</v>
      </c>
      <c r="M941" s="46" t="s">
        <v>4215</v>
      </c>
      <c r="N941" s="46"/>
      <c r="O941" s="46"/>
      <c r="P941" s="46"/>
      <c r="Q941" s="46"/>
      <c r="R941" s="46"/>
      <c r="S941" s="129"/>
      <c r="T941" s="129"/>
      <c r="U941" s="129"/>
      <c r="V941" s="129"/>
      <c r="W941" s="129"/>
      <c r="X941" s="129"/>
      <c r="Y941" s="129"/>
      <c r="Z941" s="129"/>
      <c r="AA941" s="129"/>
      <c r="AB941" s="129"/>
      <c r="AC941" s="129"/>
      <c r="AD941" s="129"/>
    </row>
    <row r="942" ht="14.25" customHeight="1">
      <c r="A942" s="211">
        <v>23.0</v>
      </c>
      <c r="B942" s="46" t="s">
        <v>4237</v>
      </c>
      <c r="C942" s="46" t="s">
        <v>4238</v>
      </c>
      <c r="D942" s="46"/>
      <c r="E942" s="46"/>
      <c r="F942" s="50"/>
      <c r="G942" s="275" t="s">
        <v>4239</v>
      </c>
      <c r="H942" s="46">
        <v>2.0</v>
      </c>
      <c r="I942" s="46">
        <v>6.0</v>
      </c>
      <c r="J942" s="46">
        <v>3.0</v>
      </c>
      <c r="K942" s="46">
        <v>3.0</v>
      </c>
      <c r="L942" s="46">
        <v>4.0</v>
      </c>
      <c r="M942" s="46" t="s">
        <v>4215</v>
      </c>
      <c r="N942" s="46"/>
      <c r="O942" s="46"/>
      <c r="P942" s="46"/>
      <c r="Q942" s="46"/>
      <c r="R942" s="46"/>
      <c r="S942" s="129"/>
      <c r="T942" s="129"/>
      <c r="U942" s="129"/>
      <c r="V942" s="129"/>
      <c r="W942" s="129"/>
      <c r="X942" s="129"/>
      <c r="Y942" s="129"/>
      <c r="Z942" s="129"/>
      <c r="AA942" s="129"/>
      <c r="AB942" s="129"/>
      <c r="AC942" s="129"/>
      <c r="AD942" s="129"/>
    </row>
    <row r="943" ht="14.25" customHeight="1">
      <c r="A943" s="211">
        <v>24.0</v>
      </c>
      <c r="B943" s="46" t="s">
        <v>4237</v>
      </c>
      <c r="C943" s="46" t="s">
        <v>4228</v>
      </c>
      <c r="D943" s="46"/>
      <c r="E943" s="46"/>
      <c r="F943" s="50"/>
      <c r="G943" s="275" t="s">
        <v>4240</v>
      </c>
      <c r="H943" s="46">
        <v>5.0</v>
      </c>
      <c r="I943" s="46">
        <v>6.0</v>
      </c>
      <c r="J943" s="46"/>
      <c r="K943" s="46"/>
      <c r="L943" s="46"/>
      <c r="M943" s="46" t="s">
        <v>449</v>
      </c>
      <c r="N943" s="46"/>
      <c r="O943" s="46"/>
      <c r="P943" s="46"/>
      <c r="Q943" s="46"/>
      <c r="R943" s="46"/>
      <c r="S943" s="129"/>
      <c r="T943" s="129"/>
      <c r="U943" s="129"/>
      <c r="V943" s="129"/>
      <c r="W943" s="129"/>
      <c r="X943" s="129"/>
      <c r="Y943" s="129"/>
      <c r="Z943" s="129"/>
      <c r="AA943" s="129"/>
      <c r="AB943" s="129"/>
      <c r="AC943" s="129"/>
      <c r="AD943" s="129"/>
    </row>
    <row r="944" ht="14.25" customHeight="1">
      <c r="A944" s="211">
        <v>25.0</v>
      </c>
      <c r="B944" s="46" t="s">
        <v>4241</v>
      </c>
      <c r="C944" s="46" t="s">
        <v>4242</v>
      </c>
      <c r="D944" s="46"/>
      <c r="E944" s="46"/>
      <c r="F944" s="50"/>
      <c r="G944" s="275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129"/>
      <c r="T944" s="129"/>
      <c r="U944" s="129"/>
      <c r="V944" s="129"/>
      <c r="W944" s="129"/>
      <c r="X944" s="129"/>
      <c r="Y944" s="129"/>
      <c r="Z944" s="129"/>
      <c r="AA944" s="129"/>
      <c r="AB944" s="129"/>
      <c r="AC944" s="129"/>
      <c r="AD944" s="129"/>
    </row>
    <row r="945" ht="14.25" customHeight="1">
      <c r="A945" s="211">
        <v>26.0</v>
      </c>
      <c r="B945" s="46" t="s">
        <v>4241</v>
      </c>
      <c r="C945" s="46" t="s">
        <v>2781</v>
      </c>
      <c r="D945" s="46"/>
      <c r="E945" s="46"/>
      <c r="F945" s="50"/>
      <c r="G945" s="275" t="s">
        <v>4244</v>
      </c>
      <c r="H945" s="46">
        <v>15.0</v>
      </c>
      <c r="I945" s="46">
        <v>80.0</v>
      </c>
      <c r="J945" s="46">
        <v>0.0</v>
      </c>
      <c r="K945" s="46">
        <v>0.0</v>
      </c>
      <c r="L945" s="46">
        <v>0.0</v>
      </c>
      <c r="M945" s="46" t="s">
        <v>4215</v>
      </c>
      <c r="N945" s="46"/>
      <c r="O945" s="46"/>
      <c r="P945" s="46"/>
      <c r="Q945" s="46"/>
      <c r="R945" s="46"/>
      <c r="S945" s="129"/>
      <c r="T945" s="129"/>
      <c r="U945" s="129"/>
      <c r="V945" s="129"/>
      <c r="W945" s="129"/>
      <c r="X945" s="129"/>
      <c r="Y945" s="129"/>
      <c r="Z945" s="129"/>
      <c r="AA945" s="129"/>
      <c r="AB945" s="129"/>
      <c r="AC945" s="129"/>
      <c r="AD945" s="129"/>
    </row>
    <row r="946" ht="14.25" customHeight="1">
      <c r="A946" s="211">
        <v>27.0</v>
      </c>
      <c r="B946" s="46" t="s">
        <v>4241</v>
      </c>
      <c r="C946" s="46" t="s">
        <v>4228</v>
      </c>
      <c r="D946" s="46"/>
      <c r="E946" s="46"/>
      <c r="F946" s="50"/>
      <c r="G946" s="275" t="s">
        <v>4245</v>
      </c>
      <c r="H946" s="46">
        <v>10.0</v>
      </c>
      <c r="I946" s="46">
        <v>50.0</v>
      </c>
      <c r="J946" s="46">
        <v>0.0</v>
      </c>
      <c r="K946" s="46">
        <v>0.0</v>
      </c>
      <c r="L946" s="46">
        <v>0.0</v>
      </c>
      <c r="M946" s="46" t="s">
        <v>4215</v>
      </c>
      <c r="N946" s="46"/>
      <c r="O946" s="46"/>
      <c r="P946" s="46"/>
      <c r="Q946" s="46"/>
      <c r="R946" s="46"/>
      <c r="S946" s="129"/>
      <c r="T946" s="129"/>
      <c r="U946" s="129"/>
      <c r="V946" s="129"/>
      <c r="W946" s="129"/>
      <c r="X946" s="129"/>
      <c r="Y946" s="129"/>
      <c r="Z946" s="129"/>
      <c r="AA946" s="129"/>
      <c r="AB946" s="129"/>
      <c r="AC946" s="129"/>
      <c r="AD946" s="129"/>
    </row>
    <row r="947" ht="14.25" customHeight="1">
      <c r="A947" s="211">
        <v>28.0</v>
      </c>
      <c r="B947" s="46" t="s">
        <v>4241</v>
      </c>
      <c r="C947" s="46" t="s">
        <v>4246</v>
      </c>
      <c r="D947" s="46"/>
      <c r="E947" s="46"/>
      <c r="F947" s="50"/>
      <c r="G947" s="275" t="s">
        <v>4243</v>
      </c>
      <c r="H947" s="46">
        <v>6.0</v>
      </c>
      <c r="I947" s="46">
        <v>30.0</v>
      </c>
      <c r="J947" s="46">
        <v>0.0</v>
      </c>
      <c r="K947" s="46">
        <v>0.0</v>
      </c>
      <c r="L947" s="46">
        <v>0.0</v>
      </c>
      <c r="M947" s="46" t="s">
        <v>4215</v>
      </c>
      <c r="N947" s="46"/>
      <c r="O947" s="46"/>
      <c r="P947" s="46"/>
      <c r="Q947" s="46"/>
      <c r="R947" s="46"/>
      <c r="S947" s="129"/>
      <c r="T947" s="129"/>
      <c r="U947" s="129"/>
      <c r="V947" s="129"/>
      <c r="W947" s="129"/>
      <c r="X947" s="129"/>
      <c r="Y947" s="129"/>
      <c r="Z947" s="129"/>
      <c r="AA947" s="129"/>
      <c r="AB947" s="129"/>
      <c r="AC947" s="129"/>
      <c r="AD947" s="129"/>
    </row>
    <row r="948" ht="14.25" customHeight="1">
      <c r="A948" s="211">
        <v>29.0</v>
      </c>
      <c r="B948" s="46" t="s">
        <v>4241</v>
      </c>
      <c r="C948" s="46" t="s">
        <v>4247</v>
      </c>
      <c r="D948" s="46"/>
      <c r="E948" s="46"/>
      <c r="F948" s="50"/>
      <c r="G948" s="275" t="s">
        <v>4243</v>
      </c>
      <c r="H948" s="46">
        <v>6.0</v>
      </c>
      <c r="I948" s="46">
        <v>30.0</v>
      </c>
      <c r="J948" s="46">
        <v>0.0</v>
      </c>
      <c r="K948" s="46">
        <v>0.0</v>
      </c>
      <c r="L948" s="46">
        <v>0.0</v>
      </c>
      <c r="M948" s="46" t="s">
        <v>4215</v>
      </c>
      <c r="N948" s="46"/>
      <c r="O948" s="46"/>
      <c r="P948" s="46"/>
      <c r="Q948" s="46"/>
      <c r="R948" s="46"/>
      <c r="S948" s="129"/>
      <c r="T948" s="129"/>
      <c r="U948" s="129"/>
      <c r="V948" s="129"/>
      <c r="W948" s="129"/>
      <c r="X948" s="129"/>
      <c r="Y948" s="129"/>
      <c r="Z948" s="129"/>
      <c r="AA948" s="129"/>
      <c r="AB948" s="129"/>
      <c r="AC948" s="129"/>
      <c r="AD948" s="129"/>
    </row>
    <row r="949" ht="14.25" customHeight="1">
      <c r="A949" s="211">
        <v>30.0</v>
      </c>
      <c r="B949" s="46" t="s">
        <v>4241</v>
      </c>
      <c r="C949" s="46" t="s">
        <v>4248</v>
      </c>
      <c r="D949" s="46"/>
      <c r="E949" s="46"/>
      <c r="F949" s="50"/>
      <c r="G949" s="275" t="s">
        <v>4249</v>
      </c>
      <c r="H949" s="46">
        <v>5.0</v>
      </c>
      <c r="I949" s="46">
        <v>25.0</v>
      </c>
      <c r="J949" s="46">
        <v>0.0</v>
      </c>
      <c r="K949" s="46">
        <v>0.0</v>
      </c>
      <c r="L949" s="46">
        <v>1.0</v>
      </c>
      <c r="M949" s="46" t="s">
        <v>4215</v>
      </c>
      <c r="N949" s="46"/>
      <c r="O949" s="46"/>
      <c r="P949" s="46"/>
      <c r="Q949" s="46"/>
      <c r="R949" s="46"/>
      <c r="S949" s="129"/>
      <c r="T949" s="129"/>
      <c r="U949" s="129"/>
      <c r="V949" s="129"/>
      <c r="W949" s="129"/>
      <c r="X949" s="129"/>
      <c r="Y949" s="129"/>
      <c r="Z949" s="129"/>
      <c r="AA949" s="129"/>
      <c r="AB949" s="129"/>
      <c r="AC949" s="129"/>
      <c r="AD949" s="129"/>
    </row>
    <row r="950" ht="14.25" customHeight="1">
      <c r="A950" s="211">
        <v>31.0</v>
      </c>
      <c r="B950" s="46" t="s">
        <v>4241</v>
      </c>
      <c r="C950" s="46" t="s">
        <v>4250</v>
      </c>
      <c r="D950" s="46"/>
      <c r="E950" s="46"/>
      <c r="F950" s="50"/>
      <c r="G950" s="275" t="s">
        <v>4249</v>
      </c>
      <c r="H950" s="46">
        <v>5.0</v>
      </c>
      <c r="I950" s="46">
        <v>25.0</v>
      </c>
      <c r="J950" s="46">
        <v>0.0</v>
      </c>
      <c r="K950" s="46">
        <v>0.0</v>
      </c>
      <c r="L950" s="46">
        <v>1.0</v>
      </c>
      <c r="M950" s="46" t="s">
        <v>4215</v>
      </c>
      <c r="N950" s="46"/>
      <c r="O950" s="46"/>
      <c r="P950" s="46"/>
      <c r="Q950" s="46"/>
      <c r="R950" s="46"/>
      <c r="S950" s="129"/>
      <c r="T950" s="129"/>
      <c r="U950" s="129"/>
      <c r="V950" s="129"/>
      <c r="W950" s="129"/>
      <c r="X950" s="129"/>
      <c r="Y950" s="129"/>
      <c r="Z950" s="129"/>
      <c r="AA950" s="129"/>
      <c r="AB950" s="129"/>
      <c r="AC950" s="129"/>
      <c r="AD950" s="129"/>
    </row>
    <row r="951" ht="14.25" customHeight="1">
      <c r="A951" s="211">
        <v>32.0</v>
      </c>
      <c r="B951" s="46" t="s">
        <v>4241</v>
      </c>
      <c r="C951" s="46" t="s">
        <v>4251</v>
      </c>
      <c r="D951" s="46"/>
      <c r="E951" s="46"/>
      <c r="F951" s="50"/>
      <c r="G951" s="275" t="s">
        <v>4252</v>
      </c>
      <c r="H951" s="46">
        <v>3.0</v>
      </c>
      <c r="I951" s="46">
        <v>25.0</v>
      </c>
      <c r="J951" s="46">
        <v>0.0</v>
      </c>
      <c r="K951" s="46">
        <v>0.0</v>
      </c>
      <c r="L951" s="46">
        <v>0.0</v>
      </c>
      <c r="M951" s="46" t="s">
        <v>4215</v>
      </c>
      <c r="N951" s="46"/>
      <c r="O951" s="46"/>
      <c r="P951" s="46"/>
      <c r="Q951" s="46"/>
      <c r="R951" s="46"/>
      <c r="S951" s="129"/>
      <c r="T951" s="129"/>
      <c r="U951" s="129"/>
      <c r="V951" s="129"/>
      <c r="W951" s="129"/>
      <c r="X951" s="129"/>
      <c r="Y951" s="129"/>
      <c r="Z951" s="129"/>
      <c r="AA951" s="129"/>
      <c r="AB951" s="129"/>
      <c r="AC951" s="129"/>
      <c r="AD951" s="129"/>
    </row>
    <row r="952" ht="14.25" customHeight="1">
      <c r="A952" s="211">
        <v>33.0</v>
      </c>
      <c r="B952" s="46" t="s">
        <v>4241</v>
      </c>
      <c r="C952" s="46" t="s">
        <v>4253</v>
      </c>
      <c r="D952" s="46"/>
      <c r="E952" s="46"/>
      <c r="F952" s="50"/>
      <c r="G952" s="275" t="s">
        <v>4249</v>
      </c>
      <c r="H952" s="46">
        <v>5.0</v>
      </c>
      <c r="I952" s="46">
        <v>25.0</v>
      </c>
      <c r="J952" s="46">
        <v>0.0</v>
      </c>
      <c r="K952" s="46">
        <v>0.0</v>
      </c>
      <c r="L952" s="46">
        <v>1.0</v>
      </c>
      <c r="M952" s="46" t="s">
        <v>4215</v>
      </c>
      <c r="N952" s="46"/>
      <c r="O952" s="46"/>
      <c r="P952" s="46"/>
      <c r="Q952" s="46"/>
      <c r="R952" s="46"/>
      <c r="S952" s="129"/>
      <c r="T952" s="129"/>
      <c r="U952" s="129"/>
      <c r="V952" s="129"/>
      <c r="W952" s="129"/>
      <c r="X952" s="129"/>
      <c r="Y952" s="129"/>
      <c r="Z952" s="129"/>
      <c r="AA952" s="129"/>
      <c r="AB952" s="129"/>
      <c r="AC952" s="129"/>
      <c r="AD952" s="129"/>
    </row>
    <row r="953" ht="14.25" customHeight="1">
      <c r="A953" s="211">
        <v>34.0</v>
      </c>
      <c r="B953" s="46" t="s">
        <v>4241</v>
      </c>
      <c r="C953" s="46" t="s">
        <v>4254</v>
      </c>
      <c r="D953" s="46"/>
      <c r="E953" s="46"/>
      <c r="F953" s="50"/>
      <c r="G953" s="275" t="s">
        <v>4249</v>
      </c>
      <c r="H953" s="46">
        <v>5.0</v>
      </c>
      <c r="I953" s="46">
        <v>25.0</v>
      </c>
      <c r="J953" s="46">
        <v>0.0</v>
      </c>
      <c r="K953" s="46">
        <v>0.0</v>
      </c>
      <c r="L953" s="46">
        <v>1.0</v>
      </c>
      <c r="M953" s="46" t="s">
        <v>4215</v>
      </c>
      <c r="N953" s="46"/>
      <c r="O953" s="46"/>
      <c r="P953" s="46"/>
      <c r="Q953" s="46"/>
      <c r="R953" s="46"/>
      <c r="S953" s="129"/>
      <c r="T953" s="129"/>
      <c r="U953" s="129"/>
      <c r="V953" s="129"/>
      <c r="W953" s="129"/>
      <c r="X953" s="129"/>
      <c r="Y953" s="129"/>
      <c r="Z953" s="129"/>
      <c r="AA953" s="129"/>
      <c r="AB953" s="129"/>
      <c r="AC953" s="129"/>
      <c r="AD953" s="129"/>
    </row>
    <row r="954" ht="14.25" customHeight="1">
      <c r="A954" s="211">
        <v>35.0</v>
      </c>
      <c r="B954" s="46" t="s">
        <v>4241</v>
      </c>
      <c r="C954" s="46" t="s">
        <v>4255</v>
      </c>
      <c r="D954" s="46"/>
      <c r="E954" s="46"/>
      <c r="F954" s="50"/>
      <c r="G954" s="275" t="s">
        <v>4256</v>
      </c>
      <c r="H954" s="46">
        <v>4.0</v>
      </c>
      <c r="I954" s="46">
        <v>20.0</v>
      </c>
      <c r="J954" s="46">
        <v>0.0</v>
      </c>
      <c r="K954" s="46">
        <v>0.0</v>
      </c>
      <c r="L954" s="46">
        <v>1.0</v>
      </c>
      <c r="M954" s="46" t="s">
        <v>4215</v>
      </c>
      <c r="N954" s="46"/>
      <c r="O954" s="46"/>
      <c r="P954" s="46"/>
      <c r="Q954" s="46"/>
      <c r="R954" s="46"/>
      <c r="S954" s="129"/>
      <c r="T954" s="129"/>
      <c r="U954" s="129"/>
      <c r="V954" s="129"/>
      <c r="W954" s="129"/>
      <c r="X954" s="129"/>
      <c r="Y954" s="129"/>
      <c r="Z954" s="129"/>
      <c r="AA954" s="129"/>
      <c r="AB954" s="129"/>
      <c r="AC954" s="129"/>
      <c r="AD954" s="129"/>
    </row>
    <row r="955" ht="15.75" customHeight="1">
      <c r="A955" s="181"/>
      <c r="B955" s="182" t="s">
        <v>4257</v>
      </c>
      <c r="C955" s="182"/>
      <c r="D955" s="182"/>
      <c r="E955" s="182"/>
      <c r="F955" s="403"/>
      <c r="G955" s="404"/>
      <c r="H955" s="182"/>
      <c r="I955" s="182"/>
      <c r="J955" s="91"/>
      <c r="K955" s="91"/>
      <c r="L955" s="91"/>
      <c r="M955" s="91"/>
      <c r="N955" s="91"/>
      <c r="O955" s="91"/>
      <c r="P955" s="182"/>
      <c r="Q955" s="91"/>
      <c r="R955" s="218"/>
      <c r="S955" s="405"/>
      <c r="T955" s="405"/>
      <c r="U955" s="405"/>
      <c r="V955" s="405"/>
      <c r="W955" s="405"/>
      <c r="X955" s="405"/>
      <c r="Y955" s="405"/>
      <c r="Z955" s="405"/>
      <c r="AA955" s="405"/>
      <c r="AB955" s="405"/>
      <c r="AC955" s="405"/>
      <c r="AD955" s="405"/>
    </row>
    <row r="956" ht="14.25" customHeight="1">
      <c r="A956" s="211">
        <v>1.0</v>
      </c>
      <c r="B956" s="46" t="s">
        <v>4258</v>
      </c>
      <c r="C956" s="46" t="s">
        <v>4259</v>
      </c>
      <c r="D956" s="46"/>
      <c r="E956" s="46"/>
      <c r="F956" s="50"/>
      <c r="G956" s="275">
        <v>375.0</v>
      </c>
      <c r="H956" s="46">
        <v>150.0</v>
      </c>
      <c r="I956" s="46">
        <v>600.0</v>
      </c>
      <c r="J956" s="46">
        <v>2.0</v>
      </c>
      <c r="K956" s="46">
        <v>2.0</v>
      </c>
      <c r="L956" s="46">
        <v>2.0</v>
      </c>
      <c r="M956" s="46" t="s">
        <v>4261</v>
      </c>
      <c r="N956" s="46" t="s">
        <v>59</v>
      </c>
      <c r="O956" s="46">
        <v>600.0</v>
      </c>
      <c r="P956" s="46" t="s">
        <v>29</v>
      </c>
      <c r="Q956" s="46">
        <v>0.0</v>
      </c>
      <c r="R956" s="46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</row>
    <row r="957" ht="14.25" customHeight="1">
      <c r="A957" s="211">
        <v>2.0</v>
      </c>
      <c r="B957" s="49" t="s">
        <v>4262</v>
      </c>
      <c r="C957" s="49" t="s">
        <v>4263</v>
      </c>
      <c r="D957" s="49"/>
      <c r="E957" s="49"/>
      <c r="F957" s="51"/>
      <c r="G957" s="274">
        <v>375.0</v>
      </c>
      <c r="H957" s="49">
        <v>150.0</v>
      </c>
      <c r="I957" s="49">
        <v>600.0</v>
      </c>
      <c r="J957" s="49">
        <v>15.0</v>
      </c>
      <c r="K957" s="49">
        <v>15.0</v>
      </c>
      <c r="L957" s="49">
        <v>2.0</v>
      </c>
      <c r="M957" s="46" t="s">
        <v>4261</v>
      </c>
      <c r="N957" s="46" t="s">
        <v>59</v>
      </c>
      <c r="O957" s="49">
        <v>600.0</v>
      </c>
      <c r="P957" s="46" t="s">
        <v>66</v>
      </c>
      <c r="Q957" s="49">
        <v>10.0</v>
      </c>
      <c r="R957" s="46"/>
      <c r="S957" s="119"/>
      <c r="T957" s="119"/>
      <c r="U957" s="119"/>
      <c r="V957" s="119"/>
      <c r="W957" s="119"/>
      <c r="X957" s="119"/>
      <c r="Y957" s="119"/>
      <c r="Z957" s="119"/>
      <c r="AA957" s="119"/>
      <c r="AB957" s="129"/>
      <c r="AC957" s="129"/>
      <c r="AD957" s="129"/>
    </row>
    <row r="958" ht="14.25" customHeight="1">
      <c r="A958" s="211">
        <v>3.0</v>
      </c>
      <c r="B958" s="49" t="s">
        <v>4264</v>
      </c>
      <c r="C958" s="49" t="s">
        <v>4265</v>
      </c>
      <c r="D958" s="49"/>
      <c r="E958" s="49"/>
      <c r="F958" s="51"/>
      <c r="G958" s="274">
        <v>500.0</v>
      </c>
      <c r="H958" s="49">
        <v>250.0</v>
      </c>
      <c r="I958" s="49">
        <v>1000.0</v>
      </c>
      <c r="J958" s="49">
        <v>2.0</v>
      </c>
      <c r="K958" s="49">
        <v>2.0</v>
      </c>
      <c r="L958" s="49">
        <v>2.0</v>
      </c>
      <c r="M958" s="46" t="s">
        <v>4261</v>
      </c>
      <c r="N958" s="46" t="s">
        <v>59</v>
      </c>
      <c r="O958" s="49">
        <v>700.0</v>
      </c>
      <c r="P958" s="46" t="s">
        <v>29</v>
      </c>
      <c r="Q958" s="49">
        <v>0.0</v>
      </c>
      <c r="R958" s="46"/>
      <c r="S958" s="129"/>
      <c r="T958" s="129"/>
      <c r="U958" s="129"/>
      <c r="V958" s="129"/>
      <c r="W958" s="129"/>
      <c r="X958" s="129"/>
      <c r="Y958" s="129"/>
      <c r="Z958" s="129"/>
      <c r="AA958" s="129"/>
      <c r="AB958" s="129"/>
      <c r="AC958" s="129"/>
      <c r="AD958" s="129"/>
    </row>
    <row r="959" ht="14.25" customHeight="1">
      <c r="A959" s="211">
        <v>4.0</v>
      </c>
      <c r="B959" s="49" t="s">
        <v>4266</v>
      </c>
      <c r="C959" s="49" t="s">
        <v>4267</v>
      </c>
      <c r="D959" s="49"/>
      <c r="E959" s="49"/>
      <c r="F959" s="51"/>
      <c r="G959" s="274">
        <v>55.0</v>
      </c>
      <c r="H959" s="49">
        <v>20.0</v>
      </c>
      <c r="I959" s="49">
        <v>80.0</v>
      </c>
      <c r="J959" s="49">
        <v>1.0</v>
      </c>
      <c r="K959" s="49">
        <v>1.0</v>
      </c>
      <c r="L959" s="49">
        <v>1.0</v>
      </c>
      <c r="M959" s="46" t="s">
        <v>4261</v>
      </c>
      <c r="N959" s="46" t="s">
        <v>59</v>
      </c>
      <c r="O959" s="49">
        <v>50.0</v>
      </c>
      <c r="P959" s="46" t="s">
        <v>66</v>
      </c>
      <c r="Q959" s="49">
        <v>5.0</v>
      </c>
      <c r="R959" s="46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</row>
    <row r="960" ht="14.25" customHeight="1">
      <c r="A960" s="211">
        <v>5.0</v>
      </c>
      <c r="B960" s="49" t="s">
        <v>4268</v>
      </c>
      <c r="C960" s="49" t="s">
        <v>4269</v>
      </c>
      <c r="D960" s="49"/>
      <c r="E960" s="49"/>
      <c r="F960" s="51"/>
      <c r="G960" s="274">
        <v>375.0</v>
      </c>
      <c r="H960" s="49">
        <v>75.0</v>
      </c>
      <c r="I960" s="49">
        <v>300.0</v>
      </c>
      <c r="J960" s="49">
        <v>2.0</v>
      </c>
      <c r="K960" s="49">
        <v>2.0</v>
      </c>
      <c r="L960" s="49">
        <v>2.0</v>
      </c>
      <c r="M960" s="46" t="s">
        <v>4261</v>
      </c>
      <c r="N960" s="46" t="s">
        <v>59</v>
      </c>
      <c r="O960" s="49">
        <v>600.0</v>
      </c>
      <c r="P960" s="46" t="s">
        <v>29</v>
      </c>
      <c r="Q960" s="49">
        <v>0.0</v>
      </c>
      <c r="R960" s="46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</row>
    <row r="961" ht="14.25" customHeight="1">
      <c r="A961" s="211">
        <v>6.0</v>
      </c>
      <c r="B961" s="46" t="s">
        <v>4270</v>
      </c>
      <c r="C961" s="46" t="s">
        <v>4271</v>
      </c>
      <c r="D961" s="46"/>
      <c r="E961" s="46"/>
      <c r="F961" s="50"/>
      <c r="G961" s="275">
        <v>375.0</v>
      </c>
      <c r="H961" s="49">
        <v>75.0</v>
      </c>
      <c r="I961" s="49">
        <v>300.0</v>
      </c>
      <c r="J961" s="49">
        <v>2.0</v>
      </c>
      <c r="K961" s="49">
        <v>2.0</v>
      </c>
      <c r="L961" s="49">
        <v>2.0</v>
      </c>
      <c r="M961" s="46" t="s">
        <v>4261</v>
      </c>
      <c r="N961" s="46" t="s">
        <v>59</v>
      </c>
      <c r="O961" s="49">
        <v>600.0</v>
      </c>
      <c r="P961" s="46" t="s">
        <v>29</v>
      </c>
      <c r="Q961" s="49">
        <v>0.0</v>
      </c>
      <c r="R961" s="46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</row>
    <row r="962" ht="14.25" customHeight="1">
      <c r="A962" s="211">
        <v>7.0</v>
      </c>
      <c r="B962" s="46" t="s">
        <v>4272</v>
      </c>
      <c r="C962" s="46" t="s">
        <v>4273</v>
      </c>
      <c r="D962" s="46"/>
      <c r="E962" s="46"/>
      <c r="F962" s="50"/>
      <c r="G962" s="275">
        <v>55.0</v>
      </c>
      <c r="H962" s="46">
        <v>20.0</v>
      </c>
      <c r="I962" s="46">
        <v>80.0</v>
      </c>
      <c r="J962" s="49">
        <v>1.0</v>
      </c>
      <c r="K962" s="49">
        <v>1.0</v>
      </c>
      <c r="L962" s="49">
        <v>1.0</v>
      </c>
      <c r="M962" s="46" t="s">
        <v>4261</v>
      </c>
      <c r="N962" s="46" t="s">
        <v>59</v>
      </c>
      <c r="O962" s="49">
        <v>50.0</v>
      </c>
      <c r="P962" s="46" t="s">
        <v>29</v>
      </c>
      <c r="Q962" s="49">
        <v>0.0</v>
      </c>
      <c r="R962" s="46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</row>
    <row r="963" ht="14.25" customHeight="1">
      <c r="A963" s="211">
        <v>8.0</v>
      </c>
      <c r="B963" s="46" t="s">
        <v>4274</v>
      </c>
      <c r="C963" s="46" t="s">
        <v>4275</v>
      </c>
      <c r="D963" s="46"/>
      <c r="E963" s="46"/>
      <c r="F963" s="50"/>
      <c r="G963" s="275">
        <v>55.0</v>
      </c>
      <c r="H963" s="46">
        <v>30.0</v>
      </c>
      <c r="I963" s="46">
        <v>120.0</v>
      </c>
      <c r="J963" s="49">
        <v>1.0</v>
      </c>
      <c r="K963" s="49">
        <v>1.0</v>
      </c>
      <c r="L963" s="49">
        <v>1.0</v>
      </c>
      <c r="M963" s="46" t="s">
        <v>4261</v>
      </c>
      <c r="N963" s="46" t="s">
        <v>59</v>
      </c>
      <c r="O963" s="49">
        <v>50.0</v>
      </c>
      <c r="P963" s="46" t="s">
        <v>66</v>
      </c>
      <c r="Q963" s="49">
        <v>10.0</v>
      </c>
      <c r="R963" s="46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</row>
    <row r="964" ht="14.25" customHeight="1">
      <c r="A964" s="211">
        <v>9.0</v>
      </c>
      <c r="B964" s="46" t="s">
        <v>4276</v>
      </c>
      <c r="C964" s="46" t="s">
        <v>4277</v>
      </c>
      <c r="D964" s="46"/>
      <c r="E964" s="46"/>
      <c r="F964" s="50"/>
      <c r="G964" s="274">
        <v>55.0</v>
      </c>
      <c r="H964" s="49">
        <v>20.0</v>
      </c>
      <c r="I964" s="49">
        <v>80.0</v>
      </c>
      <c r="J964" s="49">
        <v>1.0</v>
      </c>
      <c r="K964" s="49">
        <v>1.0</v>
      </c>
      <c r="L964" s="49">
        <v>1.0</v>
      </c>
      <c r="M964" s="46" t="s">
        <v>4261</v>
      </c>
      <c r="N964" s="46" t="s">
        <v>59</v>
      </c>
      <c r="O964" s="49">
        <v>50.0</v>
      </c>
      <c r="P964" s="46" t="s">
        <v>29</v>
      </c>
      <c r="Q964" s="49">
        <v>0.0</v>
      </c>
      <c r="R964" s="46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</row>
    <row r="965" ht="14.25" customHeight="1">
      <c r="A965" s="211">
        <v>10.0</v>
      </c>
      <c r="B965" s="46" t="s">
        <v>4278</v>
      </c>
      <c r="C965" s="46" t="s">
        <v>4277</v>
      </c>
      <c r="D965" s="46"/>
      <c r="E965" s="46"/>
      <c r="F965" s="50"/>
      <c r="G965" s="274">
        <v>375.0</v>
      </c>
      <c r="H965" s="49">
        <v>75.0</v>
      </c>
      <c r="I965" s="49">
        <v>300.0</v>
      </c>
      <c r="J965" s="49">
        <v>2.0</v>
      </c>
      <c r="K965" s="49">
        <v>2.0</v>
      </c>
      <c r="L965" s="49">
        <v>2.0</v>
      </c>
      <c r="M965" s="46" t="s">
        <v>4261</v>
      </c>
      <c r="N965" s="46" t="s">
        <v>59</v>
      </c>
      <c r="O965" s="49">
        <v>600.0</v>
      </c>
      <c r="P965" s="46" t="s">
        <v>29</v>
      </c>
      <c r="Q965" s="49">
        <v>0.0</v>
      </c>
      <c r="R965" s="46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</row>
    <row r="966" ht="14.25" customHeight="1">
      <c r="A966" s="211">
        <v>11.0</v>
      </c>
      <c r="B966" s="46" t="s">
        <v>4279</v>
      </c>
      <c r="C966" s="46" t="s">
        <v>4280</v>
      </c>
      <c r="D966" s="46"/>
      <c r="E966" s="46"/>
      <c r="F966" s="50"/>
      <c r="G966" s="275">
        <v>40.0</v>
      </c>
      <c r="H966" s="46">
        <v>15.0</v>
      </c>
      <c r="I966" s="46">
        <v>60.0</v>
      </c>
      <c r="J966" s="46">
        <v>1.0</v>
      </c>
      <c r="K966" s="46">
        <v>1.0</v>
      </c>
      <c r="L966" s="46">
        <v>1.0</v>
      </c>
      <c r="M966" s="46" t="s">
        <v>4261</v>
      </c>
      <c r="N966" s="46" t="s">
        <v>59</v>
      </c>
      <c r="O966" s="49">
        <v>45.0</v>
      </c>
      <c r="P966" s="46" t="s">
        <v>29</v>
      </c>
      <c r="Q966" s="49">
        <v>0.0</v>
      </c>
      <c r="R966" s="46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</row>
    <row r="967" ht="14.25" customHeight="1">
      <c r="A967" s="211">
        <v>12.0</v>
      </c>
      <c r="B967" s="46" t="s">
        <v>4281</v>
      </c>
      <c r="C967" s="46" t="s">
        <v>4282</v>
      </c>
      <c r="D967" s="46"/>
      <c r="E967" s="46"/>
      <c r="F967" s="50"/>
      <c r="G967" s="275">
        <v>55.0</v>
      </c>
      <c r="H967" s="46">
        <v>30.0</v>
      </c>
      <c r="I967" s="46">
        <v>120.0</v>
      </c>
      <c r="J967" s="49">
        <v>1.0</v>
      </c>
      <c r="K967" s="49">
        <v>1.0</v>
      </c>
      <c r="L967" s="49">
        <v>1.0</v>
      </c>
      <c r="M967" s="46" t="s">
        <v>4261</v>
      </c>
      <c r="N967" s="46" t="s">
        <v>59</v>
      </c>
      <c r="O967" s="49">
        <v>50.0</v>
      </c>
      <c r="P967" s="46" t="s">
        <v>66</v>
      </c>
      <c r="Q967" s="49">
        <v>5.0</v>
      </c>
      <c r="R967" s="46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</row>
    <row r="968" ht="14.25" customHeight="1">
      <c r="A968" s="211">
        <v>13.0</v>
      </c>
      <c r="B968" s="46" t="s">
        <v>4283</v>
      </c>
      <c r="C968" s="46" t="s">
        <v>4282</v>
      </c>
      <c r="D968" s="46"/>
      <c r="E968" s="46"/>
      <c r="F968" s="50"/>
      <c r="G968" s="275">
        <v>375.0</v>
      </c>
      <c r="H968" s="49">
        <v>75.0</v>
      </c>
      <c r="I968" s="49">
        <v>300.0</v>
      </c>
      <c r="J968" s="49">
        <v>2.0</v>
      </c>
      <c r="K968" s="49">
        <v>2.0</v>
      </c>
      <c r="L968" s="49">
        <v>2.0</v>
      </c>
      <c r="M968" s="46" t="s">
        <v>4261</v>
      </c>
      <c r="N968" s="46" t="s">
        <v>59</v>
      </c>
      <c r="O968" s="49">
        <v>600.0</v>
      </c>
      <c r="P968" s="46" t="s">
        <v>29</v>
      </c>
      <c r="Q968" s="49">
        <v>0.0</v>
      </c>
      <c r="R968" s="46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</row>
    <row r="969" ht="14.25" customHeight="1">
      <c r="A969" s="211">
        <v>14.0</v>
      </c>
      <c r="B969" s="46" t="s">
        <v>4284</v>
      </c>
      <c r="C969" s="46" t="s">
        <v>4267</v>
      </c>
      <c r="D969" s="46"/>
      <c r="E969" s="46"/>
      <c r="F969" s="50"/>
      <c r="G969" s="275">
        <v>500.0</v>
      </c>
      <c r="H969" s="46">
        <v>90.0</v>
      </c>
      <c r="I969" s="46">
        <v>360.0</v>
      </c>
      <c r="J969" s="46">
        <v>3.0</v>
      </c>
      <c r="K969" s="46">
        <v>3.0</v>
      </c>
      <c r="L969" s="46">
        <v>3.0</v>
      </c>
      <c r="M969" s="46" t="s">
        <v>4261</v>
      </c>
      <c r="N969" s="46" t="s">
        <v>59</v>
      </c>
      <c r="O969" s="49">
        <v>700.0</v>
      </c>
      <c r="P969" s="46" t="s">
        <v>29</v>
      </c>
      <c r="Q969" s="49">
        <v>0.0</v>
      </c>
      <c r="R969" s="46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</row>
    <row r="970" ht="14.25" customHeight="1">
      <c r="A970" s="211">
        <v>15.0</v>
      </c>
      <c r="B970" s="46" t="s">
        <v>4285</v>
      </c>
      <c r="C970" s="46" t="s">
        <v>4286</v>
      </c>
      <c r="D970" s="46"/>
      <c r="E970" s="46"/>
      <c r="F970" s="50"/>
      <c r="G970" s="275">
        <v>40.0</v>
      </c>
      <c r="H970" s="46">
        <v>15.0</v>
      </c>
      <c r="I970" s="46">
        <v>60.0</v>
      </c>
      <c r="J970" s="46">
        <v>1.0</v>
      </c>
      <c r="K970" s="46">
        <v>1.0</v>
      </c>
      <c r="L970" s="46">
        <v>1.0</v>
      </c>
      <c r="M970" s="46" t="s">
        <v>4261</v>
      </c>
      <c r="N970" s="46" t="s">
        <v>59</v>
      </c>
      <c r="O970" s="49">
        <v>45.0</v>
      </c>
      <c r="P970" s="46" t="s">
        <v>29</v>
      </c>
      <c r="Q970" s="49">
        <v>0.0</v>
      </c>
      <c r="R970" s="46"/>
      <c r="S970" s="129"/>
      <c r="T970" s="129"/>
      <c r="U970" s="129"/>
      <c r="V970" s="129"/>
      <c r="W970" s="129"/>
      <c r="X970" s="129"/>
      <c r="Y970" s="129"/>
      <c r="Z970" s="129"/>
      <c r="AA970" s="129"/>
      <c r="AB970" s="129"/>
      <c r="AC970" s="129"/>
      <c r="AD970" s="129"/>
    </row>
    <row r="971" ht="14.25" customHeight="1">
      <c r="A971" s="211">
        <v>16.0</v>
      </c>
      <c r="B971" s="46" t="s">
        <v>4287</v>
      </c>
      <c r="C971" s="46" t="s">
        <v>4288</v>
      </c>
      <c r="D971" s="46"/>
      <c r="E971" s="46"/>
      <c r="F971" s="50"/>
      <c r="G971" s="275">
        <v>375.0</v>
      </c>
      <c r="H971" s="49">
        <v>75.0</v>
      </c>
      <c r="I971" s="49">
        <v>300.0</v>
      </c>
      <c r="J971" s="49">
        <v>2.0</v>
      </c>
      <c r="K971" s="49">
        <v>2.0</v>
      </c>
      <c r="L971" s="49">
        <v>2.0</v>
      </c>
      <c r="M971" s="46" t="s">
        <v>4261</v>
      </c>
      <c r="N971" s="46" t="s">
        <v>59</v>
      </c>
      <c r="O971" s="49">
        <v>600.0</v>
      </c>
      <c r="P971" s="46" t="s">
        <v>66</v>
      </c>
      <c r="Q971" s="49">
        <v>0.0</v>
      </c>
      <c r="R971" s="46"/>
      <c r="S971" s="129"/>
      <c r="T971" s="129"/>
      <c r="U971" s="129"/>
      <c r="V971" s="129"/>
      <c r="W971" s="129"/>
      <c r="X971" s="129"/>
      <c r="Y971" s="129"/>
      <c r="Z971" s="129"/>
      <c r="AA971" s="129"/>
      <c r="AB971" s="129"/>
      <c r="AC971" s="129"/>
      <c r="AD971" s="129"/>
    </row>
    <row r="972" ht="14.25" customHeight="1">
      <c r="A972" s="211">
        <v>17.0</v>
      </c>
      <c r="B972" s="46" t="s">
        <v>4289</v>
      </c>
      <c r="C972" s="46" t="s">
        <v>4290</v>
      </c>
      <c r="D972" s="46"/>
      <c r="E972" s="46"/>
      <c r="F972" s="50"/>
      <c r="G972" s="415" t="s">
        <v>4291</v>
      </c>
      <c r="H972" s="430" t="s">
        <v>4292</v>
      </c>
      <c r="I972" s="430" t="s">
        <v>4293</v>
      </c>
      <c r="J972" s="49">
        <v>2.0</v>
      </c>
      <c r="K972" s="49">
        <v>2.0</v>
      </c>
      <c r="L972" s="49">
        <v>2.0</v>
      </c>
      <c r="M972" s="46" t="s">
        <v>4261</v>
      </c>
      <c r="N972" s="46" t="s">
        <v>59</v>
      </c>
      <c r="O972" s="430" t="s">
        <v>4294</v>
      </c>
      <c r="P972" s="46" t="s">
        <v>66</v>
      </c>
      <c r="Q972" s="49">
        <v>3.0</v>
      </c>
      <c r="R972" s="46"/>
      <c r="S972" s="129"/>
      <c r="T972" s="129"/>
      <c r="U972" s="129"/>
      <c r="V972" s="129"/>
      <c r="W972" s="129"/>
      <c r="X972" s="129"/>
      <c r="Y972" s="129"/>
      <c r="Z972" s="129"/>
      <c r="AA972" s="129"/>
      <c r="AB972" s="129"/>
      <c r="AC972" s="129"/>
      <c r="AD972" s="129"/>
    </row>
    <row r="973" ht="14.25" customHeight="1">
      <c r="A973" s="211">
        <v>18.0</v>
      </c>
      <c r="B973" s="46" t="s">
        <v>4295</v>
      </c>
      <c r="C973" s="46" t="s">
        <v>4296</v>
      </c>
      <c r="D973" s="46"/>
      <c r="E973" s="46"/>
      <c r="F973" s="50"/>
      <c r="G973" s="415">
        <v>30.0</v>
      </c>
      <c r="H973" s="46">
        <v>12.0</v>
      </c>
      <c r="I973" s="46">
        <v>48.0</v>
      </c>
      <c r="J973" s="46">
        <v>1.0</v>
      </c>
      <c r="K973" s="46">
        <v>1.0</v>
      </c>
      <c r="L973" s="46">
        <v>1.0</v>
      </c>
      <c r="M973" s="46" t="s">
        <v>4261</v>
      </c>
      <c r="N973" s="46" t="s">
        <v>59</v>
      </c>
      <c r="O973" s="49">
        <v>30.0</v>
      </c>
      <c r="P973" s="46" t="s">
        <v>29</v>
      </c>
      <c r="Q973" s="49">
        <v>0.0</v>
      </c>
      <c r="R973" s="46"/>
      <c r="S973" s="129"/>
      <c r="T973" s="129"/>
      <c r="U973" s="129"/>
      <c r="V973" s="129"/>
      <c r="W973" s="129"/>
      <c r="X973" s="129"/>
      <c r="Y973" s="129"/>
      <c r="Z973" s="129"/>
      <c r="AA973" s="129"/>
      <c r="AB973" s="129"/>
      <c r="AC973" s="129"/>
      <c r="AD973" s="129"/>
    </row>
    <row r="974" ht="14.25" customHeight="1">
      <c r="A974" s="211">
        <v>19.0</v>
      </c>
      <c r="B974" s="46" t="s">
        <v>4297</v>
      </c>
      <c r="C974" s="46" t="s">
        <v>4298</v>
      </c>
      <c r="D974" s="46"/>
      <c r="E974" s="46"/>
      <c r="F974" s="50"/>
      <c r="G974" s="415">
        <v>50.0</v>
      </c>
      <c r="H974" s="46">
        <v>15.0</v>
      </c>
      <c r="I974" s="46">
        <v>60.0</v>
      </c>
      <c r="J974" s="46">
        <v>1.0</v>
      </c>
      <c r="K974" s="46">
        <v>1.0</v>
      </c>
      <c r="L974" s="46">
        <v>1.0</v>
      </c>
      <c r="M974" s="46" t="s">
        <v>4261</v>
      </c>
      <c r="N974" s="46" t="s">
        <v>59</v>
      </c>
      <c r="O974" s="49">
        <v>45.0</v>
      </c>
      <c r="P974" s="46" t="s">
        <v>66</v>
      </c>
      <c r="Q974" s="49">
        <v>3.0</v>
      </c>
      <c r="R974" s="46"/>
      <c r="S974" s="129"/>
      <c r="T974" s="129"/>
      <c r="U974" s="129"/>
      <c r="V974" s="129"/>
      <c r="W974" s="129"/>
      <c r="X974" s="129"/>
      <c r="Y974" s="129"/>
      <c r="Z974" s="129"/>
      <c r="AA974" s="129"/>
      <c r="AB974" s="129"/>
      <c r="AC974" s="129"/>
      <c r="AD974" s="129"/>
    </row>
    <row r="975" ht="14.25" customHeight="1">
      <c r="A975" s="211">
        <v>20.0</v>
      </c>
      <c r="B975" s="46" t="s">
        <v>4299</v>
      </c>
      <c r="C975" s="46" t="s">
        <v>4300</v>
      </c>
      <c r="D975" s="46"/>
      <c r="E975" s="46"/>
      <c r="F975" s="50"/>
      <c r="G975" s="415">
        <v>50.0</v>
      </c>
      <c r="H975" s="46">
        <v>15.0</v>
      </c>
      <c r="I975" s="46">
        <v>60.0</v>
      </c>
      <c r="J975" s="46">
        <v>1.0</v>
      </c>
      <c r="K975" s="46">
        <v>1.0</v>
      </c>
      <c r="L975" s="46">
        <v>1.0</v>
      </c>
      <c r="M975" s="46" t="s">
        <v>4261</v>
      </c>
      <c r="N975" s="46" t="s">
        <v>59</v>
      </c>
      <c r="O975" s="49">
        <v>45.0</v>
      </c>
      <c r="P975" s="46" t="s">
        <v>29</v>
      </c>
      <c r="Q975" s="49">
        <v>0.0</v>
      </c>
      <c r="R975" s="46"/>
      <c r="S975" s="129"/>
      <c r="T975" s="129"/>
      <c r="U975" s="129"/>
      <c r="V975" s="129"/>
      <c r="W975" s="129"/>
      <c r="X975" s="129"/>
      <c r="Y975" s="129"/>
      <c r="Z975" s="129"/>
      <c r="AA975" s="129"/>
      <c r="AB975" s="129"/>
      <c r="AC975" s="129"/>
      <c r="AD975" s="129"/>
    </row>
    <row r="976" ht="14.25" customHeight="1">
      <c r="A976" s="211">
        <v>21.0</v>
      </c>
      <c r="B976" s="46" t="s">
        <v>4301</v>
      </c>
      <c r="C976" s="46" t="s">
        <v>4302</v>
      </c>
      <c r="D976" s="46"/>
      <c r="E976" s="46"/>
      <c r="F976" s="50"/>
      <c r="G976" s="415">
        <v>375.0</v>
      </c>
      <c r="H976" s="49">
        <v>75.0</v>
      </c>
      <c r="I976" s="49">
        <v>300.0</v>
      </c>
      <c r="J976" s="49">
        <v>2.0</v>
      </c>
      <c r="K976" s="49">
        <v>2.0</v>
      </c>
      <c r="L976" s="49">
        <v>2.0</v>
      </c>
      <c r="M976" s="46" t="s">
        <v>4261</v>
      </c>
      <c r="N976" s="46" t="s">
        <v>59</v>
      </c>
      <c r="O976" s="49">
        <v>600.0</v>
      </c>
      <c r="P976" s="46" t="s">
        <v>66</v>
      </c>
      <c r="Q976" s="49">
        <v>10.0</v>
      </c>
      <c r="R976" s="46"/>
      <c r="S976" s="129"/>
      <c r="T976" s="129"/>
      <c r="U976" s="129"/>
      <c r="V976" s="129"/>
      <c r="W976" s="129"/>
      <c r="X976" s="129"/>
      <c r="Y976" s="129"/>
      <c r="Z976" s="129"/>
      <c r="AA976" s="129"/>
      <c r="AB976" s="129"/>
      <c r="AC976" s="129"/>
      <c r="AD976" s="129"/>
    </row>
    <row r="977" ht="14.25" customHeight="1">
      <c r="A977" s="211">
        <v>22.0</v>
      </c>
      <c r="B977" s="46" t="s">
        <v>4303</v>
      </c>
      <c r="C977" s="46" t="s">
        <v>4302</v>
      </c>
      <c r="D977" s="46"/>
      <c r="E977" s="46"/>
      <c r="F977" s="50"/>
      <c r="G977" s="415">
        <v>400.0</v>
      </c>
      <c r="H977" s="46">
        <v>80.0</v>
      </c>
      <c r="I977" s="46">
        <v>320.0</v>
      </c>
      <c r="J977" s="46">
        <v>2.0</v>
      </c>
      <c r="K977" s="46">
        <v>2.0</v>
      </c>
      <c r="L977" s="46">
        <v>2.0</v>
      </c>
      <c r="M977" s="46" t="s">
        <v>4261</v>
      </c>
      <c r="N977" s="46" t="s">
        <v>59</v>
      </c>
      <c r="O977" s="49">
        <v>650.0</v>
      </c>
      <c r="P977" s="46" t="s">
        <v>29</v>
      </c>
      <c r="Q977" s="49">
        <v>0.0</v>
      </c>
      <c r="R977" s="46"/>
      <c r="S977" s="129"/>
      <c r="T977" s="129"/>
      <c r="U977" s="129"/>
      <c r="V977" s="129"/>
      <c r="W977" s="129"/>
      <c r="X977" s="129"/>
      <c r="Y977" s="129"/>
      <c r="Z977" s="129"/>
      <c r="AA977" s="129"/>
      <c r="AB977" s="129"/>
      <c r="AC977" s="129"/>
      <c r="AD977" s="129"/>
    </row>
    <row r="978" ht="14.25" customHeight="1">
      <c r="A978" s="211">
        <v>23.0</v>
      </c>
      <c r="B978" s="46" t="s">
        <v>4304</v>
      </c>
      <c r="C978" s="46" t="s">
        <v>4305</v>
      </c>
      <c r="D978" s="46"/>
      <c r="E978" s="46"/>
      <c r="F978" s="50"/>
      <c r="G978" s="415" t="s">
        <v>4306</v>
      </c>
      <c r="H978" s="430" t="s">
        <v>4307</v>
      </c>
      <c r="I978" s="430" t="s">
        <v>4308</v>
      </c>
      <c r="J978" s="46">
        <v>2.0</v>
      </c>
      <c r="K978" s="46">
        <v>2.0</v>
      </c>
      <c r="L978" s="46">
        <v>2.0</v>
      </c>
      <c r="M978" s="46" t="s">
        <v>4261</v>
      </c>
      <c r="N978" s="46" t="s">
        <v>59</v>
      </c>
      <c r="O978" s="430" t="s">
        <v>4309</v>
      </c>
      <c r="P978" s="46" t="s">
        <v>66</v>
      </c>
      <c r="Q978" s="49">
        <v>10.0</v>
      </c>
      <c r="R978" s="46"/>
      <c r="S978" s="129"/>
      <c r="T978" s="129"/>
      <c r="U978" s="129"/>
      <c r="V978" s="129"/>
      <c r="W978" s="129"/>
      <c r="X978" s="129"/>
      <c r="Y978" s="129"/>
      <c r="Z978" s="129"/>
      <c r="AA978" s="129"/>
      <c r="AB978" s="129"/>
      <c r="AC978" s="129"/>
      <c r="AD978" s="129"/>
    </row>
    <row r="979" ht="14.25" customHeight="1">
      <c r="A979" s="211">
        <v>24.0</v>
      </c>
      <c r="B979" s="46" t="s">
        <v>4310</v>
      </c>
      <c r="C979" s="46" t="s">
        <v>4311</v>
      </c>
      <c r="D979" s="46"/>
      <c r="E979" s="46"/>
      <c r="F979" s="50"/>
      <c r="G979" s="415">
        <v>50.0</v>
      </c>
      <c r="H979" s="46">
        <v>15.0</v>
      </c>
      <c r="I979" s="46">
        <v>60.0</v>
      </c>
      <c r="J979" s="46">
        <v>1.0</v>
      </c>
      <c r="K979" s="46">
        <v>1.0</v>
      </c>
      <c r="L979" s="46">
        <v>1.0</v>
      </c>
      <c r="M979" s="46" t="s">
        <v>4261</v>
      </c>
      <c r="N979" s="46" t="s">
        <v>59</v>
      </c>
      <c r="O979" s="49">
        <v>45.0</v>
      </c>
      <c r="P979" s="46" t="s">
        <v>29</v>
      </c>
      <c r="Q979" s="49">
        <v>0.0</v>
      </c>
      <c r="R979" s="46"/>
      <c r="S979" s="129"/>
      <c r="T979" s="129"/>
      <c r="U979" s="129"/>
      <c r="V979" s="129"/>
      <c r="W979" s="129"/>
      <c r="X979" s="129"/>
      <c r="Y979" s="129"/>
      <c r="Z979" s="129"/>
      <c r="AA979" s="129"/>
      <c r="AB979" s="129"/>
      <c r="AC979" s="129"/>
      <c r="AD979" s="129"/>
    </row>
    <row r="980" ht="14.25" customHeight="1">
      <c r="A980" s="211">
        <v>25.0</v>
      </c>
      <c r="B980" s="46" t="s">
        <v>4312</v>
      </c>
      <c r="C980" s="46" t="s">
        <v>4313</v>
      </c>
      <c r="D980" s="46"/>
      <c r="E980" s="46"/>
      <c r="F980" s="50"/>
      <c r="G980" s="415" t="s">
        <v>4314</v>
      </c>
      <c r="H980" s="430" t="s">
        <v>4315</v>
      </c>
      <c r="I980" s="430" t="s">
        <v>4316</v>
      </c>
      <c r="J980" s="46">
        <v>2.0</v>
      </c>
      <c r="K980" s="46">
        <v>2.0</v>
      </c>
      <c r="L980" s="46">
        <v>2.0</v>
      </c>
      <c r="M980" s="46" t="s">
        <v>4261</v>
      </c>
      <c r="N980" s="46" t="s">
        <v>59</v>
      </c>
      <c r="O980" s="430" t="s">
        <v>4317</v>
      </c>
      <c r="P980" s="46" t="s">
        <v>29</v>
      </c>
      <c r="Q980" s="49">
        <v>0.0</v>
      </c>
      <c r="R980" s="46"/>
      <c r="S980" s="129"/>
      <c r="T980" s="129"/>
      <c r="U980" s="129"/>
      <c r="V980" s="129"/>
      <c r="W980" s="129"/>
      <c r="X980" s="129"/>
      <c r="Y980" s="129"/>
      <c r="Z980" s="129"/>
      <c r="AA980" s="129"/>
      <c r="AB980" s="129"/>
      <c r="AC980" s="129"/>
      <c r="AD980" s="129"/>
    </row>
    <row r="981" ht="14.25" customHeight="1">
      <c r="A981" s="211">
        <v>26.0</v>
      </c>
      <c r="B981" s="46" t="s">
        <v>4318</v>
      </c>
      <c r="C981" s="46" t="s">
        <v>4319</v>
      </c>
      <c r="D981" s="46"/>
      <c r="E981" s="46"/>
      <c r="F981" s="50"/>
      <c r="G981" s="415">
        <v>55.0</v>
      </c>
      <c r="H981" s="46">
        <v>30.0</v>
      </c>
      <c r="I981" s="46">
        <v>120.0</v>
      </c>
      <c r="J981" s="49">
        <v>1.0</v>
      </c>
      <c r="K981" s="49">
        <v>1.0</v>
      </c>
      <c r="L981" s="49">
        <v>1.0</v>
      </c>
      <c r="M981" s="46" t="s">
        <v>4261</v>
      </c>
      <c r="N981" s="46" t="s">
        <v>59</v>
      </c>
      <c r="O981" s="49">
        <v>50.0</v>
      </c>
      <c r="P981" s="46" t="s">
        <v>29</v>
      </c>
      <c r="Q981" s="49">
        <v>0.0</v>
      </c>
      <c r="R981" s="46"/>
      <c r="S981" s="129"/>
      <c r="T981" s="129"/>
      <c r="U981" s="129"/>
      <c r="V981" s="129"/>
      <c r="W981" s="129"/>
      <c r="X981" s="129"/>
      <c r="Y981" s="129"/>
      <c r="Z981" s="129"/>
      <c r="AA981" s="129"/>
      <c r="AB981" s="129"/>
      <c r="AC981" s="129"/>
      <c r="AD981" s="129"/>
    </row>
    <row r="982" ht="14.25" customHeight="1">
      <c r="A982" s="211">
        <v>27.0</v>
      </c>
      <c r="B982" s="46" t="s">
        <v>4320</v>
      </c>
      <c r="C982" s="46" t="s">
        <v>4321</v>
      </c>
      <c r="D982" s="46"/>
      <c r="E982" s="46"/>
      <c r="F982" s="50"/>
      <c r="G982" s="415">
        <v>50.0</v>
      </c>
      <c r="H982" s="46">
        <v>15.0</v>
      </c>
      <c r="I982" s="46">
        <v>60.0</v>
      </c>
      <c r="J982" s="46">
        <v>1.0</v>
      </c>
      <c r="K982" s="46">
        <v>1.0</v>
      </c>
      <c r="L982" s="46">
        <v>1.0</v>
      </c>
      <c r="M982" s="46" t="s">
        <v>4261</v>
      </c>
      <c r="N982" s="46" t="s">
        <v>59</v>
      </c>
      <c r="O982" s="49">
        <v>45.0</v>
      </c>
      <c r="P982" s="46" t="s">
        <v>29</v>
      </c>
      <c r="Q982" s="49">
        <v>0.0</v>
      </c>
      <c r="R982" s="46"/>
      <c r="S982" s="129"/>
      <c r="T982" s="129"/>
      <c r="U982" s="129"/>
      <c r="V982" s="129"/>
      <c r="W982" s="129"/>
      <c r="X982" s="129"/>
      <c r="Y982" s="129"/>
      <c r="Z982" s="129"/>
      <c r="AA982" s="129"/>
      <c r="AB982" s="129"/>
      <c r="AC982" s="129"/>
      <c r="AD982" s="129"/>
    </row>
    <row r="983" ht="14.25" customHeight="1">
      <c r="A983" s="211">
        <v>28.0</v>
      </c>
      <c r="B983" s="46" t="s">
        <v>4322</v>
      </c>
      <c r="C983" s="46" t="s">
        <v>4323</v>
      </c>
      <c r="D983" s="46"/>
      <c r="E983" s="46"/>
      <c r="F983" s="50"/>
      <c r="G983" s="415">
        <v>55.0</v>
      </c>
      <c r="H983" s="46">
        <v>30.0</v>
      </c>
      <c r="I983" s="46">
        <v>120.0</v>
      </c>
      <c r="J983" s="49">
        <v>1.0</v>
      </c>
      <c r="K983" s="49">
        <v>1.0</v>
      </c>
      <c r="L983" s="49">
        <v>1.0</v>
      </c>
      <c r="M983" s="46" t="s">
        <v>4261</v>
      </c>
      <c r="N983" s="46" t="s">
        <v>59</v>
      </c>
      <c r="O983" s="49">
        <v>50.0</v>
      </c>
      <c r="P983" s="46" t="s">
        <v>29</v>
      </c>
      <c r="Q983" s="49">
        <v>0.0</v>
      </c>
      <c r="R983" s="46"/>
      <c r="S983" s="129"/>
      <c r="T983" s="129"/>
      <c r="U983" s="129"/>
      <c r="V983" s="129"/>
      <c r="W983" s="129"/>
      <c r="X983" s="129"/>
      <c r="Y983" s="129"/>
      <c r="Z983" s="129"/>
      <c r="AA983" s="129"/>
      <c r="AB983" s="129"/>
      <c r="AC983" s="129"/>
      <c r="AD983" s="129"/>
    </row>
    <row r="984" ht="14.25" customHeight="1">
      <c r="A984" s="211">
        <v>29.0</v>
      </c>
      <c r="B984" s="46" t="s">
        <v>4324</v>
      </c>
      <c r="C984" s="46" t="s">
        <v>4325</v>
      </c>
      <c r="D984" s="46"/>
      <c r="E984" s="46"/>
      <c r="F984" s="50"/>
      <c r="G984" s="415">
        <v>50.0</v>
      </c>
      <c r="H984" s="46">
        <v>15.0</v>
      </c>
      <c r="I984" s="46">
        <v>60.0</v>
      </c>
      <c r="J984" s="46">
        <v>1.0</v>
      </c>
      <c r="K984" s="46">
        <v>1.0</v>
      </c>
      <c r="L984" s="46">
        <v>1.0</v>
      </c>
      <c r="M984" s="46" t="s">
        <v>4261</v>
      </c>
      <c r="N984" s="46" t="s">
        <v>59</v>
      </c>
      <c r="O984" s="49">
        <v>45.0</v>
      </c>
      <c r="P984" s="46" t="s">
        <v>29</v>
      </c>
      <c r="Q984" s="49">
        <v>0.0</v>
      </c>
      <c r="R984" s="46"/>
      <c r="S984" s="129"/>
      <c r="T984" s="129"/>
      <c r="U984" s="129"/>
      <c r="V984" s="129"/>
      <c r="W984" s="129"/>
      <c r="X984" s="129"/>
      <c r="Y984" s="129"/>
      <c r="Z984" s="129"/>
      <c r="AA984" s="129"/>
      <c r="AB984" s="129"/>
      <c r="AC984" s="129"/>
      <c r="AD984" s="129"/>
    </row>
    <row r="985" ht="14.25" customHeight="1">
      <c r="A985" s="211">
        <v>30.0</v>
      </c>
      <c r="B985" s="46" t="s">
        <v>1082</v>
      </c>
      <c r="C985" s="46" t="s">
        <v>4265</v>
      </c>
      <c r="D985" s="46"/>
      <c r="E985" s="46"/>
      <c r="F985" s="50"/>
      <c r="G985" s="415">
        <v>55.0</v>
      </c>
      <c r="H985" s="46">
        <v>30.0</v>
      </c>
      <c r="I985" s="46">
        <v>120.0</v>
      </c>
      <c r="J985" s="49">
        <v>1.0</v>
      </c>
      <c r="K985" s="49">
        <v>1.0</v>
      </c>
      <c r="L985" s="49">
        <v>1.0</v>
      </c>
      <c r="M985" s="46" t="s">
        <v>4261</v>
      </c>
      <c r="N985" s="46" t="s">
        <v>59</v>
      </c>
      <c r="O985" s="49">
        <v>50.0</v>
      </c>
      <c r="P985" s="46" t="s">
        <v>29</v>
      </c>
      <c r="Q985" s="49">
        <v>0.0</v>
      </c>
      <c r="R985" s="46"/>
      <c r="S985" s="129"/>
      <c r="T985" s="129"/>
      <c r="U985" s="129"/>
      <c r="V985" s="129"/>
      <c r="W985" s="129"/>
      <c r="X985" s="129"/>
      <c r="Y985" s="129"/>
      <c r="Z985" s="129"/>
      <c r="AA985" s="129"/>
      <c r="AB985" s="129"/>
      <c r="AC985" s="129"/>
      <c r="AD985" s="129"/>
    </row>
    <row r="986" ht="14.25" customHeight="1">
      <c r="A986" s="211">
        <v>31.0</v>
      </c>
      <c r="B986" s="46" t="s">
        <v>4327</v>
      </c>
      <c r="C986" s="46" t="s">
        <v>4328</v>
      </c>
      <c r="D986" s="46"/>
      <c r="E986" s="46"/>
      <c r="F986" s="50"/>
      <c r="G986" s="415">
        <v>55.0</v>
      </c>
      <c r="H986" s="46">
        <v>30.0</v>
      </c>
      <c r="I986" s="46">
        <v>120.0</v>
      </c>
      <c r="J986" s="49">
        <v>1.0</v>
      </c>
      <c r="K986" s="49">
        <v>1.0</v>
      </c>
      <c r="L986" s="49">
        <v>1.0</v>
      </c>
      <c r="M986" s="46" t="s">
        <v>4261</v>
      </c>
      <c r="N986" s="46" t="s">
        <v>59</v>
      </c>
      <c r="O986" s="49">
        <v>50.0</v>
      </c>
      <c r="P986" s="46" t="s">
        <v>29</v>
      </c>
      <c r="Q986" s="49">
        <v>0.0</v>
      </c>
      <c r="R986" s="46"/>
      <c r="S986" s="129"/>
      <c r="T986" s="129"/>
      <c r="U986" s="129"/>
      <c r="V986" s="129"/>
      <c r="W986" s="129"/>
      <c r="X986" s="129"/>
      <c r="Y986" s="129"/>
      <c r="Z986" s="129"/>
      <c r="AA986" s="129"/>
      <c r="AB986" s="129"/>
      <c r="AC986" s="129"/>
      <c r="AD986" s="129"/>
    </row>
    <row r="987" ht="14.25" customHeight="1">
      <c r="A987" s="211">
        <v>32.0</v>
      </c>
      <c r="B987" s="46" t="s">
        <v>4329</v>
      </c>
      <c r="C987" s="46" t="s">
        <v>4330</v>
      </c>
      <c r="D987" s="46"/>
      <c r="E987" s="46"/>
      <c r="F987" s="50"/>
      <c r="G987" s="415">
        <v>400.0</v>
      </c>
      <c r="H987" s="46">
        <v>80.0</v>
      </c>
      <c r="I987" s="46">
        <v>320.0</v>
      </c>
      <c r="J987" s="46">
        <v>2.0</v>
      </c>
      <c r="K987" s="46">
        <v>2.0</v>
      </c>
      <c r="L987" s="46">
        <v>2.0</v>
      </c>
      <c r="M987" s="46" t="s">
        <v>4261</v>
      </c>
      <c r="N987" s="46" t="s">
        <v>59</v>
      </c>
      <c r="O987" s="49">
        <v>650.0</v>
      </c>
      <c r="P987" s="46" t="s">
        <v>29</v>
      </c>
      <c r="Q987" s="49">
        <v>0.0</v>
      </c>
      <c r="R987" s="46"/>
      <c r="S987" s="129"/>
      <c r="T987" s="129"/>
      <c r="U987" s="129"/>
      <c r="V987" s="129"/>
      <c r="W987" s="129"/>
      <c r="X987" s="129"/>
      <c r="Y987" s="129"/>
      <c r="Z987" s="129"/>
      <c r="AA987" s="129"/>
      <c r="AB987" s="129"/>
      <c r="AC987" s="129"/>
      <c r="AD987" s="129"/>
    </row>
    <row r="988" ht="14.25" customHeight="1">
      <c r="A988" s="211">
        <v>33.0</v>
      </c>
      <c r="B988" s="46" t="s">
        <v>4331</v>
      </c>
      <c r="C988" s="46" t="s">
        <v>4332</v>
      </c>
      <c r="D988" s="46"/>
      <c r="E988" s="46"/>
      <c r="F988" s="50"/>
      <c r="G988" s="415">
        <v>375.0</v>
      </c>
      <c r="H988" s="49">
        <v>75.0</v>
      </c>
      <c r="I988" s="49">
        <v>300.0</v>
      </c>
      <c r="J988" s="49">
        <v>2.0</v>
      </c>
      <c r="K988" s="49">
        <v>2.0</v>
      </c>
      <c r="L988" s="49">
        <v>2.0</v>
      </c>
      <c r="M988" s="46" t="s">
        <v>4261</v>
      </c>
      <c r="N988" s="46" t="s">
        <v>59</v>
      </c>
      <c r="O988" s="49">
        <v>600.0</v>
      </c>
      <c r="P988" s="46" t="s">
        <v>29</v>
      </c>
      <c r="Q988" s="49">
        <v>0.0</v>
      </c>
      <c r="R988" s="46"/>
      <c r="S988" s="129"/>
      <c r="T988" s="129"/>
      <c r="U988" s="129"/>
      <c r="V988" s="129"/>
      <c r="W988" s="129"/>
      <c r="X988" s="129"/>
      <c r="Y988" s="129"/>
      <c r="Z988" s="129"/>
      <c r="AA988" s="129"/>
      <c r="AB988" s="129"/>
      <c r="AC988" s="129"/>
      <c r="AD988" s="129"/>
    </row>
    <row r="989" ht="14.25" customHeight="1">
      <c r="A989" s="211">
        <v>34.0</v>
      </c>
      <c r="B989" s="46" t="s">
        <v>4333</v>
      </c>
      <c r="C989" s="46" t="s">
        <v>4334</v>
      </c>
      <c r="D989" s="46"/>
      <c r="E989" s="46"/>
      <c r="F989" s="50"/>
      <c r="G989" s="415">
        <v>55.0</v>
      </c>
      <c r="H989" s="46">
        <v>30.0</v>
      </c>
      <c r="I989" s="46">
        <v>120.0</v>
      </c>
      <c r="J989" s="49">
        <v>1.0</v>
      </c>
      <c r="K989" s="49">
        <v>1.0</v>
      </c>
      <c r="L989" s="49">
        <v>1.0</v>
      </c>
      <c r="M989" s="46" t="s">
        <v>4261</v>
      </c>
      <c r="N989" s="46" t="s">
        <v>59</v>
      </c>
      <c r="O989" s="49">
        <v>50.0</v>
      </c>
      <c r="P989" s="46" t="s">
        <v>66</v>
      </c>
      <c r="Q989" s="49">
        <v>5.0</v>
      </c>
      <c r="R989" s="46"/>
      <c r="S989" s="129"/>
      <c r="T989" s="129"/>
      <c r="U989" s="129"/>
      <c r="V989" s="129"/>
      <c r="W989" s="129"/>
      <c r="X989" s="129"/>
      <c r="Y989" s="129"/>
      <c r="Z989" s="129"/>
      <c r="AA989" s="129"/>
      <c r="AB989" s="129"/>
      <c r="AC989" s="129"/>
      <c r="AD989" s="129"/>
    </row>
    <row r="990" ht="15.75" customHeight="1">
      <c r="A990" s="181"/>
      <c r="B990" s="182" t="s">
        <v>4335</v>
      </c>
      <c r="C990" s="182"/>
      <c r="D990" s="182"/>
      <c r="E990" s="182"/>
      <c r="F990" s="403"/>
      <c r="G990" s="404"/>
      <c r="H990" s="182"/>
      <c r="I990" s="182"/>
      <c r="J990" s="91"/>
      <c r="K990" s="91"/>
      <c r="L990" s="91"/>
      <c r="M990" s="91"/>
      <c r="N990" s="91"/>
      <c r="O990" s="91"/>
      <c r="P990" s="182"/>
      <c r="Q990" s="91"/>
      <c r="R990" s="218"/>
      <c r="S990" s="405"/>
      <c r="T990" s="405"/>
      <c r="U990" s="405"/>
      <c r="V990" s="405"/>
      <c r="W990" s="405"/>
      <c r="X990" s="405"/>
      <c r="Y990" s="405"/>
      <c r="Z990" s="405"/>
      <c r="AA990" s="405"/>
      <c r="AB990" s="405"/>
      <c r="AC990" s="405"/>
      <c r="AD990" s="405"/>
    </row>
    <row r="991" ht="14.25" customHeight="1">
      <c r="A991" s="211">
        <v>1.0</v>
      </c>
      <c r="B991" s="46" t="s">
        <v>4336</v>
      </c>
      <c r="C991" s="46" t="s">
        <v>4337</v>
      </c>
      <c r="D991" s="46"/>
      <c r="E991" s="46"/>
      <c r="F991" s="50"/>
      <c r="G991" s="275">
        <v>54.0</v>
      </c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129"/>
      <c r="T991" s="129"/>
      <c r="U991" s="129"/>
      <c r="V991" s="129"/>
      <c r="W991" s="129"/>
      <c r="X991" s="129"/>
      <c r="Y991" s="129"/>
      <c r="Z991" s="129"/>
      <c r="AA991" s="129"/>
      <c r="AB991" s="129"/>
      <c r="AC991" s="129"/>
      <c r="AD991" s="129"/>
    </row>
    <row r="992" ht="14.25" customHeight="1">
      <c r="A992" s="211">
        <v>2.0</v>
      </c>
      <c r="B992" s="46" t="s">
        <v>4339</v>
      </c>
      <c r="C992" s="46" t="s">
        <v>4340</v>
      </c>
      <c r="D992" s="46"/>
      <c r="E992" s="46"/>
      <c r="F992" s="50"/>
      <c r="G992" s="275">
        <v>1848.0</v>
      </c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129"/>
      <c r="T992" s="129"/>
      <c r="U992" s="129"/>
      <c r="V992" s="129"/>
      <c r="W992" s="129"/>
      <c r="X992" s="129"/>
      <c r="Y992" s="129"/>
      <c r="Z992" s="129"/>
      <c r="AA992" s="129"/>
      <c r="AB992" s="129"/>
      <c r="AC992" s="129"/>
      <c r="AD992" s="129"/>
    </row>
    <row r="993" ht="14.25" customHeight="1">
      <c r="A993" s="211">
        <v>3.0</v>
      </c>
      <c r="B993" s="46" t="s">
        <v>4341</v>
      </c>
      <c r="C993" s="46" t="s">
        <v>4342</v>
      </c>
      <c r="D993" s="46"/>
      <c r="E993" s="46"/>
      <c r="F993" s="50"/>
      <c r="G993" s="275">
        <v>672.0</v>
      </c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129"/>
      <c r="T993" s="129"/>
      <c r="U993" s="129"/>
      <c r="V993" s="129"/>
      <c r="W993" s="129"/>
      <c r="X993" s="129"/>
      <c r="Y993" s="129"/>
      <c r="Z993" s="129"/>
      <c r="AA993" s="129"/>
      <c r="AB993" s="129"/>
      <c r="AC993" s="129"/>
      <c r="AD993" s="129"/>
    </row>
    <row r="994" ht="14.25" customHeight="1">
      <c r="A994" s="211">
        <v>4.0</v>
      </c>
      <c r="B994" s="46" t="s">
        <v>4343</v>
      </c>
      <c r="C994" s="46" t="s">
        <v>4344</v>
      </c>
      <c r="D994" s="46"/>
      <c r="E994" s="46"/>
      <c r="F994" s="50"/>
      <c r="G994" s="275">
        <v>490.0</v>
      </c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</row>
    <row r="995" ht="14.25" customHeight="1">
      <c r="A995" s="211">
        <v>5.0</v>
      </c>
      <c r="B995" s="52" t="s">
        <v>4345</v>
      </c>
      <c r="C995" s="46" t="s">
        <v>4346</v>
      </c>
      <c r="D995" s="46"/>
      <c r="E995" s="46"/>
      <c r="F995" s="50"/>
      <c r="G995" s="275">
        <v>180.0</v>
      </c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</row>
    <row r="996" ht="14.25" customHeight="1">
      <c r="A996" s="211">
        <v>6.0</v>
      </c>
      <c r="B996" s="46" t="s">
        <v>4347</v>
      </c>
      <c r="C996" s="46" t="s">
        <v>4348</v>
      </c>
      <c r="D996" s="46"/>
      <c r="E996" s="46"/>
      <c r="F996" s="50"/>
      <c r="G996" s="275">
        <v>180.0</v>
      </c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129"/>
      <c r="T996" s="129"/>
      <c r="U996" s="129"/>
      <c r="V996" s="129"/>
      <c r="W996" s="129"/>
      <c r="X996" s="129"/>
      <c r="Y996" s="129"/>
      <c r="Z996" s="129"/>
      <c r="AA996" s="129"/>
      <c r="AB996" s="129"/>
      <c r="AC996" s="129"/>
      <c r="AD996" s="129"/>
    </row>
    <row r="997" ht="14.25" customHeight="1">
      <c r="A997" s="211">
        <v>7.0</v>
      </c>
      <c r="B997" s="46" t="s">
        <v>4349</v>
      </c>
      <c r="C997" s="46" t="s">
        <v>4350</v>
      </c>
      <c r="D997" s="46"/>
      <c r="E997" s="46"/>
      <c r="F997" s="50"/>
      <c r="G997" s="275">
        <v>200.0</v>
      </c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</row>
    <row r="998" ht="14.25" customHeight="1">
      <c r="A998" s="211">
        <v>8.0</v>
      </c>
      <c r="B998" s="46" t="s">
        <v>4351</v>
      </c>
      <c r="C998" s="46" t="s">
        <v>4350</v>
      </c>
      <c r="D998" s="46"/>
      <c r="E998" s="46"/>
      <c r="F998" s="50"/>
      <c r="G998" s="275">
        <v>56.0</v>
      </c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</row>
    <row r="999" ht="14.25" customHeight="1">
      <c r="A999" s="211">
        <v>9.0</v>
      </c>
      <c r="B999" s="46" t="s">
        <v>4352</v>
      </c>
      <c r="C999" s="46" t="s">
        <v>4350</v>
      </c>
      <c r="D999" s="46"/>
      <c r="E999" s="46"/>
      <c r="F999" s="50"/>
      <c r="G999" s="275">
        <v>672.0</v>
      </c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</row>
    <row r="1000" ht="14.25" customHeight="1">
      <c r="A1000" s="211">
        <v>10.0</v>
      </c>
      <c r="B1000" s="46" t="s">
        <v>4353</v>
      </c>
      <c r="C1000" s="46" t="s">
        <v>4354</v>
      </c>
      <c r="D1000" s="46"/>
      <c r="E1000" s="46"/>
      <c r="F1000" s="50"/>
      <c r="G1000" s="275">
        <v>330.0</v>
      </c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</row>
    <row r="1001" ht="14.25" customHeight="1">
      <c r="A1001" s="211">
        <v>11.0</v>
      </c>
      <c r="B1001" s="46" t="s">
        <v>4356</v>
      </c>
      <c r="C1001" s="46" t="s">
        <v>4357</v>
      </c>
      <c r="D1001" s="46"/>
      <c r="E1001" s="46"/>
      <c r="F1001" s="50"/>
      <c r="G1001" s="275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</row>
    <row r="1002" ht="14.25" customHeight="1">
      <c r="A1002" s="211">
        <v>12.0</v>
      </c>
      <c r="B1002" s="46" t="s">
        <v>4358</v>
      </c>
      <c r="C1002" s="46" t="s">
        <v>4359</v>
      </c>
      <c r="D1002" s="46"/>
      <c r="E1002" s="46"/>
      <c r="F1002" s="50"/>
      <c r="G1002" s="275">
        <v>60.0</v>
      </c>
      <c r="H1002" s="46">
        <v>3.0</v>
      </c>
      <c r="I1002" s="46">
        <v>25.0</v>
      </c>
      <c r="J1002" s="46">
        <v>0.0</v>
      </c>
      <c r="K1002" s="46">
        <v>0.0</v>
      </c>
      <c r="L1002" s="46">
        <v>1.0</v>
      </c>
      <c r="M1002" s="46" t="s">
        <v>449</v>
      </c>
      <c r="N1002" s="46"/>
      <c r="O1002" s="46">
        <v>1.0</v>
      </c>
      <c r="P1002" s="46" t="s">
        <v>66</v>
      </c>
      <c r="Q1002" s="46">
        <v>2.0</v>
      </c>
      <c r="R1002" s="46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</row>
    <row r="1003" ht="14.25" customHeight="1">
      <c r="A1003" s="211">
        <v>13.0</v>
      </c>
      <c r="B1003" s="46" t="s">
        <v>4360</v>
      </c>
      <c r="C1003" s="46" t="s">
        <v>4361</v>
      </c>
      <c r="D1003" s="46"/>
      <c r="E1003" s="46"/>
      <c r="F1003" s="50"/>
      <c r="G1003" s="275" t="s">
        <v>4362</v>
      </c>
      <c r="H1003" s="46">
        <v>4.0</v>
      </c>
      <c r="I1003" s="46">
        <v>10.0</v>
      </c>
      <c r="J1003" s="46"/>
      <c r="K1003" s="46"/>
      <c r="L1003" s="46">
        <v>1.0</v>
      </c>
      <c r="M1003" s="46" t="s">
        <v>4363</v>
      </c>
      <c r="N1003" s="46"/>
      <c r="O1003" s="46" t="s">
        <v>4364</v>
      </c>
      <c r="P1003" s="46"/>
      <c r="Q1003" s="46"/>
      <c r="R1003" s="46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</row>
    <row r="1004" ht="14.25" customHeight="1">
      <c r="A1004" s="211">
        <v>14.0</v>
      </c>
      <c r="B1004" s="46" t="s">
        <v>4365</v>
      </c>
      <c r="C1004" s="46" t="s">
        <v>4366</v>
      </c>
      <c r="D1004" s="46"/>
      <c r="E1004" s="46"/>
      <c r="F1004" s="50"/>
      <c r="G1004" s="275">
        <v>392.0</v>
      </c>
      <c r="H1004" s="46">
        <v>28.0</v>
      </c>
      <c r="I1004" s="46">
        <v>168.0</v>
      </c>
      <c r="J1004" s="46">
        <v>78.0</v>
      </c>
      <c r="K1004" s="46">
        <v>90.0</v>
      </c>
      <c r="L1004" s="46">
        <v>8.0</v>
      </c>
      <c r="M1004" s="46" t="s">
        <v>449</v>
      </c>
      <c r="N1004" s="46" t="s">
        <v>59</v>
      </c>
      <c r="O1004" s="46">
        <v>168.0</v>
      </c>
      <c r="P1004" s="46" t="s">
        <v>29</v>
      </c>
      <c r="Q1004" s="46" t="s">
        <v>401</v>
      </c>
      <c r="R1004" s="46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</row>
    <row r="1005" ht="14.25" customHeight="1">
      <c r="A1005" s="211">
        <v>15.0</v>
      </c>
      <c r="B1005" s="46" t="s">
        <v>4367</v>
      </c>
      <c r="C1005" s="46" t="s">
        <v>4368</v>
      </c>
      <c r="D1005" s="46"/>
      <c r="E1005" s="46"/>
      <c r="F1005" s="50"/>
      <c r="G1005" s="275">
        <v>72.0</v>
      </c>
      <c r="H1005" s="46">
        <v>6.0</v>
      </c>
      <c r="I1005" s="46">
        <v>42.0</v>
      </c>
      <c r="J1005" s="46">
        <v>0.0</v>
      </c>
      <c r="K1005" s="46">
        <v>0.0</v>
      </c>
      <c r="L1005" s="46">
        <v>1.0</v>
      </c>
      <c r="M1005" s="46" t="s">
        <v>449</v>
      </c>
      <c r="N1005" s="46">
        <v>0.0</v>
      </c>
      <c r="O1005" s="46" t="s">
        <v>401</v>
      </c>
      <c r="P1005" s="46" t="s">
        <v>29</v>
      </c>
      <c r="Q1005" s="46" t="s">
        <v>401</v>
      </c>
      <c r="R1005" s="46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</row>
    <row r="1006" ht="14.25" customHeight="1">
      <c r="A1006" s="211">
        <v>16.0</v>
      </c>
      <c r="B1006" s="46" t="s">
        <v>4369</v>
      </c>
      <c r="C1006" s="46" t="s">
        <v>4370</v>
      </c>
      <c r="D1006" s="46"/>
      <c r="E1006" s="46"/>
      <c r="F1006" s="50"/>
      <c r="G1006" s="275">
        <v>300.0</v>
      </c>
      <c r="H1006" s="46">
        <v>14.0</v>
      </c>
      <c r="I1006" s="46">
        <v>70.0</v>
      </c>
      <c r="J1006" s="46">
        <v>2.0</v>
      </c>
      <c r="K1006" s="46">
        <v>3.0</v>
      </c>
      <c r="L1006" s="46">
        <v>2.0</v>
      </c>
      <c r="M1006" s="46" t="s">
        <v>449</v>
      </c>
      <c r="N1006" s="46" t="s">
        <v>59</v>
      </c>
      <c r="O1006" s="46">
        <v>1.0</v>
      </c>
      <c r="P1006" s="46" t="s">
        <v>66</v>
      </c>
      <c r="Q1006" s="46">
        <v>50.0</v>
      </c>
      <c r="R1006" s="46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</row>
    <row r="1007" ht="14.25" customHeight="1">
      <c r="A1007" s="211">
        <v>17.0</v>
      </c>
      <c r="B1007" s="46" t="s">
        <v>4371</v>
      </c>
      <c r="C1007" s="46" t="s">
        <v>4370</v>
      </c>
      <c r="D1007" s="46"/>
      <c r="E1007" s="46"/>
      <c r="F1007" s="50"/>
      <c r="G1007" s="275">
        <v>80.0</v>
      </c>
      <c r="H1007" s="46">
        <v>2.0</v>
      </c>
      <c r="I1007" s="46">
        <v>8.0</v>
      </c>
      <c r="J1007" s="46">
        <v>0.0</v>
      </c>
      <c r="K1007" s="46">
        <v>0.0</v>
      </c>
      <c r="L1007" s="46">
        <v>1.0</v>
      </c>
      <c r="M1007" s="46" t="s">
        <v>449</v>
      </c>
      <c r="N1007" s="46" t="s">
        <v>59</v>
      </c>
      <c r="O1007" s="46">
        <v>0.0</v>
      </c>
      <c r="P1007" s="46" t="s">
        <v>66</v>
      </c>
      <c r="Q1007" s="46">
        <v>5.0</v>
      </c>
      <c r="R1007" s="46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</row>
    <row r="1008" ht="14.25" customHeight="1">
      <c r="A1008" s="211">
        <v>18.0</v>
      </c>
      <c r="B1008" s="46" t="s">
        <v>4372</v>
      </c>
      <c r="C1008" s="46" t="s">
        <v>4346</v>
      </c>
      <c r="D1008" s="46"/>
      <c r="E1008" s="46"/>
      <c r="F1008" s="50"/>
      <c r="G1008" s="275">
        <v>77.0</v>
      </c>
      <c r="H1008" s="46">
        <v>3.0</v>
      </c>
      <c r="I1008" s="46">
        <v>15.0</v>
      </c>
      <c r="J1008" s="46">
        <v>1.0</v>
      </c>
      <c r="K1008" s="46">
        <v>1.0</v>
      </c>
      <c r="L1008" s="46">
        <v>0.0</v>
      </c>
      <c r="M1008" s="46" t="s">
        <v>449</v>
      </c>
      <c r="N1008" s="46"/>
      <c r="O1008" s="46" t="s">
        <v>4373</v>
      </c>
      <c r="P1008" s="46" t="s">
        <v>29</v>
      </c>
      <c r="Q1008" s="46"/>
      <c r="R1008" s="46"/>
      <c r="S1008" s="129"/>
      <c r="T1008" s="129"/>
      <c r="U1008" s="129"/>
      <c r="V1008" s="129"/>
      <c r="W1008" s="129"/>
      <c r="X1008" s="129"/>
      <c r="Y1008" s="129"/>
      <c r="Z1008" s="129"/>
      <c r="AA1008" s="129"/>
      <c r="AB1008" s="129"/>
      <c r="AC1008" s="129"/>
      <c r="AD1008" s="129"/>
    </row>
    <row r="1009" ht="14.25" customHeight="1">
      <c r="A1009" s="211">
        <v>19.0</v>
      </c>
      <c r="B1009" s="46" t="s">
        <v>4371</v>
      </c>
      <c r="C1009" s="46" t="s">
        <v>4374</v>
      </c>
      <c r="D1009" s="46"/>
      <c r="E1009" s="46"/>
      <c r="F1009" s="50"/>
      <c r="G1009" s="275">
        <v>36.0</v>
      </c>
      <c r="H1009" s="46">
        <v>2.0</v>
      </c>
      <c r="I1009" s="46">
        <v>10.0</v>
      </c>
      <c r="J1009" s="46">
        <v>1.0</v>
      </c>
      <c r="K1009" s="46">
        <v>1.0</v>
      </c>
      <c r="L1009" s="46">
        <v>1.0</v>
      </c>
      <c r="M1009" s="46" t="s">
        <v>449</v>
      </c>
      <c r="N1009" s="46"/>
      <c r="O1009" s="46">
        <v>2.0</v>
      </c>
      <c r="P1009" s="46" t="s">
        <v>66</v>
      </c>
      <c r="Q1009" s="46">
        <v>7.0</v>
      </c>
      <c r="R1009" s="46"/>
      <c r="S1009" s="129"/>
      <c r="T1009" s="129"/>
      <c r="U1009" s="129"/>
      <c r="V1009" s="129"/>
      <c r="W1009" s="129"/>
      <c r="X1009" s="129"/>
      <c r="Y1009" s="129"/>
      <c r="Z1009" s="129"/>
      <c r="AA1009" s="129"/>
      <c r="AB1009" s="129"/>
      <c r="AC1009" s="129"/>
      <c r="AD1009" s="129"/>
    </row>
    <row r="1010" ht="14.25" customHeight="1">
      <c r="A1010" s="211">
        <v>20.0</v>
      </c>
      <c r="B1010" s="46" t="s">
        <v>4375</v>
      </c>
      <c r="C1010" s="46" t="s">
        <v>4376</v>
      </c>
      <c r="D1010" s="46"/>
      <c r="E1010" s="46"/>
      <c r="F1010" s="50"/>
      <c r="G1010" s="275">
        <v>54.0</v>
      </c>
      <c r="H1010" s="46">
        <v>5.0</v>
      </c>
      <c r="I1010" s="46">
        <v>25.0</v>
      </c>
      <c r="J1010" s="46">
        <v>1.0</v>
      </c>
      <c r="K1010" s="46">
        <v>1.0</v>
      </c>
      <c r="L1010" s="46"/>
      <c r="M1010" s="46" t="s">
        <v>449</v>
      </c>
      <c r="N1010" s="46"/>
      <c r="O1010" s="46">
        <v>5.0</v>
      </c>
      <c r="P1010" s="46" t="s">
        <v>66</v>
      </c>
      <c r="Q1010" s="46">
        <v>24.0</v>
      </c>
      <c r="R1010" s="46"/>
      <c r="S1010" s="129"/>
      <c r="T1010" s="129"/>
      <c r="U1010" s="129"/>
      <c r="V1010" s="129"/>
      <c r="W1010" s="129"/>
      <c r="X1010" s="129"/>
      <c r="Y1010" s="129"/>
      <c r="Z1010" s="129"/>
      <c r="AA1010" s="129"/>
      <c r="AB1010" s="129"/>
      <c r="AC1010" s="129"/>
      <c r="AD1010" s="129"/>
    </row>
    <row r="1011" ht="14.25" customHeight="1">
      <c r="A1011" s="211">
        <v>21.0</v>
      </c>
      <c r="B1011" s="46" t="s">
        <v>4377</v>
      </c>
      <c r="C1011" s="46" t="s">
        <v>4378</v>
      </c>
      <c r="D1011" s="46"/>
      <c r="E1011" s="46"/>
      <c r="F1011" s="50"/>
      <c r="G1011" s="275">
        <v>96.0</v>
      </c>
      <c r="H1011" s="46">
        <v>3.0</v>
      </c>
      <c r="I1011" s="46">
        <v>10.0</v>
      </c>
      <c r="J1011" s="46">
        <v>1.0</v>
      </c>
      <c r="K1011" s="46">
        <v>1.0</v>
      </c>
      <c r="L1011" s="46">
        <v>1.0</v>
      </c>
      <c r="M1011" s="46" t="s">
        <v>4379</v>
      </c>
      <c r="N1011" s="46" t="s">
        <v>449</v>
      </c>
      <c r="O1011" s="46">
        <v>10.0</v>
      </c>
      <c r="P1011" s="46" t="s">
        <v>66</v>
      </c>
      <c r="Q1011" s="46">
        <v>1.0</v>
      </c>
      <c r="R1011" s="46"/>
      <c r="S1011" s="129"/>
      <c r="T1011" s="129"/>
      <c r="U1011" s="129"/>
      <c r="V1011" s="129"/>
      <c r="W1011" s="129"/>
      <c r="X1011" s="129"/>
      <c r="Y1011" s="129"/>
      <c r="Z1011" s="129"/>
      <c r="AA1011" s="129"/>
      <c r="AB1011" s="129"/>
      <c r="AC1011" s="129"/>
      <c r="AD1011" s="129"/>
    </row>
    <row r="1012" ht="14.25" customHeight="1">
      <c r="A1012" s="211">
        <v>22.0</v>
      </c>
      <c r="B1012" s="46" t="s">
        <v>4380</v>
      </c>
      <c r="C1012" s="46" t="s">
        <v>4381</v>
      </c>
      <c r="D1012" s="46"/>
      <c r="E1012" s="46"/>
      <c r="F1012" s="50"/>
      <c r="G1012" s="275" t="s">
        <v>4382</v>
      </c>
      <c r="H1012" s="46">
        <v>2.0</v>
      </c>
      <c r="I1012" s="46">
        <v>8.0</v>
      </c>
      <c r="J1012" s="46" t="s">
        <v>401</v>
      </c>
      <c r="K1012" s="46" t="s">
        <v>401</v>
      </c>
      <c r="L1012" s="46">
        <v>1.0</v>
      </c>
      <c r="M1012" s="46" t="s">
        <v>523</v>
      </c>
      <c r="N1012" s="46" t="s">
        <v>401</v>
      </c>
      <c r="O1012" s="46" t="s">
        <v>401</v>
      </c>
      <c r="P1012" s="46" t="s">
        <v>29</v>
      </c>
      <c r="Q1012" s="46" t="s">
        <v>401</v>
      </c>
      <c r="R1012" s="46"/>
      <c r="S1012" s="129"/>
      <c r="T1012" s="129"/>
      <c r="U1012" s="129"/>
      <c r="V1012" s="129"/>
      <c r="W1012" s="129"/>
      <c r="X1012" s="129"/>
      <c r="Y1012" s="129"/>
      <c r="Z1012" s="129"/>
      <c r="AA1012" s="129"/>
      <c r="AB1012" s="129"/>
      <c r="AC1012" s="129"/>
      <c r="AD1012" s="129"/>
    </row>
    <row r="1013" ht="14.25" customHeight="1">
      <c r="A1013" s="211">
        <v>23.0</v>
      </c>
      <c r="B1013" s="46" t="s">
        <v>4383</v>
      </c>
      <c r="C1013" s="46" t="s">
        <v>4384</v>
      </c>
      <c r="D1013" s="46"/>
      <c r="E1013" s="46"/>
      <c r="F1013" s="50"/>
      <c r="G1013" s="275" t="s">
        <v>4385</v>
      </c>
      <c r="H1013" s="46">
        <v>84.0</v>
      </c>
      <c r="I1013" s="46">
        <v>322.0</v>
      </c>
      <c r="J1013" s="46">
        <v>0.0</v>
      </c>
      <c r="K1013" s="46">
        <v>0.0</v>
      </c>
      <c r="L1013" s="46">
        <v>1.0</v>
      </c>
      <c r="M1013" s="46">
        <v>1.0</v>
      </c>
      <c r="N1013" s="46">
        <v>0.0</v>
      </c>
      <c r="O1013" s="46">
        <v>84.0</v>
      </c>
      <c r="P1013" s="46" t="s">
        <v>29</v>
      </c>
      <c r="Q1013" s="46">
        <v>2.0</v>
      </c>
      <c r="R1013" s="46"/>
      <c r="S1013" s="129"/>
      <c r="T1013" s="129"/>
      <c r="U1013" s="129"/>
      <c r="V1013" s="129"/>
      <c r="W1013" s="129"/>
      <c r="X1013" s="129"/>
      <c r="Y1013" s="129"/>
      <c r="Z1013" s="129"/>
      <c r="AA1013" s="129"/>
      <c r="AB1013" s="129"/>
      <c r="AC1013" s="129"/>
      <c r="AD1013" s="129"/>
    </row>
    <row r="1014" ht="15.75" customHeight="1">
      <c r="A1014" s="181"/>
      <c r="B1014" s="182" t="s">
        <v>4386</v>
      </c>
      <c r="C1014" s="182"/>
      <c r="D1014" s="182"/>
      <c r="E1014" s="182"/>
      <c r="F1014" s="403"/>
      <c r="G1014" s="404"/>
      <c r="H1014" s="182"/>
      <c r="I1014" s="182"/>
      <c r="J1014" s="91"/>
      <c r="K1014" s="91"/>
      <c r="L1014" s="91"/>
      <c r="M1014" s="91"/>
      <c r="N1014" s="91"/>
      <c r="O1014" s="91"/>
      <c r="P1014" s="182"/>
      <c r="Q1014" s="91"/>
      <c r="R1014" s="218"/>
      <c r="S1014" s="405"/>
      <c r="T1014" s="405"/>
      <c r="U1014" s="405"/>
      <c r="V1014" s="405"/>
      <c r="W1014" s="405"/>
      <c r="X1014" s="405"/>
      <c r="Y1014" s="405"/>
      <c r="Z1014" s="405"/>
      <c r="AA1014" s="405"/>
      <c r="AB1014" s="405"/>
      <c r="AC1014" s="405"/>
      <c r="AD1014" s="405"/>
    </row>
    <row r="1015" ht="14.25" customHeight="1">
      <c r="A1015" s="211">
        <v>1.0</v>
      </c>
      <c r="B1015" s="52" t="s">
        <v>4387</v>
      </c>
      <c r="C1015" s="46" t="s">
        <v>1552</v>
      </c>
      <c r="D1015" s="46"/>
      <c r="E1015" s="46"/>
      <c r="F1015" s="50"/>
      <c r="G1015" s="275">
        <v>500.0</v>
      </c>
      <c r="H1015" s="46"/>
      <c r="I1015" s="46">
        <v>330.0</v>
      </c>
      <c r="J1015" s="46"/>
      <c r="K1015" s="46"/>
      <c r="L1015" s="81">
        <v>1.0</v>
      </c>
      <c r="M1015" s="46" t="s">
        <v>4389</v>
      </c>
      <c r="N1015" s="46"/>
      <c r="O1015" s="46"/>
      <c r="P1015" s="46" t="s">
        <v>29</v>
      </c>
      <c r="Q1015" s="46"/>
      <c r="R1015" s="46"/>
      <c r="S1015" s="129"/>
      <c r="T1015" s="129"/>
      <c r="U1015" s="129"/>
      <c r="V1015" s="129"/>
      <c r="W1015" s="129"/>
      <c r="X1015" s="129"/>
      <c r="Y1015" s="129"/>
      <c r="Z1015" s="129"/>
      <c r="AA1015" s="129"/>
      <c r="AB1015" s="129"/>
      <c r="AC1015" s="129"/>
      <c r="AD1015" s="129"/>
    </row>
    <row r="1016" ht="14.25" customHeight="1">
      <c r="A1016" s="211">
        <v>2.0</v>
      </c>
      <c r="B1016" s="46" t="s">
        <v>4391</v>
      </c>
      <c r="C1016" s="46" t="s">
        <v>4098</v>
      </c>
      <c r="D1016" s="46"/>
      <c r="E1016" s="46"/>
      <c r="F1016" s="50"/>
      <c r="G1016" s="275">
        <v>250.0</v>
      </c>
      <c r="H1016" s="46"/>
      <c r="I1016" s="46">
        <v>166.0</v>
      </c>
      <c r="J1016" s="46"/>
      <c r="K1016" s="46"/>
      <c r="L1016" s="81">
        <v>1.0</v>
      </c>
      <c r="M1016" s="46" t="s">
        <v>4389</v>
      </c>
      <c r="N1016" s="46"/>
      <c r="O1016" s="46"/>
      <c r="P1016" s="46" t="s">
        <v>29</v>
      </c>
      <c r="Q1016" s="46"/>
      <c r="R1016" s="46"/>
      <c r="S1016" s="129"/>
      <c r="T1016" s="129"/>
      <c r="U1016" s="129"/>
      <c r="V1016" s="129"/>
      <c r="W1016" s="129"/>
      <c r="X1016" s="129"/>
      <c r="Y1016" s="129"/>
      <c r="Z1016" s="129"/>
      <c r="AA1016" s="129"/>
      <c r="AB1016" s="129"/>
      <c r="AC1016" s="129"/>
      <c r="AD1016" s="129"/>
    </row>
    <row r="1017" ht="14.25" customHeight="1">
      <c r="A1017" s="211">
        <v>3.0</v>
      </c>
      <c r="B1017" s="46" t="s">
        <v>5653</v>
      </c>
      <c r="C1017" s="46" t="s">
        <v>4394</v>
      </c>
      <c r="D1017" s="46"/>
      <c r="E1017" s="46"/>
      <c r="F1017" s="50"/>
      <c r="G1017" s="275">
        <v>125.0</v>
      </c>
      <c r="H1017" s="46"/>
      <c r="I1017" s="46">
        <v>80.0</v>
      </c>
      <c r="J1017" s="46"/>
      <c r="K1017" s="46"/>
      <c r="L1017" s="81">
        <v>1.0</v>
      </c>
      <c r="M1017" s="46" t="s">
        <v>4389</v>
      </c>
      <c r="N1017" s="46"/>
      <c r="O1017" s="46"/>
      <c r="P1017" s="46" t="s">
        <v>29</v>
      </c>
      <c r="Q1017" s="46"/>
      <c r="R1017" s="46"/>
      <c r="S1017" s="129"/>
      <c r="T1017" s="129"/>
      <c r="U1017" s="129"/>
      <c r="V1017" s="129"/>
      <c r="W1017" s="129"/>
      <c r="X1017" s="129"/>
      <c r="Y1017" s="129"/>
      <c r="Z1017" s="129"/>
      <c r="AA1017" s="129"/>
      <c r="AB1017" s="129"/>
      <c r="AC1017" s="129"/>
      <c r="AD1017" s="129"/>
    </row>
    <row r="1018" ht="14.25" customHeight="1">
      <c r="A1018" s="211">
        <v>4.0</v>
      </c>
      <c r="B1018" s="46" t="s">
        <v>4396</v>
      </c>
      <c r="C1018" s="46" t="s">
        <v>4397</v>
      </c>
      <c r="D1018" s="46"/>
      <c r="E1018" s="46"/>
      <c r="F1018" s="50"/>
      <c r="G1018" s="275">
        <v>408.0</v>
      </c>
      <c r="H1018" s="46"/>
      <c r="I1018" s="46">
        <v>272.0</v>
      </c>
      <c r="J1018" s="46"/>
      <c r="K1018" s="46"/>
      <c r="L1018" s="81">
        <v>1.0</v>
      </c>
      <c r="M1018" s="46" t="s">
        <v>4389</v>
      </c>
      <c r="N1018" s="46"/>
      <c r="O1018" s="46"/>
      <c r="P1018" s="46" t="s">
        <v>29</v>
      </c>
      <c r="Q1018" s="46"/>
      <c r="R1018" s="46"/>
      <c r="S1018" s="129"/>
      <c r="T1018" s="129"/>
      <c r="U1018" s="129"/>
      <c r="V1018" s="129"/>
      <c r="W1018" s="129"/>
      <c r="X1018" s="129"/>
      <c r="Y1018" s="129"/>
      <c r="Z1018" s="129"/>
      <c r="AA1018" s="129"/>
      <c r="AB1018" s="129"/>
      <c r="AC1018" s="129"/>
      <c r="AD1018" s="129"/>
    </row>
    <row r="1019" ht="14.25" customHeight="1">
      <c r="A1019" s="211">
        <v>5.0</v>
      </c>
      <c r="B1019" s="46" t="s">
        <v>4399</v>
      </c>
      <c r="C1019" s="46" t="s">
        <v>4400</v>
      </c>
      <c r="D1019" s="46"/>
      <c r="E1019" s="46"/>
      <c r="F1019" s="50"/>
      <c r="G1019" s="275">
        <v>48.0</v>
      </c>
      <c r="H1019" s="46"/>
      <c r="I1019" s="46">
        <v>25.0</v>
      </c>
      <c r="J1019" s="46"/>
      <c r="K1019" s="46"/>
      <c r="L1019" s="81">
        <v>1.0</v>
      </c>
      <c r="M1019" s="46" t="s">
        <v>4389</v>
      </c>
      <c r="N1019" s="46"/>
      <c r="O1019" s="46"/>
      <c r="P1019" s="46" t="s">
        <v>29</v>
      </c>
      <c r="Q1019" s="46"/>
      <c r="R1019" s="46"/>
      <c r="S1019" s="129"/>
      <c r="T1019" s="129"/>
      <c r="U1019" s="129"/>
      <c r="V1019" s="129"/>
      <c r="W1019" s="129"/>
      <c r="X1019" s="129"/>
      <c r="Y1019" s="129"/>
      <c r="Z1019" s="129"/>
      <c r="AA1019" s="129"/>
      <c r="AB1019" s="129"/>
      <c r="AC1019" s="129"/>
      <c r="AD1019" s="129"/>
    </row>
    <row r="1020" ht="14.25" customHeight="1">
      <c r="A1020" s="211">
        <v>6.0</v>
      </c>
      <c r="B1020" s="46" t="s">
        <v>4402</v>
      </c>
      <c r="C1020" s="46" t="s">
        <v>4403</v>
      </c>
      <c r="D1020" s="46"/>
      <c r="E1020" s="46"/>
      <c r="F1020" s="50"/>
      <c r="G1020" s="275">
        <v>408.0</v>
      </c>
      <c r="H1020" s="46"/>
      <c r="I1020" s="46">
        <v>272.0</v>
      </c>
      <c r="J1020" s="46"/>
      <c r="K1020" s="46"/>
      <c r="L1020" s="81">
        <v>1.0</v>
      </c>
      <c r="M1020" s="46" t="s">
        <v>4389</v>
      </c>
      <c r="N1020" s="46"/>
      <c r="O1020" s="46"/>
      <c r="P1020" s="46" t="s">
        <v>29</v>
      </c>
      <c r="Q1020" s="46"/>
      <c r="R1020" s="46"/>
      <c r="S1020" s="129"/>
      <c r="T1020" s="129"/>
      <c r="U1020" s="129"/>
      <c r="V1020" s="129"/>
      <c r="W1020" s="129"/>
      <c r="X1020" s="129"/>
      <c r="Y1020" s="129"/>
      <c r="Z1020" s="129"/>
      <c r="AA1020" s="129"/>
      <c r="AB1020" s="129"/>
      <c r="AC1020" s="129"/>
      <c r="AD1020" s="129"/>
    </row>
    <row r="1021" ht="14.25" customHeight="1">
      <c r="A1021" s="211">
        <v>7.0</v>
      </c>
      <c r="B1021" s="46" t="s">
        <v>4405</v>
      </c>
      <c r="C1021" s="46" t="s">
        <v>4406</v>
      </c>
      <c r="D1021" s="46"/>
      <c r="E1021" s="46"/>
      <c r="F1021" s="50"/>
      <c r="G1021" s="275">
        <v>408.0</v>
      </c>
      <c r="H1021" s="46"/>
      <c r="I1021" s="46">
        <v>272.0</v>
      </c>
      <c r="J1021" s="46"/>
      <c r="K1021" s="46"/>
      <c r="L1021" s="81">
        <v>1.0</v>
      </c>
      <c r="M1021" s="46" t="s">
        <v>4389</v>
      </c>
      <c r="N1021" s="46"/>
      <c r="O1021" s="46"/>
      <c r="P1021" s="46" t="s">
        <v>29</v>
      </c>
      <c r="Q1021" s="46"/>
      <c r="R1021" s="46"/>
      <c r="S1021" s="129"/>
      <c r="T1021" s="129"/>
      <c r="U1021" s="129"/>
      <c r="V1021" s="129"/>
      <c r="W1021" s="129"/>
      <c r="X1021" s="129"/>
      <c r="Y1021" s="129"/>
      <c r="Z1021" s="129"/>
      <c r="AA1021" s="129"/>
      <c r="AB1021" s="129"/>
      <c r="AC1021" s="129"/>
      <c r="AD1021" s="129"/>
    </row>
    <row r="1022" ht="14.25" customHeight="1">
      <c r="A1022" s="211">
        <v>8.0</v>
      </c>
      <c r="B1022" s="46" t="s">
        <v>4408</v>
      </c>
      <c r="C1022" s="46" t="s">
        <v>4409</v>
      </c>
      <c r="D1022" s="46"/>
      <c r="E1022" s="46"/>
      <c r="F1022" s="50"/>
      <c r="G1022" s="275">
        <v>408.0</v>
      </c>
      <c r="H1022" s="46"/>
      <c r="I1022" s="46">
        <v>272.0</v>
      </c>
      <c r="J1022" s="46"/>
      <c r="K1022" s="46"/>
      <c r="L1022" s="81">
        <v>1.0</v>
      </c>
      <c r="M1022" s="46" t="s">
        <v>4389</v>
      </c>
      <c r="N1022" s="46"/>
      <c r="O1022" s="46"/>
      <c r="P1022" s="46" t="s">
        <v>29</v>
      </c>
      <c r="Q1022" s="46"/>
      <c r="R1022" s="46"/>
      <c r="S1022" s="129"/>
      <c r="T1022" s="129"/>
      <c r="U1022" s="129"/>
      <c r="V1022" s="129"/>
      <c r="W1022" s="129"/>
      <c r="X1022" s="129"/>
      <c r="Y1022" s="129"/>
      <c r="Z1022" s="129"/>
      <c r="AA1022" s="129"/>
      <c r="AB1022" s="129"/>
      <c r="AC1022" s="129"/>
      <c r="AD1022" s="129"/>
    </row>
    <row r="1023" ht="14.25" customHeight="1">
      <c r="A1023" s="211">
        <v>9.0</v>
      </c>
      <c r="B1023" s="46" t="s">
        <v>4411</v>
      </c>
      <c r="C1023" s="46" t="s">
        <v>4412</v>
      </c>
      <c r="D1023" s="46"/>
      <c r="E1023" s="46"/>
      <c r="F1023" s="50"/>
      <c r="G1023" s="275">
        <v>408.0</v>
      </c>
      <c r="H1023" s="46"/>
      <c r="I1023" s="46">
        <v>272.0</v>
      </c>
      <c r="J1023" s="46"/>
      <c r="K1023" s="46"/>
      <c r="L1023" s="81">
        <v>1.0</v>
      </c>
      <c r="M1023" s="46" t="s">
        <v>4389</v>
      </c>
      <c r="N1023" s="46"/>
      <c r="O1023" s="46"/>
      <c r="P1023" s="46" t="s">
        <v>29</v>
      </c>
      <c r="Q1023" s="46"/>
      <c r="R1023" s="46"/>
      <c r="S1023" s="129"/>
      <c r="T1023" s="129"/>
      <c r="U1023" s="129"/>
      <c r="V1023" s="129"/>
      <c r="W1023" s="129"/>
      <c r="X1023" s="129"/>
      <c r="Y1023" s="129"/>
      <c r="Z1023" s="129"/>
      <c r="AA1023" s="129"/>
      <c r="AB1023" s="129"/>
      <c r="AC1023" s="129"/>
      <c r="AD1023" s="129"/>
    </row>
    <row r="1024" ht="14.25" customHeight="1">
      <c r="A1024" s="211">
        <v>10.0</v>
      </c>
      <c r="B1024" s="46" t="s">
        <v>4414</v>
      </c>
      <c r="C1024" s="46" t="s">
        <v>4415</v>
      </c>
      <c r="D1024" s="46"/>
      <c r="E1024" s="46"/>
      <c r="F1024" s="50"/>
      <c r="G1024" s="275">
        <v>408.0</v>
      </c>
      <c r="H1024" s="46"/>
      <c r="I1024" s="46">
        <v>272.0</v>
      </c>
      <c r="J1024" s="46"/>
      <c r="K1024" s="46"/>
      <c r="L1024" s="81">
        <v>1.0</v>
      </c>
      <c r="M1024" s="46" t="s">
        <v>4389</v>
      </c>
      <c r="N1024" s="46"/>
      <c r="O1024" s="46"/>
      <c r="P1024" s="46" t="s">
        <v>29</v>
      </c>
      <c r="Q1024" s="46"/>
      <c r="R1024" s="46"/>
      <c r="S1024" s="129"/>
      <c r="T1024" s="129"/>
      <c r="U1024" s="129"/>
      <c r="V1024" s="129"/>
      <c r="W1024" s="129"/>
      <c r="X1024" s="129"/>
      <c r="Y1024" s="129"/>
      <c r="Z1024" s="129"/>
      <c r="AA1024" s="129"/>
      <c r="AB1024" s="129"/>
      <c r="AC1024" s="129"/>
      <c r="AD1024" s="129"/>
    </row>
    <row r="1025" ht="14.25" customHeight="1">
      <c r="A1025" s="211">
        <v>11.0</v>
      </c>
      <c r="B1025" s="46" t="s">
        <v>4417</v>
      </c>
      <c r="C1025" s="46" t="s">
        <v>1552</v>
      </c>
      <c r="D1025" s="46"/>
      <c r="E1025" s="46"/>
      <c r="F1025" s="50"/>
      <c r="G1025" s="275">
        <v>650.0</v>
      </c>
      <c r="H1025" s="46"/>
      <c r="I1025" s="46">
        <v>433.0</v>
      </c>
      <c r="J1025" s="46"/>
      <c r="K1025" s="46"/>
      <c r="L1025" s="81">
        <v>1.0</v>
      </c>
      <c r="M1025" s="46" t="s">
        <v>4389</v>
      </c>
      <c r="N1025" s="46"/>
      <c r="O1025" s="46"/>
      <c r="P1025" s="46" t="s">
        <v>29</v>
      </c>
      <c r="Q1025" s="46"/>
      <c r="R1025" s="46"/>
      <c r="S1025" s="129"/>
      <c r="T1025" s="129"/>
      <c r="U1025" s="129"/>
      <c r="V1025" s="129"/>
      <c r="W1025" s="129"/>
      <c r="X1025" s="129"/>
      <c r="Y1025" s="129"/>
      <c r="Z1025" s="129"/>
      <c r="AA1025" s="129"/>
      <c r="AB1025" s="129"/>
      <c r="AC1025" s="129"/>
      <c r="AD1025" s="129"/>
    </row>
    <row r="1026" ht="14.25" customHeight="1">
      <c r="A1026" s="211">
        <v>12.0</v>
      </c>
      <c r="B1026" s="46" t="s">
        <v>4419</v>
      </c>
      <c r="C1026" s="46" t="s">
        <v>4420</v>
      </c>
      <c r="D1026" s="46"/>
      <c r="E1026" s="46"/>
      <c r="F1026" s="50"/>
      <c r="G1026" s="275">
        <v>507.0</v>
      </c>
      <c r="H1026" s="46"/>
      <c r="I1026" s="46">
        <v>338.0</v>
      </c>
      <c r="J1026" s="46"/>
      <c r="K1026" s="46"/>
      <c r="L1026" s="81">
        <v>1.0</v>
      </c>
      <c r="M1026" s="46" t="s">
        <v>4389</v>
      </c>
      <c r="N1026" s="46"/>
      <c r="O1026" s="46"/>
      <c r="P1026" s="46" t="s">
        <v>29</v>
      </c>
      <c r="Q1026" s="46"/>
      <c r="R1026" s="46"/>
      <c r="S1026" s="129"/>
      <c r="T1026" s="129"/>
      <c r="U1026" s="129"/>
      <c r="V1026" s="129"/>
      <c r="W1026" s="129"/>
      <c r="X1026" s="129"/>
      <c r="Y1026" s="129"/>
      <c r="Z1026" s="129"/>
      <c r="AA1026" s="129"/>
      <c r="AB1026" s="129"/>
      <c r="AC1026" s="129"/>
      <c r="AD1026" s="129"/>
    </row>
    <row r="1027" ht="14.25" customHeight="1">
      <c r="A1027" s="211">
        <v>13.0</v>
      </c>
      <c r="B1027" s="46" t="s">
        <v>4422</v>
      </c>
      <c r="C1027" s="46" t="s">
        <v>4423</v>
      </c>
      <c r="D1027" s="46"/>
      <c r="E1027" s="46"/>
      <c r="F1027" s="50"/>
      <c r="G1027" s="275">
        <v>385.0</v>
      </c>
      <c r="H1027" s="46"/>
      <c r="I1027" s="46">
        <v>257.0</v>
      </c>
      <c r="J1027" s="46"/>
      <c r="K1027" s="46"/>
      <c r="L1027" s="81">
        <v>1.0</v>
      </c>
      <c r="M1027" s="46" t="s">
        <v>4389</v>
      </c>
      <c r="N1027" s="46"/>
      <c r="O1027" s="46"/>
      <c r="P1027" s="46" t="s">
        <v>29</v>
      </c>
      <c r="Q1027" s="46"/>
      <c r="R1027" s="46"/>
      <c r="S1027" s="129"/>
      <c r="T1027" s="129"/>
      <c r="U1027" s="129"/>
      <c r="V1027" s="129"/>
      <c r="W1027" s="129"/>
      <c r="X1027" s="129"/>
      <c r="Y1027" s="129"/>
      <c r="Z1027" s="129"/>
      <c r="AA1027" s="129"/>
      <c r="AB1027" s="129"/>
      <c r="AC1027" s="129"/>
      <c r="AD1027" s="129"/>
    </row>
    <row r="1028" ht="14.25" customHeight="1">
      <c r="A1028" s="211">
        <v>14.0</v>
      </c>
      <c r="B1028" s="46" t="s">
        <v>4425</v>
      </c>
      <c r="C1028" s="46" t="s">
        <v>4426</v>
      </c>
      <c r="D1028" s="46"/>
      <c r="E1028" s="46"/>
      <c r="F1028" s="50"/>
      <c r="G1028" s="275">
        <v>408.0</v>
      </c>
      <c r="H1028" s="46"/>
      <c r="I1028" s="46">
        <v>272.0</v>
      </c>
      <c r="J1028" s="46"/>
      <c r="K1028" s="46"/>
      <c r="L1028" s="81">
        <v>1.0</v>
      </c>
      <c r="M1028" s="46" t="s">
        <v>4389</v>
      </c>
      <c r="N1028" s="46"/>
      <c r="O1028" s="46"/>
      <c r="P1028" s="46" t="s">
        <v>29</v>
      </c>
      <c r="Q1028" s="46"/>
      <c r="R1028" s="46"/>
      <c r="S1028" s="129"/>
      <c r="T1028" s="129"/>
      <c r="U1028" s="129"/>
      <c r="V1028" s="129"/>
      <c r="W1028" s="129"/>
      <c r="X1028" s="129"/>
      <c r="Y1028" s="129"/>
      <c r="Z1028" s="129"/>
      <c r="AA1028" s="129"/>
      <c r="AB1028" s="129"/>
      <c r="AC1028" s="129"/>
      <c r="AD1028" s="129"/>
    </row>
    <row r="1029" ht="14.25" customHeight="1">
      <c r="A1029" s="211">
        <v>15.0</v>
      </c>
      <c r="B1029" s="46" t="s">
        <v>4428</v>
      </c>
      <c r="C1029" s="46" t="s">
        <v>4429</v>
      </c>
      <c r="D1029" s="46"/>
      <c r="E1029" s="46"/>
      <c r="F1029" s="50"/>
      <c r="G1029" s="275">
        <v>408.0</v>
      </c>
      <c r="H1029" s="46"/>
      <c r="I1029" s="46">
        <v>272.0</v>
      </c>
      <c r="J1029" s="46"/>
      <c r="K1029" s="46"/>
      <c r="L1029" s="81">
        <v>1.0</v>
      </c>
      <c r="M1029" s="46" t="s">
        <v>4389</v>
      </c>
      <c r="N1029" s="46"/>
      <c r="O1029" s="46"/>
      <c r="P1029" s="46" t="s">
        <v>29</v>
      </c>
      <c r="Q1029" s="46"/>
      <c r="R1029" s="46"/>
      <c r="S1029" s="129"/>
      <c r="T1029" s="129"/>
      <c r="U1029" s="129"/>
      <c r="V1029" s="129"/>
      <c r="W1029" s="129"/>
      <c r="X1029" s="129"/>
      <c r="Y1029" s="129"/>
      <c r="Z1029" s="129"/>
      <c r="AA1029" s="129"/>
      <c r="AB1029" s="129"/>
      <c r="AC1029" s="129"/>
      <c r="AD1029" s="129"/>
    </row>
    <row r="1030" ht="14.25" customHeight="1">
      <c r="A1030" s="211">
        <v>16.0</v>
      </c>
      <c r="B1030" s="46" t="s">
        <v>4431</v>
      </c>
      <c r="C1030" s="46" t="s">
        <v>1552</v>
      </c>
      <c r="D1030" s="46"/>
      <c r="E1030" s="46"/>
      <c r="F1030" s="50"/>
      <c r="G1030" s="275">
        <v>982.0</v>
      </c>
      <c r="H1030" s="46"/>
      <c r="I1030" s="46">
        <v>655.0</v>
      </c>
      <c r="J1030" s="46">
        <v>1.0</v>
      </c>
      <c r="K1030" s="46">
        <v>1.0</v>
      </c>
      <c r="L1030" s="46"/>
      <c r="M1030" s="46" t="s">
        <v>4389</v>
      </c>
      <c r="N1030" s="46"/>
      <c r="O1030" s="46"/>
      <c r="P1030" s="46" t="s">
        <v>66</v>
      </c>
      <c r="Q1030" s="46">
        <v>32.0</v>
      </c>
      <c r="R1030" s="46"/>
      <c r="S1030" s="129"/>
      <c r="T1030" s="129"/>
      <c r="U1030" s="129"/>
      <c r="V1030" s="129"/>
      <c r="W1030" s="129"/>
      <c r="X1030" s="129"/>
      <c r="Y1030" s="129"/>
      <c r="Z1030" s="129"/>
      <c r="AA1030" s="129"/>
      <c r="AB1030" s="129"/>
      <c r="AC1030" s="129"/>
      <c r="AD1030" s="129"/>
    </row>
    <row r="1031" ht="15.75" customHeight="1">
      <c r="A1031" s="181"/>
      <c r="B1031" s="182" t="s">
        <v>4433</v>
      </c>
      <c r="C1031" s="182"/>
      <c r="D1031" s="182"/>
      <c r="E1031" s="182"/>
      <c r="F1031" s="403"/>
      <c r="G1031" s="404"/>
      <c r="H1031" s="182"/>
      <c r="I1031" s="182"/>
      <c r="J1031" s="91"/>
      <c r="K1031" s="91"/>
      <c r="L1031" s="91"/>
      <c r="M1031" s="91"/>
      <c r="N1031" s="91"/>
      <c r="O1031" s="91"/>
      <c r="P1031" s="182"/>
      <c r="Q1031" s="91"/>
      <c r="R1031" s="218"/>
      <c r="S1031" s="405"/>
      <c r="T1031" s="405"/>
      <c r="U1031" s="405"/>
      <c r="V1031" s="405"/>
      <c r="W1031" s="405"/>
      <c r="X1031" s="405"/>
      <c r="Y1031" s="405"/>
      <c r="Z1031" s="405"/>
      <c r="AA1031" s="405"/>
      <c r="AB1031" s="405"/>
      <c r="AC1031" s="405"/>
      <c r="AD1031" s="405"/>
    </row>
    <row r="1032" ht="14.25" customHeight="1">
      <c r="A1032" s="211">
        <v>1.0</v>
      </c>
      <c r="B1032" s="82" t="s">
        <v>4434</v>
      </c>
      <c r="C1032" s="82" t="s">
        <v>4435</v>
      </c>
      <c r="D1032" s="82"/>
      <c r="E1032" s="82"/>
      <c r="F1032" s="406"/>
      <c r="G1032" s="89" t="s">
        <v>4436</v>
      </c>
      <c r="H1032" s="81">
        <v>43.0</v>
      </c>
      <c r="I1032" s="81">
        <v>176.0</v>
      </c>
      <c r="J1032" s="81">
        <v>0.0</v>
      </c>
      <c r="K1032" s="81">
        <v>0.0</v>
      </c>
      <c r="L1032" s="81">
        <v>0.0</v>
      </c>
      <c r="M1032" s="31" t="s">
        <v>27</v>
      </c>
      <c r="N1032" s="31" t="s">
        <v>401</v>
      </c>
      <c r="O1032" s="31" t="s">
        <v>39</v>
      </c>
      <c r="P1032" s="31" t="s">
        <v>29</v>
      </c>
      <c r="Q1032" s="31">
        <v>0.0</v>
      </c>
      <c r="R1032" s="46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</row>
    <row r="1033" ht="14.25" customHeight="1">
      <c r="A1033" s="211">
        <v>2.0</v>
      </c>
      <c r="B1033" s="82" t="s">
        <v>4437</v>
      </c>
      <c r="C1033" s="82" t="s">
        <v>4435</v>
      </c>
      <c r="D1033" s="82"/>
      <c r="E1033" s="82"/>
      <c r="F1033" s="406"/>
      <c r="G1033" s="89" t="s">
        <v>4438</v>
      </c>
      <c r="H1033" s="81">
        <v>67.0</v>
      </c>
      <c r="I1033" s="81">
        <v>275.0</v>
      </c>
      <c r="J1033" s="81">
        <v>0.0</v>
      </c>
      <c r="K1033" s="81">
        <v>0.0</v>
      </c>
      <c r="L1033" s="81">
        <v>1.0</v>
      </c>
      <c r="M1033" s="36" t="s">
        <v>27</v>
      </c>
      <c r="N1033" s="36" t="s">
        <v>401</v>
      </c>
      <c r="O1033" s="36" t="s">
        <v>39</v>
      </c>
      <c r="P1033" s="36" t="s">
        <v>29</v>
      </c>
      <c r="Q1033" s="36">
        <v>0.0</v>
      </c>
      <c r="R1033" s="46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</row>
    <row r="1034" ht="14.25" customHeight="1">
      <c r="A1034" s="211">
        <v>3.0</v>
      </c>
      <c r="B1034" s="82" t="s">
        <v>4439</v>
      </c>
      <c r="C1034" s="82" t="s">
        <v>4440</v>
      </c>
      <c r="D1034" s="82"/>
      <c r="E1034" s="82"/>
      <c r="F1034" s="406"/>
      <c r="G1034" s="89" t="s">
        <v>4441</v>
      </c>
      <c r="H1034" s="81">
        <v>52.0</v>
      </c>
      <c r="I1034" s="81">
        <v>212.0</v>
      </c>
      <c r="J1034" s="81">
        <v>1.0</v>
      </c>
      <c r="K1034" s="81">
        <v>1.0</v>
      </c>
      <c r="L1034" s="81">
        <v>0.0</v>
      </c>
      <c r="M1034" s="31" t="s">
        <v>27</v>
      </c>
      <c r="N1034" s="31" t="s">
        <v>401</v>
      </c>
      <c r="O1034" s="31" t="s">
        <v>39</v>
      </c>
      <c r="P1034" s="31" t="s">
        <v>29</v>
      </c>
      <c r="Q1034" s="31">
        <v>0.0</v>
      </c>
      <c r="R1034" s="46"/>
      <c r="S1034" s="129"/>
      <c r="T1034" s="129"/>
      <c r="U1034" s="129"/>
      <c r="V1034" s="129"/>
      <c r="W1034" s="129"/>
      <c r="X1034" s="129"/>
      <c r="Y1034" s="129"/>
      <c r="Z1034" s="129"/>
      <c r="AA1034" s="129"/>
      <c r="AB1034" s="129"/>
      <c r="AC1034" s="129"/>
      <c r="AD1034" s="129"/>
    </row>
    <row r="1035" ht="14.25" customHeight="1">
      <c r="A1035" s="211">
        <v>4.0</v>
      </c>
      <c r="B1035" s="82" t="s">
        <v>4442</v>
      </c>
      <c r="C1035" s="82" t="s">
        <v>4443</v>
      </c>
      <c r="D1035" s="82"/>
      <c r="E1035" s="82"/>
      <c r="F1035" s="406"/>
      <c r="G1035" s="89" t="s">
        <v>4444</v>
      </c>
      <c r="H1035" s="81">
        <v>37.0</v>
      </c>
      <c r="I1035" s="81">
        <v>153.0</v>
      </c>
      <c r="J1035" s="81">
        <v>1.0</v>
      </c>
      <c r="K1035" s="81">
        <v>1.0</v>
      </c>
      <c r="L1035" s="81">
        <v>0.0</v>
      </c>
      <c r="M1035" s="36" t="s">
        <v>27</v>
      </c>
      <c r="N1035" s="36" t="s">
        <v>401</v>
      </c>
      <c r="O1035" s="36" t="s">
        <v>39</v>
      </c>
      <c r="P1035" s="36" t="s">
        <v>29</v>
      </c>
      <c r="Q1035" s="36">
        <v>0.0</v>
      </c>
      <c r="R1035" s="46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</row>
    <row r="1036" ht="14.25" customHeight="1">
      <c r="A1036" s="211">
        <v>5.0</v>
      </c>
      <c r="B1036" s="82" t="s">
        <v>4445</v>
      </c>
      <c r="C1036" s="82" t="s">
        <v>4443</v>
      </c>
      <c r="D1036" s="82"/>
      <c r="E1036" s="82"/>
      <c r="F1036" s="406"/>
      <c r="G1036" s="89" t="s">
        <v>2791</v>
      </c>
      <c r="H1036" s="81">
        <v>28.0</v>
      </c>
      <c r="I1036" s="81">
        <v>113.0</v>
      </c>
      <c r="J1036" s="81">
        <v>1.0</v>
      </c>
      <c r="K1036" s="81">
        <v>1.0</v>
      </c>
      <c r="L1036" s="81">
        <v>0.0</v>
      </c>
      <c r="M1036" s="31" t="s">
        <v>27</v>
      </c>
      <c r="N1036" s="31" t="s">
        <v>401</v>
      </c>
      <c r="O1036" s="31" t="s">
        <v>39</v>
      </c>
      <c r="P1036" s="31" t="s">
        <v>29</v>
      </c>
      <c r="Q1036" s="31">
        <v>0.0</v>
      </c>
      <c r="R1036" s="46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</row>
    <row r="1037" ht="14.25" customHeight="1">
      <c r="A1037" s="211">
        <v>6.0</v>
      </c>
      <c r="B1037" s="82" t="s">
        <v>4446</v>
      </c>
      <c r="C1037" s="82" t="s">
        <v>4447</v>
      </c>
      <c r="D1037" s="82"/>
      <c r="E1037" s="82"/>
      <c r="F1037" s="406"/>
      <c r="G1037" s="89" t="s">
        <v>4448</v>
      </c>
      <c r="H1037" s="81">
        <v>36.0</v>
      </c>
      <c r="I1037" s="81">
        <v>149.0</v>
      </c>
      <c r="J1037" s="81">
        <v>1.0</v>
      </c>
      <c r="K1037" s="81">
        <v>1.0</v>
      </c>
      <c r="L1037" s="81">
        <v>0.0</v>
      </c>
      <c r="M1037" s="36" t="s">
        <v>27</v>
      </c>
      <c r="N1037" s="36" t="s">
        <v>401</v>
      </c>
      <c r="O1037" s="36" t="s">
        <v>39</v>
      </c>
      <c r="P1037" s="36" t="s">
        <v>29</v>
      </c>
      <c r="Q1037" s="36">
        <v>0.0</v>
      </c>
      <c r="R1037" s="46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</row>
    <row r="1038" ht="14.25" customHeight="1">
      <c r="A1038" s="211">
        <v>7.0</v>
      </c>
      <c r="B1038" s="82" t="s">
        <v>4449</v>
      </c>
      <c r="C1038" s="82" t="s">
        <v>4447</v>
      </c>
      <c r="D1038" s="82"/>
      <c r="E1038" s="82"/>
      <c r="F1038" s="406"/>
      <c r="G1038" s="89" t="s">
        <v>4450</v>
      </c>
      <c r="H1038" s="81">
        <v>30.0</v>
      </c>
      <c r="I1038" s="81">
        <v>123.0</v>
      </c>
      <c r="J1038" s="81">
        <v>1.0</v>
      </c>
      <c r="K1038" s="81">
        <v>1.0</v>
      </c>
      <c r="L1038" s="81">
        <v>0.0</v>
      </c>
      <c r="M1038" s="31" t="s">
        <v>27</v>
      </c>
      <c r="N1038" s="31" t="s">
        <v>401</v>
      </c>
      <c r="O1038" s="31" t="s">
        <v>39</v>
      </c>
      <c r="P1038" s="31" t="s">
        <v>29</v>
      </c>
      <c r="Q1038" s="31">
        <v>0.0</v>
      </c>
      <c r="R1038" s="46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</row>
    <row r="1039" ht="14.25" customHeight="1">
      <c r="A1039" s="211">
        <v>8.0</v>
      </c>
      <c r="B1039" s="82" t="s">
        <v>2130</v>
      </c>
      <c r="C1039" s="82" t="s">
        <v>4451</v>
      </c>
      <c r="D1039" s="82"/>
      <c r="E1039" s="82"/>
      <c r="F1039" s="406"/>
      <c r="G1039" s="89" t="s">
        <v>4452</v>
      </c>
      <c r="H1039" s="81">
        <v>38.0</v>
      </c>
      <c r="I1039" s="81">
        <v>157.0</v>
      </c>
      <c r="J1039" s="81">
        <v>0.0</v>
      </c>
      <c r="K1039" s="81">
        <v>0.0</v>
      </c>
      <c r="L1039" s="81">
        <v>0.0</v>
      </c>
      <c r="M1039" s="36" t="s">
        <v>27</v>
      </c>
      <c r="N1039" s="36" t="s">
        <v>401</v>
      </c>
      <c r="O1039" s="36" t="s">
        <v>39</v>
      </c>
      <c r="P1039" s="36" t="s">
        <v>29</v>
      </c>
      <c r="Q1039" s="36">
        <v>0.0</v>
      </c>
      <c r="R1039" s="46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</row>
    <row r="1040" ht="14.25" customHeight="1">
      <c r="A1040" s="211">
        <v>9.0</v>
      </c>
      <c r="B1040" s="82" t="s">
        <v>4453</v>
      </c>
      <c r="C1040" s="82" t="s">
        <v>4454</v>
      </c>
      <c r="D1040" s="82"/>
      <c r="E1040" s="82"/>
      <c r="F1040" s="406"/>
      <c r="G1040" s="89" t="s">
        <v>4455</v>
      </c>
      <c r="H1040" s="81">
        <v>62.0</v>
      </c>
      <c r="I1040" s="81">
        <v>255.0</v>
      </c>
      <c r="J1040" s="81">
        <v>1.0</v>
      </c>
      <c r="K1040" s="81">
        <v>1.0</v>
      </c>
      <c r="L1040" s="81">
        <v>0.0</v>
      </c>
      <c r="M1040" s="31" t="s">
        <v>27</v>
      </c>
      <c r="N1040" s="31" t="s">
        <v>401</v>
      </c>
      <c r="O1040" s="31" t="s">
        <v>39</v>
      </c>
      <c r="P1040" s="31" t="s">
        <v>29</v>
      </c>
      <c r="Q1040" s="31">
        <v>0.0</v>
      </c>
      <c r="R1040" s="46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</row>
    <row r="1041" ht="14.25" customHeight="1">
      <c r="A1041" s="211">
        <v>10.0</v>
      </c>
      <c r="B1041" s="82" t="s">
        <v>4456</v>
      </c>
      <c r="C1041" s="82" t="s">
        <v>4454</v>
      </c>
      <c r="D1041" s="82"/>
      <c r="E1041" s="82"/>
      <c r="F1041" s="406"/>
      <c r="G1041" s="89" t="s">
        <v>4457</v>
      </c>
      <c r="H1041" s="81">
        <v>50.0</v>
      </c>
      <c r="I1041" s="81">
        <v>205.0</v>
      </c>
      <c r="J1041" s="81">
        <v>1.0</v>
      </c>
      <c r="K1041" s="81">
        <v>1.0</v>
      </c>
      <c r="L1041" s="81">
        <v>0.0</v>
      </c>
      <c r="M1041" s="36" t="s">
        <v>27</v>
      </c>
      <c r="N1041" s="36" t="s">
        <v>401</v>
      </c>
      <c r="O1041" s="36" t="s">
        <v>39</v>
      </c>
      <c r="P1041" s="36" t="s">
        <v>29</v>
      </c>
      <c r="Q1041" s="36">
        <v>0.0</v>
      </c>
      <c r="R1041" s="46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</row>
    <row r="1042" ht="14.25" customHeight="1">
      <c r="A1042" s="211">
        <v>11.0</v>
      </c>
      <c r="B1042" s="82" t="s">
        <v>4458</v>
      </c>
      <c r="C1042" s="82" t="s">
        <v>4459</v>
      </c>
      <c r="D1042" s="82"/>
      <c r="E1042" s="82"/>
      <c r="F1042" s="406"/>
      <c r="G1042" s="89" t="s">
        <v>4460</v>
      </c>
      <c r="H1042" s="81">
        <v>63.0</v>
      </c>
      <c r="I1042" s="81">
        <v>259.0</v>
      </c>
      <c r="J1042" s="81">
        <v>1.0</v>
      </c>
      <c r="K1042" s="81">
        <v>1.0</v>
      </c>
      <c r="L1042" s="81">
        <v>0.0</v>
      </c>
      <c r="M1042" s="31" t="s">
        <v>27</v>
      </c>
      <c r="N1042" s="31" t="s">
        <v>401</v>
      </c>
      <c r="O1042" s="31" t="s">
        <v>39</v>
      </c>
      <c r="P1042" s="31" t="s">
        <v>29</v>
      </c>
      <c r="Q1042" s="31">
        <v>0.0</v>
      </c>
      <c r="R1042" s="46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</row>
    <row r="1043" ht="14.25" customHeight="1">
      <c r="A1043" s="211">
        <v>12.0</v>
      </c>
      <c r="B1043" s="82" t="s">
        <v>4461</v>
      </c>
      <c r="C1043" s="82" t="s">
        <v>4459</v>
      </c>
      <c r="D1043" s="82"/>
      <c r="E1043" s="82"/>
      <c r="F1043" s="406"/>
      <c r="G1043" s="89" t="s">
        <v>4462</v>
      </c>
      <c r="H1043" s="81">
        <v>33.0</v>
      </c>
      <c r="I1043" s="81">
        <v>136.0</v>
      </c>
      <c r="J1043" s="81">
        <v>1.0</v>
      </c>
      <c r="K1043" s="81">
        <v>1.0</v>
      </c>
      <c r="L1043" s="81">
        <v>0.0</v>
      </c>
      <c r="M1043" s="36" t="s">
        <v>27</v>
      </c>
      <c r="N1043" s="36" t="s">
        <v>401</v>
      </c>
      <c r="O1043" s="36" t="s">
        <v>39</v>
      </c>
      <c r="P1043" s="36" t="s">
        <v>29</v>
      </c>
      <c r="Q1043" s="36">
        <v>0.0</v>
      </c>
      <c r="R1043" s="46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</row>
    <row r="1044" ht="14.25" customHeight="1">
      <c r="A1044" s="211">
        <v>13.0</v>
      </c>
      <c r="B1044" s="82" t="s">
        <v>4463</v>
      </c>
      <c r="C1044" s="82" t="s">
        <v>4464</v>
      </c>
      <c r="D1044" s="82"/>
      <c r="E1044" s="82"/>
      <c r="F1044" s="406"/>
      <c r="G1044" s="89" t="s">
        <v>4465</v>
      </c>
      <c r="H1044" s="81">
        <v>116.0</v>
      </c>
      <c r="I1044" s="81">
        <v>477.0</v>
      </c>
      <c r="J1044" s="81">
        <v>1.0</v>
      </c>
      <c r="K1044" s="81">
        <v>1.0</v>
      </c>
      <c r="L1044" s="81">
        <v>0.0</v>
      </c>
      <c r="M1044" s="31" t="s">
        <v>27</v>
      </c>
      <c r="N1044" s="31" t="s">
        <v>401</v>
      </c>
      <c r="O1044" s="31" t="s">
        <v>39</v>
      </c>
      <c r="P1044" s="31" t="s">
        <v>29</v>
      </c>
      <c r="Q1044" s="31">
        <v>0.0</v>
      </c>
      <c r="R1044" s="46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</row>
    <row r="1045" ht="14.25" customHeight="1">
      <c r="A1045" s="211">
        <v>14.0</v>
      </c>
      <c r="B1045" s="82" t="s">
        <v>4466</v>
      </c>
      <c r="C1045" s="82" t="s">
        <v>4467</v>
      </c>
      <c r="D1045" s="82"/>
      <c r="E1045" s="82"/>
      <c r="F1045" s="406"/>
      <c r="G1045" s="89" t="s">
        <v>1754</v>
      </c>
      <c r="H1045" s="81">
        <v>117.0</v>
      </c>
      <c r="I1045" s="81">
        <v>480.0</v>
      </c>
      <c r="J1045" s="81">
        <v>1.0</v>
      </c>
      <c r="K1045" s="81">
        <v>1.0</v>
      </c>
      <c r="L1045" s="81">
        <v>1.0</v>
      </c>
      <c r="M1045" s="36" t="s">
        <v>4468</v>
      </c>
      <c r="N1045" s="36" t="s">
        <v>401</v>
      </c>
      <c r="O1045" s="36" t="s">
        <v>39</v>
      </c>
      <c r="P1045" s="36" t="s">
        <v>66</v>
      </c>
      <c r="Q1045" s="36">
        <v>40.0</v>
      </c>
      <c r="R1045" s="46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</row>
    <row r="1046" ht="14.25" customHeight="1">
      <c r="A1046" s="211">
        <v>15.0</v>
      </c>
      <c r="B1046" s="82" t="s">
        <v>4469</v>
      </c>
      <c r="C1046" s="82" t="s">
        <v>4470</v>
      </c>
      <c r="D1046" s="82"/>
      <c r="E1046" s="82"/>
      <c r="F1046" s="406"/>
      <c r="G1046" s="89" t="s">
        <v>4471</v>
      </c>
      <c r="H1046" s="81">
        <v>93.0</v>
      </c>
      <c r="I1046" s="81">
        <v>383.0</v>
      </c>
      <c r="J1046" s="81">
        <v>0.0</v>
      </c>
      <c r="K1046" s="81">
        <v>0.0</v>
      </c>
      <c r="L1046" s="81">
        <v>1.0</v>
      </c>
      <c r="M1046" s="31" t="s">
        <v>27</v>
      </c>
      <c r="N1046" s="31" t="s">
        <v>401</v>
      </c>
      <c r="O1046" s="31" t="s">
        <v>39</v>
      </c>
      <c r="P1046" s="31" t="s">
        <v>29</v>
      </c>
      <c r="Q1046" s="31">
        <v>0.0</v>
      </c>
      <c r="R1046" s="46"/>
      <c r="S1046" s="129"/>
      <c r="T1046" s="129"/>
      <c r="U1046" s="129"/>
      <c r="V1046" s="129"/>
      <c r="W1046" s="129"/>
      <c r="X1046" s="129"/>
      <c r="Y1046" s="129"/>
      <c r="Z1046" s="129"/>
      <c r="AA1046" s="129"/>
      <c r="AB1046" s="129"/>
      <c r="AC1046" s="129"/>
      <c r="AD1046" s="129"/>
    </row>
    <row r="1047" ht="14.25" customHeight="1">
      <c r="A1047" s="211">
        <v>16.0</v>
      </c>
      <c r="B1047" s="82" t="s">
        <v>4472</v>
      </c>
      <c r="C1047" s="82" t="s">
        <v>4470</v>
      </c>
      <c r="D1047" s="82"/>
      <c r="E1047" s="82"/>
      <c r="F1047" s="406"/>
      <c r="G1047" s="89" t="s">
        <v>4473</v>
      </c>
      <c r="H1047" s="81">
        <v>77.0</v>
      </c>
      <c r="I1047" s="81">
        <v>316.0</v>
      </c>
      <c r="J1047" s="81">
        <v>0.0</v>
      </c>
      <c r="K1047" s="81">
        <v>0.0</v>
      </c>
      <c r="L1047" s="81">
        <v>0.0</v>
      </c>
      <c r="M1047" s="36" t="s">
        <v>27</v>
      </c>
      <c r="N1047" s="36" t="s">
        <v>401</v>
      </c>
      <c r="O1047" s="36" t="s">
        <v>39</v>
      </c>
      <c r="P1047" s="36" t="s">
        <v>29</v>
      </c>
      <c r="Q1047" s="36">
        <v>0.0</v>
      </c>
      <c r="R1047" s="46"/>
      <c r="S1047" s="129"/>
      <c r="T1047" s="129"/>
      <c r="U1047" s="129"/>
      <c r="V1047" s="129"/>
      <c r="W1047" s="129"/>
      <c r="X1047" s="129"/>
      <c r="Y1047" s="129"/>
      <c r="Z1047" s="129"/>
      <c r="AA1047" s="129"/>
      <c r="AB1047" s="129"/>
      <c r="AC1047" s="129"/>
      <c r="AD1047" s="129"/>
    </row>
    <row r="1048" ht="14.25" customHeight="1">
      <c r="A1048" s="211">
        <v>17.0</v>
      </c>
      <c r="B1048" s="82" t="s">
        <v>4474</v>
      </c>
      <c r="C1048" s="82" t="s">
        <v>4475</v>
      </c>
      <c r="D1048" s="82"/>
      <c r="E1048" s="82"/>
      <c r="F1048" s="406"/>
      <c r="G1048" s="89" t="s">
        <v>4476</v>
      </c>
      <c r="H1048" s="81">
        <v>80.0</v>
      </c>
      <c r="I1048" s="81">
        <v>327.0</v>
      </c>
      <c r="J1048" s="81">
        <v>0.0</v>
      </c>
      <c r="K1048" s="81">
        <v>0.0</v>
      </c>
      <c r="L1048" s="81">
        <v>1.0</v>
      </c>
      <c r="M1048" s="31" t="s">
        <v>27</v>
      </c>
      <c r="N1048" s="31" t="s">
        <v>401</v>
      </c>
      <c r="O1048" s="31" t="s">
        <v>39</v>
      </c>
      <c r="P1048" s="31" t="s">
        <v>29</v>
      </c>
      <c r="Q1048" s="31">
        <v>0.0</v>
      </c>
      <c r="R1048" s="46"/>
      <c r="S1048" s="129"/>
      <c r="T1048" s="129"/>
      <c r="U1048" s="129"/>
      <c r="V1048" s="129"/>
      <c r="W1048" s="129"/>
      <c r="X1048" s="129"/>
      <c r="Y1048" s="129"/>
      <c r="Z1048" s="129"/>
      <c r="AA1048" s="129"/>
      <c r="AB1048" s="129"/>
      <c r="AC1048" s="129"/>
      <c r="AD1048" s="129"/>
    </row>
    <row r="1049" ht="14.25" customHeight="1">
      <c r="A1049" s="211">
        <v>18.0</v>
      </c>
      <c r="B1049" s="82" t="s">
        <v>4477</v>
      </c>
      <c r="C1049" s="82" t="s">
        <v>4475</v>
      </c>
      <c r="D1049" s="82"/>
      <c r="E1049" s="82"/>
      <c r="F1049" s="406"/>
      <c r="G1049" s="89" t="s">
        <v>4478</v>
      </c>
      <c r="H1049" s="81">
        <v>55.0</v>
      </c>
      <c r="I1049" s="81">
        <v>227.0</v>
      </c>
      <c r="J1049" s="81">
        <v>0.0</v>
      </c>
      <c r="K1049" s="81">
        <v>0.0</v>
      </c>
      <c r="L1049" s="81">
        <v>0.0</v>
      </c>
      <c r="M1049" s="36" t="s">
        <v>27</v>
      </c>
      <c r="N1049" s="36" t="s">
        <v>401</v>
      </c>
      <c r="O1049" s="36" t="s">
        <v>39</v>
      </c>
      <c r="P1049" s="36" t="s">
        <v>29</v>
      </c>
      <c r="Q1049" s="36">
        <v>0.0</v>
      </c>
      <c r="R1049" s="46"/>
      <c r="S1049" s="129"/>
      <c r="T1049" s="129"/>
      <c r="U1049" s="129"/>
      <c r="V1049" s="129"/>
      <c r="W1049" s="129"/>
      <c r="X1049" s="129"/>
      <c r="Y1049" s="129"/>
      <c r="Z1049" s="129"/>
      <c r="AA1049" s="129"/>
      <c r="AB1049" s="129"/>
      <c r="AC1049" s="129"/>
      <c r="AD1049" s="129"/>
    </row>
    <row r="1050" ht="14.25" customHeight="1">
      <c r="A1050" s="211">
        <v>19.0</v>
      </c>
      <c r="B1050" s="82" t="s">
        <v>4479</v>
      </c>
      <c r="C1050" s="82" t="s">
        <v>4480</v>
      </c>
      <c r="D1050" s="82"/>
      <c r="E1050" s="82"/>
      <c r="F1050" s="406"/>
      <c r="G1050" s="89" t="s">
        <v>4481</v>
      </c>
      <c r="H1050" s="81">
        <v>42.0</v>
      </c>
      <c r="I1050" s="81">
        <v>171.0</v>
      </c>
      <c r="J1050" s="81">
        <v>0.0</v>
      </c>
      <c r="K1050" s="81">
        <v>0.0</v>
      </c>
      <c r="L1050" s="81">
        <v>0.0</v>
      </c>
      <c r="M1050" s="81" t="s">
        <v>27</v>
      </c>
      <c r="N1050" s="81" t="s">
        <v>401</v>
      </c>
      <c r="O1050" s="36" t="s">
        <v>39</v>
      </c>
      <c r="P1050" s="36" t="s">
        <v>29</v>
      </c>
      <c r="Q1050" s="36">
        <v>0.0</v>
      </c>
      <c r="R1050" s="46"/>
      <c r="S1050" s="129"/>
      <c r="T1050" s="129"/>
      <c r="U1050" s="129"/>
      <c r="V1050" s="129"/>
      <c r="W1050" s="129"/>
      <c r="X1050" s="129"/>
      <c r="Y1050" s="129"/>
      <c r="Z1050" s="129"/>
      <c r="AA1050" s="129"/>
      <c r="AB1050" s="129"/>
      <c r="AC1050" s="129"/>
      <c r="AD1050" s="129"/>
    </row>
    <row r="1051" ht="14.25" customHeight="1">
      <c r="A1051" s="211">
        <v>20.0</v>
      </c>
      <c r="B1051" s="82" t="s">
        <v>4482</v>
      </c>
      <c r="C1051" s="82" t="s">
        <v>4480</v>
      </c>
      <c r="D1051" s="82"/>
      <c r="E1051" s="82"/>
      <c r="F1051" s="406"/>
      <c r="G1051" s="89" t="s">
        <v>4483</v>
      </c>
      <c r="H1051" s="81">
        <v>37.0</v>
      </c>
      <c r="I1051" s="81">
        <v>152.0</v>
      </c>
      <c r="J1051" s="81">
        <v>1.0</v>
      </c>
      <c r="K1051" s="81">
        <v>1.0</v>
      </c>
      <c r="L1051" s="81">
        <v>0.0</v>
      </c>
      <c r="M1051" s="81" t="s">
        <v>27</v>
      </c>
      <c r="N1051" s="81" t="s">
        <v>401</v>
      </c>
      <c r="O1051" s="36" t="s">
        <v>39</v>
      </c>
      <c r="P1051" s="36" t="s">
        <v>29</v>
      </c>
      <c r="Q1051" s="36">
        <v>0.0</v>
      </c>
      <c r="R1051" s="46"/>
      <c r="S1051" s="129"/>
      <c r="T1051" s="129"/>
      <c r="U1051" s="129"/>
      <c r="V1051" s="129"/>
      <c r="W1051" s="129"/>
      <c r="X1051" s="129"/>
      <c r="Y1051" s="129"/>
      <c r="Z1051" s="129"/>
      <c r="AA1051" s="129"/>
      <c r="AB1051" s="129"/>
      <c r="AC1051" s="129"/>
      <c r="AD1051" s="129"/>
    </row>
    <row r="1052" ht="14.25" customHeight="1">
      <c r="A1052" s="211">
        <v>21.0</v>
      </c>
      <c r="B1052" s="82" t="s">
        <v>4484</v>
      </c>
      <c r="C1052" s="82" t="s">
        <v>4485</v>
      </c>
      <c r="D1052" s="82"/>
      <c r="E1052" s="82"/>
      <c r="F1052" s="406"/>
      <c r="G1052" s="89" t="s">
        <v>4486</v>
      </c>
      <c r="H1052" s="81">
        <v>25.0</v>
      </c>
      <c r="I1052" s="81">
        <v>103.0</v>
      </c>
      <c r="J1052" s="81">
        <v>1.0</v>
      </c>
      <c r="K1052" s="81">
        <v>1.0</v>
      </c>
      <c r="L1052" s="81">
        <v>1.0</v>
      </c>
      <c r="M1052" s="81" t="s">
        <v>27</v>
      </c>
      <c r="N1052" s="81" t="s">
        <v>401</v>
      </c>
      <c r="O1052" s="36" t="s">
        <v>39</v>
      </c>
      <c r="P1052" s="36" t="s">
        <v>29</v>
      </c>
      <c r="Q1052" s="36">
        <v>0.0</v>
      </c>
      <c r="R1052" s="46"/>
      <c r="S1052" s="129"/>
      <c r="T1052" s="129"/>
      <c r="U1052" s="129"/>
      <c r="V1052" s="129"/>
      <c r="W1052" s="129"/>
      <c r="X1052" s="129"/>
      <c r="Y1052" s="129"/>
      <c r="Z1052" s="129"/>
      <c r="AA1052" s="129"/>
      <c r="AB1052" s="129"/>
      <c r="AC1052" s="129"/>
      <c r="AD1052" s="129"/>
    </row>
    <row r="1053" ht="14.25" customHeight="1">
      <c r="A1053" s="211">
        <v>22.0</v>
      </c>
      <c r="B1053" s="82" t="s">
        <v>4487</v>
      </c>
      <c r="C1053" s="82" t="s">
        <v>4488</v>
      </c>
      <c r="D1053" s="82"/>
      <c r="E1053" s="82"/>
      <c r="F1053" s="406"/>
      <c r="G1053" s="89" t="s">
        <v>4438</v>
      </c>
      <c r="H1053" s="81">
        <v>66.0</v>
      </c>
      <c r="I1053" s="81">
        <v>270.0</v>
      </c>
      <c r="J1053" s="81">
        <v>0.0</v>
      </c>
      <c r="K1053" s="81">
        <v>0.0</v>
      </c>
      <c r="L1053" s="81">
        <v>0.0</v>
      </c>
      <c r="M1053" s="81" t="s">
        <v>27</v>
      </c>
      <c r="N1053" s="81" t="s">
        <v>401</v>
      </c>
      <c r="O1053" s="36" t="s">
        <v>39</v>
      </c>
      <c r="P1053" s="36" t="s">
        <v>29</v>
      </c>
      <c r="Q1053" s="36">
        <v>0.0</v>
      </c>
      <c r="R1053" s="46"/>
      <c r="S1053" s="129"/>
      <c r="T1053" s="129"/>
      <c r="U1053" s="129"/>
      <c r="V1053" s="129"/>
      <c r="W1053" s="129"/>
      <c r="X1053" s="129"/>
      <c r="Y1053" s="129"/>
      <c r="Z1053" s="129"/>
      <c r="AA1053" s="129"/>
      <c r="AB1053" s="129"/>
      <c r="AC1053" s="129"/>
      <c r="AD1053" s="129"/>
    </row>
    <row r="1054" ht="14.25" customHeight="1">
      <c r="A1054" s="211">
        <v>23.0</v>
      </c>
      <c r="B1054" s="82" t="s">
        <v>4489</v>
      </c>
      <c r="C1054" s="82" t="s">
        <v>4488</v>
      </c>
      <c r="D1054" s="82"/>
      <c r="E1054" s="82"/>
      <c r="F1054" s="406"/>
      <c r="G1054" s="89" t="s">
        <v>4490</v>
      </c>
      <c r="H1054" s="81">
        <v>55.0</v>
      </c>
      <c r="I1054" s="81">
        <v>225.0</v>
      </c>
      <c r="J1054" s="81">
        <v>0.0</v>
      </c>
      <c r="K1054" s="81">
        <v>0.0</v>
      </c>
      <c r="L1054" s="81">
        <v>1.0</v>
      </c>
      <c r="M1054" s="81" t="s">
        <v>27</v>
      </c>
      <c r="N1054" s="81" t="s">
        <v>401</v>
      </c>
      <c r="O1054" s="36" t="s">
        <v>39</v>
      </c>
      <c r="P1054" s="36" t="s">
        <v>29</v>
      </c>
      <c r="Q1054" s="36">
        <v>0.0</v>
      </c>
      <c r="R1054" s="46"/>
      <c r="S1054" s="129"/>
      <c r="T1054" s="129"/>
      <c r="U1054" s="129"/>
      <c r="V1054" s="129"/>
      <c r="W1054" s="129"/>
      <c r="X1054" s="129"/>
      <c r="Y1054" s="129"/>
      <c r="Z1054" s="129"/>
      <c r="AA1054" s="129"/>
      <c r="AB1054" s="129"/>
      <c r="AC1054" s="129"/>
      <c r="AD1054" s="129"/>
    </row>
    <row r="1055" ht="14.25" customHeight="1">
      <c r="A1055" s="211">
        <v>24.0</v>
      </c>
      <c r="B1055" s="82" t="s">
        <v>4491</v>
      </c>
      <c r="C1055" s="82" t="s">
        <v>4492</v>
      </c>
      <c r="D1055" s="82"/>
      <c r="E1055" s="82"/>
      <c r="F1055" s="406"/>
      <c r="G1055" s="89" t="s">
        <v>4493</v>
      </c>
      <c r="H1055" s="81">
        <v>51.0</v>
      </c>
      <c r="I1055" s="81">
        <v>208.0</v>
      </c>
      <c r="J1055" s="81">
        <v>0.0</v>
      </c>
      <c r="K1055" s="81">
        <v>0.0</v>
      </c>
      <c r="L1055" s="81">
        <v>0.0</v>
      </c>
      <c r="M1055" s="81" t="s">
        <v>27</v>
      </c>
      <c r="N1055" s="81" t="s">
        <v>401</v>
      </c>
      <c r="O1055" s="36" t="s">
        <v>39</v>
      </c>
      <c r="P1055" s="36" t="s">
        <v>29</v>
      </c>
      <c r="Q1055" s="36">
        <v>0.0</v>
      </c>
      <c r="R1055" s="46"/>
      <c r="S1055" s="129"/>
      <c r="T1055" s="129"/>
      <c r="U1055" s="129"/>
      <c r="V1055" s="129"/>
      <c r="W1055" s="129"/>
      <c r="X1055" s="129"/>
      <c r="Y1055" s="129"/>
      <c r="Z1055" s="129"/>
      <c r="AA1055" s="129"/>
      <c r="AB1055" s="129"/>
      <c r="AC1055" s="129"/>
      <c r="AD1055" s="129"/>
    </row>
    <row r="1056" ht="14.25" customHeight="1">
      <c r="A1056" s="211">
        <v>25.0</v>
      </c>
      <c r="B1056" s="82" t="s">
        <v>4494</v>
      </c>
      <c r="C1056" s="82" t="s">
        <v>4492</v>
      </c>
      <c r="D1056" s="82"/>
      <c r="E1056" s="82"/>
      <c r="F1056" s="406"/>
      <c r="G1056" s="89" t="s">
        <v>4495</v>
      </c>
      <c r="H1056" s="81">
        <v>18.0</v>
      </c>
      <c r="I1056" s="81">
        <v>73.0</v>
      </c>
      <c r="J1056" s="81">
        <v>1.0</v>
      </c>
      <c r="K1056" s="81">
        <v>1.0</v>
      </c>
      <c r="L1056" s="81">
        <v>0.0</v>
      </c>
      <c r="M1056" s="81" t="s">
        <v>27</v>
      </c>
      <c r="N1056" s="81" t="s">
        <v>401</v>
      </c>
      <c r="O1056" s="36" t="s">
        <v>39</v>
      </c>
      <c r="P1056" s="36" t="s">
        <v>29</v>
      </c>
      <c r="Q1056" s="36">
        <v>0.0</v>
      </c>
      <c r="R1056" s="46"/>
      <c r="S1056" s="129"/>
      <c r="T1056" s="129"/>
      <c r="U1056" s="129"/>
      <c r="V1056" s="129"/>
      <c r="W1056" s="129"/>
      <c r="X1056" s="129"/>
      <c r="Y1056" s="129"/>
      <c r="Z1056" s="129"/>
      <c r="AA1056" s="129"/>
      <c r="AB1056" s="129"/>
      <c r="AC1056" s="129"/>
      <c r="AD1056" s="129"/>
    </row>
    <row r="1057" ht="14.25" customHeight="1">
      <c r="A1057" s="211">
        <v>26.0</v>
      </c>
      <c r="B1057" s="82" t="s">
        <v>751</v>
      </c>
      <c r="C1057" s="82" t="s">
        <v>4496</v>
      </c>
      <c r="D1057" s="82"/>
      <c r="E1057" s="82"/>
      <c r="F1057" s="406"/>
      <c r="G1057" s="89" t="s">
        <v>4497</v>
      </c>
      <c r="H1057" s="81">
        <v>22.0</v>
      </c>
      <c r="I1057" s="81">
        <v>92.0</v>
      </c>
      <c r="J1057" s="81">
        <v>1.0</v>
      </c>
      <c r="K1057" s="81">
        <v>1.0</v>
      </c>
      <c r="L1057" s="81">
        <v>0.0</v>
      </c>
      <c r="M1057" s="81" t="s">
        <v>27</v>
      </c>
      <c r="N1057" s="81" t="s">
        <v>401</v>
      </c>
      <c r="O1057" s="36" t="s">
        <v>39</v>
      </c>
      <c r="P1057" s="36" t="s">
        <v>29</v>
      </c>
      <c r="Q1057" s="36">
        <v>0.0</v>
      </c>
      <c r="R1057" s="46"/>
      <c r="S1057" s="129"/>
      <c r="T1057" s="129"/>
      <c r="U1057" s="129"/>
      <c r="V1057" s="129"/>
      <c r="W1057" s="129"/>
      <c r="X1057" s="129"/>
      <c r="Y1057" s="129"/>
      <c r="Z1057" s="129"/>
      <c r="AA1057" s="129"/>
      <c r="AB1057" s="129"/>
      <c r="AC1057" s="129"/>
      <c r="AD1057" s="129"/>
    </row>
    <row r="1058" ht="14.25" customHeight="1">
      <c r="A1058" s="211">
        <v>27.0</v>
      </c>
      <c r="B1058" s="82" t="s">
        <v>4498</v>
      </c>
      <c r="C1058" s="82" t="s">
        <v>4496</v>
      </c>
      <c r="D1058" s="82"/>
      <c r="E1058" s="82"/>
      <c r="F1058" s="406"/>
      <c r="G1058" s="89" t="s">
        <v>4499</v>
      </c>
      <c r="H1058" s="81">
        <v>78.0</v>
      </c>
      <c r="I1058" s="81">
        <v>320.0</v>
      </c>
      <c r="J1058" s="81">
        <v>0.0</v>
      </c>
      <c r="K1058" s="81">
        <v>0.0</v>
      </c>
      <c r="L1058" s="81">
        <v>0.0</v>
      </c>
      <c r="M1058" s="81" t="s">
        <v>27</v>
      </c>
      <c r="N1058" s="81" t="s">
        <v>401</v>
      </c>
      <c r="O1058" s="36" t="s">
        <v>39</v>
      </c>
      <c r="P1058" s="36" t="s">
        <v>29</v>
      </c>
      <c r="Q1058" s="36">
        <v>0.0</v>
      </c>
      <c r="R1058" s="46"/>
      <c r="S1058" s="129"/>
      <c r="T1058" s="129"/>
      <c r="U1058" s="129"/>
      <c r="V1058" s="129"/>
      <c r="W1058" s="129"/>
      <c r="X1058" s="129"/>
      <c r="Y1058" s="129"/>
      <c r="Z1058" s="129"/>
      <c r="AA1058" s="129"/>
      <c r="AB1058" s="129"/>
      <c r="AC1058" s="129"/>
      <c r="AD1058" s="129"/>
    </row>
    <row r="1059" ht="14.25" customHeight="1">
      <c r="A1059" s="211">
        <v>28.0</v>
      </c>
      <c r="B1059" s="82" t="s">
        <v>4500</v>
      </c>
      <c r="C1059" s="82" t="s">
        <v>4501</v>
      </c>
      <c r="D1059" s="82"/>
      <c r="E1059" s="82"/>
      <c r="F1059" s="406"/>
      <c r="G1059" s="89" t="s">
        <v>4502</v>
      </c>
      <c r="H1059" s="81">
        <v>9.0</v>
      </c>
      <c r="I1059" s="81">
        <v>37.0</v>
      </c>
      <c r="J1059" s="81">
        <v>1.0</v>
      </c>
      <c r="K1059" s="81">
        <v>1.0</v>
      </c>
      <c r="L1059" s="81">
        <v>0.0</v>
      </c>
      <c r="M1059" s="81" t="s">
        <v>27</v>
      </c>
      <c r="N1059" s="81" t="s">
        <v>401</v>
      </c>
      <c r="O1059" s="36" t="s">
        <v>39</v>
      </c>
      <c r="P1059" s="36" t="s">
        <v>29</v>
      </c>
      <c r="Q1059" s="36">
        <v>0.0</v>
      </c>
      <c r="R1059" s="46"/>
      <c r="S1059" s="129"/>
      <c r="T1059" s="129"/>
      <c r="U1059" s="129"/>
      <c r="V1059" s="129"/>
      <c r="W1059" s="129"/>
      <c r="X1059" s="129"/>
      <c r="Y1059" s="129"/>
      <c r="Z1059" s="129"/>
      <c r="AA1059" s="129"/>
      <c r="AB1059" s="129"/>
      <c r="AC1059" s="129"/>
      <c r="AD1059" s="129"/>
    </row>
    <row r="1060" ht="15.75" customHeight="1">
      <c r="A1060" s="181"/>
      <c r="B1060" s="182" t="s">
        <v>4503</v>
      </c>
      <c r="C1060" s="182"/>
      <c r="D1060" s="182"/>
      <c r="E1060" s="182"/>
      <c r="F1060" s="403"/>
      <c r="G1060" s="404"/>
      <c r="H1060" s="182"/>
      <c r="I1060" s="182"/>
      <c r="J1060" s="91"/>
      <c r="K1060" s="91"/>
      <c r="L1060" s="91"/>
      <c r="M1060" s="91"/>
      <c r="N1060" s="91"/>
      <c r="O1060" s="91"/>
      <c r="P1060" s="182"/>
      <c r="Q1060" s="91"/>
      <c r="R1060" s="218"/>
      <c r="S1060" s="405"/>
      <c r="T1060" s="405"/>
      <c r="U1060" s="405"/>
      <c r="V1060" s="405"/>
      <c r="W1060" s="405"/>
      <c r="X1060" s="405"/>
      <c r="Y1060" s="405"/>
      <c r="Z1060" s="405"/>
      <c r="AA1060" s="405"/>
      <c r="AB1060" s="405"/>
      <c r="AC1060" s="405"/>
      <c r="AD1060" s="405"/>
    </row>
    <row r="1061" ht="14.25" customHeight="1">
      <c r="A1061" s="211">
        <v>1.0</v>
      </c>
      <c r="B1061" s="46" t="s">
        <v>7136</v>
      </c>
      <c r="C1061" s="46" t="s">
        <v>1552</v>
      </c>
      <c r="D1061" s="46"/>
      <c r="E1061" s="46"/>
      <c r="F1061" s="50"/>
      <c r="G1061" s="431" t="s">
        <v>4505</v>
      </c>
      <c r="H1061" s="81">
        <v>600.0</v>
      </c>
      <c r="I1061" s="81" t="s">
        <v>4506</v>
      </c>
      <c r="J1061" s="81">
        <v>2.0</v>
      </c>
      <c r="K1061" s="81">
        <v>2.0</v>
      </c>
      <c r="L1061" s="81" t="s">
        <v>138</v>
      </c>
      <c r="M1061" s="81" t="s">
        <v>4507</v>
      </c>
      <c r="N1061" s="81"/>
      <c r="O1061" s="81">
        <v>1000.0</v>
      </c>
      <c r="P1061" s="81" t="s">
        <v>66</v>
      </c>
      <c r="Q1061" s="81" t="s">
        <v>401</v>
      </c>
      <c r="R1061" s="46"/>
      <c r="S1061" s="129"/>
      <c r="T1061" s="129"/>
      <c r="U1061" s="129"/>
      <c r="V1061" s="129"/>
      <c r="W1061" s="129"/>
      <c r="X1061" s="129"/>
      <c r="Y1061" s="129"/>
      <c r="Z1061" s="129"/>
      <c r="AA1061" s="129"/>
      <c r="AB1061" s="129"/>
      <c r="AC1061" s="129"/>
      <c r="AD1061" s="129"/>
    </row>
    <row r="1062" ht="14.25" customHeight="1">
      <c r="A1062" s="211">
        <v>2.0</v>
      </c>
      <c r="B1062" s="46" t="s">
        <v>4508</v>
      </c>
      <c r="C1062" s="46" t="s">
        <v>4509</v>
      </c>
      <c r="D1062" s="46"/>
      <c r="E1062" s="46"/>
      <c r="F1062" s="50"/>
      <c r="G1062" s="431" t="s">
        <v>4510</v>
      </c>
      <c r="H1062" s="81">
        <v>183.0</v>
      </c>
      <c r="I1062" s="81" t="s">
        <v>4511</v>
      </c>
      <c r="J1062" s="81">
        <v>1.0</v>
      </c>
      <c r="K1062" s="81">
        <v>1.0</v>
      </c>
      <c r="L1062" s="81" t="s">
        <v>138</v>
      </c>
      <c r="M1062" s="81" t="s">
        <v>4512</v>
      </c>
      <c r="N1062" s="81"/>
      <c r="O1062" s="81">
        <v>1000.0</v>
      </c>
      <c r="P1062" s="81" t="s">
        <v>29</v>
      </c>
      <c r="Q1062" s="81" t="s">
        <v>401</v>
      </c>
      <c r="R1062" s="46"/>
      <c r="S1062" s="129"/>
      <c r="T1062" s="129"/>
      <c r="U1062" s="129"/>
      <c r="V1062" s="129"/>
      <c r="W1062" s="129"/>
      <c r="X1062" s="129"/>
      <c r="Y1062" s="129"/>
      <c r="Z1062" s="129"/>
      <c r="AA1062" s="129"/>
      <c r="AB1062" s="129"/>
      <c r="AC1062" s="129"/>
      <c r="AD1062" s="129"/>
    </row>
    <row r="1063" ht="14.25" customHeight="1">
      <c r="A1063" s="211">
        <v>3.0</v>
      </c>
      <c r="B1063" s="46" t="s">
        <v>4513</v>
      </c>
      <c r="C1063" s="46" t="s">
        <v>4509</v>
      </c>
      <c r="D1063" s="46"/>
      <c r="E1063" s="46"/>
      <c r="F1063" s="50"/>
      <c r="G1063" s="431"/>
      <c r="H1063" s="81"/>
      <c r="I1063" s="81" t="s">
        <v>4515</v>
      </c>
      <c r="J1063" s="81" t="s">
        <v>46</v>
      </c>
      <c r="K1063" s="81" t="s">
        <v>138</v>
      </c>
      <c r="L1063" s="81" t="s">
        <v>4516</v>
      </c>
      <c r="M1063" s="81" t="s">
        <v>4512</v>
      </c>
      <c r="N1063" s="81"/>
      <c r="O1063" s="81">
        <v>25.0</v>
      </c>
      <c r="P1063" s="81" t="s">
        <v>29</v>
      </c>
      <c r="Q1063" s="81" t="s">
        <v>401</v>
      </c>
      <c r="R1063" s="46"/>
      <c r="S1063" s="129"/>
      <c r="T1063" s="129"/>
      <c r="U1063" s="129"/>
      <c r="V1063" s="129"/>
      <c r="W1063" s="129"/>
      <c r="X1063" s="129"/>
      <c r="Y1063" s="129"/>
      <c r="Z1063" s="129"/>
      <c r="AA1063" s="129"/>
      <c r="AB1063" s="129"/>
      <c r="AC1063" s="129"/>
      <c r="AD1063" s="129"/>
    </row>
    <row r="1064" ht="14.25" customHeight="1">
      <c r="A1064" s="211">
        <v>4.0</v>
      </c>
      <c r="B1064" s="46" t="s">
        <v>4517</v>
      </c>
      <c r="C1064" s="46" t="s">
        <v>4518</v>
      </c>
      <c r="D1064" s="46"/>
      <c r="E1064" s="46"/>
      <c r="F1064" s="50"/>
      <c r="G1064" s="89" t="s">
        <v>4519</v>
      </c>
      <c r="H1064" s="81">
        <v>103.0</v>
      </c>
      <c r="I1064" s="81" t="s">
        <v>4520</v>
      </c>
      <c r="J1064" s="81">
        <v>1.0</v>
      </c>
      <c r="K1064" s="81">
        <v>1.0</v>
      </c>
      <c r="L1064" s="81" t="s">
        <v>138</v>
      </c>
      <c r="M1064" s="81" t="s">
        <v>4512</v>
      </c>
      <c r="N1064" s="81" t="s">
        <v>83</v>
      </c>
      <c r="O1064" s="81">
        <v>650.0</v>
      </c>
      <c r="P1064" s="81" t="s">
        <v>29</v>
      </c>
      <c r="Q1064" s="81" t="s">
        <v>401</v>
      </c>
      <c r="R1064" s="46"/>
      <c r="S1064" s="129"/>
      <c r="T1064" s="129"/>
      <c r="U1064" s="129"/>
      <c r="V1064" s="129"/>
      <c r="W1064" s="129"/>
      <c r="X1064" s="129"/>
      <c r="Y1064" s="129"/>
      <c r="Z1064" s="129"/>
      <c r="AA1064" s="129"/>
      <c r="AB1064" s="129"/>
      <c r="AC1064" s="129"/>
      <c r="AD1064" s="129"/>
    </row>
    <row r="1065" ht="14.25" customHeight="1">
      <c r="A1065" s="211">
        <v>5.0</v>
      </c>
      <c r="B1065" s="46" t="s">
        <v>4521</v>
      </c>
      <c r="C1065" s="46" t="s">
        <v>4522</v>
      </c>
      <c r="D1065" s="46"/>
      <c r="E1065" s="46"/>
      <c r="F1065" s="50"/>
      <c r="G1065" s="89" t="s">
        <v>4523</v>
      </c>
      <c r="H1065" s="81">
        <v>139.0</v>
      </c>
      <c r="I1065" s="81" t="s">
        <v>4524</v>
      </c>
      <c r="J1065" s="81" t="s">
        <v>138</v>
      </c>
      <c r="K1065" s="81" t="s">
        <v>138</v>
      </c>
      <c r="L1065" s="81" t="s">
        <v>4516</v>
      </c>
      <c r="M1065" s="81" t="s">
        <v>4512</v>
      </c>
      <c r="N1065" s="81" t="s">
        <v>83</v>
      </c>
      <c r="O1065" s="81">
        <v>25.0</v>
      </c>
      <c r="P1065" s="81" t="s">
        <v>29</v>
      </c>
      <c r="Q1065" s="81" t="s">
        <v>401</v>
      </c>
      <c r="R1065" s="46"/>
      <c r="S1065" s="129"/>
      <c r="T1065" s="129"/>
      <c r="U1065" s="129"/>
      <c r="V1065" s="129"/>
      <c r="W1065" s="129"/>
      <c r="X1065" s="129"/>
      <c r="Y1065" s="129"/>
      <c r="Z1065" s="129"/>
      <c r="AA1065" s="129"/>
      <c r="AB1065" s="129"/>
      <c r="AC1065" s="129"/>
      <c r="AD1065" s="129"/>
    </row>
    <row r="1066" ht="14.25" customHeight="1">
      <c r="A1066" s="211">
        <v>6.0</v>
      </c>
      <c r="B1066" s="46" t="s">
        <v>4525</v>
      </c>
      <c r="C1066" s="46" t="s">
        <v>1552</v>
      </c>
      <c r="D1066" s="46"/>
      <c r="E1066" s="46"/>
      <c r="F1066" s="50"/>
      <c r="G1066" s="89" t="s">
        <v>4526</v>
      </c>
      <c r="H1066" s="81">
        <v>537.0</v>
      </c>
      <c r="I1066" s="81" t="s">
        <v>4527</v>
      </c>
      <c r="J1066" s="81" t="s">
        <v>138</v>
      </c>
      <c r="K1066" s="81" t="s">
        <v>138</v>
      </c>
      <c r="L1066" s="81" t="s">
        <v>4516</v>
      </c>
      <c r="M1066" s="81" t="s">
        <v>4512</v>
      </c>
      <c r="N1066" s="81"/>
      <c r="O1066" s="81">
        <v>25.0</v>
      </c>
      <c r="P1066" s="81" t="s">
        <v>66</v>
      </c>
      <c r="Q1066" s="81" t="s">
        <v>401</v>
      </c>
      <c r="R1066" s="46"/>
      <c r="S1066" s="129"/>
      <c r="T1066" s="129"/>
      <c r="U1066" s="129"/>
      <c r="V1066" s="129"/>
      <c r="W1066" s="129"/>
      <c r="X1066" s="129"/>
      <c r="Y1066" s="129"/>
      <c r="Z1066" s="129"/>
      <c r="AA1066" s="129"/>
      <c r="AB1066" s="129"/>
      <c r="AC1066" s="129"/>
      <c r="AD1066" s="129"/>
    </row>
    <row r="1067" ht="14.25" customHeight="1">
      <c r="A1067" s="211">
        <v>7.0</v>
      </c>
      <c r="B1067" s="46" t="s">
        <v>4528</v>
      </c>
      <c r="C1067" s="46" t="s">
        <v>4529</v>
      </c>
      <c r="D1067" s="46"/>
      <c r="E1067" s="46"/>
      <c r="F1067" s="50"/>
      <c r="G1067" s="89" t="s">
        <v>4530</v>
      </c>
      <c r="H1067" s="81">
        <v>130.0</v>
      </c>
      <c r="I1067" s="81" t="s">
        <v>4531</v>
      </c>
      <c r="J1067" s="81" t="s">
        <v>138</v>
      </c>
      <c r="K1067" s="81" t="s">
        <v>138</v>
      </c>
      <c r="L1067" s="81" t="s">
        <v>4516</v>
      </c>
      <c r="M1067" s="81" t="s">
        <v>4512</v>
      </c>
      <c r="N1067" s="81"/>
      <c r="O1067" s="81">
        <v>25.0</v>
      </c>
      <c r="P1067" s="81" t="s">
        <v>29</v>
      </c>
      <c r="Q1067" s="81" t="s">
        <v>401</v>
      </c>
      <c r="R1067" s="46"/>
      <c r="S1067" s="129"/>
      <c r="T1067" s="129"/>
      <c r="U1067" s="129"/>
      <c r="V1067" s="129"/>
      <c r="W1067" s="129"/>
      <c r="X1067" s="129"/>
      <c r="Y1067" s="129"/>
      <c r="Z1067" s="129"/>
      <c r="AA1067" s="129"/>
      <c r="AB1067" s="129"/>
      <c r="AC1067" s="129"/>
      <c r="AD1067" s="129"/>
    </row>
    <row r="1068" ht="14.25" customHeight="1">
      <c r="A1068" s="211">
        <v>8.0</v>
      </c>
      <c r="B1068" s="46" t="s">
        <v>4532</v>
      </c>
      <c r="C1068" s="46" t="s">
        <v>4533</v>
      </c>
      <c r="D1068" s="46"/>
      <c r="E1068" s="46"/>
      <c r="F1068" s="50"/>
      <c r="G1068" s="89" t="s">
        <v>4534</v>
      </c>
      <c r="H1068" s="81">
        <v>177.0</v>
      </c>
      <c r="I1068" s="81" t="s">
        <v>4535</v>
      </c>
      <c r="J1068" s="81" t="s">
        <v>138</v>
      </c>
      <c r="K1068" s="81" t="s">
        <v>138</v>
      </c>
      <c r="L1068" s="81" t="s">
        <v>4516</v>
      </c>
      <c r="M1068" s="81" t="s">
        <v>4512</v>
      </c>
      <c r="N1068" s="81"/>
      <c r="O1068" s="81">
        <v>25.0</v>
      </c>
      <c r="P1068" s="81" t="s">
        <v>66</v>
      </c>
      <c r="Q1068" s="81" t="s">
        <v>401</v>
      </c>
      <c r="R1068" s="46"/>
      <c r="S1068" s="129"/>
      <c r="T1068" s="129"/>
      <c r="U1068" s="129"/>
      <c r="V1068" s="129"/>
      <c r="W1068" s="129"/>
      <c r="X1068" s="129"/>
      <c r="Y1068" s="129"/>
      <c r="Z1068" s="129"/>
      <c r="AA1068" s="129"/>
      <c r="AB1068" s="129"/>
      <c r="AC1068" s="129"/>
      <c r="AD1068" s="129"/>
    </row>
    <row r="1069" ht="14.25" customHeight="1">
      <c r="A1069" s="211">
        <v>9.0</v>
      </c>
      <c r="B1069" s="46" t="s">
        <v>4536</v>
      </c>
      <c r="C1069" s="46" t="s">
        <v>4537</v>
      </c>
      <c r="D1069" s="46"/>
      <c r="E1069" s="46"/>
      <c r="F1069" s="50"/>
      <c r="G1069" s="89" t="s">
        <v>4538</v>
      </c>
      <c r="H1069" s="81">
        <v>34.0</v>
      </c>
      <c r="I1069" s="81" t="s">
        <v>4539</v>
      </c>
      <c r="J1069" s="81" t="s">
        <v>138</v>
      </c>
      <c r="K1069" s="81" t="s">
        <v>138</v>
      </c>
      <c r="L1069" s="81" t="s">
        <v>4516</v>
      </c>
      <c r="M1069" s="81" t="s">
        <v>4512</v>
      </c>
      <c r="N1069" s="81" t="s">
        <v>83</v>
      </c>
      <c r="O1069" s="81">
        <v>25.0</v>
      </c>
      <c r="P1069" s="81" t="s">
        <v>29</v>
      </c>
      <c r="Q1069" s="81" t="s">
        <v>401</v>
      </c>
      <c r="R1069" s="46"/>
      <c r="S1069" s="129"/>
      <c r="T1069" s="129"/>
      <c r="U1069" s="129"/>
      <c r="V1069" s="129"/>
      <c r="W1069" s="129"/>
      <c r="X1069" s="129"/>
      <c r="Y1069" s="129"/>
      <c r="Z1069" s="129"/>
      <c r="AA1069" s="129"/>
      <c r="AB1069" s="129"/>
      <c r="AC1069" s="129"/>
      <c r="AD1069" s="129"/>
    </row>
    <row r="1070" ht="14.25" customHeight="1">
      <c r="A1070" s="211">
        <v>10.0</v>
      </c>
      <c r="B1070" s="46" t="s">
        <v>4540</v>
      </c>
      <c r="C1070" s="46" t="s">
        <v>4541</v>
      </c>
      <c r="D1070" s="46"/>
      <c r="E1070" s="46"/>
      <c r="F1070" s="50"/>
      <c r="G1070" s="89" t="s">
        <v>4542</v>
      </c>
      <c r="H1070" s="81">
        <v>162.0</v>
      </c>
      <c r="I1070" s="81" t="s">
        <v>4543</v>
      </c>
      <c r="J1070" s="81" t="s">
        <v>138</v>
      </c>
      <c r="K1070" s="81" t="s">
        <v>138</v>
      </c>
      <c r="L1070" s="81" t="s">
        <v>4516</v>
      </c>
      <c r="M1070" s="81" t="s">
        <v>4512</v>
      </c>
      <c r="N1070" s="81"/>
      <c r="O1070" s="81">
        <v>25.0</v>
      </c>
      <c r="P1070" s="81" t="s">
        <v>29</v>
      </c>
      <c r="Q1070" s="81" t="s">
        <v>401</v>
      </c>
      <c r="R1070" s="46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</row>
    <row r="1071" ht="14.25" customHeight="1">
      <c r="A1071" s="211">
        <v>11.0</v>
      </c>
      <c r="B1071" s="46" t="s">
        <v>4544</v>
      </c>
      <c r="C1071" s="46" t="s">
        <v>4545</v>
      </c>
      <c r="D1071" s="46"/>
      <c r="E1071" s="46"/>
      <c r="F1071" s="50"/>
      <c r="G1071" s="89" t="s">
        <v>4546</v>
      </c>
      <c r="H1071" s="81">
        <v>20.0</v>
      </c>
      <c r="I1071" s="81" t="s">
        <v>4547</v>
      </c>
      <c r="J1071" s="81" t="s">
        <v>138</v>
      </c>
      <c r="K1071" s="81" t="s">
        <v>138</v>
      </c>
      <c r="L1071" s="81" t="s">
        <v>4516</v>
      </c>
      <c r="M1071" s="81" t="s">
        <v>4512</v>
      </c>
      <c r="N1071" s="81"/>
      <c r="O1071" s="81">
        <v>25.0</v>
      </c>
      <c r="P1071" s="81" t="s">
        <v>29</v>
      </c>
      <c r="Q1071" s="81" t="s">
        <v>401</v>
      </c>
      <c r="R1071" s="46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</row>
    <row r="1072" ht="14.25" customHeight="1">
      <c r="A1072" s="211">
        <v>12.0</v>
      </c>
      <c r="B1072" s="46" t="s">
        <v>4548</v>
      </c>
      <c r="C1072" s="46" t="s">
        <v>4549</v>
      </c>
      <c r="D1072" s="46"/>
      <c r="E1072" s="46"/>
      <c r="F1072" s="50"/>
      <c r="G1072" s="431" t="s">
        <v>4550</v>
      </c>
      <c r="H1072" s="81">
        <v>205.0</v>
      </c>
      <c r="I1072" s="81" t="s">
        <v>4551</v>
      </c>
      <c r="J1072" s="81" t="s">
        <v>138</v>
      </c>
      <c r="K1072" s="81" t="s">
        <v>138</v>
      </c>
      <c r="L1072" s="81" t="s">
        <v>4516</v>
      </c>
      <c r="M1072" s="81" t="s">
        <v>4512</v>
      </c>
      <c r="N1072" s="81"/>
      <c r="O1072" s="81">
        <v>25.0</v>
      </c>
      <c r="P1072" s="81" t="s">
        <v>29</v>
      </c>
      <c r="Q1072" s="81" t="s">
        <v>401</v>
      </c>
      <c r="R1072" s="46"/>
      <c r="S1072" s="129"/>
      <c r="T1072" s="129"/>
      <c r="U1072" s="129"/>
      <c r="V1072" s="129"/>
      <c r="W1072" s="129"/>
      <c r="X1072" s="129"/>
      <c r="Y1072" s="129"/>
      <c r="Z1072" s="129"/>
      <c r="AA1072" s="129"/>
      <c r="AB1072" s="129"/>
      <c r="AC1072" s="129"/>
      <c r="AD1072" s="129"/>
    </row>
    <row r="1073" ht="14.25" customHeight="1">
      <c r="A1073" s="211">
        <v>13.0</v>
      </c>
      <c r="B1073" s="46" t="s">
        <v>4552</v>
      </c>
      <c r="C1073" s="46" t="s">
        <v>4553</v>
      </c>
      <c r="D1073" s="46"/>
      <c r="E1073" s="46"/>
      <c r="F1073" s="50"/>
      <c r="G1073" s="89" t="s">
        <v>4554</v>
      </c>
      <c r="H1073" s="81">
        <v>177.0</v>
      </c>
      <c r="I1073" s="81" t="s">
        <v>4535</v>
      </c>
      <c r="J1073" s="81" t="s">
        <v>138</v>
      </c>
      <c r="K1073" s="81" t="s">
        <v>138</v>
      </c>
      <c r="L1073" s="81" t="s">
        <v>4516</v>
      </c>
      <c r="M1073" s="81" t="s">
        <v>4512</v>
      </c>
      <c r="N1073" s="81" t="s">
        <v>83</v>
      </c>
      <c r="O1073" s="81">
        <v>25.0</v>
      </c>
      <c r="P1073" s="81" t="s">
        <v>29</v>
      </c>
      <c r="Q1073" s="81" t="s">
        <v>401</v>
      </c>
      <c r="R1073" s="46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</row>
    <row r="1074" ht="14.25" customHeight="1">
      <c r="A1074" s="211">
        <v>14.0</v>
      </c>
      <c r="B1074" s="46" t="s">
        <v>4555</v>
      </c>
      <c r="C1074" s="46" t="s">
        <v>4556</v>
      </c>
      <c r="D1074" s="46"/>
      <c r="E1074" s="46"/>
      <c r="F1074" s="50"/>
      <c r="G1074" s="89" t="s">
        <v>4557</v>
      </c>
      <c r="H1074" s="81">
        <v>156.0</v>
      </c>
      <c r="I1074" s="81" t="s">
        <v>4558</v>
      </c>
      <c r="J1074" s="81" t="s">
        <v>138</v>
      </c>
      <c r="K1074" s="81" t="s">
        <v>138</v>
      </c>
      <c r="L1074" s="81" t="s">
        <v>4516</v>
      </c>
      <c r="M1074" s="81" t="s">
        <v>4512</v>
      </c>
      <c r="N1074" s="81" t="s">
        <v>83</v>
      </c>
      <c r="O1074" s="81">
        <v>25.0</v>
      </c>
      <c r="P1074" s="81" t="s">
        <v>29</v>
      </c>
      <c r="Q1074" s="81" t="s">
        <v>401</v>
      </c>
      <c r="R1074" s="46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</row>
    <row r="1075" ht="14.25" customHeight="1">
      <c r="A1075" s="211">
        <v>15.0</v>
      </c>
      <c r="B1075" s="46" t="s">
        <v>4559</v>
      </c>
      <c r="C1075" s="46" t="s">
        <v>4560</v>
      </c>
      <c r="D1075" s="46"/>
      <c r="E1075" s="46"/>
      <c r="F1075" s="50"/>
      <c r="G1075" s="89" t="s">
        <v>4561</v>
      </c>
      <c r="H1075" s="81">
        <v>18.0</v>
      </c>
      <c r="I1075" s="81" t="s">
        <v>4562</v>
      </c>
      <c r="J1075" s="81" t="s">
        <v>138</v>
      </c>
      <c r="K1075" s="81" t="s">
        <v>138</v>
      </c>
      <c r="L1075" s="81" t="s">
        <v>4516</v>
      </c>
      <c r="M1075" s="81" t="s">
        <v>4512</v>
      </c>
      <c r="N1075" s="81"/>
      <c r="O1075" s="81">
        <v>25.0</v>
      </c>
      <c r="P1075" s="81" t="s">
        <v>29</v>
      </c>
      <c r="Q1075" s="81" t="s">
        <v>401</v>
      </c>
      <c r="R1075" s="46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</row>
    <row r="1076" ht="14.25" customHeight="1">
      <c r="A1076" s="211">
        <v>16.0</v>
      </c>
      <c r="B1076" s="46" t="s">
        <v>4563</v>
      </c>
      <c r="C1076" s="46" t="s">
        <v>4564</v>
      </c>
      <c r="D1076" s="46"/>
      <c r="E1076" s="46"/>
      <c r="F1076" s="50"/>
      <c r="G1076" s="89" t="s">
        <v>4565</v>
      </c>
      <c r="H1076" s="81"/>
      <c r="I1076" s="81" t="s">
        <v>4515</v>
      </c>
      <c r="J1076" s="81" t="s">
        <v>138</v>
      </c>
      <c r="K1076" s="81" t="s">
        <v>138</v>
      </c>
      <c r="L1076" s="81" t="s">
        <v>4516</v>
      </c>
      <c r="M1076" s="81" t="s">
        <v>4512</v>
      </c>
      <c r="N1076" s="81"/>
      <c r="O1076" s="81">
        <v>25.0</v>
      </c>
      <c r="P1076" s="81" t="s">
        <v>29</v>
      </c>
      <c r="Q1076" s="81" t="s">
        <v>401</v>
      </c>
      <c r="R1076" s="46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</row>
    <row r="1077" ht="14.25" customHeight="1">
      <c r="A1077" s="211">
        <v>17.0</v>
      </c>
      <c r="B1077" s="46" t="s">
        <v>4566</v>
      </c>
      <c r="C1077" s="46" t="s">
        <v>3944</v>
      </c>
      <c r="D1077" s="46"/>
      <c r="E1077" s="46"/>
      <c r="F1077" s="50"/>
      <c r="G1077" s="89" t="s">
        <v>4567</v>
      </c>
      <c r="H1077" s="81">
        <v>123.0</v>
      </c>
      <c r="I1077" s="81" t="s">
        <v>4568</v>
      </c>
      <c r="J1077" s="81" t="s">
        <v>138</v>
      </c>
      <c r="K1077" s="81" t="s">
        <v>138</v>
      </c>
      <c r="L1077" s="81" t="s">
        <v>4516</v>
      </c>
      <c r="M1077" s="81" t="s">
        <v>4512</v>
      </c>
      <c r="N1077" s="81"/>
      <c r="O1077" s="81">
        <v>25.0</v>
      </c>
      <c r="P1077" s="81" t="s">
        <v>66</v>
      </c>
      <c r="Q1077" s="81" t="s">
        <v>401</v>
      </c>
      <c r="R1077" s="46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</row>
    <row r="1078" ht="14.25" customHeight="1">
      <c r="A1078" s="211">
        <v>18.0</v>
      </c>
      <c r="B1078" s="46" t="s">
        <v>4569</v>
      </c>
      <c r="C1078" s="46" t="s">
        <v>4570</v>
      </c>
      <c r="D1078" s="46"/>
      <c r="E1078" s="46"/>
      <c r="F1078" s="50"/>
      <c r="G1078" s="89" t="s">
        <v>4571</v>
      </c>
      <c r="H1078" s="81">
        <v>35.0</v>
      </c>
      <c r="I1078" s="81" t="s">
        <v>4572</v>
      </c>
      <c r="J1078" s="81" t="s">
        <v>138</v>
      </c>
      <c r="K1078" s="81" t="s">
        <v>138</v>
      </c>
      <c r="L1078" s="81" t="s">
        <v>4516</v>
      </c>
      <c r="M1078" s="81" t="s">
        <v>4512</v>
      </c>
      <c r="N1078" s="81" t="s">
        <v>83</v>
      </c>
      <c r="O1078" s="81">
        <v>25.0</v>
      </c>
      <c r="P1078" s="81" t="s">
        <v>29</v>
      </c>
      <c r="Q1078" s="81" t="s">
        <v>401</v>
      </c>
      <c r="R1078" s="46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</row>
    <row r="1079" ht="14.25" customHeight="1">
      <c r="A1079" s="211">
        <v>19.0</v>
      </c>
      <c r="B1079" s="46" t="s">
        <v>4573</v>
      </c>
      <c r="C1079" s="46" t="s">
        <v>4574</v>
      </c>
      <c r="D1079" s="46"/>
      <c r="E1079" s="46"/>
      <c r="F1079" s="50"/>
      <c r="G1079" s="89" t="s">
        <v>7137</v>
      </c>
      <c r="H1079" s="81">
        <v>106.0</v>
      </c>
      <c r="I1079" s="81" t="s">
        <v>4576</v>
      </c>
      <c r="J1079" s="81" t="s">
        <v>138</v>
      </c>
      <c r="K1079" s="81" t="s">
        <v>138</v>
      </c>
      <c r="L1079" s="81" t="s">
        <v>4516</v>
      </c>
      <c r="M1079" s="81" t="s">
        <v>4512</v>
      </c>
      <c r="N1079" s="81"/>
      <c r="O1079" s="81">
        <v>25.0</v>
      </c>
      <c r="P1079" s="81" t="s">
        <v>29</v>
      </c>
      <c r="Q1079" s="81" t="s">
        <v>401</v>
      </c>
      <c r="R1079" s="46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</row>
    <row r="1080" ht="14.25" customHeight="1">
      <c r="A1080" s="211">
        <v>20.0</v>
      </c>
      <c r="B1080" s="46" t="s">
        <v>4577</v>
      </c>
      <c r="C1080" s="46" t="s">
        <v>4578</v>
      </c>
      <c r="D1080" s="46"/>
      <c r="E1080" s="46"/>
      <c r="F1080" s="50"/>
      <c r="G1080" s="89" t="s">
        <v>4575</v>
      </c>
      <c r="H1080" s="81">
        <v>10.0</v>
      </c>
      <c r="I1080" s="81" t="s">
        <v>4580</v>
      </c>
      <c r="J1080" s="81" t="s">
        <v>138</v>
      </c>
      <c r="K1080" s="81" t="s">
        <v>138</v>
      </c>
      <c r="L1080" s="81" t="s">
        <v>4516</v>
      </c>
      <c r="M1080" s="81" t="s">
        <v>4581</v>
      </c>
      <c r="N1080" s="81"/>
      <c r="O1080" s="81">
        <v>25.0</v>
      </c>
      <c r="P1080" s="81" t="s">
        <v>29</v>
      </c>
      <c r="Q1080" s="81" t="s">
        <v>401</v>
      </c>
      <c r="R1080" s="46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</row>
    <row r="1081" ht="14.25" customHeight="1">
      <c r="A1081" s="211">
        <v>21.0</v>
      </c>
      <c r="B1081" s="46" t="s">
        <v>4584</v>
      </c>
      <c r="C1081" s="46" t="s">
        <v>4585</v>
      </c>
      <c r="D1081" s="46"/>
      <c r="E1081" s="46"/>
      <c r="F1081" s="50"/>
      <c r="G1081" s="89" t="s">
        <v>4586</v>
      </c>
      <c r="H1081" s="81">
        <v>243.0</v>
      </c>
      <c r="I1081" s="81" t="s">
        <v>4587</v>
      </c>
      <c r="J1081" s="81" t="s">
        <v>138</v>
      </c>
      <c r="K1081" s="81" t="s">
        <v>138</v>
      </c>
      <c r="L1081" s="81" t="s">
        <v>4516</v>
      </c>
      <c r="M1081" s="81" t="s">
        <v>4011</v>
      </c>
      <c r="N1081" s="81" t="s">
        <v>83</v>
      </c>
      <c r="O1081" s="81">
        <v>25.0</v>
      </c>
      <c r="P1081" s="81" t="s">
        <v>29</v>
      </c>
      <c r="Q1081" s="81" t="s">
        <v>401</v>
      </c>
      <c r="R1081" s="46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</row>
    <row r="1082" ht="14.25" customHeight="1">
      <c r="A1082" s="211">
        <v>22.0</v>
      </c>
      <c r="B1082" s="46" t="s">
        <v>4588</v>
      </c>
      <c r="C1082" s="46" t="s">
        <v>4589</v>
      </c>
      <c r="D1082" s="46"/>
      <c r="E1082" s="46"/>
      <c r="F1082" s="50"/>
      <c r="G1082" s="89" t="s">
        <v>4590</v>
      </c>
      <c r="H1082" s="81">
        <v>32.0</v>
      </c>
      <c r="I1082" s="81" t="s">
        <v>4591</v>
      </c>
      <c r="J1082" s="81" t="s">
        <v>138</v>
      </c>
      <c r="K1082" s="81" t="s">
        <v>138</v>
      </c>
      <c r="L1082" s="81" t="s">
        <v>4516</v>
      </c>
      <c r="M1082" s="81" t="s">
        <v>4581</v>
      </c>
      <c r="N1082" s="81"/>
      <c r="O1082" s="81">
        <v>25.0</v>
      </c>
      <c r="P1082" s="81" t="s">
        <v>29</v>
      </c>
      <c r="Q1082" s="81" t="s">
        <v>401</v>
      </c>
      <c r="R1082" s="46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</row>
    <row r="1083" ht="14.25" customHeight="1">
      <c r="A1083" s="211">
        <v>23.0</v>
      </c>
      <c r="B1083" s="46" t="s">
        <v>7138</v>
      </c>
      <c r="C1083" s="46" t="s">
        <v>4593</v>
      </c>
      <c r="D1083" s="46"/>
      <c r="E1083" s="46"/>
      <c r="F1083" s="50"/>
      <c r="G1083" s="89" t="s">
        <v>4594</v>
      </c>
      <c r="H1083" s="81">
        <v>15.0</v>
      </c>
      <c r="I1083" s="81" t="s">
        <v>4595</v>
      </c>
      <c r="J1083" s="81" t="s">
        <v>138</v>
      </c>
      <c r="K1083" s="81" t="s">
        <v>138</v>
      </c>
      <c r="L1083" s="81" t="s">
        <v>4516</v>
      </c>
      <c r="M1083" s="81" t="s">
        <v>4512</v>
      </c>
      <c r="N1083" s="81"/>
      <c r="O1083" s="81">
        <v>25.0</v>
      </c>
      <c r="P1083" s="81" t="s">
        <v>29</v>
      </c>
      <c r="Q1083" s="81" t="s">
        <v>401</v>
      </c>
      <c r="R1083" s="46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</row>
    <row r="1084" ht="14.25" customHeight="1">
      <c r="A1084" s="211">
        <v>24.0</v>
      </c>
      <c r="B1084" s="46" t="s">
        <v>4596</v>
      </c>
      <c r="C1084" s="46" t="s">
        <v>4597</v>
      </c>
      <c r="D1084" s="46"/>
      <c r="E1084" s="46"/>
      <c r="F1084" s="50"/>
      <c r="G1084" s="89" t="s">
        <v>4598</v>
      </c>
      <c r="H1084" s="81">
        <v>204.0</v>
      </c>
      <c r="I1084" s="81" t="s">
        <v>4599</v>
      </c>
      <c r="J1084" s="81" t="s">
        <v>138</v>
      </c>
      <c r="K1084" s="81" t="s">
        <v>138</v>
      </c>
      <c r="L1084" s="81" t="s">
        <v>4516</v>
      </c>
      <c r="M1084" s="81" t="s">
        <v>4581</v>
      </c>
      <c r="N1084" s="81" t="s">
        <v>83</v>
      </c>
      <c r="O1084" s="81">
        <v>25.0</v>
      </c>
      <c r="P1084" s="81" t="s">
        <v>29</v>
      </c>
      <c r="Q1084" s="81" t="s">
        <v>401</v>
      </c>
      <c r="R1084" s="46"/>
      <c r="S1084" s="129"/>
      <c r="T1084" s="129"/>
      <c r="U1084" s="129"/>
      <c r="V1084" s="129"/>
      <c r="W1084" s="129"/>
      <c r="X1084" s="129"/>
      <c r="Y1084" s="129"/>
      <c r="Z1084" s="129"/>
      <c r="AA1084" s="129"/>
      <c r="AB1084" s="129"/>
      <c r="AC1084" s="129"/>
      <c r="AD1084" s="129"/>
    </row>
    <row r="1085" ht="14.25" customHeight="1">
      <c r="A1085" s="211">
        <v>25.0</v>
      </c>
      <c r="B1085" s="46" t="s">
        <v>4600</v>
      </c>
      <c r="C1085" s="46" t="s">
        <v>4601</v>
      </c>
      <c r="D1085" s="46"/>
      <c r="E1085" s="46"/>
      <c r="F1085" s="50"/>
      <c r="G1085" s="89" t="s">
        <v>4602</v>
      </c>
      <c r="H1085" s="81">
        <v>70.0</v>
      </c>
      <c r="I1085" s="81" t="s">
        <v>4603</v>
      </c>
      <c r="J1085" s="81" t="s">
        <v>138</v>
      </c>
      <c r="K1085" s="81" t="s">
        <v>138</v>
      </c>
      <c r="L1085" s="81" t="s">
        <v>4516</v>
      </c>
      <c r="M1085" s="81" t="s">
        <v>4581</v>
      </c>
      <c r="N1085" s="81"/>
      <c r="O1085" s="81">
        <v>25.0</v>
      </c>
      <c r="P1085" s="81" t="s">
        <v>29</v>
      </c>
      <c r="Q1085" s="81" t="s">
        <v>401</v>
      </c>
      <c r="R1085" s="46"/>
      <c r="S1085" s="129"/>
      <c r="T1085" s="129"/>
      <c r="U1085" s="129"/>
      <c r="V1085" s="129"/>
      <c r="W1085" s="129"/>
      <c r="X1085" s="129"/>
      <c r="Y1085" s="129"/>
      <c r="Z1085" s="129"/>
      <c r="AA1085" s="129"/>
      <c r="AB1085" s="129"/>
      <c r="AC1085" s="129"/>
      <c r="AD1085" s="129"/>
    </row>
    <row r="1086" ht="14.25" customHeight="1">
      <c r="A1086" s="211">
        <v>26.0</v>
      </c>
      <c r="B1086" s="46" t="s">
        <v>4604</v>
      </c>
      <c r="C1086" s="46" t="s">
        <v>4605</v>
      </c>
      <c r="D1086" s="46"/>
      <c r="E1086" s="46"/>
      <c r="F1086" s="50"/>
      <c r="G1086" s="89" t="s">
        <v>4606</v>
      </c>
      <c r="H1086" s="81">
        <v>73.0</v>
      </c>
      <c r="I1086" s="81" t="s">
        <v>4607</v>
      </c>
      <c r="J1086" s="81" t="s">
        <v>138</v>
      </c>
      <c r="K1086" s="81" t="s">
        <v>138</v>
      </c>
      <c r="L1086" s="81" t="s">
        <v>4516</v>
      </c>
      <c r="M1086" s="81" t="s">
        <v>4512</v>
      </c>
      <c r="N1086" s="81"/>
      <c r="O1086" s="81">
        <v>25.0</v>
      </c>
      <c r="P1086" s="81" t="s">
        <v>29</v>
      </c>
      <c r="Q1086" s="81" t="s">
        <v>401</v>
      </c>
      <c r="R1086" s="46"/>
      <c r="S1086" s="129"/>
      <c r="T1086" s="129"/>
      <c r="U1086" s="129"/>
      <c r="V1086" s="129"/>
      <c r="W1086" s="129"/>
      <c r="X1086" s="129"/>
      <c r="Y1086" s="129"/>
      <c r="Z1086" s="129"/>
      <c r="AA1086" s="129"/>
      <c r="AB1086" s="129"/>
      <c r="AC1086" s="129"/>
      <c r="AD1086" s="129"/>
    </row>
    <row r="1087" ht="14.25" customHeight="1">
      <c r="A1087" s="211">
        <v>27.0</v>
      </c>
      <c r="B1087" s="46" t="s">
        <v>4608</v>
      </c>
      <c r="C1087" s="46" t="s">
        <v>4609</v>
      </c>
      <c r="D1087" s="46"/>
      <c r="E1087" s="46"/>
      <c r="F1087" s="50"/>
      <c r="G1087" s="89" t="s">
        <v>4610</v>
      </c>
      <c r="H1087" s="81">
        <v>172.0</v>
      </c>
      <c r="I1087" s="81" t="s">
        <v>4611</v>
      </c>
      <c r="J1087" s="81" t="s">
        <v>138</v>
      </c>
      <c r="K1087" s="81" t="s">
        <v>138</v>
      </c>
      <c r="L1087" s="81" t="s">
        <v>4516</v>
      </c>
      <c r="M1087" s="81" t="s">
        <v>4512</v>
      </c>
      <c r="N1087" s="81"/>
      <c r="O1087" s="81">
        <v>25.0</v>
      </c>
      <c r="P1087" s="81" t="s">
        <v>29</v>
      </c>
      <c r="Q1087" s="81" t="s">
        <v>401</v>
      </c>
      <c r="R1087" s="46"/>
      <c r="S1087" s="129"/>
      <c r="T1087" s="129"/>
      <c r="U1087" s="129"/>
      <c r="V1087" s="129"/>
      <c r="W1087" s="129"/>
      <c r="X1087" s="129"/>
      <c r="Y1087" s="129"/>
      <c r="Z1087" s="129"/>
      <c r="AA1087" s="129"/>
      <c r="AB1087" s="129"/>
      <c r="AC1087" s="129"/>
      <c r="AD1087" s="129"/>
    </row>
    <row r="1088" ht="14.25" customHeight="1">
      <c r="A1088" s="211">
        <v>28.0</v>
      </c>
      <c r="B1088" s="46" t="s">
        <v>4612</v>
      </c>
      <c r="C1088" s="46" t="s">
        <v>4613</v>
      </c>
      <c r="D1088" s="46"/>
      <c r="E1088" s="46"/>
      <c r="F1088" s="50"/>
      <c r="G1088" s="89" t="s">
        <v>4614</v>
      </c>
      <c r="H1088" s="81">
        <v>119.0</v>
      </c>
      <c r="I1088" s="81" t="s">
        <v>4615</v>
      </c>
      <c r="J1088" s="81" t="s">
        <v>138</v>
      </c>
      <c r="K1088" s="81" t="s">
        <v>138</v>
      </c>
      <c r="L1088" s="81" t="s">
        <v>4516</v>
      </c>
      <c r="M1088" s="81" t="s">
        <v>4512</v>
      </c>
      <c r="N1088" s="81"/>
      <c r="O1088" s="81">
        <v>25.0</v>
      </c>
      <c r="P1088" s="81" t="s">
        <v>29</v>
      </c>
      <c r="Q1088" s="81" t="s">
        <v>401</v>
      </c>
      <c r="R1088" s="46"/>
      <c r="S1088" s="129"/>
      <c r="T1088" s="129"/>
      <c r="U1088" s="129"/>
      <c r="V1088" s="129"/>
      <c r="W1088" s="129"/>
      <c r="X1088" s="129"/>
      <c r="Y1088" s="129"/>
      <c r="Z1088" s="129"/>
      <c r="AA1088" s="129"/>
      <c r="AB1088" s="129"/>
      <c r="AC1088" s="129"/>
      <c r="AD1088" s="129"/>
    </row>
    <row r="1089" ht="14.25" customHeight="1">
      <c r="A1089" s="211">
        <v>29.0</v>
      </c>
      <c r="B1089" s="46" t="s">
        <v>4616</v>
      </c>
      <c r="C1089" s="46" t="s">
        <v>4617</v>
      </c>
      <c r="D1089" s="46"/>
      <c r="E1089" s="46"/>
      <c r="F1089" s="50"/>
      <c r="G1089" s="89" t="s">
        <v>4618</v>
      </c>
      <c r="H1089" s="81">
        <v>28.0</v>
      </c>
      <c r="I1089" s="81" t="s">
        <v>4619</v>
      </c>
      <c r="J1089" s="81" t="s">
        <v>138</v>
      </c>
      <c r="K1089" s="81" t="s">
        <v>138</v>
      </c>
      <c r="L1089" s="81" t="s">
        <v>4516</v>
      </c>
      <c r="M1089" s="81" t="s">
        <v>4512</v>
      </c>
      <c r="N1089" s="81"/>
      <c r="O1089" s="81">
        <v>25.0</v>
      </c>
      <c r="P1089" s="81" t="s">
        <v>29</v>
      </c>
      <c r="Q1089" s="81" t="s">
        <v>401</v>
      </c>
      <c r="R1089" s="46"/>
      <c r="S1089" s="129"/>
      <c r="T1089" s="129"/>
      <c r="U1089" s="129"/>
      <c r="V1089" s="129"/>
      <c r="W1089" s="129"/>
      <c r="X1089" s="129"/>
      <c r="Y1089" s="129"/>
      <c r="Z1089" s="129"/>
      <c r="AA1089" s="129"/>
      <c r="AB1089" s="129"/>
      <c r="AC1089" s="129"/>
      <c r="AD1089" s="129"/>
    </row>
    <row r="1090" ht="14.25" customHeight="1">
      <c r="A1090" s="211">
        <v>30.0</v>
      </c>
      <c r="B1090" s="46" t="s">
        <v>2975</v>
      </c>
      <c r="C1090" s="46" t="s">
        <v>3868</v>
      </c>
      <c r="D1090" s="46"/>
      <c r="E1090" s="46"/>
      <c r="F1090" s="50"/>
      <c r="G1090" s="89">
        <v>340.34</v>
      </c>
      <c r="H1090" s="81">
        <v>136.0</v>
      </c>
      <c r="I1090" s="81" t="s">
        <v>4620</v>
      </c>
      <c r="J1090" s="81" t="s">
        <v>138</v>
      </c>
      <c r="K1090" s="81" t="s">
        <v>138</v>
      </c>
      <c r="L1090" s="81" t="s">
        <v>4516</v>
      </c>
      <c r="M1090" s="81" t="s">
        <v>4507</v>
      </c>
      <c r="N1090" s="81"/>
      <c r="O1090" s="81">
        <v>25.0</v>
      </c>
      <c r="P1090" s="81" t="s">
        <v>29</v>
      </c>
      <c r="Q1090" s="81" t="s">
        <v>401</v>
      </c>
      <c r="R1090" s="46"/>
      <c r="S1090" s="129"/>
      <c r="T1090" s="129"/>
      <c r="U1090" s="129"/>
      <c r="V1090" s="129"/>
      <c r="W1090" s="129"/>
      <c r="X1090" s="129"/>
      <c r="Y1090" s="129"/>
      <c r="Z1090" s="129"/>
      <c r="AA1090" s="129"/>
      <c r="AB1090" s="129"/>
      <c r="AC1090" s="129"/>
      <c r="AD1090" s="129"/>
    </row>
    <row r="1091" ht="14.25" customHeight="1">
      <c r="A1091" s="211">
        <v>31.0</v>
      </c>
      <c r="B1091" s="46" t="s">
        <v>68</v>
      </c>
      <c r="C1091" s="46" t="s">
        <v>7139</v>
      </c>
      <c r="D1091" s="46"/>
      <c r="E1091" s="46"/>
      <c r="F1091" s="50"/>
      <c r="G1091" s="275" t="s">
        <v>7140</v>
      </c>
      <c r="H1091" s="46"/>
      <c r="I1091" s="81" t="s">
        <v>7141</v>
      </c>
      <c r="J1091" s="81" t="s">
        <v>7142</v>
      </c>
      <c r="K1091" s="81" t="s">
        <v>7142</v>
      </c>
      <c r="L1091" s="81" t="s">
        <v>138</v>
      </c>
      <c r="M1091" s="81" t="s">
        <v>4512</v>
      </c>
      <c r="N1091" s="46"/>
      <c r="O1091" s="81">
        <v>25.0</v>
      </c>
      <c r="P1091" s="46" t="s">
        <v>29</v>
      </c>
      <c r="Q1091" s="46"/>
      <c r="R1091" s="46"/>
      <c r="S1091" s="129"/>
      <c r="T1091" s="129"/>
      <c r="U1091" s="129"/>
      <c r="V1091" s="129"/>
      <c r="W1091" s="129"/>
      <c r="X1091" s="129"/>
      <c r="Y1091" s="129"/>
      <c r="Z1091" s="129"/>
      <c r="AA1091" s="129"/>
      <c r="AB1091" s="129"/>
      <c r="AC1091" s="129"/>
      <c r="AD1091" s="129"/>
    </row>
    <row r="1092" ht="14.25" customHeight="1">
      <c r="A1092" s="211">
        <v>32.0</v>
      </c>
      <c r="B1092" s="46" t="s">
        <v>4621</v>
      </c>
      <c r="C1092" s="46" t="s">
        <v>4522</v>
      </c>
      <c r="D1092" s="46"/>
      <c r="E1092" s="46"/>
      <c r="F1092" s="50"/>
      <c r="G1092" s="275" t="s">
        <v>4622</v>
      </c>
      <c r="H1092" s="81">
        <v>98.0</v>
      </c>
      <c r="I1092" s="81" t="s">
        <v>4623</v>
      </c>
      <c r="J1092" s="81" t="s">
        <v>138</v>
      </c>
      <c r="K1092" s="81" t="s">
        <v>138</v>
      </c>
      <c r="L1092" s="81"/>
      <c r="M1092" s="81" t="s">
        <v>4512</v>
      </c>
      <c r="N1092" s="46"/>
      <c r="O1092" s="81">
        <v>300.0</v>
      </c>
      <c r="P1092" s="46"/>
      <c r="Q1092" s="46"/>
      <c r="R1092" s="46"/>
      <c r="S1092" s="129"/>
      <c r="T1092" s="129"/>
      <c r="U1092" s="129"/>
      <c r="V1092" s="129"/>
      <c r="W1092" s="129"/>
      <c r="X1092" s="129"/>
      <c r="Y1092" s="129"/>
      <c r="Z1092" s="129"/>
      <c r="AA1092" s="129"/>
      <c r="AB1092" s="129"/>
      <c r="AC1092" s="129"/>
      <c r="AD1092" s="129"/>
    </row>
    <row r="1093" ht="15.75" customHeight="1">
      <c r="A1093" s="181"/>
      <c r="B1093" s="182" t="s">
        <v>4664</v>
      </c>
      <c r="C1093" s="182"/>
      <c r="D1093" s="182"/>
      <c r="E1093" s="182"/>
      <c r="F1093" s="403"/>
      <c r="G1093" s="404"/>
      <c r="H1093" s="182"/>
      <c r="I1093" s="182"/>
      <c r="J1093" s="91"/>
      <c r="K1093" s="91"/>
      <c r="L1093" s="91"/>
      <c r="M1093" s="91"/>
      <c r="N1093" s="91"/>
      <c r="O1093" s="91"/>
      <c r="P1093" s="182"/>
      <c r="Q1093" s="91"/>
      <c r="R1093" s="218"/>
      <c r="S1093" s="405"/>
      <c r="T1093" s="405"/>
      <c r="U1093" s="405"/>
      <c r="V1093" s="405"/>
      <c r="W1093" s="405"/>
      <c r="X1093" s="405"/>
      <c r="Y1093" s="405"/>
      <c r="Z1093" s="405"/>
      <c r="AA1093" s="405"/>
      <c r="AB1093" s="405"/>
      <c r="AC1093" s="405"/>
      <c r="AD1093" s="405"/>
    </row>
    <row r="1094" ht="14.25" customHeight="1">
      <c r="A1094" s="211">
        <v>1.0</v>
      </c>
      <c r="B1094" s="46" t="s">
        <v>4665</v>
      </c>
      <c r="C1094" s="46" t="s">
        <v>4666</v>
      </c>
      <c r="D1094" s="46"/>
      <c r="E1094" s="46"/>
      <c r="F1094" s="50"/>
      <c r="G1094" s="89" t="s">
        <v>4667</v>
      </c>
      <c r="H1094" s="81">
        <v>300.0</v>
      </c>
      <c r="I1094" s="81">
        <v>1500.0</v>
      </c>
      <c r="J1094" s="81">
        <v>3.0</v>
      </c>
      <c r="K1094" s="81">
        <v>3.0</v>
      </c>
      <c r="L1094" s="81">
        <v>0.0</v>
      </c>
      <c r="M1094" s="81" t="s">
        <v>661</v>
      </c>
      <c r="N1094" s="81"/>
      <c r="O1094" s="81"/>
      <c r="P1094" s="81" t="s">
        <v>66</v>
      </c>
      <c r="Q1094" s="81">
        <v>30.0</v>
      </c>
      <c r="R1094" s="46"/>
      <c r="S1094" s="129"/>
      <c r="T1094" s="129"/>
      <c r="U1094" s="129"/>
      <c r="V1094" s="129"/>
      <c r="W1094" s="129"/>
      <c r="X1094" s="129"/>
      <c r="Y1094" s="129"/>
      <c r="Z1094" s="129"/>
      <c r="AA1094" s="129"/>
      <c r="AB1094" s="129"/>
      <c r="AC1094" s="129"/>
      <c r="AD1094" s="129"/>
    </row>
    <row r="1095" ht="14.25" customHeight="1">
      <c r="A1095" s="211">
        <v>2.0</v>
      </c>
      <c r="B1095" s="46" t="s">
        <v>43</v>
      </c>
      <c r="C1095" s="46" t="s">
        <v>4668</v>
      </c>
      <c r="D1095" s="46"/>
      <c r="E1095" s="46"/>
      <c r="F1095" s="50"/>
      <c r="G1095" s="89" t="s">
        <v>4669</v>
      </c>
      <c r="H1095" s="81">
        <v>20.0</v>
      </c>
      <c r="I1095" s="81">
        <v>100.0</v>
      </c>
      <c r="J1095" s="81">
        <v>3.0</v>
      </c>
      <c r="K1095" s="81">
        <v>3.0</v>
      </c>
      <c r="L1095" s="81">
        <v>0.0</v>
      </c>
      <c r="M1095" s="81" t="s">
        <v>661</v>
      </c>
      <c r="N1095" s="81"/>
      <c r="O1095" s="81"/>
      <c r="P1095" s="81" t="s">
        <v>29</v>
      </c>
      <c r="Q1095" s="46"/>
      <c r="R1095" s="46"/>
      <c r="S1095" s="129"/>
      <c r="T1095" s="129"/>
      <c r="U1095" s="129"/>
      <c r="V1095" s="129"/>
      <c r="W1095" s="129"/>
      <c r="X1095" s="129"/>
      <c r="Y1095" s="129"/>
      <c r="Z1095" s="129"/>
      <c r="AA1095" s="129"/>
      <c r="AB1095" s="129"/>
      <c r="AC1095" s="129"/>
      <c r="AD1095" s="129"/>
    </row>
    <row r="1096" ht="14.25" customHeight="1">
      <c r="A1096" s="211">
        <v>3.0</v>
      </c>
      <c r="B1096" s="46" t="s">
        <v>4670</v>
      </c>
      <c r="C1096" s="46" t="s">
        <v>4671</v>
      </c>
      <c r="D1096" s="46"/>
      <c r="E1096" s="46"/>
      <c r="F1096" s="50"/>
      <c r="G1096" s="89" t="s">
        <v>4672</v>
      </c>
      <c r="H1096" s="81">
        <v>15.0</v>
      </c>
      <c r="I1096" s="81">
        <v>75.0</v>
      </c>
      <c r="J1096" s="81">
        <v>1.0</v>
      </c>
      <c r="K1096" s="81">
        <v>1.0</v>
      </c>
      <c r="L1096" s="81">
        <v>0.0</v>
      </c>
      <c r="M1096" s="81" t="s">
        <v>661</v>
      </c>
      <c r="N1096" s="81"/>
      <c r="O1096" s="81"/>
      <c r="P1096" s="81" t="s">
        <v>29</v>
      </c>
      <c r="Q1096" s="46"/>
      <c r="R1096" s="46"/>
      <c r="S1096" s="129"/>
      <c r="T1096" s="129"/>
      <c r="U1096" s="129"/>
      <c r="V1096" s="129"/>
      <c r="W1096" s="129"/>
      <c r="X1096" s="129"/>
      <c r="Y1096" s="129"/>
      <c r="Z1096" s="129"/>
      <c r="AA1096" s="129"/>
      <c r="AB1096" s="129"/>
      <c r="AC1096" s="129"/>
      <c r="AD1096" s="129"/>
    </row>
    <row r="1097" ht="14.25" customHeight="1">
      <c r="A1097" s="211">
        <v>4.0</v>
      </c>
      <c r="B1097" s="46" t="s">
        <v>4673</v>
      </c>
      <c r="C1097" s="46" t="s">
        <v>4674</v>
      </c>
      <c r="D1097" s="46"/>
      <c r="E1097" s="46"/>
      <c r="F1097" s="50"/>
      <c r="G1097" s="89" t="s">
        <v>4675</v>
      </c>
      <c r="H1097" s="81">
        <v>6.0</v>
      </c>
      <c r="I1097" s="81">
        <v>30.0</v>
      </c>
      <c r="J1097" s="81">
        <v>1.0</v>
      </c>
      <c r="K1097" s="81">
        <v>1.0</v>
      </c>
      <c r="L1097" s="81"/>
      <c r="M1097" s="81" t="s">
        <v>661</v>
      </c>
      <c r="N1097" s="81"/>
      <c r="O1097" s="81"/>
      <c r="P1097" s="81" t="s">
        <v>29</v>
      </c>
      <c r="Q1097" s="46"/>
      <c r="R1097" s="46"/>
      <c r="S1097" s="129"/>
      <c r="T1097" s="129"/>
      <c r="U1097" s="129"/>
      <c r="V1097" s="129"/>
      <c r="W1097" s="129"/>
      <c r="X1097" s="129"/>
      <c r="Y1097" s="129"/>
      <c r="Z1097" s="129"/>
      <c r="AA1097" s="129"/>
      <c r="AB1097" s="129"/>
      <c r="AC1097" s="129"/>
      <c r="AD1097" s="129"/>
    </row>
    <row r="1098" ht="14.25" customHeight="1">
      <c r="A1098" s="211">
        <v>5.0</v>
      </c>
      <c r="B1098" s="46" t="s">
        <v>4676</v>
      </c>
      <c r="C1098" s="46" t="s">
        <v>4677</v>
      </c>
      <c r="D1098" s="46"/>
      <c r="E1098" s="46"/>
      <c r="F1098" s="50"/>
      <c r="G1098" s="89" t="s">
        <v>4678</v>
      </c>
      <c r="H1098" s="81">
        <v>4.0</v>
      </c>
      <c r="I1098" s="81">
        <v>20.0</v>
      </c>
      <c r="J1098" s="81"/>
      <c r="K1098" s="81"/>
      <c r="L1098" s="81"/>
      <c r="M1098" s="81"/>
      <c r="N1098" s="81"/>
      <c r="O1098" s="81"/>
      <c r="P1098" s="81" t="s">
        <v>29</v>
      </c>
      <c r="Q1098" s="46"/>
      <c r="R1098" s="46"/>
      <c r="S1098" s="129"/>
      <c r="T1098" s="129"/>
      <c r="U1098" s="129"/>
      <c r="V1098" s="129"/>
      <c r="W1098" s="129"/>
      <c r="X1098" s="129"/>
      <c r="Y1098" s="129"/>
      <c r="Z1098" s="129"/>
      <c r="AA1098" s="129"/>
      <c r="AB1098" s="129"/>
      <c r="AC1098" s="129"/>
      <c r="AD1098" s="129"/>
    </row>
    <row r="1099" ht="15.75" customHeight="1">
      <c r="A1099" s="181"/>
      <c r="B1099" s="182" t="s">
        <v>4679</v>
      </c>
      <c r="C1099" s="182"/>
      <c r="D1099" s="182"/>
      <c r="E1099" s="182"/>
      <c r="F1099" s="403"/>
      <c r="G1099" s="404"/>
      <c r="H1099" s="182"/>
      <c r="I1099" s="182"/>
      <c r="J1099" s="91"/>
      <c r="K1099" s="91"/>
      <c r="L1099" s="91"/>
      <c r="M1099" s="91"/>
      <c r="N1099" s="91"/>
      <c r="O1099" s="91"/>
      <c r="P1099" s="182"/>
      <c r="Q1099" s="91"/>
      <c r="R1099" s="218"/>
      <c r="S1099" s="405"/>
      <c r="T1099" s="405"/>
      <c r="U1099" s="405"/>
      <c r="V1099" s="405"/>
      <c r="W1099" s="405"/>
      <c r="X1099" s="405"/>
      <c r="Y1099" s="405"/>
      <c r="Z1099" s="405"/>
      <c r="AA1099" s="405"/>
      <c r="AB1099" s="405"/>
      <c r="AC1099" s="405"/>
      <c r="AD1099" s="405"/>
    </row>
    <row r="1100" ht="14.25" customHeight="1">
      <c r="A1100" s="211">
        <v>1.0</v>
      </c>
      <c r="B1100" s="46" t="s">
        <v>4680</v>
      </c>
      <c r="C1100" s="46" t="s">
        <v>4681</v>
      </c>
      <c r="D1100" s="46"/>
      <c r="E1100" s="46"/>
      <c r="F1100" s="50"/>
      <c r="G1100" s="275" t="s">
        <v>4682</v>
      </c>
      <c r="H1100" s="46">
        <v>100.0</v>
      </c>
      <c r="I1100" s="46">
        <v>500.0</v>
      </c>
      <c r="J1100" s="46">
        <v>1.0</v>
      </c>
      <c r="K1100" s="46">
        <v>1.0</v>
      </c>
      <c r="L1100" s="46">
        <v>1.0</v>
      </c>
      <c r="M1100" s="132" t="s">
        <v>4683</v>
      </c>
      <c r="N1100" s="46"/>
      <c r="O1100" s="46">
        <v>300.0</v>
      </c>
      <c r="P1100" s="46" t="s">
        <v>29</v>
      </c>
      <c r="Q1100" s="46"/>
      <c r="R1100" s="46"/>
      <c r="S1100" s="129"/>
      <c r="T1100" s="129"/>
      <c r="U1100" s="129"/>
      <c r="V1100" s="129"/>
      <c r="W1100" s="129"/>
      <c r="X1100" s="129"/>
      <c r="Y1100" s="129"/>
      <c r="Z1100" s="129"/>
      <c r="AA1100" s="129"/>
      <c r="AB1100" s="129"/>
      <c r="AC1100" s="129"/>
      <c r="AD1100" s="129"/>
    </row>
    <row r="1101" ht="14.25" customHeight="1">
      <c r="A1101" s="211">
        <v>2.0</v>
      </c>
      <c r="B1101" s="46" t="s">
        <v>4684</v>
      </c>
      <c r="C1101" s="46" t="s">
        <v>4685</v>
      </c>
      <c r="D1101" s="46"/>
      <c r="E1101" s="46"/>
      <c r="F1101" s="50"/>
      <c r="G1101" s="275"/>
      <c r="H1101" s="46">
        <v>50.0</v>
      </c>
      <c r="I1101" s="46">
        <v>150.0</v>
      </c>
      <c r="J1101" s="46">
        <v>1.0</v>
      </c>
      <c r="K1101" s="46">
        <v>1.0</v>
      </c>
      <c r="L1101" s="46"/>
      <c r="M1101" s="46" t="s">
        <v>4687</v>
      </c>
      <c r="N1101" s="46"/>
      <c r="O1101" s="46">
        <v>100.0</v>
      </c>
      <c r="P1101" s="46" t="s">
        <v>29</v>
      </c>
      <c r="Q1101" s="46"/>
      <c r="R1101" s="46"/>
      <c r="S1101" s="129"/>
      <c r="T1101" s="129"/>
      <c r="U1101" s="129"/>
      <c r="V1101" s="129"/>
      <c r="W1101" s="129"/>
      <c r="X1101" s="129"/>
      <c r="Y1101" s="129"/>
      <c r="Z1101" s="129"/>
      <c r="AA1101" s="129"/>
      <c r="AB1101" s="129"/>
      <c r="AC1101" s="129"/>
      <c r="AD1101" s="129"/>
    </row>
    <row r="1102" ht="14.25" customHeight="1">
      <c r="A1102" s="211">
        <v>3.0</v>
      </c>
      <c r="B1102" s="52" t="s">
        <v>4688</v>
      </c>
      <c r="C1102" s="46" t="s">
        <v>4689</v>
      </c>
      <c r="D1102" s="46"/>
      <c r="E1102" s="46"/>
      <c r="F1102" s="50"/>
      <c r="G1102" s="275"/>
      <c r="H1102" s="46">
        <v>100.0</v>
      </c>
      <c r="I1102" s="46">
        <v>500.0</v>
      </c>
      <c r="J1102" s="46">
        <v>1.0</v>
      </c>
      <c r="K1102" s="46">
        <v>1.0</v>
      </c>
      <c r="L1102" s="46"/>
      <c r="M1102" s="46" t="s">
        <v>4687</v>
      </c>
      <c r="N1102" s="46"/>
      <c r="O1102" s="46">
        <v>200.0</v>
      </c>
      <c r="P1102" s="46" t="s">
        <v>29</v>
      </c>
      <c r="Q1102" s="46"/>
      <c r="R1102" s="46"/>
      <c r="S1102" s="129"/>
      <c r="T1102" s="129"/>
      <c r="U1102" s="129"/>
      <c r="V1102" s="129"/>
      <c r="W1102" s="129"/>
      <c r="X1102" s="129"/>
      <c r="Y1102" s="129"/>
      <c r="Z1102" s="129"/>
      <c r="AA1102" s="129"/>
      <c r="AB1102" s="129"/>
      <c r="AC1102" s="129"/>
      <c r="AD1102" s="129"/>
    </row>
    <row r="1103" ht="14.25" customHeight="1">
      <c r="A1103" s="211">
        <v>4.0</v>
      </c>
      <c r="B1103" s="46" t="s">
        <v>4691</v>
      </c>
      <c r="C1103" s="46" t="s">
        <v>4692</v>
      </c>
      <c r="D1103" s="46"/>
      <c r="E1103" s="46"/>
      <c r="F1103" s="50"/>
      <c r="G1103" s="275"/>
      <c r="H1103" s="46">
        <v>70.0</v>
      </c>
      <c r="I1103" s="46">
        <v>350.0</v>
      </c>
      <c r="J1103" s="46">
        <v>1.0</v>
      </c>
      <c r="K1103" s="46">
        <v>1.0</v>
      </c>
      <c r="L1103" s="46"/>
      <c r="M1103" s="46" t="s">
        <v>4687</v>
      </c>
      <c r="N1103" s="46"/>
      <c r="O1103" s="46">
        <v>100.0</v>
      </c>
      <c r="P1103" s="46" t="s">
        <v>29</v>
      </c>
      <c r="Q1103" s="46"/>
      <c r="R1103" s="46"/>
      <c r="S1103" s="129"/>
      <c r="T1103" s="129"/>
      <c r="U1103" s="129"/>
      <c r="V1103" s="129"/>
      <c r="W1103" s="129"/>
      <c r="X1103" s="129"/>
      <c r="Y1103" s="129"/>
      <c r="Z1103" s="129"/>
      <c r="AA1103" s="129"/>
      <c r="AB1103" s="129"/>
      <c r="AC1103" s="129"/>
      <c r="AD1103" s="129"/>
    </row>
    <row r="1104" ht="14.25" customHeight="1">
      <c r="A1104" s="211">
        <v>5.0</v>
      </c>
      <c r="B1104" s="46" t="s">
        <v>4694</v>
      </c>
      <c r="C1104" s="46" t="s">
        <v>4695</v>
      </c>
      <c r="D1104" s="46"/>
      <c r="E1104" s="46"/>
      <c r="F1104" s="50"/>
      <c r="G1104" s="275"/>
      <c r="H1104" s="46">
        <v>60.0</v>
      </c>
      <c r="I1104" s="46">
        <v>250.0</v>
      </c>
      <c r="J1104" s="46">
        <v>1.0</v>
      </c>
      <c r="K1104" s="46">
        <v>1.0</v>
      </c>
      <c r="L1104" s="46"/>
      <c r="M1104" s="46" t="s">
        <v>4687</v>
      </c>
      <c r="N1104" s="46"/>
      <c r="O1104" s="46">
        <v>100.0</v>
      </c>
      <c r="P1104" s="46" t="s">
        <v>29</v>
      </c>
      <c r="Q1104" s="46"/>
      <c r="R1104" s="46"/>
      <c r="S1104" s="129"/>
      <c r="T1104" s="129"/>
      <c r="U1104" s="129"/>
      <c r="V1104" s="129"/>
      <c r="W1104" s="129"/>
      <c r="X1104" s="129"/>
      <c r="Y1104" s="129"/>
      <c r="Z1104" s="129"/>
      <c r="AA1104" s="129"/>
      <c r="AB1104" s="129"/>
      <c r="AC1104" s="129"/>
      <c r="AD1104" s="129"/>
    </row>
    <row r="1105" ht="14.25" customHeight="1">
      <c r="A1105" s="211">
        <v>6.0</v>
      </c>
      <c r="B1105" s="46" t="s">
        <v>4697</v>
      </c>
      <c r="C1105" s="46" t="s">
        <v>4698</v>
      </c>
      <c r="D1105" s="46"/>
      <c r="E1105" s="46"/>
      <c r="F1105" s="50"/>
      <c r="G1105" s="275"/>
      <c r="H1105" s="46">
        <v>60.0</v>
      </c>
      <c r="I1105" s="46">
        <v>250.0</v>
      </c>
      <c r="J1105" s="46">
        <v>1.0</v>
      </c>
      <c r="K1105" s="46">
        <v>1.0</v>
      </c>
      <c r="L1105" s="46"/>
      <c r="M1105" s="46" t="s">
        <v>4687</v>
      </c>
      <c r="N1105" s="46"/>
      <c r="O1105" s="46">
        <v>100.0</v>
      </c>
      <c r="P1105" s="46" t="s">
        <v>29</v>
      </c>
      <c r="Q1105" s="46"/>
      <c r="R1105" s="46"/>
      <c r="S1105" s="129"/>
      <c r="T1105" s="129"/>
      <c r="U1105" s="129"/>
      <c r="V1105" s="129"/>
      <c r="W1105" s="129"/>
      <c r="X1105" s="129"/>
      <c r="Y1105" s="129"/>
      <c r="Z1105" s="129"/>
      <c r="AA1105" s="129"/>
      <c r="AB1105" s="129"/>
      <c r="AC1105" s="129"/>
      <c r="AD1105" s="129"/>
    </row>
    <row r="1106" ht="14.25" customHeight="1">
      <c r="A1106" s="211">
        <v>7.0</v>
      </c>
      <c r="B1106" s="46" t="s">
        <v>4699</v>
      </c>
      <c r="C1106" s="46" t="s">
        <v>4700</v>
      </c>
      <c r="D1106" s="46"/>
      <c r="E1106" s="46"/>
      <c r="F1106" s="50"/>
      <c r="G1106" s="275"/>
      <c r="H1106" s="46">
        <v>60.0</v>
      </c>
      <c r="I1106" s="46"/>
      <c r="J1106" s="46">
        <v>1.0</v>
      </c>
      <c r="K1106" s="46">
        <v>1.0</v>
      </c>
      <c r="L1106" s="46"/>
      <c r="M1106" s="46" t="s">
        <v>4687</v>
      </c>
      <c r="N1106" s="46"/>
      <c r="O1106" s="46">
        <v>100.0</v>
      </c>
      <c r="P1106" s="46" t="s">
        <v>29</v>
      </c>
      <c r="Q1106" s="46"/>
      <c r="R1106" s="46"/>
      <c r="S1106" s="129"/>
      <c r="T1106" s="129"/>
      <c r="U1106" s="129"/>
      <c r="V1106" s="129"/>
      <c r="W1106" s="129"/>
      <c r="X1106" s="129"/>
      <c r="Y1106" s="129"/>
      <c r="Z1106" s="129"/>
      <c r="AA1106" s="129"/>
      <c r="AB1106" s="129"/>
      <c r="AC1106" s="129"/>
      <c r="AD1106" s="129"/>
    </row>
    <row r="1107" ht="14.25" customHeight="1">
      <c r="A1107" s="211">
        <v>8.0</v>
      </c>
      <c r="B1107" s="46" t="s">
        <v>4701</v>
      </c>
      <c r="C1107" s="46" t="s">
        <v>4702</v>
      </c>
      <c r="D1107" s="46"/>
      <c r="E1107" s="46"/>
      <c r="F1107" s="50"/>
      <c r="G1107" s="275"/>
      <c r="H1107" s="46">
        <v>50.0</v>
      </c>
      <c r="I1107" s="46">
        <v>200.0</v>
      </c>
      <c r="J1107" s="46">
        <v>1.0</v>
      </c>
      <c r="K1107" s="46" t="s">
        <v>4703</v>
      </c>
      <c r="L1107" s="46"/>
      <c r="M1107" s="46" t="s">
        <v>4687</v>
      </c>
      <c r="N1107" s="46"/>
      <c r="O1107" s="46">
        <v>100.0</v>
      </c>
      <c r="P1107" s="46" t="s">
        <v>29</v>
      </c>
      <c r="Q1107" s="46"/>
      <c r="R1107" s="46"/>
      <c r="S1107" s="129"/>
      <c r="T1107" s="129"/>
      <c r="U1107" s="129"/>
      <c r="V1107" s="129"/>
      <c r="W1107" s="129"/>
      <c r="X1107" s="129"/>
      <c r="Y1107" s="129"/>
      <c r="Z1107" s="129"/>
      <c r="AA1107" s="129"/>
      <c r="AB1107" s="129"/>
      <c r="AC1107" s="129"/>
      <c r="AD1107" s="129"/>
    </row>
    <row r="1108" ht="14.25" customHeight="1">
      <c r="A1108" s="211">
        <v>9.0</v>
      </c>
      <c r="B1108" s="46" t="s">
        <v>4704</v>
      </c>
      <c r="C1108" s="46" t="s">
        <v>4705</v>
      </c>
      <c r="D1108" s="46"/>
      <c r="E1108" s="46"/>
      <c r="F1108" s="50"/>
      <c r="G1108" s="275"/>
      <c r="H1108" s="46">
        <v>60.0</v>
      </c>
      <c r="I1108" s="46">
        <v>300.0</v>
      </c>
      <c r="J1108" s="46">
        <v>1.0</v>
      </c>
      <c r="K1108" s="46">
        <v>1.0</v>
      </c>
      <c r="L1108" s="46"/>
      <c r="M1108" s="46" t="s">
        <v>4687</v>
      </c>
      <c r="N1108" s="46"/>
      <c r="O1108" s="46">
        <v>100.0</v>
      </c>
      <c r="P1108" s="46" t="s">
        <v>29</v>
      </c>
      <c r="Q1108" s="46"/>
      <c r="R1108" s="46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</row>
    <row r="1109" ht="14.25" customHeight="1">
      <c r="A1109" s="211">
        <v>10.0</v>
      </c>
      <c r="B1109" s="46" t="s">
        <v>4707</v>
      </c>
      <c r="C1109" s="46" t="s">
        <v>4708</v>
      </c>
      <c r="D1109" s="46"/>
      <c r="E1109" s="46"/>
      <c r="F1109" s="50"/>
      <c r="G1109" s="275"/>
      <c r="H1109" s="46">
        <v>70.0</v>
      </c>
      <c r="I1109" s="46">
        <v>350.0</v>
      </c>
      <c r="J1109" s="46">
        <v>1.0</v>
      </c>
      <c r="K1109" s="46">
        <v>1.0</v>
      </c>
      <c r="L1109" s="46"/>
      <c r="M1109" s="46" t="s">
        <v>4687</v>
      </c>
      <c r="N1109" s="46"/>
      <c r="O1109" s="46">
        <v>100.0</v>
      </c>
      <c r="P1109" s="46" t="s">
        <v>29</v>
      </c>
      <c r="Q1109" s="46"/>
      <c r="R1109" s="46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</row>
    <row r="1110" ht="14.25" customHeight="1">
      <c r="A1110" s="211">
        <v>11.0</v>
      </c>
      <c r="B1110" s="46" t="s">
        <v>4709</v>
      </c>
      <c r="C1110" s="46" t="s">
        <v>4710</v>
      </c>
      <c r="D1110" s="46"/>
      <c r="E1110" s="46"/>
      <c r="F1110" s="50"/>
      <c r="G1110" s="275"/>
      <c r="H1110" s="46"/>
      <c r="I1110" s="46">
        <v>200.0</v>
      </c>
      <c r="J1110" s="46">
        <v>1.0</v>
      </c>
      <c r="K1110" s="46">
        <v>1.0</v>
      </c>
      <c r="L1110" s="46"/>
      <c r="M1110" s="46" t="s">
        <v>4687</v>
      </c>
      <c r="N1110" s="46"/>
      <c r="O1110" s="46">
        <v>100.0</v>
      </c>
      <c r="P1110" s="46" t="s">
        <v>29</v>
      </c>
      <c r="Q1110" s="46"/>
      <c r="R1110" s="46"/>
      <c r="S1110" s="129"/>
      <c r="T1110" s="129"/>
      <c r="U1110" s="129"/>
      <c r="V1110" s="129"/>
      <c r="W1110" s="129"/>
      <c r="X1110" s="129"/>
      <c r="Y1110" s="129"/>
      <c r="Z1110" s="129"/>
      <c r="AA1110" s="129"/>
      <c r="AB1110" s="129"/>
      <c r="AC1110" s="129"/>
      <c r="AD1110" s="129"/>
    </row>
    <row r="1111" ht="14.25" customHeight="1">
      <c r="A1111" s="211">
        <v>12.0</v>
      </c>
      <c r="B1111" s="46" t="s">
        <v>4711</v>
      </c>
      <c r="C1111" s="46" t="s">
        <v>4712</v>
      </c>
      <c r="D1111" s="46"/>
      <c r="E1111" s="46"/>
      <c r="F1111" s="50"/>
      <c r="G1111" s="275"/>
      <c r="H1111" s="46">
        <v>30.0</v>
      </c>
      <c r="I1111" s="46">
        <v>200.0</v>
      </c>
      <c r="J1111" s="46">
        <v>1.0</v>
      </c>
      <c r="K1111" s="46">
        <v>1.0</v>
      </c>
      <c r="L1111" s="46"/>
      <c r="M1111" s="46" t="s">
        <v>4687</v>
      </c>
      <c r="N1111" s="46"/>
      <c r="O1111" s="46">
        <v>75.0</v>
      </c>
      <c r="P1111" s="46" t="s">
        <v>29</v>
      </c>
      <c r="Q1111" s="46"/>
      <c r="R1111" s="46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</row>
    <row r="1112" ht="14.25" customHeight="1">
      <c r="A1112" s="211">
        <v>13.0</v>
      </c>
      <c r="B1112" s="46" t="s">
        <v>4714</v>
      </c>
      <c r="C1112" s="46" t="s">
        <v>4715</v>
      </c>
      <c r="D1112" s="46"/>
      <c r="E1112" s="46"/>
      <c r="F1112" s="50"/>
      <c r="G1112" s="275"/>
      <c r="H1112" s="46"/>
      <c r="I1112" s="46">
        <v>250.0</v>
      </c>
      <c r="J1112" s="46">
        <v>1.0</v>
      </c>
      <c r="K1112" s="46">
        <v>1.0</v>
      </c>
      <c r="L1112" s="46"/>
      <c r="M1112" s="46" t="s">
        <v>4687</v>
      </c>
      <c r="N1112" s="46"/>
      <c r="O1112" s="46">
        <v>100.0</v>
      </c>
      <c r="P1112" s="46" t="s">
        <v>29</v>
      </c>
      <c r="Q1112" s="46"/>
      <c r="R1112" s="46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</row>
    <row r="1113" ht="14.25" customHeight="1">
      <c r="A1113" s="211">
        <v>14.0</v>
      </c>
      <c r="B1113" s="46" t="s">
        <v>4716</v>
      </c>
      <c r="C1113" s="46" t="s">
        <v>4717</v>
      </c>
      <c r="D1113" s="46"/>
      <c r="E1113" s="46"/>
      <c r="F1113" s="50"/>
      <c r="G1113" s="275"/>
      <c r="H1113" s="46">
        <v>50.0</v>
      </c>
      <c r="I1113" s="46">
        <v>250.0</v>
      </c>
      <c r="J1113" s="46">
        <v>1.0</v>
      </c>
      <c r="K1113" s="46">
        <v>1.0</v>
      </c>
      <c r="L1113" s="46"/>
      <c r="M1113" s="46" t="s">
        <v>4687</v>
      </c>
      <c r="N1113" s="46"/>
      <c r="O1113" s="46">
        <v>100.0</v>
      </c>
      <c r="P1113" s="46" t="s">
        <v>29</v>
      </c>
      <c r="Q1113" s="46"/>
      <c r="R1113" s="46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</row>
    <row r="1114" ht="14.25" customHeight="1">
      <c r="A1114" s="211">
        <v>15.0</v>
      </c>
      <c r="B1114" s="46" t="s">
        <v>4718</v>
      </c>
      <c r="C1114" s="46" t="s">
        <v>4719</v>
      </c>
      <c r="D1114" s="46"/>
      <c r="E1114" s="46"/>
      <c r="F1114" s="50"/>
      <c r="G1114" s="275"/>
      <c r="H1114" s="46">
        <v>40.0</v>
      </c>
      <c r="I1114" s="46">
        <v>200.0</v>
      </c>
      <c r="J1114" s="46">
        <v>1.0</v>
      </c>
      <c r="K1114" s="46">
        <v>1.0</v>
      </c>
      <c r="L1114" s="46"/>
      <c r="M1114" s="46" t="s">
        <v>4687</v>
      </c>
      <c r="N1114" s="46"/>
      <c r="O1114" s="46">
        <v>100.0</v>
      </c>
      <c r="P1114" s="46" t="s">
        <v>29</v>
      </c>
      <c r="Q1114" s="46"/>
      <c r="R1114" s="46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</row>
    <row r="1115" ht="14.25" customHeight="1">
      <c r="A1115" s="211">
        <v>16.0</v>
      </c>
      <c r="B1115" s="46" t="s">
        <v>4720</v>
      </c>
      <c r="C1115" s="46" t="s">
        <v>4721</v>
      </c>
      <c r="D1115" s="46"/>
      <c r="E1115" s="46"/>
      <c r="F1115" s="50"/>
      <c r="G1115" s="275"/>
      <c r="H1115" s="46">
        <v>40.0</v>
      </c>
      <c r="I1115" s="46">
        <v>200.0</v>
      </c>
      <c r="J1115" s="46">
        <v>1.0</v>
      </c>
      <c r="K1115" s="46">
        <v>1.0</v>
      </c>
      <c r="L1115" s="46"/>
      <c r="M1115" s="46" t="s">
        <v>4687</v>
      </c>
      <c r="N1115" s="46"/>
      <c r="O1115" s="46">
        <v>100.0</v>
      </c>
      <c r="P1115" s="46" t="s">
        <v>29</v>
      </c>
      <c r="Q1115" s="46"/>
      <c r="R1115" s="46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</row>
    <row r="1116" ht="14.25" customHeight="1">
      <c r="A1116" s="211">
        <v>17.0</v>
      </c>
      <c r="B1116" s="46" t="s">
        <v>4722</v>
      </c>
      <c r="C1116" s="46" t="s">
        <v>4723</v>
      </c>
      <c r="D1116" s="46"/>
      <c r="E1116" s="46"/>
      <c r="F1116" s="50"/>
      <c r="G1116" s="275"/>
      <c r="H1116" s="46">
        <v>40.0</v>
      </c>
      <c r="I1116" s="46">
        <v>200.0</v>
      </c>
      <c r="J1116" s="46">
        <v>1.0</v>
      </c>
      <c r="K1116" s="46">
        <v>1.0</v>
      </c>
      <c r="L1116" s="46"/>
      <c r="M1116" s="46" t="s">
        <v>4687</v>
      </c>
      <c r="N1116" s="46"/>
      <c r="O1116" s="46">
        <v>75.0</v>
      </c>
      <c r="P1116" s="46" t="s">
        <v>29</v>
      </c>
      <c r="Q1116" s="46"/>
      <c r="R1116" s="46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</row>
    <row r="1117" ht="14.25" customHeight="1">
      <c r="A1117" s="211">
        <v>18.0</v>
      </c>
      <c r="B1117" s="46" t="s">
        <v>4724</v>
      </c>
      <c r="C1117" s="46" t="s">
        <v>4725</v>
      </c>
      <c r="D1117" s="46"/>
      <c r="E1117" s="46"/>
      <c r="F1117" s="50"/>
      <c r="G1117" s="275"/>
      <c r="H1117" s="46">
        <v>30.0</v>
      </c>
      <c r="I1117" s="46">
        <v>175.0</v>
      </c>
      <c r="J1117" s="46">
        <v>1.0</v>
      </c>
      <c r="K1117" s="46">
        <v>1.0</v>
      </c>
      <c r="L1117" s="46"/>
      <c r="M1117" s="46" t="s">
        <v>4687</v>
      </c>
      <c r="N1117" s="46"/>
      <c r="O1117" s="46">
        <v>75.0</v>
      </c>
      <c r="P1117" s="46" t="s">
        <v>29</v>
      </c>
      <c r="Q1117" s="46"/>
      <c r="R1117" s="46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</row>
    <row r="1118" ht="14.25" customHeight="1">
      <c r="A1118" s="211">
        <v>19.0</v>
      </c>
      <c r="B1118" s="46" t="s">
        <v>4726</v>
      </c>
      <c r="C1118" s="46" t="s">
        <v>4727</v>
      </c>
      <c r="D1118" s="46"/>
      <c r="E1118" s="46"/>
      <c r="F1118" s="50"/>
      <c r="G1118" s="275"/>
      <c r="H1118" s="46">
        <v>70.0</v>
      </c>
      <c r="I1118" s="46">
        <v>350.0</v>
      </c>
      <c r="J1118" s="46">
        <v>1.0</v>
      </c>
      <c r="K1118" s="46">
        <v>1.0</v>
      </c>
      <c r="L1118" s="46"/>
      <c r="M1118" s="46" t="s">
        <v>4687</v>
      </c>
      <c r="N1118" s="46"/>
      <c r="O1118" s="46">
        <v>100.0</v>
      </c>
      <c r="P1118" s="46" t="s">
        <v>29</v>
      </c>
      <c r="Q1118" s="46"/>
      <c r="R1118" s="46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</row>
    <row r="1119" ht="14.25" customHeight="1">
      <c r="A1119" s="211">
        <v>20.0</v>
      </c>
      <c r="B1119" s="46" t="s">
        <v>4728</v>
      </c>
      <c r="C1119" s="46" t="s">
        <v>4729</v>
      </c>
      <c r="D1119" s="46"/>
      <c r="E1119" s="46"/>
      <c r="F1119" s="50"/>
      <c r="G1119" s="275"/>
      <c r="H1119" s="46">
        <v>60.0</v>
      </c>
      <c r="I1119" s="46">
        <v>300.0</v>
      </c>
      <c r="J1119" s="46">
        <v>1.0</v>
      </c>
      <c r="K1119" s="46">
        <v>1.0</v>
      </c>
      <c r="L1119" s="46"/>
      <c r="M1119" s="46" t="s">
        <v>4687</v>
      </c>
      <c r="N1119" s="46"/>
      <c r="O1119" s="46">
        <v>100.0</v>
      </c>
      <c r="P1119" s="46" t="s">
        <v>29</v>
      </c>
      <c r="Q1119" s="46"/>
      <c r="R1119" s="46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</row>
    <row r="1120" ht="14.25" customHeight="1">
      <c r="A1120" s="211">
        <v>21.0</v>
      </c>
      <c r="B1120" s="46" t="s">
        <v>4730</v>
      </c>
      <c r="C1120" s="46" t="s">
        <v>4731</v>
      </c>
      <c r="D1120" s="46"/>
      <c r="E1120" s="46"/>
      <c r="F1120" s="50"/>
      <c r="G1120" s="275"/>
      <c r="H1120" s="46">
        <v>60.0</v>
      </c>
      <c r="I1120" s="46">
        <v>300.0</v>
      </c>
      <c r="J1120" s="46">
        <v>1.0</v>
      </c>
      <c r="K1120" s="46">
        <v>1.0</v>
      </c>
      <c r="L1120" s="46"/>
      <c r="M1120" s="52" t="s">
        <v>4683</v>
      </c>
      <c r="N1120" s="46"/>
      <c r="O1120" s="46">
        <v>100.0</v>
      </c>
      <c r="P1120" s="46" t="s">
        <v>29</v>
      </c>
      <c r="Q1120" s="46"/>
      <c r="R1120" s="46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</row>
    <row r="1121" ht="14.25" customHeight="1">
      <c r="A1121" s="211">
        <v>22.0</v>
      </c>
      <c r="B1121" s="46" t="s">
        <v>4732</v>
      </c>
      <c r="C1121" s="46" t="s">
        <v>4733</v>
      </c>
      <c r="D1121" s="46"/>
      <c r="E1121" s="46"/>
      <c r="F1121" s="50"/>
      <c r="G1121" s="275"/>
      <c r="H1121" s="46">
        <v>50.0</v>
      </c>
      <c r="I1121" s="46">
        <v>250.0</v>
      </c>
      <c r="J1121" s="46">
        <v>2.0</v>
      </c>
      <c r="K1121" s="46">
        <v>2.0</v>
      </c>
      <c r="L1121" s="46"/>
      <c r="M1121" s="52" t="s">
        <v>4683</v>
      </c>
      <c r="N1121" s="46"/>
      <c r="O1121" s="46">
        <v>75.0</v>
      </c>
      <c r="P1121" s="46" t="s">
        <v>29</v>
      </c>
      <c r="Q1121" s="46"/>
      <c r="R1121" s="46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</row>
    <row r="1122" ht="14.25" customHeight="1">
      <c r="A1122" s="211">
        <v>23.0</v>
      </c>
      <c r="B1122" s="46" t="s">
        <v>4734</v>
      </c>
      <c r="C1122" s="46" t="s">
        <v>4735</v>
      </c>
      <c r="D1122" s="46"/>
      <c r="E1122" s="46"/>
      <c r="F1122" s="50"/>
      <c r="G1122" s="275" t="s">
        <v>4736</v>
      </c>
      <c r="H1122" s="46">
        <v>25.0</v>
      </c>
      <c r="I1122" s="46">
        <v>150.0</v>
      </c>
      <c r="J1122" s="46">
        <v>2.0</v>
      </c>
      <c r="K1122" s="46">
        <v>2.0</v>
      </c>
      <c r="L1122" s="46">
        <v>1.0</v>
      </c>
      <c r="M1122" s="52" t="s">
        <v>4683</v>
      </c>
      <c r="N1122" s="46"/>
      <c r="O1122" s="46">
        <v>150.0</v>
      </c>
      <c r="P1122" s="46" t="s">
        <v>66</v>
      </c>
      <c r="Q1122" s="46">
        <v>50.0</v>
      </c>
      <c r="R1122" s="46"/>
      <c r="S1122" s="129"/>
      <c r="T1122" s="129"/>
      <c r="U1122" s="129"/>
      <c r="V1122" s="129"/>
      <c r="W1122" s="129"/>
      <c r="X1122" s="129"/>
      <c r="Y1122" s="129"/>
      <c r="Z1122" s="129"/>
      <c r="AA1122" s="129"/>
      <c r="AB1122" s="129"/>
      <c r="AC1122" s="129"/>
      <c r="AD1122" s="129"/>
    </row>
    <row r="1123" ht="15.75" customHeight="1">
      <c r="A1123" s="181"/>
      <c r="B1123" s="182" t="s">
        <v>4737</v>
      </c>
      <c r="C1123" s="182"/>
      <c r="D1123" s="182"/>
      <c r="E1123" s="182"/>
      <c r="F1123" s="403"/>
      <c r="G1123" s="404"/>
      <c r="H1123" s="182"/>
      <c r="I1123" s="182"/>
      <c r="J1123" s="91"/>
      <c r="K1123" s="91"/>
      <c r="L1123" s="91"/>
      <c r="M1123" s="91"/>
      <c r="N1123" s="91"/>
      <c r="O1123" s="91"/>
      <c r="P1123" s="182"/>
      <c r="Q1123" s="91"/>
      <c r="R1123" s="218"/>
      <c r="S1123" s="405"/>
      <c r="T1123" s="405"/>
      <c r="U1123" s="405"/>
      <c r="V1123" s="405"/>
      <c r="W1123" s="405"/>
      <c r="X1123" s="405"/>
      <c r="Y1123" s="405"/>
      <c r="Z1123" s="405"/>
      <c r="AA1123" s="405"/>
      <c r="AB1123" s="405"/>
      <c r="AC1123" s="405"/>
      <c r="AD1123" s="405"/>
    </row>
    <row r="1124" ht="14.25" customHeight="1">
      <c r="A1124" s="211">
        <v>1.0</v>
      </c>
      <c r="B1124" s="34" t="s">
        <v>4738</v>
      </c>
      <c r="C1124" s="34" t="s">
        <v>4739</v>
      </c>
      <c r="D1124" s="34"/>
      <c r="E1124" s="34"/>
      <c r="F1124" s="410"/>
      <c r="G1124" s="432">
        <v>96.0</v>
      </c>
      <c r="H1124" s="34">
        <v>50.0</v>
      </c>
      <c r="I1124" s="425">
        <v>250.0</v>
      </c>
      <c r="J1124" s="425">
        <v>1.0</v>
      </c>
      <c r="K1124" s="425">
        <v>1.0</v>
      </c>
      <c r="L1124" s="425">
        <v>1.0</v>
      </c>
      <c r="M1124" s="425" t="s">
        <v>449</v>
      </c>
      <c r="N1124" s="425" t="s">
        <v>39</v>
      </c>
      <c r="O1124" s="34">
        <v>50.0</v>
      </c>
      <c r="P1124" s="34" t="s">
        <v>29</v>
      </c>
      <c r="Q1124" s="425" t="s">
        <v>39</v>
      </c>
      <c r="R1124" s="34"/>
      <c r="S1124" s="129"/>
      <c r="T1124" s="129"/>
      <c r="U1124" s="129"/>
      <c r="V1124" s="129"/>
      <c r="W1124" s="129"/>
      <c r="X1124" s="129"/>
      <c r="Y1124" s="129"/>
      <c r="Z1124" s="129"/>
      <c r="AA1124" s="129"/>
      <c r="AB1124" s="129"/>
      <c r="AC1124" s="129"/>
      <c r="AD1124" s="129"/>
    </row>
    <row r="1125" ht="14.25" customHeight="1">
      <c r="A1125" s="211">
        <v>2.0</v>
      </c>
      <c r="B1125" s="28" t="s">
        <v>4741</v>
      </c>
      <c r="C1125" s="28" t="s">
        <v>4742</v>
      </c>
      <c r="D1125" s="28"/>
      <c r="E1125" s="28"/>
      <c r="F1125" s="412"/>
      <c r="G1125" s="433">
        <v>96.0</v>
      </c>
      <c r="H1125" s="28">
        <v>50.0</v>
      </c>
      <c r="I1125" s="428">
        <v>250.0</v>
      </c>
      <c r="J1125" s="428">
        <v>1.0</v>
      </c>
      <c r="K1125" s="428">
        <v>1.0</v>
      </c>
      <c r="L1125" s="428">
        <v>1.0</v>
      </c>
      <c r="M1125" s="428" t="s">
        <v>449</v>
      </c>
      <c r="N1125" s="428" t="s">
        <v>39</v>
      </c>
      <c r="O1125" s="28">
        <v>50.0</v>
      </c>
      <c r="P1125" s="28" t="s">
        <v>29</v>
      </c>
      <c r="Q1125" s="428" t="s">
        <v>39</v>
      </c>
      <c r="R1125" s="28"/>
      <c r="S1125" s="129"/>
      <c r="T1125" s="129"/>
      <c r="U1125" s="129"/>
      <c r="V1125" s="129"/>
      <c r="W1125" s="129"/>
      <c r="X1125" s="129"/>
      <c r="Y1125" s="129"/>
      <c r="Z1125" s="129"/>
      <c r="AA1125" s="129"/>
      <c r="AB1125" s="129"/>
      <c r="AC1125" s="129"/>
      <c r="AD1125" s="129"/>
    </row>
    <row r="1126" ht="14.25" customHeight="1">
      <c r="A1126" s="211">
        <v>3.0</v>
      </c>
      <c r="B1126" s="34" t="s">
        <v>4743</v>
      </c>
      <c r="C1126" s="34" t="s">
        <v>4744</v>
      </c>
      <c r="D1126" s="34"/>
      <c r="E1126" s="34"/>
      <c r="F1126" s="410"/>
      <c r="G1126" s="432">
        <v>1500.0</v>
      </c>
      <c r="H1126" s="34">
        <v>200.0</v>
      </c>
      <c r="I1126" s="425">
        <v>1000.0</v>
      </c>
      <c r="J1126" s="425">
        <v>2.0</v>
      </c>
      <c r="K1126" s="425">
        <v>2.0</v>
      </c>
      <c r="L1126" s="425">
        <v>7.0</v>
      </c>
      <c r="M1126" s="425" t="s">
        <v>449</v>
      </c>
      <c r="N1126" s="425" t="s">
        <v>39</v>
      </c>
      <c r="O1126" s="34">
        <v>200.0</v>
      </c>
      <c r="P1126" s="34" t="s">
        <v>29</v>
      </c>
      <c r="Q1126" s="425" t="s">
        <v>39</v>
      </c>
      <c r="R1126" s="34"/>
      <c r="S1126" s="129"/>
      <c r="T1126" s="129"/>
      <c r="U1126" s="129"/>
      <c r="V1126" s="129"/>
      <c r="W1126" s="129"/>
      <c r="X1126" s="129"/>
      <c r="Y1126" s="129"/>
      <c r="Z1126" s="129"/>
      <c r="AA1126" s="129"/>
      <c r="AB1126" s="129"/>
      <c r="AC1126" s="129"/>
      <c r="AD1126" s="129"/>
    </row>
    <row r="1127" ht="14.25" customHeight="1">
      <c r="A1127" s="211">
        <v>4.0</v>
      </c>
      <c r="B1127" s="28" t="s">
        <v>4745</v>
      </c>
      <c r="C1127" s="28" t="s">
        <v>4746</v>
      </c>
      <c r="D1127" s="28"/>
      <c r="E1127" s="28"/>
      <c r="F1127" s="412"/>
      <c r="G1127" s="433">
        <v>800.0</v>
      </c>
      <c r="H1127" s="28">
        <v>300.0</v>
      </c>
      <c r="I1127" s="428">
        <v>1500.0</v>
      </c>
      <c r="J1127" s="428">
        <v>2.0</v>
      </c>
      <c r="K1127" s="428">
        <v>2.0</v>
      </c>
      <c r="L1127" s="428">
        <v>10.0</v>
      </c>
      <c r="M1127" s="428" t="s">
        <v>449</v>
      </c>
      <c r="N1127" s="428" t="s">
        <v>39</v>
      </c>
      <c r="O1127" s="28">
        <v>300.0</v>
      </c>
      <c r="P1127" s="28" t="s">
        <v>29</v>
      </c>
      <c r="Q1127" s="428" t="s">
        <v>39</v>
      </c>
      <c r="R1127" s="28"/>
      <c r="S1127" s="129"/>
      <c r="T1127" s="129"/>
      <c r="U1127" s="129"/>
      <c r="V1127" s="129"/>
      <c r="W1127" s="129"/>
      <c r="X1127" s="129"/>
      <c r="Y1127" s="129"/>
      <c r="Z1127" s="129"/>
      <c r="AA1127" s="129"/>
      <c r="AB1127" s="129"/>
      <c r="AC1127" s="129"/>
      <c r="AD1127" s="129"/>
    </row>
    <row r="1128" ht="14.25" customHeight="1">
      <c r="A1128" s="211">
        <v>5.0</v>
      </c>
      <c r="B1128" s="34" t="s">
        <v>4747</v>
      </c>
      <c r="C1128" s="34" t="s">
        <v>4748</v>
      </c>
      <c r="D1128" s="34"/>
      <c r="E1128" s="34"/>
      <c r="F1128" s="410"/>
      <c r="G1128" s="432">
        <v>900.0</v>
      </c>
      <c r="H1128" s="34">
        <v>200.0</v>
      </c>
      <c r="I1128" s="425">
        <v>1000.0</v>
      </c>
      <c r="J1128" s="425">
        <v>0.0</v>
      </c>
      <c r="K1128" s="425">
        <v>0.0</v>
      </c>
      <c r="L1128" s="425">
        <v>3.0</v>
      </c>
      <c r="M1128" s="425" t="s">
        <v>449</v>
      </c>
      <c r="N1128" s="425" t="s">
        <v>39</v>
      </c>
      <c r="O1128" s="34">
        <v>200.0</v>
      </c>
      <c r="P1128" s="34" t="s">
        <v>29</v>
      </c>
      <c r="Q1128" s="425" t="s">
        <v>39</v>
      </c>
      <c r="R1128" s="34"/>
      <c r="S1128" s="129"/>
      <c r="T1128" s="129"/>
      <c r="U1128" s="129"/>
      <c r="V1128" s="129"/>
      <c r="W1128" s="129"/>
      <c r="X1128" s="129"/>
      <c r="Y1128" s="129"/>
      <c r="Z1128" s="129"/>
      <c r="AA1128" s="129"/>
      <c r="AB1128" s="129"/>
      <c r="AC1128" s="129"/>
      <c r="AD1128" s="129"/>
    </row>
    <row r="1129" ht="14.25" customHeight="1">
      <c r="A1129" s="211">
        <v>6.0</v>
      </c>
      <c r="B1129" s="28" t="s">
        <v>4749</v>
      </c>
      <c r="C1129" s="28" t="s">
        <v>4748</v>
      </c>
      <c r="D1129" s="28"/>
      <c r="E1129" s="28"/>
      <c r="F1129" s="412"/>
      <c r="G1129" s="433" t="s">
        <v>39</v>
      </c>
      <c r="H1129" s="28" t="s">
        <v>39</v>
      </c>
      <c r="I1129" s="428" t="s">
        <v>39</v>
      </c>
      <c r="J1129" s="428" t="s">
        <v>39</v>
      </c>
      <c r="K1129" s="428" t="s">
        <v>39</v>
      </c>
      <c r="L1129" s="428" t="s">
        <v>39</v>
      </c>
      <c r="M1129" s="428" t="s">
        <v>39</v>
      </c>
      <c r="N1129" s="428" t="s">
        <v>39</v>
      </c>
      <c r="O1129" s="28" t="s">
        <v>39</v>
      </c>
      <c r="P1129" s="28" t="s">
        <v>29</v>
      </c>
      <c r="Q1129" s="428" t="s">
        <v>39</v>
      </c>
      <c r="R1129" s="28"/>
      <c r="S1129" s="129"/>
      <c r="T1129" s="129"/>
      <c r="U1129" s="129"/>
      <c r="V1129" s="129"/>
      <c r="W1129" s="129"/>
      <c r="X1129" s="129"/>
      <c r="Y1129" s="129"/>
      <c r="Z1129" s="129"/>
      <c r="AA1129" s="129"/>
      <c r="AB1129" s="129"/>
      <c r="AC1129" s="129"/>
      <c r="AD1129" s="129"/>
    </row>
    <row r="1130" ht="14.25" customHeight="1">
      <c r="A1130" s="211">
        <v>7.0</v>
      </c>
      <c r="B1130" s="34" t="s">
        <v>4750</v>
      </c>
      <c r="C1130" s="34" t="s">
        <v>4748</v>
      </c>
      <c r="D1130" s="34"/>
      <c r="E1130" s="34"/>
      <c r="F1130" s="410"/>
      <c r="G1130" s="432" t="s">
        <v>39</v>
      </c>
      <c r="H1130" s="34" t="s">
        <v>39</v>
      </c>
      <c r="I1130" s="425" t="s">
        <v>39</v>
      </c>
      <c r="J1130" s="425" t="s">
        <v>39</v>
      </c>
      <c r="K1130" s="425" t="s">
        <v>39</v>
      </c>
      <c r="L1130" s="425" t="s">
        <v>39</v>
      </c>
      <c r="M1130" s="425" t="s">
        <v>39</v>
      </c>
      <c r="N1130" s="425" t="s">
        <v>39</v>
      </c>
      <c r="O1130" s="34" t="s">
        <v>39</v>
      </c>
      <c r="P1130" s="34" t="s">
        <v>29</v>
      </c>
      <c r="Q1130" s="425" t="s">
        <v>39</v>
      </c>
      <c r="R1130" s="34"/>
      <c r="S1130" s="129"/>
      <c r="T1130" s="129"/>
      <c r="U1130" s="129"/>
      <c r="V1130" s="129"/>
      <c r="W1130" s="129"/>
      <c r="X1130" s="129"/>
      <c r="Y1130" s="129"/>
      <c r="Z1130" s="129"/>
      <c r="AA1130" s="129"/>
      <c r="AB1130" s="129"/>
      <c r="AC1130" s="129"/>
      <c r="AD1130" s="129"/>
    </row>
    <row r="1131" ht="14.25" customHeight="1">
      <c r="A1131" s="211">
        <v>8.0</v>
      </c>
      <c r="B1131" s="28" t="s">
        <v>4751</v>
      </c>
      <c r="C1131" s="28" t="s">
        <v>4753</v>
      </c>
      <c r="D1131" s="28"/>
      <c r="E1131" s="28"/>
      <c r="F1131" s="412"/>
      <c r="G1131" s="433">
        <v>750.0</v>
      </c>
      <c r="H1131" s="28">
        <v>200.0</v>
      </c>
      <c r="I1131" s="428">
        <v>1000.0</v>
      </c>
      <c r="J1131" s="428">
        <v>2.0</v>
      </c>
      <c r="K1131" s="428">
        <v>2.0</v>
      </c>
      <c r="L1131" s="428">
        <v>16.0</v>
      </c>
      <c r="M1131" s="428" t="s">
        <v>449</v>
      </c>
      <c r="N1131" s="428" t="s">
        <v>39</v>
      </c>
      <c r="O1131" s="28">
        <v>200.0</v>
      </c>
      <c r="P1131" s="28" t="s">
        <v>29</v>
      </c>
      <c r="Q1131" s="428" t="s">
        <v>39</v>
      </c>
      <c r="R1131" s="28"/>
      <c r="S1131" s="129"/>
      <c r="T1131" s="129"/>
      <c r="U1131" s="129"/>
      <c r="V1131" s="129"/>
      <c r="W1131" s="129"/>
      <c r="X1131" s="129"/>
      <c r="Y1131" s="129"/>
      <c r="Z1131" s="129"/>
      <c r="AA1131" s="129"/>
      <c r="AB1131" s="129"/>
      <c r="AC1131" s="129"/>
      <c r="AD1131" s="129"/>
    </row>
    <row r="1132" ht="14.25" customHeight="1">
      <c r="A1132" s="211">
        <v>9.0</v>
      </c>
      <c r="B1132" s="34" t="s">
        <v>4752</v>
      </c>
      <c r="C1132" s="34" t="s">
        <v>4753</v>
      </c>
      <c r="D1132" s="34"/>
      <c r="E1132" s="34"/>
      <c r="F1132" s="410"/>
      <c r="G1132" s="432" t="s">
        <v>39</v>
      </c>
      <c r="H1132" s="34" t="s">
        <v>39</v>
      </c>
      <c r="I1132" s="425" t="s">
        <v>39</v>
      </c>
      <c r="J1132" s="425" t="s">
        <v>39</v>
      </c>
      <c r="K1132" s="425" t="s">
        <v>39</v>
      </c>
      <c r="L1132" s="425" t="s">
        <v>39</v>
      </c>
      <c r="M1132" s="425" t="s">
        <v>39</v>
      </c>
      <c r="N1132" s="425" t="s">
        <v>39</v>
      </c>
      <c r="O1132" s="34" t="s">
        <v>39</v>
      </c>
      <c r="P1132" s="34" t="s">
        <v>29</v>
      </c>
      <c r="Q1132" s="425" t="s">
        <v>39</v>
      </c>
      <c r="R1132" s="34"/>
      <c r="S1132" s="129"/>
      <c r="T1132" s="129"/>
      <c r="U1132" s="129"/>
      <c r="V1132" s="129"/>
      <c r="W1132" s="129"/>
      <c r="X1132" s="129"/>
      <c r="Y1132" s="129"/>
      <c r="Z1132" s="129"/>
      <c r="AA1132" s="129"/>
      <c r="AB1132" s="129"/>
      <c r="AC1132" s="129"/>
      <c r="AD1132" s="129"/>
    </row>
    <row r="1133" ht="14.25" customHeight="1">
      <c r="A1133" s="211">
        <v>10.0</v>
      </c>
      <c r="B1133" s="28" t="s">
        <v>4754</v>
      </c>
      <c r="C1133" s="28" t="s">
        <v>4755</v>
      </c>
      <c r="D1133" s="28"/>
      <c r="E1133" s="28"/>
      <c r="F1133" s="412"/>
      <c r="G1133" s="433" t="s">
        <v>39</v>
      </c>
      <c r="H1133" s="28">
        <v>50.0</v>
      </c>
      <c r="I1133" s="428">
        <v>250.0</v>
      </c>
      <c r="J1133" s="428">
        <v>1.0</v>
      </c>
      <c r="K1133" s="428">
        <v>1.0</v>
      </c>
      <c r="L1133" s="428">
        <v>7.0</v>
      </c>
      <c r="M1133" s="428" t="s">
        <v>449</v>
      </c>
      <c r="N1133" s="428" t="s">
        <v>39</v>
      </c>
      <c r="O1133" s="28">
        <v>50.0</v>
      </c>
      <c r="P1133" s="28" t="s">
        <v>29</v>
      </c>
      <c r="Q1133" s="428" t="s">
        <v>39</v>
      </c>
      <c r="R1133" s="28"/>
      <c r="S1133" s="129"/>
      <c r="T1133" s="129"/>
      <c r="U1133" s="129"/>
      <c r="V1133" s="129"/>
      <c r="W1133" s="129"/>
      <c r="X1133" s="129"/>
      <c r="Y1133" s="129"/>
      <c r="Z1133" s="129"/>
      <c r="AA1133" s="129"/>
      <c r="AB1133" s="129"/>
      <c r="AC1133" s="129"/>
      <c r="AD1133" s="129"/>
    </row>
    <row r="1134" ht="14.25" customHeight="1">
      <c r="A1134" s="211">
        <v>11.0</v>
      </c>
      <c r="B1134" s="34" t="s">
        <v>4756</v>
      </c>
      <c r="C1134" s="34" t="s">
        <v>4755</v>
      </c>
      <c r="D1134" s="34"/>
      <c r="E1134" s="34"/>
      <c r="F1134" s="410"/>
      <c r="G1134" s="432" t="s">
        <v>39</v>
      </c>
      <c r="H1134" s="34" t="s">
        <v>39</v>
      </c>
      <c r="I1134" s="34" t="s">
        <v>39</v>
      </c>
      <c r="J1134" s="34" t="s">
        <v>39</v>
      </c>
      <c r="K1134" s="34" t="s">
        <v>39</v>
      </c>
      <c r="L1134" s="34" t="s">
        <v>39</v>
      </c>
      <c r="M1134" s="34" t="s">
        <v>39</v>
      </c>
      <c r="N1134" s="34" t="s">
        <v>39</v>
      </c>
      <c r="O1134" s="34" t="s">
        <v>39</v>
      </c>
      <c r="P1134" s="34" t="s">
        <v>29</v>
      </c>
      <c r="Q1134" s="34" t="s">
        <v>39</v>
      </c>
      <c r="R1134" s="34"/>
      <c r="S1134" s="129"/>
      <c r="T1134" s="129"/>
      <c r="U1134" s="129"/>
      <c r="V1134" s="129"/>
      <c r="W1134" s="129"/>
      <c r="X1134" s="129"/>
      <c r="Y1134" s="129"/>
      <c r="Z1134" s="129"/>
      <c r="AA1134" s="129"/>
      <c r="AB1134" s="129"/>
      <c r="AC1134" s="129"/>
      <c r="AD1134" s="129"/>
    </row>
    <row r="1135" ht="14.25" customHeight="1">
      <c r="A1135" s="211">
        <v>12.0</v>
      </c>
      <c r="B1135" s="28" t="s">
        <v>4757</v>
      </c>
      <c r="C1135" s="28" t="s">
        <v>4758</v>
      </c>
      <c r="D1135" s="28"/>
      <c r="E1135" s="28"/>
      <c r="F1135" s="412"/>
      <c r="G1135" s="433" t="s">
        <v>39</v>
      </c>
      <c r="H1135" s="28">
        <v>50.0</v>
      </c>
      <c r="I1135" s="28">
        <v>250.0</v>
      </c>
      <c r="J1135" s="28">
        <v>1.0</v>
      </c>
      <c r="K1135" s="28">
        <v>1.0</v>
      </c>
      <c r="L1135" s="28">
        <v>5.0</v>
      </c>
      <c r="M1135" s="28" t="s">
        <v>449</v>
      </c>
      <c r="N1135" s="28" t="s">
        <v>39</v>
      </c>
      <c r="O1135" s="28">
        <v>250.0</v>
      </c>
      <c r="P1135" s="28" t="s">
        <v>29</v>
      </c>
      <c r="Q1135" s="28" t="s">
        <v>39</v>
      </c>
      <c r="R1135" s="28"/>
      <c r="S1135" s="129"/>
      <c r="T1135" s="129"/>
      <c r="U1135" s="129"/>
      <c r="V1135" s="129"/>
      <c r="W1135" s="129"/>
      <c r="X1135" s="129"/>
      <c r="Y1135" s="129"/>
      <c r="Z1135" s="129"/>
      <c r="AA1135" s="129"/>
      <c r="AB1135" s="129"/>
      <c r="AC1135" s="129"/>
      <c r="AD1135" s="129"/>
    </row>
    <row r="1136" ht="14.25" customHeight="1">
      <c r="A1136" s="211">
        <v>13.0</v>
      </c>
      <c r="B1136" s="34" t="s">
        <v>4759</v>
      </c>
      <c r="C1136" s="34" t="s">
        <v>4758</v>
      </c>
      <c r="D1136" s="34"/>
      <c r="E1136" s="34"/>
      <c r="F1136" s="410"/>
      <c r="G1136" s="432" t="s">
        <v>39</v>
      </c>
      <c r="H1136" s="34" t="s">
        <v>39</v>
      </c>
      <c r="I1136" s="425" t="s">
        <v>39</v>
      </c>
      <c r="J1136" s="425" t="s">
        <v>39</v>
      </c>
      <c r="K1136" s="425" t="s">
        <v>39</v>
      </c>
      <c r="L1136" s="425" t="s">
        <v>39</v>
      </c>
      <c r="M1136" s="425" t="s">
        <v>39</v>
      </c>
      <c r="N1136" s="425" t="s">
        <v>39</v>
      </c>
      <c r="O1136" s="34" t="s">
        <v>39</v>
      </c>
      <c r="P1136" s="34" t="s">
        <v>29</v>
      </c>
      <c r="Q1136" s="425" t="s">
        <v>39</v>
      </c>
      <c r="R1136" s="34"/>
      <c r="S1136" s="129"/>
      <c r="T1136" s="129"/>
      <c r="U1136" s="129"/>
      <c r="V1136" s="129"/>
      <c r="W1136" s="129"/>
      <c r="X1136" s="129"/>
      <c r="Y1136" s="129"/>
      <c r="Z1136" s="129"/>
      <c r="AA1136" s="129"/>
      <c r="AB1136" s="129"/>
      <c r="AC1136" s="129"/>
      <c r="AD1136" s="129"/>
    </row>
    <row r="1137" ht="14.25" customHeight="1">
      <c r="A1137" s="211">
        <v>14.0</v>
      </c>
      <c r="B1137" s="28" t="s">
        <v>4760</v>
      </c>
      <c r="C1137" s="28" t="s">
        <v>4761</v>
      </c>
      <c r="D1137" s="28"/>
      <c r="E1137" s="28"/>
      <c r="F1137" s="412"/>
      <c r="G1137" s="433" t="s">
        <v>39</v>
      </c>
      <c r="H1137" s="28" t="s">
        <v>39</v>
      </c>
      <c r="I1137" s="28" t="s">
        <v>39</v>
      </c>
      <c r="J1137" s="28" t="s">
        <v>39</v>
      </c>
      <c r="K1137" s="28" t="s">
        <v>39</v>
      </c>
      <c r="L1137" s="28" t="s">
        <v>39</v>
      </c>
      <c r="M1137" s="28" t="s">
        <v>449</v>
      </c>
      <c r="N1137" s="28" t="s">
        <v>39</v>
      </c>
      <c r="O1137" s="28" t="s">
        <v>39</v>
      </c>
      <c r="P1137" s="28" t="s">
        <v>29</v>
      </c>
      <c r="Q1137" s="28" t="s">
        <v>39</v>
      </c>
      <c r="R1137" s="28"/>
      <c r="S1137" s="129"/>
      <c r="T1137" s="129"/>
      <c r="U1137" s="129"/>
      <c r="V1137" s="129"/>
      <c r="W1137" s="129"/>
      <c r="X1137" s="129"/>
      <c r="Y1137" s="129"/>
      <c r="Z1137" s="129"/>
      <c r="AA1137" s="129"/>
      <c r="AB1137" s="129"/>
      <c r="AC1137" s="129"/>
      <c r="AD1137" s="129"/>
    </row>
    <row r="1138" ht="14.25" customHeight="1">
      <c r="A1138" s="211">
        <v>15.0</v>
      </c>
      <c r="B1138" s="34" t="s">
        <v>4762</v>
      </c>
      <c r="C1138" s="34" t="s">
        <v>4761</v>
      </c>
      <c r="D1138" s="34"/>
      <c r="E1138" s="34"/>
      <c r="F1138" s="410"/>
      <c r="G1138" s="432" t="s">
        <v>39</v>
      </c>
      <c r="H1138" s="34" t="s">
        <v>39</v>
      </c>
      <c r="I1138" s="34" t="s">
        <v>39</v>
      </c>
      <c r="J1138" s="425" t="s">
        <v>39</v>
      </c>
      <c r="K1138" s="425" t="s">
        <v>39</v>
      </c>
      <c r="L1138" s="425" t="s">
        <v>39</v>
      </c>
      <c r="M1138" s="425" t="s">
        <v>39</v>
      </c>
      <c r="N1138" s="425" t="s">
        <v>39</v>
      </c>
      <c r="O1138" s="34" t="s">
        <v>39</v>
      </c>
      <c r="P1138" s="34" t="s">
        <v>29</v>
      </c>
      <c r="Q1138" s="425" t="s">
        <v>39</v>
      </c>
      <c r="R1138" s="34"/>
      <c r="S1138" s="129"/>
      <c r="T1138" s="129"/>
      <c r="U1138" s="129"/>
      <c r="V1138" s="129"/>
      <c r="W1138" s="129"/>
      <c r="X1138" s="129"/>
      <c r="Y1138" s="129"/>
      <c r="Z1138" s="129"/>
      <c r="AA1138" s="129"/>
      <c r="AB1138" s="129"/>
      <c r="AC1138" s="129"/>
      <c r="AD1138" s="129"/>
    </row>
    <row r="1139" ht="14.25" customHeight="1">
      <c r="A1139" s="211">
        <v>16.0</v>
      </c>
      <c r="B1139" s="28" t="s">
        <v>4763</v>
      </c>
      <c r="C1139" s="28" t="s">
        <v>4764</v>
      </c>
      <c r="D1139" s="28"/>
      <c r="E1139" s="28"/>
      <c r="F1139" s="412"/>
      <c r="G1139" s="433" t="s">
        <v>39</v>
      </c>
      <c r="H1139" s="28" t="s">
        <v>39</v>
      </c>
      <c r="I1139" s="28" t="s">
        <v>39</v>
      </c>
      <c r="J1139" s="28" t="s">
        <v>39</v>
      </c>
      <c r="K1139" s="28" t="s">
        <v>39</v>
      </c>
      <c r="L1139" s="28">
        <v>7.0</v>
      </c>
      <c r="M1139" s="28" t="s">
        <v>449</v>
      </c>
      <c r="N1139" s="28" t="s">
        <v>39</v>
      </c>
      <c r="O1139" s="28" t="s">
        <v>39</v>
      </c>
      <c r="P1139" s="28" t="s">
        <v>29</v>
      </c>
      <c r="Q1139" s="28" t="s">
        <v>39</v>
      </c>
      <c r="R1139" s="28"/>
      <c r="S1139" s="129"/>
      <c r="T1139" s="129"/>
      <c r="U1139" s="129"/>
      <c r="V1139" s="129"/>
      <c r="W1139" s="129"/>
      <c r="X1139" s="129"/>
      <c r="Y1139" s="129"/>
      <c r="Z1139" s="129"/>
      <c r="AA1139" s="129"/>
      <c r="AB1139" s="129"/>
      <c r="AC1139" s="129"/>
      <c r="AD1139" s="129"/>
    </row>
    <row r="1140" ht="14.25" customHeight="1">
      <c r="A1140" s="211">
        <v>17.0</v>
      </c>
      <c r="B1140" s="34" t="s">
        <v>4371</v>
      </c>
      <c r="C1140" s="34" t="s">
        <v>4764</v>
      </c>
      <c r="D1140" s="34"/>
      <c r="E1140" s="34"/>
      <c r="F1140" s="410"/>
      <c r="G1140" s="432" t="s">
        <v>39</v>
      </c>
      <c r="H1140" s="34" t="s">
        <v>39</v>
      </c>
      <c r="I1140" s="34" t="s">
        <v>39</v>
      </c>
      <c r="J1140" s="425" t="s">
        <v>39</v>
      </c>
      <c r="K1140" s="425" t="s">
        <v>39</v>
      </c>
      <c r="L1140" s="425" t="s">
        <v>39</v>
      </c>
      <c r="M1140" s="425" t="s">
        <v>39</v>
      </c>
      <c r="N1140" s="425" t="s">
        <v>39</v>
      </c>
      <c r="O1140" s="34" t="s">
        <v>39</v>
      </c>
      <c r="P1140" s="34" t="s">
        <v>29</v>
      </c>
      <c r="Q1140" s="425" t="s">
        <v>39</v>
      </c>
      <c r="R1140" s="34"/>
      <c r="S1140" s="129"/>
      <c r="T1140" s="129"/>
      <c r="U1140" s="129"/>
      <c r="V1140" s="129"/>
      <c r="W1140" s="129"/>
      <c r="X1140" s="129"/>
      <c r="Y1140" s="129"/>
      <c r="Z1140" s="129"/>
      <c r="AA1140" s="129"/>
      <c r="AB1140" s="129"/>
      <c r="AC1140" s="129"/>
      <c r="AD1140" s="129"/>
    </row>
    <row r="1141" ht="14.25" customHeight="1">
      <c r="A1141" s="211">
        <v>18.0</v>
      </c>
      <c r="B1141" s="28" t="s">
        <v>4765</v>
      </c>
      <c r="C1141" s="28" t="s">
        <v>4764</v>
      </c>
      <c r="D1141" s="28"/>
      <c r="E1141" s="28"/>
      <c r="F1141" s="412"/>
      <c r="G1141" s="433" t="s">
        <v>39</v>
      </c>
      <c r="H1141" s="28" t="s">
        <v>39</v>
      </c>
      <c r="I1141" s="28" t="s">
        <v>39</v>
      </c>
      <c r="J1141" s="28" t="s">
        <v>39</v>
      </c>
      <c r="K1141" s="28" t="s">
        <v>39</v>
      </c>
      <c r="L1141" s="28" t="s">
        <v>39</v>
      </c>
      <c r="M1141" s="28" t="s">
        <v>39</v>
      </c>
      <c r="N1141" s="28" t="s">
        <v>39</v>
      </c>
      <c r="O1141" s="28" t="s">
        <v>39</v>
      </c>
      <c r="P1141" s="28" t="s">
        <v>29</v>
      </c>
      <c r="Q1141" s="28" t="s">
        <v>39</v>
      </c>
      <c r="R1141" s="28"/>
      <c r="S1141" s="129"/>
      <c r="T1141" s="129"/>
      <c r="U1141" s="129"/>
      <c r="V1141" s="129"/>
      <c r="W1141" s="129"/>
      <c r="X1141" s="129"/>
      <c r="Y1141" s="129"/>
      <c r="Z1141" s="129"/>
      <c r="AA1141" s="129"/>
      <c r="AB1141" s="129"/>
      <c r="AC1141" s="129"/>
      <c r="AD1141" s="129"/>
    </row>
    <row r="1142" ht="14.25" customHeight="1">
      <c r="A1142" s="211">
        <v>19.0</v>
      </c>
      <c r="B1142" s="34" t="s">
        <v>4371</v>
      </c>
      <c r="C1142" s="34" t="s">
        <v>4766</v>
      </c>
      <c r="D1142" s="34"/>
      <c r="E1142" s="34"/>
      <c r="F1142" s="410"/>
      <c r="G1142" s="432">
        <v>21.0</v>
      </c>
      <c r="H1142" s="34">
        <v>2.0</v>
      </c>
      <c r="I1142" s="34">
        <v>10.0</v>
      </c>
      <c r="J1142" s="34" t="s">
        <v>39</v>
      </c>
      <c r="K1142" s="34" t="s">
        <v>39</v>
      </c>
      <c r="L1142" s="34">
        <v>1.0</v>
      </c>
      <c r="M1142" s="34" t="s">
        <v>449</v>
      </c>
      <c r="N1142" s="34" t="s">
        <v>39</v>
      </c>
      <c r="O1142" s="34">
        <v>2.0</v>
      </c>
      <c r="P1142" s="34" t="s">
        <v>29</v>
      </c>
      <c r="Q1142" s="34" t="s">
        <v>39</v>
      </c>
      <c r="R1142" s="34"/>
      <c r="S1142" s="129"/>
      <c r="T1142" s="129"/>
      <c r="U1142" s="129"/>
      <c r="V1142" s="129"/>
      <c r="W1142" s="129"/>
      <c r="X1142" s="129"/>
      <c r="Y1142" s="129"/>
      <c r="Z1142" s="129"/>
      <c r="AA1142" s="129"/>
      <c r="AB1142" s="129"/>
      <c r="AC1142" s="129"/>
      <c r="AD1142" s="129"/>
    </row>
    <row r="1143" ht="14.25" customHeight="1">
      <c r="A1143" s="211">
        <v>20.0</v>
      </c>
      <c r="B1143" s="28" t="s">
        <v>4767</v>
      </c>
      <c r="C1143" s="28" t="s">
        <v>4766</v>
      </c>
      <c r="D1143" s="28"/>
      <c r="E1143" s="28"/>
      <c r="F1143" s="412"/>
      <c r="G1143" s="433" t="s">
        <v>39</v>
      </c>
      <c r="H1143" s="28" t="s">
        <v>39</v>
      </c>
      <c r="I1143" s="28" t="s">
        <v>39</v>
      </c>
      <c r="J1143" s="28" t="s">
        <v>39</v>
      </c>
      <c r="K1143" s="28" t="s">
        <v>39</v>
      </c>
      <c r="L1143" s="28" t="s">
        <v>39</v>
      </c>
      <c r="M1143" s="28" t="s">
        <v>449</v>
      </c>
      <c r="N1143" s="28" t="s">
        <v>39</v>
      </c>
      <c r="O1143" s="28" t="s">
        <v>39</v>
      </c>
      <c r="P1143" s="28" t="s">
        <v>29</v>
      </c>
      <c r="Q1143" s="28" t="s">
        <v>39</v>
      </c>
      <c r="R1143" s="28"/>
      <c r="S1143" s="129"/>
      <c r="T1143" s="129"/>
      <c r="U1143" s="129"/>
      <c r="V1143" s="129"/>
      <c r="W1143" s="129"/>
      <c r="X1143" s="129"/>
      <c r="Y1143" s="129"/>
      <c r="Z1143" s="129"/>
      <c r="AA1143" s="129"/>
      <c r="AB1143" s="129"/>
      <c r="AC1143" s="129"/>
      <c r="AD1143" s="129"/>
    </row>
    <row r="1144" ht="14.25" customHeight="1">
      <c r="A1144" s="211">
        <v>21.0</v>
      </c>
      <c r="B1144" s="34" t="s">
        <v>4768</v>
      </c>
      <c r="C1144" s="34" t="s">
        <v>4766</v>
      </c>
      <c r="D1144" s="34"/>
      <c r="E1144" s="34"/>
      <c r="F1144" s="410"/>
      <c r="G1144" s="432" t="s">
        <v>39</v>
      </c>
      <c r="H1144" s="34" t="s">
        <v>39</v>
      </c>
      <c r="I1144" s="34" t="s">
        <v>39</v>
      </c>
      <c r="J1144" s="34" t="s">
        <v>39</v>
      </c>
      <c r="K1144" s="34" t="s">
        <v>39</v>
      </c>
      <c r="L1144" s="34" t="s">
        <v>39</v>
      </c>
      <c r="M1144" s="34" t="s">
        <v>449</v>
      </c>
      <c r="N1144" s="425" t="s">
        <v>39</v>
      </c>
      <c r="O1144" s="34" t="s">
        <v>39</v>
      </c>
      <c r="P1144" s="34" t="s">
        <v>29</v>
      </c>
      <c r="Q1144" s="34" t="s">
        <v>39</v>
      </c>
      <c r="R1144" s="34"/>
      <c r="S1144" s="129"/>
      <c r="T1144" s="129"/>
      <c r="U1144" s="129"/>
      <c r="V1144" s="129"/>
      <c r="W1144" s="129"/>
      <c r="X1144" s="129"/>
      <c r="Y1144" s="129"/>
      <c r="Z1144" s="129"/>
      <c r="AA1144" s="129"/>
      <c r="AB1144" s="129"/>
      <c r="AC1144" s="129"/>
      <c r="AD1144" s="129"/>
    </row>
    <row r="1145" ht="14.25" customHeight="1">
      <c r="A1145" s="211">
        <v>22.0</v>
      </c>
      <c r="B1145" s="28" t="s">
        <v>4769</v>
      </c>
      <c r="C1145" s="28" t="s">
        <v>4766</v>
      </c>
      <c r="D1145" s="28"/>
      <c r="E1145" s="28"/>
      <c r="F1145" s="412"/>
      <c r="G1145" s="433" t="s">
        <v>39</v>
      </c>
      <c r="H1145" s="28" t="s">
        <v>39</v>
      </c>
      <c r="I1145" s="28" t="s">
        <v>39</v>
      </c>
      <c r="J1145" s="28" t="s">
        <v>39</v>
      </c>
      <c r="K1145" s="28" t="s">
        <v>39</v>
      </c>
      <c r="L1145" s="28" t="s">
        <v>39</v>
      </c>
      <c r="M1145" s="28" t="s">
        <v>449</v>
      </c>
      <c r="N1145" s="28" t="s">
        <v>39</v>
      </c>
      <c r="O1145" s="28" t="s">
        <v>39</v>
      </c>
      <c r="P1145" s="28" t="s">
        <v>29</v>
      </c>
      <c r="Q1145" s="28" t="s">
        <v>39</v>
      </c>
      <c r="R1145" s="28"/>
      <c r="S1145" s="129"/>
      <c r="T1145" s="129"/>
      <c r="U1145" s="129"/>
      <c r="V1145" s="129"/>
      <c r="W1145" s="129"/>
      <c r="X1145" s="129"/>
      <c r="Y1145" s="129"/>
      <c r="Z1145" s="129"/>
      <c r="AA1145" s="129"/>
      <c r="AB1145" s="129"/>
      <c r="AC1145" s="129"/>
      <c r="AD1145" s="129"/>
    </row>
    <row r="1146" ht="14.25" customHeight="1">
      <c r="A1146" s="211">
        <v>23.0</v>
      </c>
      <c r="B1146" s="34" t="s">
        <v>4760</v>
      </c>
      <c r="C1146" s="34" t="s">
        <v>4770</v>
      </c>
      <c r="D1146" s="34"/>
      <c r="E1146" s="34"/>
      <c r="F1146" s="410"/>
      <c r="G1146" s="432">
        <v>90.0</v>
      </c>
      <c r="H1146" s="34">
        <v>6.0</v>
      </c>
      <c r="I1146" s="34">
        <v>30.0</v>
      </c>
      <c r="J1146" s="34" t="s">
        <v>39</v>
      </c>
      <c r="K1146" s="34" t="s">
        <v>39</v>
      </c>
      <c r="L1146" s="34">
        <v>1.0</v>
      </c>
      <c r="M1146" s="34" t="s">
        <v>449</v>
      </c>
      <c r="N1146" s="34" t="s">
        <v>39</v>
      </c>
      <c r="O1146" s="34">
        <v>6.0</v>
      </c>
      <c r="P1146" s="34" t="s">
        <v>29</v>
      </c>
      <c r="Q1146" s="34" t="s">
        <v>39</v>
      </c>
      <c r="R1146" s="34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</row>
    <row r="1147" ht="14.25" customHeight="1">
      <c r="A1147" s="211">
        <v>24.0</v>
      </c>
      <c r="B1147" s="28" t="s">
        <v>4371</v>
      </c>
      <c r="C1147" s="28" t="s">
        <v>4770</v>
      </c>
      <c r="D1147" s="28"/>
      <c r="E1147" s="28"/>
      <c r="F1147" s="412"/>
      <c r="G1147" s="433">
        <v>100.0</v>
      </c>
      <c r="H1147" s="28">
        <v>8.0</v>
      </c>
      <c r="I1147" s="428">
        <v>40.0</v>
      </c>
      <c r="J1147" s="428" t="s">
        <v>39</v>
      </c>
      <c r="K1147" s="428" t="s">
        <v>39</v>
      </c>
      <c r="L1147" s="28">
        <v>1.0</v>
      </c>
      <c r="M1147" s="28" t="s">
        <v>449</v>
      </c>
      <c r="N1147" s="428" t="s">
        <v>39</v>
      </c>
      <c r="O1147" s="28">
        <v>8.0</v>
      </c>
      <c r="P1147" s="28" t="s">
        <v>29</v>
      </c>
      <c r="Q1147" s="428" t="s">
        <v>39</v>
      </c>
      <c r="R1147" s="28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</row>
    <row r="1148" ht="14.25" customHeight="1">
      <c r="A1148" s="211">
        <v>25.0</v>
      </c>
      <c r="B1148" s="34" t="s">
        <v>4771</v>
      </c>
      <c r="C1148" s="34" t="s">
        <v>4770</v>
      </c>
      <c r="D1148" s="34"/>
      <c r="E1148" s="34"/>
      <c r="F1148" s="410"/>
      <c r="G1148" s="432">
        <v>600.0</v>
      </c>
      <c r="H1148" s="34">
        <v>200.0</v>
      </c>
      <c r="I1148" s="34">
        <v>1000.0</v>
      </c>
      <c r="J1148" s="34" t="s">
        <v>39</v>
      </c>
      <c r="K1148" s="34" t="s">
        <v>39</v>
      </c>
      <c r="L1148" s="34">
        <v>2.0</v>
      </c>
      <c r="M1148" s="34" t="s">
        <v>449</v>
      </c>
      <c r="N1148" s="34" t="s">
        <v>39</v>
      </c>
      <c r="O1148" s="34">
        <v>200.0</v>
      </c>
      <c r="P1148" s="34" t="s">
        <v>29</v>
      </c>
      <c r="Q1148" s="34" t="s">
        <v>39</v>
      </c>
      <c r="R1148" s="34"/>
      <c r="S1148" s="129"/>
      <c r="T1148" s="129"/>
      <c r="U1148" s="129"/>
      <c r="V1148" s="129"/>
      <c r="W1148" s="129"/>
      <c r="X1148" s="129"/>
      <c r="Y1148" s="129"/>
      <c r="Z1148" s="129"/>
      <c r="AA1148" s="129"/>
      <c r="AB1148" s="129"/>
      <c r="AC1148" s="129"/>
      <c r="AD1148" s="129"/>
    </row>
    <row r="1149" ht="14.25" customHeight="1">
      <c r="A1149" s="211">
        <v>26.0</v>
      </c>
      <c r="B1149" s="28" t="s">
        <v>4371</v>
      </c>
      <c r="C1149" s="28" t="s">
        <v>4739</v>
      </c>
      <c r="D1149" s="28"/>
      <c r="E1149" s="28"/>
      <c r="F1149" s="412"/>
      <c r="G1149" s="433">
        <v>90.0</v>
      </c>
      <c r="H1149" s="28">
        <v>100.0</v>
      </c>
      <c r="I1149" s="28">
        <v>500.0</v>
      </c>
      <c r="J1149" s="28" t="s">
        <v>39</v>
      </c>
      <c r="K1149" s="28" t="s">
        <v>39</v>
      </c>
      <c r="L1149" s="28">
        <v>1.0</v>
      </c>
      <c r="M1149" s="28" t="s">
        <v>449</v>
      </c>
      <c r="N1149" s="28" t="s">
        <v>39</v>
      </c>
      <c r="O1149" s="28">
        <v>90.0</v>
      </c>
      <c r="P1149" s="28" t="s">
        <v>29</v>
      </c>
      <c r="Q1149" s="28" t="s">
        <v>39</v>
      </c>
      <c r="R1149" s="28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</row>
    <row r="1150" ht="14.25" customHeight="1">
      <c r="A1150" s="211">
        <v>27.0</v>
      </c>
      <c r="B1150" s="34" t="s">
        <v>4772</v>
      </c>
      <c r="C1150" s="34" t="s">
        <v>4773</v>
      </c>
      <c r="D1150" s="34"/>
      <c r="E1150" s="34"/>
      <c r="F1150" s="410"/>
      <c r="G1150" s="432">
        <v>432.0</v>
      </c>
      <c r="H1150" s="34">
        <v>300.0</v>
      </c>
      <c r="I1150" s="34">
        <v>1500.0</v>
      </c>
      <c r="J1150" s="34" t="s">
        <v>39</v>
      </c>
      <c r="K1150" s="34" t="s">
        <v>39</v>
      </c>
      <c r="L1150" s="34">
        <v>1.0</v>
      </c>
      <c r="M1150" s="34" t="s">
        <v>449</v>
      </c>
      <c r="N1150" s="34" t="s">
        <v>39</v>
      </c>
      <c r="O1150" s="34">
        <v>300.0</v>
      </c>
      <c r="P1150" s="34" t="s">
        <v>29</v>
      </c>
      <c r="Q1150" s="34" t="s">
        <v>39</v>
      </c>
      <c r="R1150" s="34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</row>
    <row r="1151" ht="14.25" customHeight="1">
      <c r="A1151" s="211">
        <v>28.0</v>
      </c>
      <c r="B1151" s="28" t="s">
        <v>4774</v>
      </c>
      <c r="C1151" s="28" t="s">
        <v>4775</v>
      </c>
      <c r="D1151" s="28"/>
      <c r="E1151" s="28"/>
      <c r="F1151" s="412"/>
      <c r="G1151" s="433">
        <v>40.0</v>
      </c>
      <c r="H1151" s="28">
        <v>5.0</v>
      </c>
      <c r="I1151" s="428">
        <v>125.0</v>
      </c>
      <c r="J1151" s="428" t="s">
        <v>39</v>
      </c>
      <c r="K1151" s="428" t="s">
        <v>39</v>
      </c>
      <c r="L1151" s="28">
        <v>1.0</v>
      </c>
      <c r="M1151" s="28" t="s">
        <v>449</v>
      </c>
      <c r="N1151" s="428" t="s">
        <v>39</v>
      </c>
      <c r="O1151" s="28">
        <v>5.0</v>
      </c>
      <c r="P1151" s="28" t="s">
        <v>29</v>
      </c>
      <c r="Q1151" s="428" t="s">
        <v>39</v>
      </c>
      <c r="R1151" s="28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</row>
    <row r="1152" ht="14.25" customHeight="1">
      <c r="A1152" s="211">
        <v>29.0</v>
      </c>
      <c r="B1152" s="34" t="s">
        <v>4776</v>
      </c>
      <c r="C1152" s="34" t="s">
        <v>4777</v>
      </c>
      <c r="D1152" s="34"/>
      <c r="E1152" s="34"/>
      <c r="F1152" s="410"/>
      <c r="G1152" s="432">
        <v>50.0</v>
      </c>
      <c r="H1152" s="34">
        <v>20.0</v>
      </c>
      <c r="I1152" s="425">
        <v>100.0</v>
      </c>
      <c r="J1152" s="425" t="s">
        <v>39</v>
      </c>
      <c r="K1152" s="425" t="s">
        <v>39</v>
      </c>
      <c r="L1152" s="34">
        <v>1.0</v>
      </c>
      <c r="M1152" s="34" t="s">
        <v>449</v>
      </c>
      <c r="N1152" s="425" t="s">
        <v>39</v>
      </c>
      <c r="O1152" s="34">
        <v>20.0</v>
      </c>
      <c r="P1152" s="34" t="s">
        <v>29</v>
      </c>
      <c r="Q1152" s="425" t="s">
        <v>39</v>
      </c>
      <c r="R1152" s="34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</row>
    <row r="1153" ht="14.25" customHeight="1">
      <c r="A1153" s="211">
        <v>30.0</v>
      </c>
      <c r="B1153" s="28" t="s">
        <v>4774</v>
      </c>
      <c r="C1153" s="28" t="s">
        <v>4778</v>
      </c>
      <c r="D1153" s="28"/>
      <c r="E1153" s="28"/>
      <c r="F1153" s="412"/>
      <c r="G1153" s="433" t="s">
        <v>39</v>
      </c>
      <c r="H1153" s="28" t="s">
        <v>39</v>
      </c>
      <c r="I1153" s="428" t="s">
        <v>39</v>
      </c>
      <c r="J1153" s="428" t="s">
        <v>39</v>
      </c>
      <c r="K1153" s="428" t="s">
        <v>39</v>
      </c>
      <c r="L1153" s="28">
        <v>1.0</v>
      </c>
      <c r="M1153" s="28" t="s">
        <v>449</v>
      </c>
      <c r="N1153" s="428" t="s">
        <v>39</v>
      </c>
      <c r="O1153" s="28" t="s">
        <v>39</v>
      </c>
      <c r="P1153" s="28" t="s">
        <v>29</v>
      </c>
      <c r="Q1153" s="428" t="s">
        <v>39</v>
      </c>
      <c r="R1153" s="28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</row>
    <row r="1154" ht="14.25" customHeight="1">
      <c r="A1154" s="211">
        <v>31.0</v>
      </c>
      <c r="B1154" s="34" t="s">
        <v>4371</v>
      </c>
      <c r="C1154" s="34" t="s">
        <v>4778</v>
      </c>
      <c r="D1154" s="34"/>
      <c r="E1154" s="34"/>
      <c r="F1154" s="410"/>
      <c r="G1154" s="432" t="s">
        <v>39</v>
      </c>
      <c r="H1154" s="34" t="s">
        <v>39</v>
      </c>
      <c r="I1154" s="425" t="s">
        <v>39</v>
      </c>
      <c r="J1154" s="425" t="s">
        <v>39</v>
      </c>
      <c r="K1154" s="425" t="s">
        <v>39</v>
      </c>
      <c r="L1154" s="34">
        <v>1.0</v>
      </c>
      <c r="M1154" s="34" t="s">
        <v>39</v>
      </c>
      <c r="N1154" s="425" t="s">
        <v>39</v>
      </c>
      <c r="O1154" s="34" t="s">
        <v>39</v>
      </c>
      <c r="P1154" s="34" t="s">
        <v>29</v>
      </c>
      <c r="Q1154" s="425" t="s">
        <v>39</v>
      </c>
      <c r="R1154" s="34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</row>
    <row r="1155" ht="14.25" customHeight="1">
      <c r="A1155" s="211">
        <v>32.0</v>
      </c>
      <c r="B1155" s="28" t="s">
        <v>4371</v>
      </c>
      <c r="C1155" s="28" t="s">
        <v>4779</v>
      </c>
      <c r="D1155" s="28"/>
      <c r="E1155" s="28"/>
      <c r="F1155" s="412"/>
      <c r="G1155" s="433" t="s">
        <v>39</v>
      </c>
      <c r="H1155" s="28" t="s">
        <v>39</v>
      </c>
      <c r="I1155" s="428" t="s">
        <v>39</v>
      </c>
      <c r="J1155" s="428" t="s">
        <v>39</v>
      </c>
      <c r="K1155" s="428" t="s">
        <v>39</v>
      </c>
      <c r="L1155" s="28">
        <v>1.0</v>
      </c>
      <c r="M1155" s="28" t="s">
        <v>449</v>
      </c>
      <c r="N1155" s="428" t="s">
        <v>39</v>
      </c>
      <c r="O1155" s="28" t="s">
        <v>39</v>
      </c>
      <c r="P1155" s="28" t="s">
        <v>29</v>
      </c>
      <c r="Q1155" s="428" t="s">
        <v>39</v>
      </c>
      <c r="R1155" s="28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</row>
    <row r="1156" ht="14.25" customHeight="1">
      <c r="A1156" s="211">
        <v>33.0</v>
      </c>
      <c r="B1156" s="34" t="s">
        <v>4780</v>
      </c>
      <c r="C1156" s="34" t="s">
        <v>4781</v>
      </c>
      <c r="D1156" s="34"/>
      <c r="E1156" s="34"/>
      <c r="F1156" s="410"/>
      <c r="G1156" s="432">
        <v>520.0</v>
      </c>
      <c r="H1156" s="34">
        <v>300.0</v>
      </c>
      <c r="I1156" s="425">
        <v>1500.0</v>
      </c>
      <c r="J1156" s="425" t="s">
        <v>39</v>
      </c>
      <c r="K1156" s="425" t="s">
        <v>39</v>
      </c>
      <c r="L1156" s="34">
        <v>1.0</v>
      </c>
      <c r="M1156" s="34" t="s">
        <v>449</v>
      </c>
      <c r="N1156" s="425" t="s">
        <v>39</v>
      </c>
      <c r="O1156" s="34">
        <v>300.0</v>
      </c>
      <c r="P1156" s="34" t="s">
        <v>29</v>
      </c>
      <c r="Q1156" s="425" t="s">
        <v>39</v>
      </c>
      <c r="R1156" s="34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</row>
    <row r="1157" ht="14.25" customHeight="1">
      <c r="A1157" s="211">
        <v>34.0</v>
      </c>
      <c r="B1157" s="28" t="s">
        <v>4371</v>
      </c>
      <c r="C1157" s="28" t="s">
        <v>4782</v>
      </c>
      <c r="D1157" s="28"/>
      <c r="E1157" s="28"/>
      <c r="F1157" s="412"/>
      <c r="G1157" s="433">
        <v>35.0</v>
      </c>
      <c r="H1157" s="28">
        <v>30.0</v>
      </c>
      <c r="I1157" s="428">
        <v>150.0</v>
      </c>
      <c r="J1157" s="428" t="s">
        <v>39</v>
      </c>
      <c r="K1157" s="428" t="s">
        <v>39</v>
      </c>
      <c r="L1157" s="28">
        <v>1.0</v>
      </c>
      <c r="M1157" s="28" t="s">
        <v>449</v>
      </c>
      <c r="N1157" s="428" t="s">
        <v>39</v>
      </c>
      <c r="O1157" s="28">
        <v>30.0</v>
      </c>
      <c r="P1157" s="28" t="s">
        <v>29</v>
      </c>
      <c r="Q1157" s="428" t="s">
        <v>39</v>
      </c>
      <c r="R1157" s="28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</row>
    <row r="1158" ht="14.25" customHeight="1">
      <c r="A1158" s="211">
        <v>35.0</v>
      </c>
      <c r="B1158" s="34" t="s">
        <v>4774</v>
      </c>
      <c r="C1158" s="34" t="s">
        <v>4781</v>
      </c>
      <c r="D1158" s="34"/>
      <c r="E1158" s="34"/>
      <c r="F1158" s="410"/>
      <c r="G1158" s="432">
        <v>70.0</v>
      </c>
      <c r="H1158" s="34">
        <v>50.0</v>
      </c>
      <c r="I1158" s="34">
        <v>250.0</v>
      </c>
      <c r="J1158" s="34" t="s">
        <v>39</v>
      </c>
      <c r="K1158" s="34" t="s">
        <v>39</v>
      </c>
      <c r="L1158" s="34">
        <v>1.0</v>
      </c>
      <c r="M1158" s="34" t="s">
        <v>449</v>
      </c>
      <c r="N1158" s="425" t="s">
        <v>39</v>
      </c>
      <c r="O1158" s="34">
        <v>50.0</v>
      </c>
      <c r="P1158" s="34" t="s">
        <v>29</v>
      </c>
      <c r="Q1158" s="34" t="s">
        <v>39</v>
      </c>
      <c r="R1158" s="34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</row>
    <row r="1159" ht="14.25" customHeight="1">
      <c r="A1159" s="211">
        <v>36.0</v>
      </c>
      <c r="B1159" s="28" t="s">
        <v>4371</v>
      </c>
      <c r="C1159" s="28" t="s">
        <v>4783</v>
      </c>
      <c r="D1159" s="28"/>
      <c r="E1159" s="28"/>
      <c r="F1159" s="412"/>
      <c r="G1159" s="433">
        <v>121.0</v>
      </c>
      <c r="H1159" s="28">
        <v>50.0</v>
      </c>
      <c r="I1159" s="28">
        <v>250.0</v>
      </c>
      <c r="J1159" s="28" t="s">
        <v>39</v>
      </c>
      <c r="K1159" s="28" t="s">
        <v>39</v>
      </c>
      <c r="L1159" s="28">
        <v>3.0</v>
      </c>
      <c r="M1159" s="28" t="s">
        <v>449</v>
      </c>
      <c r="N1159" s="428" t="s">
        <v>39</v>
      </c>
      <c r="O1159" s="28">
        <v>50.0</v>
      </c>
      <c r="P1159" s="28" t="s">
        <v>29</v>
      </c>
      <c r="Q1159" s="28" t="s">
        <v>39</v>
      </c>
      <c r="R1159" s="28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</row>
    <row r="1160" ht="14.25" customHeight="1">
      <c r="A1160" s="211">
        <v>37.0</v>
      </c>
      <c r="B1160" s="34" t="s">
        <v>4771</v>
      </c>
      <c r="C1160" s="34" t="s">
        <v>4783</v>
      </c>
      <c r="D1160" s="34"/>
      <c r="E1160" s="34"/>
      <c r="F1160" s="410"/>
      <c r="G1160" s="432" t="s">
        <v>39</v>
      </c>
      <c r="H1160" s="34" t="s">
        <v>39</v>
      </c>
      <c r="I1160" s="34" t="s">
        <v>39</v>
      </c>
      <c r="J1160" s="34" t="s">
        <v>39</v>
      </c>
      <c r="K1160" s="34" t="s">
        <v>39</v>
      </c>
      <c r="L1160" s="34" t="s">
        <v>39</v>
      </c>
      <c r="M1160" s="34" t="s">
        <v>39</v>
      </c>
      <c r="N1160" s="425" t="s">
        <v>39</v>
      </c>
      <c r="O1160" s="34" t="s">
        <v>39</v>
      </c>
      <c r="P1160" s="34" t="s">
        <v>29</v>
      </c>
      <c r="Q1160" s="34" t="s">
        <v>39</v>
      </c>
      <c r="R1160" s="34"/>
      <c r="S1160" s="129"/>
      <c r="T1160" s="129"/>
      <c r="U1160" s="129"/>
      <c r="V1160" s="129"/>
      <c r="W1160" s="129"/>
      <c r="X1160" s="129"/>
      <c r="Y1160" s="129"/>
      <c r="Z1160" s="129"/>
      <c r="AA1160" s="129"/>
      <c r="AB1160" s="129"/>
      <c r="AC1160" s="129"/>
      <c r="AD1160" s="129"/>
    </row>
    <row r="1161" ht="14.25" customHeight="1">
      <c r="A1161" s="211">
        <v>38.0</v>
      </c>
      <c r="B1161" s="28" t="s">
        <v>4774</v>
      </c>
      <c r="C1161" s="28" t="s">
        <v>4783</v>
      </c>
      <c r="D1161" s="28"/>
      <c r="E1161" s="28"/>
      <c r="F1161" s="412"/>
      <c r="G1161" s="433" t="s">
        <v>39</v>
      </c>
      <c r="H1161" s="28" t="s">
        <v>39</v>
      </c>
      <c r="I1161" s="428" t="s">
        <v>39</v>
      </c>
      <c r="J1161" s="428" t="s">
        <v>39</v>
      </c>
      <c r="K1161" s="428" t="s">
        <v>39</v>
      </c>
      <c r="L1161" s="28" t="s">
        <v>39</v>
      </c>
      <c r="M1161" s="28" t="s">
        <v>39</v>
      </c>
      <c r="N1161" s="428" t="s">
        <v>39</v>
      </c>
      <c r="O1161" s="28" t="s">
        <v>39</v>
      </c>
      <c r="P1161" s="28" t="s">
        <v>29</v>
      </c>
      <c r="Q1161" s="428" t="s">
        <v>39</v>
      </c>
      <c r="R1161" s="28"/>
      <c r="S1161" s="129"/>
      <c r="T1161" s="129"/>
      <c r="U1161" s="129"/>
      <c r="V1161" s="129"/>
      <c r="W1161" s="129"/>
      <c r="X1161" s="129"/>
      <c r="Y1161" s="129"/>
      <c r="Z1161" s="129"/>
      <c r="AA1161" s="129"/>
      <c r="AB1161" s="129"/>
      <c r="AC1161" s="129"/>
      <c r="AD1161" s="129"/>
    </row>
    <row r="1162" ht="14.25" customHeight="1">
      <c r="A1162" s="211">
        <v>39.0</v>
      </c>
      <c r="B1162" s="34" t="s">
        <v>4771</v>
      </c>
      <c r="C1162" s="34" t="s">
        <v>4784</v>
      </c>
      <c r="D1162" s="34"/>
      <c r="E1162" s="34"/>
      <c r="F1162" s="410"/>
      <c r="G1162" s="432" t="s">
        <v>39</v>
      </c>
      <c r="H1162" s="34">
        <v>416.0</v>
      </c>
      <c r="I1162" s="425">
        <v>2080.0</v>
      </c>
      <c r="J1162" s="425" t="s">
        <v>39</v>
      </c>
      <c r="K1162" s="425" t="s">
        <v>39</v>
      </c>
      <c r="L1162" s="34">
        <v>1.0</v>
      </c>
      <c r="M1162" s="34" t="s">
        <v>449</v>
      </c>
      <c r="N1162" s="425" t="s">
        <v>39</v>
      </c>
      <c r="O1162" s="34">
        <v>416.0</v>
      </c>
      <c r="P1162" s="34" t="s">
        <v>29</v>
      </c>
      <c r="Q1162" s="425" t="s">
        <v>39</v>
      </c>
      <c r="R1162" s="34"/>
      <c r="S1162" s="129"/>
      <c r="T1162" s="129"/>
      <c r="U1162" s="129"/>
      <c r="V1162" s="129"/>
      <c r="W1162" s="129"/>
      <c r="X1162" s="129"/>
      <c r="Y1162" s="129"/>
      <c r="Z1162" s="129"/>
      <c r="AA1162" s="129"/>
      <c r="AB1162" s="129"/>
      <c r="AC1162" s="129"/>
      <c r="AD1162" s="129"/>
    </row>
    <row r="1163" ht="14.25" customHeight="1">
      <c r="A1163" s="211">
        <v>40.0</v>
      </c>
      <c r="B1163" s="28" t="s">
        <v>4371</v>
      </c>
      <c r="C1163" s="28" t="s">
        <v>4785</v>
      </c>
      <c r="D1163" s="28"/>
      <c r="E1163" s="28"/>
      <c r="F1163" s="412"/>
      <c r="G1163" s="433" t="s">
        <v>39</v>
      </c>
      <c r="H1163" s="28">
        <v>4.0</v>
      </c>
      <c r="I1163" s="428">
        <v>20.0</v>
      </c>
      <c r="J1163" s="428" t="s">
        <v>39</v>
      </c>
      <c r="K1163" s="428" t="s">
        <v>39</v>
      </c>
      <c r="L1163" s="28">
        <v>1.0</v>
      </c>
      <c r="M1163" s="28" t="s">
        <v>449</v>
      </c>
      <c r="N1163" s="428" t="s">
        <v>39</v>
      </c>
      <c r="O1163" s="28">
        <v>4.0</v>
      </c>
      <c r="P1163" s="28" t="s">
        <v>29</v>
      </c>
      <c r="Q1163" s="428" t="s">
        <v>39</v>
      </c>
      <c r="R1163" s="28"/>
      <c r="S1163" s="129"/>
      <c r="T1163" s="129"/>
      <c r="U1163" s="129"/>
      <c r="V1163" s="129"/>
      <c r="W1163" s="129"/>
      <c r="X1163" s="129"/>
      <c r="Y1163" s="129"/>
      <c r="Z1163" s="129"/>
      <c r="AA1163" s="129"/>
      <c r="AB1163" s="129"/>
      <c r="AC1163" s="129"/>
      <c r="AD1163" s="129"/>
    </row>
    <row r="1164" ht="14.25" customHeight="1">
      <c r="A1164" s="211">
        <v>41.0</v>
      </c>
      <c r="B1164" s="34" t="s">
        <v>4371</v>
      </c>
      <c r="C1164" s="34" t="s">
        <v>4786</v>
      </c>
      <c r="D1164" s="34"/>
      <c r="E1164" s="34"/>
      <c r="F1164" s="410"/>
      <c r="G1164" s="432">
        <v>84.0</v>
      </c>
      <c r="H1164" s="34">
        <v>24.0</v>
      </c>
      <c r="I1164" s="425">
        <v>120.0</v>
      </c>
      <c r="J1164" s="425" t="s">
        <v>39</v>
      </c>
      <c r="K1164" s="425" t="s">
        <v>39</v>
      </c>
      <c r="L1164" s="34">
        <v>1.0</v>
      </c>
      <c r="M1164" s="34" t="s">
        <v>449</v>
      </c>
      <c r="N1164" s="425" t="s">
        <v>39</v>
      </c>
      <c r="O1164" s="34">
        <v>24.0</v>
      </c>
      <c r="P1164" s="34" t="s">
        <v>29</v>
      </c>
      <c r="Q1164" s="425" t="s">
        <v>39</v>
      </c>
      <c r="R1164" s="34"/>
      <c r="S1164" s="129"/>
      <c r="T1164" s="129"/>
      <c r="U1164" s="129"/>
      <c r="V1164" s="129"/>
      <c r="W1164" s="129"/>
      <c r="X1164" s="129"/>
      <c r="Y1164" s="129"/>
      <c r="Z1164" s="129"/>
      <c r="AA1164" s="129"/>
      <c r="AB1164" s="129"/>
      <c r="AC1164" s="129"/>
      <c r="AD1164" s="129"/>
    </row>
    <row r="1165" ht="14.25" customHeight="1">
      <c r="A1165" s="211">
        <v>42.0</v>
      </c>
      <c r="B1165" s="28" t="s">
        <v>4371</v>
      </c>
      <c r="C1165" s="28" t="s">
        <v>4787</v>
      </c>
      <c r="D1165" s="28"/>
      <c r="E1165" s="28"/>
      <c r="F1165" s="412"/>
      <c r="G1165" s="433">
        <v>30.0</v>
      </c>
      <c r="H1165" s="28">
        <v>10.0</v>
      </c>
      <c r="I1165" s="28">
        <v>50.0</v>
      </c>
      <c r="J1165" s="28" t="s">
        <v>39</v>
      </c>
      <c r="K1165" s="28" t="s">
        <v>39</v>
      </c>
      <c r="L1165" s="28">
        <v>1.0</v>
      </c>
      <c r="M1165" s="28" t="s">
        <v>449</v>
      </c>
      <c r="N1165" s="28" t="s">
        <v>39</v>
      </c>
      <c r="O1165" s="28">
        <v>10.0</v>
      </c>
      <c r="P1165" s="28" t="s">
        <v>29</v>
      </c>
      <c r="Q1165" s="28" t="s">
        <v>39</v>
      </c>
      <c r="R1165" s="28"/>
      <c r="S1165" s="129"/>
      <c r="T1165" s="129"/>
      <c r="U1165" s="129"/>
      <c r="V1165" s="129"/>
      <c r="W1165" s="129"/>
      <c r="X1165" s="129"/>
      <c r="Y1165" s="129"/>
      <c r="Z1165" s="129"/>
      <c r="AA1165" s="129"/>
      <c r="AB1165" s="129"/>
      <c r="AC1165" s="129"/>
      <c r="AD1165" s="129"/>
    </row>
    <row r="1166" ht="14.25" customHeight="1">
      <c r="A1166" s="211">
        <v>43.0</v>
      </c>
      <c r="B1166" s="34" t="s">
        <v>4788</v>
      </c>
      <c r="C1166" s="34" t="s">
        <v>4787</v>
      </c>
      <c r="D1166" s="34"/>
      <c r="E1166" s="34"/>
      <c r="F1166" s="410"/>
      <c r="G1166" s="432">
        <v>20.0</v>
      </c>
      <c r="H1166" s="34">
        <v>50.0</v>
      </c>
      <c r="I1166" s="34">
        <v>250.0</v>
      </c>
      <c r="J1166" s="34" t="s">
        <v>39</v>
      </c>
      <c r="K1166" s="34" t="s">
        <v>39</v>
      </c>
      <c r="L1166" s="34">
        <v>4.0</v>
      </c>
      <c r="M1166" s="34" t="s">
        <v>449</v>
      </c>
      <c r="N1166" s="34" t="s">
        <v>39</v>
      </c>
      <c r="O1166" s="34">
        <v>50.0</v>
      </c>
      <c r="P1166" s="34" t="s">
        <v>29</v>
      </c>
      <c r="Q1166" s="34" t="s">
        <v>39</v>
      </c>
      <c r="R1166" s="34"/>
      <c r="S1166" s="129"/>
      <c r="T1166" s="129"/>
      <c r="U1166" s="129"/>
      <c r="V1166" s="129"/>
      <c r="W1166" s="129"/>
      <c r="X1166" s="129"/>
      <c r="Y1166" s="129"/>
      <c r="Z1166" s="129"/>
      <c r="AA1166" s="129"/>
      <c r="AB1166" s="129"/>
      <c r="AC1166" s="129"/>
      <c r="AD1166" s="129"/>
    </row>
    <row r="1167" ht="14.25" customHeight="1">
      <c r="A1167" s="211">
        <v>44.0</v>
      </c>
      <c r="B1167" s="28" t="s">
        <v>4771</v>
      </c>
      <c r="C1167" s="28" t="s">
        <v>4742</v>
      </c>
      <c r="D1167" s="28"/>
      <c r="E1167" s="28"/>
      <c r="F1167" s="412"/>
      <c r="G1167" s="433">
        <v>3600.0</v>
      </c>
      <c r="H1167" s="28">
        <v>300.0</v>
      </c>
      <c r="I1167" s="28">
        <v>1500.0</v>
      </c>
      <c r="J1167" s="428" t="s">
        <v>39</v>
      </c>
      <c r="K1167" s="428" t="s">
        <v>39</v>
      </c>
      <c r="L1167" s="28">
        <v>1.0</v>
      </c>
      <c r="M1167" s="28" t="s">
        <v>449</v>
      </c>
      <c r="N1167" s="428" t="s">
        <v>39</v>
      </c>
      <c r="O1167" s="28">
        <v>300.0</v>
      </c>
      <c r="P1167" s="28" t="s">
        <v>29</v>
      </c>
      <c r="Q1167" s="428" t="s">
        <v>39</v>
      </c>
      <c r="R1167" s="28"/>
      <c r="S1167" s="129"/>
      <c r="T1167" s="129"/>
      <c r="U1167" s="129"/>
      <c r="V1167" s="129"/>
      <c r="W1167" s="129"/>
      <c r="X1167" s="129"/>
      <c r="Y1167" s="129"/>
      <c r="Z1167" s="129"/>
      <c r="AA1167" s="129"/>
      <c r="AB1167" s="129"/>
      <c r="AC1167" s="129"/>
      <c r="AD1167" s="129"/>
    </row>
    <row r="1168" ht="14.25" customHeight="1">
      <c r="A1168" s="211">
        <v>45.0</v>
      </c>
      <c r="B1168" s="34" t="s">
        <v>4789</v>
      </c>
      <c r="C1168" s="34" t="s">
        <v>4790</v>
      </c>
      <c r="D1168" s="34"/>
      <c r="E1168" s="34"/>
      <c r="F1168" s="410"/>
      <c r="G1168" s="432">
        <v>20.0</v>
      </c>
      <c r="H1168" s="34">
        <v>200.0</v>
      </c>
      <c r="I1168" s="34">
        <v>1000.0</v>
      </c>
      <c r="J1168" s="425" t="s">
        <v>39</v>
      </c>
      <c r="K1168" s="425" t="s">
        <v>39</v>
      </c>
      <c r="L1168" s="34">
        <v>20.0</v>
      </c>
      <c r="M1168" s="34" t="s">
        <v>449</v>
      </c>
      <c r="N1168" s="425" t="s">
        <v>39</v>
      </c>
      <c r="O1168" s="34">
        <v>200.0</v>
      </c>
      <c r="P1168" s="34" t="s">
        <v>29</v>
      </c>
      <c r="Q1168" s="425" t="s">
        <v>39</v>
      </c>
      <c r="R1168" s="34"/>
      <c r="S1168" s="129"/>
      <c r="T1168" s="129"/>
      <c r="U1168" s="129"/>
      <c r="V1168" s="129"/>
      <c r="W1168" s="129"/>
      <c r="X1168" s="129"/>
      <c r="Y1168" s="129"/>
      <c r="Z1168" s="129"/>
      <c r="AA1168" s="129"/>
      <c r="AB1168" s="129"/>
      <c r="AC1168" s="129"/>
      <c r="AD1168" s="129"/>
    </row>
    <row r="1169" ht="14.25" customHeight="1">
      <c r="A1169" s="211">
        <v>46.0</v>
      </c>
      <c r="B1169" s="28" t="s">
        <v>4371</v>
      </c>
      <c r="C1169" s="28" t="s">
        <v>4790</v>
      </c>
      <c r="D1169" s="28"/>
      <c r="E1169" s="28"/>
      <c r="F1169" s="412"/>
      <c r="G1169" s="433">
        <v>100.0</v>
      </c>
      <c r="H1169" s="28">
        <v>15.0</v>
      </c>
      <c r="I1169" s="428">
        <v>75.0</v>
      </c>
      <c r="J1169" s="428" t="s">
        <v>39</v>
      </c>
      <c r="K1169" s="428" t="s">
        <v>39</v>
      </c>
      <c r="L1169" s="28">
        <v>1.0</v>
      </c>
      <c r="M1169" s="28" t="s">
        <v>449</v>
      </c>
      <c r="N1169" s="428" t="s">
        <v>39</v>
      </c>
      <c r="O1169" s="28">
        <v>15.0</v>
      </c>
      <c r="P1169" s="28" t="s">
        <v>29</v>
      </c>
      <c r="Q1169" s="428" t="s">
        <v>39</v>
      </c>
      <c r="R1169" s="28"/>
      <c r="S1169" s="129"/>
      <c r="T1169" s="129"/>
      <c r="U1169" s="129"/>
      <c r="V1169" s="129"/>
      <c r="W1169" s="129"/>
      <c r="X1169" s="129"/>
      <c r="Y1169" s="129"/>
      <c r="Z1169" s="129"/>
      <c r="AA1169" s="129"/>
      <c r="AB1169" s="129"/>
      <c r="AC1169" s="129"/>
      <c r="AD1169" s="129"/>
    </row>
    <row r="1170" ht="14.25" customHeight="1">
      <c r="A1170" s="211">
        <v>47.0</v>
      </c>
      <c r="B1170" s="34" t="s">
        <v>4771</v>
      </c>
      <c r="C1170" s="34" t="s">
        <v>4790</v>
      </c>
      <c r="D1170" s="34"/>
      <c r="E1170" s="34"/>
      <c r="F1170" s="410"/>
      <c r="G1170" s="432">
        <v>5.0</v>
      </c>
      <c r="H1170" s="34">
        <v>50.0</v>
      </c>
      <c r="I1170" s="425">
        <v>250.0</v>
      </c>
      <c r="J1170" s="425" t="s">
        <v>39</v>
      </c>
      <c r="K1170" s="425" t="s">
        <v>39</v>
      </c>
      <c r="L1170" s="34">
        <v>1.0</v>
      </c>
      <c r="M1170" s="34" t="s">
        <v>449</v>
      </c>
      <c r="N1170" s="425" t="s">
        <v>39</v>
      </c>
      <c r="O1170" s="34">
        <v>50.0</v>
      </c>
      <c r="P1170" s="34" t="s">
        <v>29</v>
      </c>
      <c r="Q1170" s="425" t="s">
        <v>39</v>
      </c>
      <c r="R1170" s="34"/>
      <c r="S1170" s="129"/>
      <c r="T1170" s="129"/>
      <c r="U1170" s="129"/>
      <c r="V1170" s="129"/>
      <c r="W1170" s="129"/>
      <c r="X1170" s="129"/>
      <c r="Y1170" s="129"/>
      <c r="Z1170" s="129"/>
      <c r="AA1170" s="129"/>
      <c r="AB1170" s="129"/>
      <c r="AC1170" s="129"/>
      <c r="AD1170" s="129"/>
    </row>
    <row r="1171" ht="14.25" customHeight="1">
      <c r="A1171" s="211">
        <v>48.0</v>
      </c>
      <c r="B1171" s="28" t="s">
        <v>4791</v>
      </c>
      <c r="C1171" s="28" t="s">
        <v>4790</v>
      </c>
      <c r="D1171" s="28"/>
      <c r="E1171" s="28"/>
      <c r="F1171" s="412"/>
      <c r="G1171" s="433">
        <v>150.0</v>
      </c>
      <c r="H1171" s="28">
        <v>30.0</v>
      </c>
      <c r="I1171" s="428">
        <v>150.0</v>
      </c>
      <c r="J1171" s="428" t="s">
        <v>39</v>
      </c>
      <c r="K1171" s="428" t="s">
        <v>39</v>
      </c>
      <c r="L1171" s="28">
        <v>1.0</v>
      </c>
      <c r="M1171" s="28" t="s">
        <v>449</v>
      </c>
      <c r="N1171" s="428" t="s">
        <v>39</v>
      </c>
      <c r="O1171" s="28">
        <v>30.0</v>
      </c>
      <c r="P1171" s="28" t="s">
        <v>29</v>
      </c>
      <c r="Q1171" s="428" t="s">
        <v>39</v>
      </c>
      <c r="R1171" s="28"/>
      <c r="S1171" s="129"/>
      <c r="T1171" s="129"/>
      <c r="U1171" s="129"/>
      <c r="V1171" s="129"/>
      <c r="W1171" s="129"/>
      <c r="X1171" s="129"/>
      <c r="Y1171" s="129"/>
      <c r="Z1171" s="129"/>
      <c r="AA1171" s="129"/>
      <c r="AB1171" s="129"/>
      <c r="AC1171" s="129"/>
      <c r="AD1171" s="129"/>
    </row>
    <row r="1172" ht="14.25" customHeight="1">
      <c r="A1172" s="211">
        <v>49.0</v>
      </c>
      <c r="B1172" s="34" t="s">
        <v>4792</v>
      </c>
      <c r="C1172" s="34" t="s">
        <v>4793</v>
      </c>
      <c r="D1172" s="34"/>
      <c r="E1172" s="34"/>
      <c r="F1172" s="410"/>
      <c r="G1172" s="432">
        <v>800.0</v>
      </c>
      <c r="H1172" s="34">
        <v>400.0</v>
      </c>
      <c r="I1172" s="425">
        <v>2000.0</v>
      </c>
      <c r="J1172" s="425" t="s">
        <v>39</v>
      </c>
      <c r="K1172" s="425" t="s">
        <v>39</v>
      </c>
      <c r="L1172" s="34">
        <v>1.0</v>
      </c>
      <c r="M1172" s="34" t="s">
        <v>449</v>
      </c>
      <c r="N1172" s="425" t="s">
        <v>39</v>
      </c>
      <c r="O1172" s="34">
        <v>400.0</v>
      </c>
      <c r="P1172" s="34" t="s">
        <v>29</v>
      </c>
      <c r="Q1172" s="425" t="s">
        <v>39</v>
      </c>
      <c r="R1172" s="34"/>
      <c r="S1172" s="129"/>
      <c r="T1172" s="129"/>
      <c r="U1172" s="129"/>
      <c r="V1172" s="129"/>
      <c r="W1172" s="129"/>
      <c r="X1172" s="129"/>
      <c r="Y1172" s="129"/>
      <c r="Z1172" s="129"/>
      <c r="AA1172" s="129"/>
      <c r="AB1172" s="129"/>
      <c r="AC1172" s="129"/>
      <c r="AD1172" s="129"/>
    </row>
    <row r="1173" ht="14.25" customHeight="1">
      <c r="A1173" s="211">
        <v>50.0</v>
      </c>
      <c r="B1173" s="28" t="s">
        <v>4794</v>
      </c>
      <c r="C1173" s="28" t="s">
        <v>4793</v>
      </c>
      <c r="D1173" s="28"/>
      <c r="E1173" s="28"/>
      <c r="F1173" s="412"/>
      <c r="G1173" s="433">
        <v>500.0</v>
      </c>
      <c r="H1173" s="28">
        <v>300.0</v>
      </c>
      <c r="I1173" s="428">
        <v>1500.0</v>
      </c>
      <c r="J1173" s="428" t="s">
        <v>39</v>
      </c>
      <c r="K1173" s="428" t="s">
        <v>39</v>
      </c>
      <c r="L1173" s="28">
        <v>1.0</v>
      </c>
      <c r="M1173" s="28" t="s">
        <v>449</v>
      </c>
      <c r="N1173" s="428" t="s">
        <v>39</v>
      </c>
      <c r="O1173" s="28">
        <v>300.0</v>
      </c>
      <c r="P1173" s="28" t="s">
        <v>29</v>
      </c>
      <c r="Q1173" s="428" t="s">
        <v>39</v>
      </c>
      <c r="R1173" s="28"/>
      <c r="S1173" s="129"/>
      <c r="T1173" s="129"/>
      <c r="U1173" s="129"/>
      <c r="V1173" s="129"/>
      <c r="W1173" s="129"/>
      <c r="X1173" s="129"/>
      <c r="Y1173" s="129"/>
      <c r="Z1173" s="129"/>
      <c r="AA1173" s="129"/>
      <c r="AB1173" s="129"/>
      <c r="AC1173" s="129"/>
      <c r="AD1173" s="129"/>
    </row>
    <row r="1174" ht="14.25" customHeight="1">
      <c r="A1174" s="211">
        <v>51.0</v>
      </c>
      <c r="B1174" s="34" t="s">
        <v>4371</v>
      </c>
      <c r="C1174" s="34" t="s">
        <v>4793</v>
      </c>
      <c r="D1174" s="34"/>
      <c r="E1174" s="34"/>
      <c r="F1174" s="410"/>
      <c r="G1174" s="432">
        <v>50.0</v>
      </c>
      <c r="H1174" s="34">
        <v>20.0</v>
      </c>
      <c r="I1174" s="425">
        <v>100.0</v>
      </c>
      <c r="J1174" s="425" t="s">
        <v>39</v>
      </c>
      <c r="K1174" s="425" t="s">
        <v>39</v>
      </c>
      <c r="L1174" s="34">
        <v>1.0</v>
      </c>
      <c r="M1174" s="34" t="s">
        <v>449</v>
      </c>
      <c r="N1174" s="425" t="s">
        <v>39</v>
      </c>
      <c r="O1174" s="34">
        <v>20.0</v>
      </c>
      <c r="P1174" s="34" t="s">
        <v>29</v>
      </c>
      <c r="Q1174" s="425" t="s">
        <v>39</v>
      </c>
      <c r="R1174" s="34"/>
      <c r="S1174" s="129"/>
      <c r="T1174" s="129"/>
      <c r="U1174" s="129"/>
      <c r="V1174" s="129"/>
      <c r="W1174" s="129"/>
      <c r="X1174" s="129"/>
      <c r="Y1174" s="129"/>
      <c r="Z1174" s="129"/>
      <c r="AA1174" s="129"/>
      <c r="AB1174" s="129"/>
      <c r="AC1174" s="129"/>
      <c r="AD1174" s="129"/>
    </row>
    <row r="1175" ht="14.25" customHeight="1">
      <c r="A1175" s="211">
        <v>52.0</v>
      </c>
      <c r="B1175" s="28" t="s">
        <v>4774</v>
      </c>
      <c r="C1175" s="28" t="s">
        <v>4793</v>
      </c>
      <c r="D1175" s="28"/>
      <c r="E1175" s="28"/>
      <c r="F1175" s="412"/>
      <c r="G1175" s="433">
        <v>40.0</v>
      </c>
      <c r="H1175" s="28">
        <v>5.0</v>
      </c>
      <c r="I1175" s="428">
        <v>25.0</v>
      </c>
      <c r="J1175" s="428" t="s">
        <v>39</v>
      </c>
      <c r="K1175" s="428" t="s">
        <v>39</v>
      </c>
      <c r="L1175" s="28">
        <v>1.0</v>
      </c>
      <c r="M1175" s="28" t="s">
        <v>449</v>
      </c>
      <c r="N1175" s="428" t="s">
        <v>39</v>
      </c>
      <c r="O1175" s="28">
        <v>5.0</v>
      </c>
      <c r="P1175" s="28" t="s">
        <v>29</v>
      </c>
      <c r="Q1175" s="428" t="s">
        <v>39</v>
      </c>
      <c r="R1175" s="28"/>
      <c r="S1175" s="129"/>
      <c r="T1175" s="129"/>
      <c r="U1175" s="129"/>
      <c r="V1175" s="129"/>
      <c r="W1175" s="129"/>
      <c r="X1175" s="129"/>
      <c r="Y1175" s="129"/>
      <c r="Z1175" s="129"/>
      <c r="AA1175" s="129"/>
      <c r="AB1175" s="129"/>
      <c r="AC1175" s="129"/>
      <c r="AD1175" s="129"/>
    </row>
    <row r="1176" ht="14.25" customHeight="1">
      <c r="A1176" s="211">
        <v>53.0</v>
      </c>
      <c r="B1176" s="34" t="s">
        <v>4371</v>
      </c>
      <c r="C1176" s="34" t="s">
        <v>4795</v>
      </c>
      <c r="D1176" s="34"/>
      <c r="E1176" s="34"/>
      <c r="F1176" s="410"/>
      <c r="G1176" s="432">
        <v>208.0</v>
      </c>
      <c r="H1176" s="34">
        <v>4.0</v>
      </c>
      <c r="I1176" s="425">
        <v>20.0</v>
      </c>
      <c r="J1176" s="425" t="s">
        <v>39</v>
      </c>
      <c r="K1176" s="425" t="s">
        <v>39</v>
      </c>
      <c r="L1176" s="34">
        <v>1.0</v>
      </c>
      <c r="M1176" s="34" t="s">
        <v>449</v>
      </c>
      <c r="N1176" s="425" t="s">
        <v>39</v>
      </c>
      <c r="O1176" s="34">
        <v>4.0</v>
      </c>
      <c r="P1176" s="34" t="s">
        <v>29</v>
      </c>
      <c r="Q1176" s="425" t="s">
        <v>39</v>
      </c>
      <c r="R1176" s="34"/>
      <c r="S1176" s="129"/>
      <c r="T1176" s="129"/>
      <c r="U1176" s="129"/>
      <c r="V1176" s="129"/>
      <c r="W1176" s="129"/>
      <c r="X1176" s="129"/>
      <c r="Y1176" s="129"/>
      <c r="Z1176" s="129"/>
      <c r="AA1176" s="129"/>
      <c r="AB1176" s="129"/>
      <c r="AC1176" s="129"/>
      <c r="AD1176" s="129"/>
    </row>
    <row r="1177" ht="14.25" customHeight="1">
      <c r="A1177" s="211">
        <v>54.0</v>
      </c>
      <c r="B1177" s="28" t="s">
        <v>4796</v>
      </c>
      <c r="C1177" s="28" t="s">
        <v>4797</v>
      </c>
      <c r="D1177" s="28"/>
      <c r="E1177" s="28"/>
      <c r="F1177" s="412"/>
      <c r="G1177" s="433">
        <v>224.0</v>
      </c>
      <c r="H1177" s="28">
        <v>8.0</v>
      </c>
      <c r="I1177" s="428">
        <v>40.0</v>
      </c>
      <c r="J1177" s="428" t="s">
        <v>39</v>
      </c>
      <c r="K1177" s="428" t="s">
        <v>39</v>
      </c>
      <c r="L1177" s="28">
        <v>1.0</v>
      </c>
      <c r="M1177" s="28" t="s">
        <v>449</v>
      </c>
      <c r="N1177" s="428" t="s">
        <v>39</v>
      </c>
      <c r="O1177" s="28">
        <v>8.0</v>
      </c>
      <c r="P1177" s="28" t="s">
        <v>29</v>
      </c>
      <c r="Q1177" s="428" t="s">
        <v>39</v>
      </c>
      <c r="R1177" s="28"/>
      <c r="S1177" s="129"/>
      <c r="T1177" s="129"/>
      <c r="U1177" s="129"/>
      <c r="V1177" s="129"/>
      <c r="W1177" s="129"/>
      <c r="X1177" s="129"/>
      <c r="Y1177" s="129"/>
      <c r="Z1177" s="129"/>
      <c r="AA1177" s="129"/>
      <c r="AB1177" s="129"/>
      <c r="AC1177" s="129"/>
      <c r="AD1177" s="129"/>
    </row>
    <row r="1178" ht="14.25" customHeight="1">
      <c r="A1178" s="211">
        <v>55.0</v>
      </c>
      <c r="B1178" s="34" t="s">
        <v>4371</v>
      </c>
      <c r="C1178" s="34" t="s">
        <v>4798</v>
      </c>
      <c r="D1178" s="34"/>
      <c r="E1178" s="34"/>
      <c r="F1178" s="410"/>
      <c r="G1178" s="432" t="s">
        <v>39</v>
      </c>
      <c r="H1178" s="34" t="s">
        <v>39</v>
      </c>
      <c r="I1178" s="425" t="s">
        <v>39</v>
      </c>
      <c r="J1178" s="425" t="s">
        <v>39</v>
      </c>
      <c r="K1178" s="425" t="s">
        <v>39</v>
      </c>
      <c r="L1178" s="34">
        <v>1.0</v>
      </c>
      <c r="M1178" s="34" t="s">
        <v>449</v>
      </c>
      <c r="N1178" s="425" t="s">
        <v>39</v>
      </c>
      <c r="O1178" s="34" t="s">
        <v>39</v>
      </c>
      <c r="P1178" s="34" t="s">
        <v>29</v>
      </c>
      <c r="Q1178" s="425" t="s">
        <v>39</v>
      </c>
      <c r="R1178" s="34"/>
      <c r="S1178" s="129"/>
      <c r="T1178" s="129"/>
      <c r="U1178" s="129"/>
      <c r="V1178" s="129"/>
      <c r="W1178" s="129"/>
      <c r="X1178" s="129"/>
      <c r="Y1178" s="129"/>
      <c r="Z1178" s="129"/>
      <c r="AA1178" s="129"/>
      <c r="AB1178" s="129"/>
      <c r="AC1178" s="129"/>
      <c r="AD1178" s="129"/>
    </row>
    <row r="1179" ht="14.25" customHeight="1">
      <c r="A1179" s="211">
        <v>56.0</v>
      </c>
      <c r="B1179" s="28" t="s">
        <v>4371</v>
      </c>
      <c r="C1179" s="28" t="s">
        <v>4799</v>
      </c>
      <c r="D1179" s="28"/>
      <c r="E1179" s="28"/>
      <c r="F1179" s="412"/>
      <c r="G1179" s="433" t="s">
        <v>39</v>
      </c>
      <c r="H1179" s="28" t="s">
        <v>39</v>
      </c>
      <c r="I1179" s="428" t="s">
        <v>39</v>
      </c>
      <c r="J1179" s="428" t="s">
        <v>39</v>
      </c>
      <c r="K1179" s="428" t="s">
        <v>39</v>
      </c>
      <c r="L1179" s="28">
        <v>1.0</v>
      </c>
      <c r="M1179" s="28" t="s">
        <v>449</v>
      </c>
      <c r="N1179" s="428" t="s">
        <v>39</v>
      </c>
      <c r="O1179" s="28" t="s">
        <v>39</v>
      </c>
      <c r="P1179" s="28" t="s">
        <v>29</v>
      </c>
      <c r="Q1179" s="428" t="s">
        <v>39</v>
      </c>
      <c r="R1179" s="28"/>
      <c r="S1179" s="129"/>
      <c r="T1179" s="129"/>
      <c r="U1179" s="129"/>
      <c r="V1179" s="129"/>
      <c r="W1179" s="129"/>
      <c r="X1179" s="129"/>
      <c r="Y1179" s="129"/>
      <c r="Z1179" s="129"/>
      <c r="AA1179" s="129"/>
      <c r="AB1179" s="129"/>
      <c r="AC1179" s="129"/>
      <c r="AD1179" s="129"/>
    </row>
    <row r="1180" ht="14.25" customHeight="1">
      <c r="A1180" s="211">
        <v>57.0</v>
      </c>
      <c r="B1180" s="34" t="s">
        <v>4800</v>
      </c>
      <c r="C1180" s="34" t="s">
        <v>3210</v>
      </c>
      <c r="D1180" s="34"/>
      <c r="E1180" s="34"/>
      <c r="F1180" s="410"/>
      <c r="G1180" s="432">
        <v>600.0</v>
      </c>
      <c r="H1180" s="34">
        <v>150.0</v>
      </c>
      <c r="I1180" s="425">
        <v>750.0</v>
      </c>
      <c r="J1180" s="425" t="s">
        <v>39</v>
      </c>
      <c r="K1180" s="425" t="s">
        <v>39</v>
      </c>
      <c r="L1180" s="34">
        <v>1.0</v>
      </c>
      <c r="M1180" s="34" t="s">
        <v>449</v>
      </c>
      <c r="N1180" s="425" t="s">
        <v>39</v>
      </c>
      <c r="O1180" s="34">
        <v>150.0</v>
      </c>
      <c r="P1180" s="34" t="s">
        <v>29</v>
      </c>
      <c r="Q1180" s="425" t="s">
        <v>39</v>
      </c>
      <c r="R1180" s="34"/>
      <c r="S1180" s="129"/>
      <c r="T1180" s="129"/>
      <c r="U1180" s="129"/>
      <c r="V1180" s="129"/>
      <c r="W1180" s="129"/>
      <c r="X1180" s="129"/>
      <c r="Y1180" s="129"/>
      <c r="Z1180" s="129"/>
      <c r="AA1180" s="129"/>
      <c r="AB1180" s="129"/>
      <c r="AC1180" s="129"/>
      <c r="AD1180" s="129"/>
    </row>
    <row r="1181" ht="14.25" customHeight="1">
      <c r="A1181" s="211">
        <v>58.0</v>
      </c>
      <c r="B1181" s="28" t="s">
        <v>4801</v>
      </c>
      <c r="C1181" s="28" t="s">
        <v>3210</v>
      </c>
      <c r="D1181" s="28"/>
      <c r="E1181" s="28"/>
      <c r="F1181" s="412"/>
      <c r="G1181" s="433">
        <v>1500.0</v>
      </c>
      <c r="H1181" s="28">
        <v>180.0</v>
      </c>
      <c r="I1181" s="428">
        <v>900.0</v>
      </c>
      <c r="J1181" s="428">
        <v>1.0</v>
      </c>
      <c r="K1181" s="428">
        <v>1.0</v>
      </c>
      <c r="L1181" s="28">
        <v>0.0</v>
      </c>
      <c r="M1181" s="28" t="s">
        <v>449</v>
      </c>
      <c r="N1181" s="428" t="s">
        <v>39</v>
      </c>
      <c r="O1181" s="28">
        <v>180.0</v>
      </c>
      <c r="P1181" s="28" t="s">
        <v>29</v>
      </c>
      <c r="Q1181" s="428" t="s">
        <v>39</v>
      </c>
      <c r="R1181" s="28"/>
      <c r="S1181" s="129"/>
      <c r="T1181" s="129"/>
      <c r="U1181" s="129"/>
      <c r="V1181" s="129"/>
      <c r="W1181" s="129"/>
      <c r="X1181" s="129"/>
      <c r="Y1181" s="129"/>
      <c r="Z1181" s="129"/>
      <c r="AA1181" s="129"/>
      <c r="AB1181" s="129"/>
      <c r="AC1181" s="129"/>
      <c r="AD1181" s="129"/>
    </row>
    <row r="1182" ht="14.25" customHeight="1">
      <c r="A1182" s="211">
        <v>59.0</v>
      </c>
      <c r="B1182" s="34" t="s">
        <v>4802</v>
      </c>
      <c r="C1182" s="34" t="s">
        <v>3210</v>
      </c>
      <c r="D1182" s="34"/>
      <c r="E1182" s="34"/>
      <c r="F1182" s="410"/>
      <c r="G1182" s="432">
        <v>800.0</v>
      </c>
      <c r="H1182" s="34">
        <v>60.0</v>
      </c>
      <c r="I1182" s="425">
        <v>300.0</v>
      </c>
      <c r="J1182" s="425">
        <v>1.0</v>
      </c>
      <c r="K1182" s="425">
        <v>1.0</v>
      </c>
      <c r="L1182" s="34">
        <v>1.0</v>
      </c>
      <c r="M1182" s="34" t="s">
        <v>449</v>
      </c>
      <c r="N1182" s="425" t="s">
        <v>39</v>
      </c>
      <c r="O1182" s="34">
        <v>60.0</v>
      </c>
      <c r="P1182" s="34" t="s">
        <v>29</v>
      </c>
      <c r="Q1182" s="425" t="s">
        <v>39</v>
      </c>
      <c r="R1182" s="34"/>
      <c r="S1182" s="129"/>
      <c r="T1182" s="129"/>
      <c r="U1182" s="129"/>
      <c r="V1182" s="129"/>
      <c r="W1182" s="129"/>
      <c r="X1182" s="129"/>
      <c r="Y1182" s="129"/>
      <c r="Z1182" s="129"/>
      <c r="AA1182" s="129"/>
      <c r="AB1182" s="129"/>
      <c r="AC1182" s="129"/>
      <c r="AD1182" s="129"/>
    </row>
    <row r="1183" ht="14.25" customHeight="1">
      <c r="A1183" s="211">
        <v>60.0</v>
      </c>
      <c r="B1183" s="28" t="s">
        <v>4803</v>
      </c>
      <c r="C1183" s="28" t="s">
        <v>3210</v>
      </c>
      <c r="D1183" s="28"/>
      <c r="E1183" s="28"/>
      <c r="F1183" s="412"/>
      <c r="G1183" s="433">
        <v>900.0</v>
      </c>
      <c r="H1183" s="28">
        <v>200.0</v>
      </c>
      <c r="I1183" s="28">
        <v>1000.0</v>
      </c>
      <c r="J1183" s="28">
        <v>1.0</v>
      </c>
      <c r="K1183" s="28">
        <v>1.0</v>
      </c>
      <c r="L1183" s="28">
        <v>10.0</v>
      </c>
      <c r="M1183" s="28" t="s">
        <v>449</v>
      </c>
      <c r="N1183" s="428" t="s">
        <v>39</v>
      </c>
      <c r="O1183" s="28">
        <v>200.0</v>
      </c>
      <c r="P1183" s="28" t="s">
        <v>29</v>
      </c>
      <c r="Q1183" s="28" t="s">
        <v>39</v>
      </c>
      <c r="R1183" s="28"/>
      <c r="S1183" s="129"/>
      <c r="T1183" s="129"/>
      <c r="U1183" s="129"/>
      <c r="V1183" s="129"/>
      <c r="W1183" s="129"/>
      <c r="X1183" s="129"/>
      <c r="Y1183" s="129"/>
      <c r="Z1183" s="129"/>
      <c r="AA1183" s="129"/>
      <c r="AB1183" s="129"/>
      <c r="AC1183" s="129"/>
      <c r="AD1183" s="129"/>
    </row>
    <row r="1184" ht="14.25" customHeight="1">
      <c r="A1184" s="211">
        <v>61.0</v>
      </c>
      <c r="B1184" s="34" t="s">
        <v>4804</v>
      </c>
      <c r="C1184" s="34" t="s">
        <v>3210</v>
      </c>
      <c r="D1184" s="34"/>
      <c r="E1184" s="34"/>
      <c r="F1184" s="410"/>
      <c r="G1184" s="432">
        <v>750.0</v>
      </c>
      <c r="H1184" s="34">
        <v>200.0</v>
      </c>
      <c r="I1184" s="34">
        <v>1000.0</v>
      </c>
      <c r="J1184" s="34">
        <v>1.0</v>
      </c>
      <c r="K1184" s="34">
        <v>1.0</v>
      </c>
      <c r="L1184" s="34">
        <v>9.0</v>
      </c>
      <c r="M1184" s="34" t="s">
        <v>449</v>
      </c>
      <c r="N1184" s="425" t="s">
        <v>39</v>
      </c>
      <c r="O1184" s="34">
        <v>200.0</v>
      </c>
      <c r="P1184" s="34" t="s">
        <v>29</v>
      </c>
      <c r="Q1184" s="34" t="s">
        <v>39</v>
      </c>
      <c r="R1184" s="34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</row>
    <row r="1185" ht="14.25" customHeight="1">
      <c r="A1185" s="211">
        <v>62.0</v>
      </c>
      <c r="B1185" s="28" t="s">
        <v>4805</v>
      </c>
      <c r="C1185" s="28" t="s">
        <v>3210</v>
      </c>
      <c r="D1185" s="28"/>
      <c r="E1185" s="28"/>
      <c r="F1185" s="412"/>
      <c r="G1185" s="433">
        <v>210.0</v>
      </c>
      <c r="H1185" s="28">
        <v>100.0</v>
      </c>
      <c r="I1185" s="428">
        <v>500.0</v>
      </c>
      <c r="J1185" s="428">
        <v>4.0</v>
      </c>
      <c r="K1185" s="428">
        <v>4.0</v>
      </c>
      <c r="L1185" s="28">
        <v>1.0</v>
      </c>
      <c r="M1185" s="28" t="s">
        <v>449</v>
      </c>
      <c r="N1185" s="428" t="s">
        <v>39</v>
      </c>
      <c r="O1185" s="28">
        <v>100.0</v>
      </c>
      <c r="P1185" s="28" t="s">
        <v>29</v>
      </c>
      <c r="Q1185" s="428" t="s">
        <v>39</v>
      </c>
      <c r="R1185" s="28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</row>
    <row r="1186" ht="14.25" customHeight="1">
      <c r="A1186" s="211">
        <v>63.0</v>
      </c>
      <c r="B1186" s="34" t="s">
        <v>4800</v>
      </c>
      <c r="C1186" s="34" t="s">
        <v>4806</v>
      </c>
      <c r="D1186" s="34"/>
      <c r="E1186" s="34"/>
      <c r="F1186" s="410"/>
      <c r="G1186" s="432">
        <v>600.0</v>
      </c>
      <c r="H1186" s="34">
        <v>150.0</v>
      </c>
      <c r="I1186" s="425">
        <v>750.0</v>
      </c>
      <c r="J1186" s="425" t="s">
        <v>39</v>
      </c>
      <c r="K1186" s="425" t="s">
        <v>39</v>
      </c>
      <c r="L1186" s="34">
        <v>1.0</v>
      </c>
      <c r="M1186" s="34" t="s">
        <v>449</v>
      </c>
      <c r="N1186" s="425" t="s">
        <v>39</v>
      </c>
      <c r="O1186" s="34">
        <v>150.0</v>
      </c>
      <c r="P1186" s="34" t="s">
        <v>29</v>
      </c>
      <c r="Q1186" s="425" t="s">
        <v>39</v>
      </c>
      <c r="R1186" s="34"/>
      <c r="S1186" s="129"/>
      <c r="T1186" s="129"/>
      <c r="U1186" s="129"/>
      <c r="V1186" s="129"/>
      <c r="W1186" s="129"/>
      <c r="X1186" s="129"/>
      <c r="Y1186" s="129"/>
      <c r="Z1186" s="129"/>
      <c r="AA1186" s="129"/>
      <c r="AB1186" s="129"/>
      <c r="AC1186" s="129"/>
      <c r="AD1186" s="129"/>
    </row>
    <row r="1187" ht="14.25" customHeight="1">
      <c r="A1187" s="211">
        <v>64.0</v>
      </c>
      <c r="B1187" s="28" t="s">
        <v>4371</v>
      </c>
      <c r="C1187" s="28" t="s">
        <v>4806</v>
      </c>
      <c r="D1187" s="28"/>
      <c r="E1187" s="28"/>
      <c r="F1187" s="412"/>
      <c r="G1187" s="433" t="s">
        <v>39</v>
      </c>
      <c r="H1187" s="28" t="s">
        <v>39</v>
      </c>
      <c r="I1187" s="28" t="s">
        <v>39</v>
      </c>
      <c r="J1187" s="28" t="s">
        <v>39</v>
      </c>
      <c r="K1187" s="28" t="s">
        <v>39</v>
      </c>
      <c r="L1187" s="28">
        <v>1.0</v>
      </c>
      <c r="M1187" s="28" t="s">
        <v>449</v>
      </c>
      <c r="N1187" s="428" t="s">
        <v>39</v>
      </c>
      <c r="O1187" s="28" t="s">
        <v>39</v>
      </c>
      <c r="P1187" s="28" t="s">
        <v>29</v>
      </c>
      <c r="Q1187" s="28" t="s">
        <v>39</v>
      </c>
      <c r="R1187" s="28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</row>
    <row r="1188" ht="14.25" customHeight="1">
      <c r="A1188" s="211">
        <v>65.0</v>
      </c>
      <c r="B1188" s="34" t="s">
        <v>4371</v>
      </c>
      <c r="C1188" s="34" t="s">
        <v>4807</v>
      </c>
      <c r="D1188" s="34"/>
      <c r="E1188" s="34"/>
      <c r="F1188" s="410"/>
      <c r="G1188" s="432" t="s">
        <v>39</v>
      </c>
      <c r="H1188" s="34" t="s">
        <v>39</v>
      </c>
      <c r="I1188" s="34" t="s">
        <v>39</v>
      </c>
      <c r="J1188" s="34" t="s">
        <v>39</v>
      </c>
      <c r="K1188" s="34" t="s">
        <v>39</v>
      </c>
      <c r="L1188" s="34">
        <v>1.0</v>
      </c>
      <c r="M1188" s="34" t="s">
        <v>449</v>
      </c>
      <c r="N1188" s="425" t="s">
        <v>39</v>
      </c>
      <c r="O1188" s="34" t="s">
        <v>39</v>
      </c>
      <c r="P1188" s="34" t="s">
        <v>29</v>
      </c>
      <c r="Q1188" s="34" t="s">
        <v>39</v>
      </c>
      <c r="R1188" s="34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</row>
    <row r="1189" ht="14.25" customHeight="1">
      <c r="A1189" s="211">
        <v>66.0</v>
      </c>
      <c r="B1189" s="28" t="s">
        <v>4771</v>
      </c>
      <c r="C1189" s="28" t="s">
        <v>4808</v>
      </c>
      <c r="D1189" s="28"/>
      <c r="E1189" s="28"/>
      <c r="F1189" s="412"/>
      <c r="G1189" s="433">
        <v>140.0</v>
      </c>
      <c r="H1189" s="28">
        <v>30.0</v>
      </c>
      <c r="I1189" s="428">
        <v>150.0</v>
      </c>
      <c r="J1189" s="428" t="s">
        <v>39</v>
      </c>
      <c r="K1189" s="428" t="s">
        <v>39</v>
      </c>
      <c r="L1189" s="28">
        <v>1.0</v>
      </c>
      <c r="M1189" s="28" t="s">
        <v>449</v>
      </c>
      <c r="N1189" s="428" t="s">
        <v>39</v>
      </c>
      <c r="O1189" s="28" t="s">
        <v>39</v>
      </c>
      <c r="P1189" s="28" t="s">
        <v>29</v>
      </c>
      <c r="Q1189" s="28" t="s">
        <v>39</v>
      </c>
      <c r="R1189" s="28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</row>
    <row r="1190" ht="14.25" customHeight="1">
      <c r="A1190" s="211">
        <v>67.0</v>
      </c>
      <c r="B1190" s="34" t="s">
        <v>4371</v>
      </c>
      <c r="C1190" s="34" t="s">
        <v>4809</v>
      </c>
      <c r="D1190" s="34"/>
      <c r="E1190" s="34"/>
      <c r="F1190" s="410"/>
      <c r="G1190" s="432">
        <v>272.0</v>
      </c>
      <c r="H1190" s="34">
        <v>17.0</v>
      </c>
      <c r="I1190" s="425">
        <v>85.0</v>
      </c>
      <c r="J1190" s="425" t="s">
        <v>39</v>
      </c>
      <c r="K1190" s="425" t="s">
        <v>39</v>
      </c>
      <c r="L1190" s="34">
        <v>1.0</v>
      </c>
      <c r="M1190" s="34" t="s">
        <v>449</v>
      </c>
      <c r="N1190" s="425" t="s">
        <v>39</v>
      </c>
      <c r="O1190" s="34">
        <v>17.0</v>
      </c>
      <c r="P1190" s="34" t="s">
        <v>29</v>
      </c>
      <c r="Q1190" s="34" t="s">
        <v>39</v>
      </c>
      <c r="R1190" s="34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</row>
    <row r="1191" ht="14.25" customHeight="1">
      <c r="A1191" s="211">
        <v>68.0</v>
      </c>
      <c r="B1191" s="28" t="s">
        <v>4760</v>
      </c>
      <c r="C1191" s="28" t="s">
        <v>4810</v>
      </c>
      <c r="D1191" s="28"/>
      <c r="E1191" s="28"/>
      <c r="F1191" s="412"/>
      <c r="G1191" s="433">
        <v>50.76</v>
      </c>
      <c r="H1191" s="28">
        <v>5.0</v>
      </c>
      <c r="I1191" s="428">
        <v>25.0</v>
      </c>
      <c r="J1191" s="428" t="s">
        <v>39</v>
      </c>
      <c r="K1191" s="428" t="s">
        <v>39</v>
      </c>
      <c r="L1191" s="28">
        <v>1.0</v>
      </c>
      <c r="M1191" s="28" t="s">
        <v>449</v>
      </c>
      <c r="N1191" s="428" t="s">
        <v>39</v>
      </c>
      <c r="O1191" s="28">
        <v>5.0</v>
      </c>
      <c r="P1191" s="28" t="s">
        <v>29</v>
      </c>
      <c r="Q1191" s="428" t="s">
        <v>39</v>
      </c>
      <c r="R1191" s="28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</row>
    <row r="1192" ht="14.25" customHeight="1">
      <c r="A1192" s="211">
        <v>69.0</v>
      </c>
      <c r="B1192" s="34" t="s">
        <v>4371</v>
      </c>
      <c r="C1192" s="34" t="s">
        <v>4810</v>
      </c>
      <c r="D1192" s="34"/>
      <c r="E1192" s="34"/>
      <c r="F1192" s="410"/>
      <c r="G1192" s="432">
        <v>51.0</v>
      </c>
      <c r="H1192" s="34">
        <v>5.0</v>
      </c>
      <c r="I1192" s="425">
        <v>25.0</v>
      </c>
      <c r="J1192" s="425" t="s">
        <v>39</v>
      </c>
      <c r="K1192" s="425" t="s">
        <v>39</v>
      </c>
      <c r="L1192" s="34">
        <v>1.0</v>
      </c>
      <c r="M1192" s="34" t="s">
        <v>449</v>
      </c>
      <c r="N1192" s="425" t="s">
        <v>39</v>
      </c>
      <c r="O1192" s="34">
        <v>5.0</v>
      </c>
      <c r="P1192" s="34" t="s">
        <v>29</v>
      </c>
      <c r="Q1192" s="425" t="s">
        <v>39</v>
      </c>
      <c r="R1192" s="34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</row>
    <row r="1193" ht="14.25" customHeight="1">
      <c r="A1193" s="211">
        <v>70.0</v>
      </c>
      <c r="B1193" s="28" t="s">
        <v>4811</v>
      </c>
      <c r="C1193" s="28" t="s">
        <v>4810</v>
      </c>
      <c r="D1193" s="28"/>
      <c r="E1193" s="28"/>
      <c r="F1193" s="412"/>
      <c r="G1193" s="433">
        <v>34.8</v>
      </c>
      <c r="H1193" s="28">
        <v>3.0</v>
      </c>
      <c r="I1193" s="428">
        <v>15.0</v>
      </c>
      <c r="J1193" s="428" t="s">
        <v>39</v>
      </c>
      <c r="K1193" s="428" t="s">
        <v>39</v>
      </c>
      <c r="L1193" s="28">
        <v>1.0</v>
      </c>
      <c r="M1193" s="28" t="s">
        <v>449</v>
      </c>
      <c r="N1193" s="428" t="s">
        <v>39</v>
      </c>
      <c r="O1193" s="28">
        <v>3.0</v>
      </c>
      <c r="P1193" s="28" t="s">
        <v>29</v>
      </c>
      <c r="Q1193" s="428" t="s">
        <v>39</v>
      </c>
      <c r="R1193" s="28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</row>
    <row r="1194" ht="14.25" customHeight="1">
      <c r="A1194" s="211">
        <v>71.0</v>
      </c>
      <c r="B1194" s="34" t="s">
        <v>4812</v>
      </c>
      <c r="C1194" s="34" t="s">
        <v>4813</v>
      </c>
      <c r="D1194" s="34"/>
      <c r="E1194" s="34"/>
      <c r="F1194" s="410"/>
      <c r="G1194" s="432">
        <v>250.0</v>
      </c>
      <c r="H1194" s="34">
        <v>45.0</v>
      </c>
      <c r="I1194" s="425">
        <v>225.0</v>
      </c>
      <c r="J1194" s="425" t="s">
        <v>39</v>
      </c>
      <c r="K1194" s="425" t="s">
        <v>39</v>
      </c>
      <c r="L1194" s="34">
        <v>1.0</v>
      </c>
      <c r="M1194" s="34" t="s">
        <v>449</v>
      </c>
      <c r="N1194" s="425" t="s">
        <v>39</v>
      </c>
      <c r="O1194" s="34">
        <v>45.0</v>
      </c>
      <c r="P1194" s="34" t="s">
        <v>29</v>
      </c>
      <c r="Q1194" s="425" t="s">
        <v>39</v>
      </c>
      <c r="R1194" s="34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</row>
    <row r="1195" ht="14.25" customHeight="1">
      <c r="A1195" s="211">
        <v>72.0</v>
      </c>
      <c r="B1195" s="28" t="s">
        <v>4371</v>
      </c>
      <c r="C1195" s="28" t="s">
        <v>4813</v>
      </c>
      <c r="D1195" s="28"/>
      <c r="E1195" s="28"/>
      <c r="F1195" s="412"/>
      <c r="G1195" s="433">
        <v>90.0</v>
      </c>
      <c r="H1195" s="28">
        <v>15.0</v>
      </c>
      <c r="I1195" s="428">
        <v>75.0</v>
      </c>
      <c r="J1195" s="428" t="s">
        <v>39</v>
      </c>
      <c r="K1195" s="428" t="s">
        <v>39</v>
      </c>
      <c r="L1195" s="28">
        <v>1.0</v>
      </c>
      <c r="M1195" s="28" t="s">
        <v>449</v>
      </c>
      <c r="N1195" s="428" t="s">
        <v>39</v>
      </c>
      <c r="O1195" s="28">
        <v>15.0</v>
      </c>
      <c r="P1195" s="28" t="s">
        <v>29</v>
      </c>
      <c r="Q1195" s="428" t="s">
        <v>39</v>
      </c>
      <c r="R1195" s="28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</row>
    <row r="1196" ht="15.75" customHeight="1">
      <c r="A1196" s="181"/>
      <c r="B1196" s="182" t="s">
        <v>4814</v>
      </c>
      <c r="C1196" s="182"/>
      <c r="D1196" s="182"/>
      <c r="E1196" s="182"/>
      <c r="F1196" s="403"/>
      <c r="G1196" s="404"/>
      <c r="H1196" s="182"/>
      <c r="I1196" s="182"/>
      <c r="J1196" s="91"/>
      <c r="K1196" s="91"/>
      <c r="L1196" s="91"/>
      <c r="M1196" s="91"/>
      <c r="N1196" s="91"/>
      <c r="O1196" s="91"/>
      <c r="P1196" s="182"/>
      <c r="Q1196" s="91"/>
      <c r="R1196" s="218"/>
      <c r="S1196" s="405"/>
      <c r="T1196" s="405"/>
      <c r="U1196" s="405"/>
      <c r="V1196" s="405"/>
      <c r="W1196" s="405"/>
      <c r="X1196" s="405"/>
      <c r="Y1196" s="405"/>
      <c r="Z1196" s="405"/>
      <c r="AA1196" s="405"/>
      <c r="AB1196" s="405"/>
      <c r="AC1196" s="405"/>
      <c r="AD1196" s="405"/>
    </row>
    <row r="1197" ht="14.25" customHeight="1">
      <c r="A1197" s="211">
        <v>1.0</v>
      </c>
      <c r="B1197" s="46" t="s">
        <v>4815</v>
      </c>
      <c r="C1197" s="46" t="s">
        <v>1552</v>
      </c>
      <c r="D1197" s="46"/>
      <c r="E1197" s="46"/>
      <c r="F1197" s="50"/>
      <c r="G1197" s="275" t="s">
        <v>4816</v>
      </c>
      <c r="H1197" s="46">
        <v>20.0</v>
      </c>
      <c r="I1197" s="46">
        <v>100.0</v>
      </c>
      <c r="J1197" s="46">
        <v>1.0</v>
      </c>
      <c r="K1197" s="46">
        <v>1.0</v>
      </c>
      <c r="L1197" s="46">
        <v>2.0</v>
      </c>
      <c r="M1197" s="53" t="s">
        <v>4817</v>
      </c>
      <c r="N1197" s="46"/>
      <c r="O1197" s="46"/>
      <c r="P1197" s="46" t="s">
        <v>29</v>
      </c>
      <c r="Q1197" s="46"/>
      <c r="R1197" s="46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</row>
    <row r="1198" ht="14.25" customHeight="1">
      <c r="A1198" s="211">
        <v>2.0</v>
      </c>
      <c r="B1198" s="28" t="s">
        <v>4818</v>
      </c>
      <c r="C1198" s="46" t="s">
        <v>1552</v>
      </c>
      <c r="D1198" s="46"/>
      <c r="E1198" s="46"/>
      <c r="F1198" s="50"/>
      <c r="G1198" s="434" t="s">
        <v>4819</v>
      </c>
      <c r="H1198" s="435">
        <v>20.0</v>
      </c>
      <c r="I1198" s="435">
        <v>100.0</v>
      </c>
      <c r="J1198" s="436">
        <v>1.0</v>
      </c>
      <c r="K1198" s="436">
        <v>1.0</v>
      </c>
      <c r="L1198" s="46">
        <v>2.0</v>
      </c>
      <c r="M1198" s="46" t="s">
        <v>4817</v>
      </c>
      <c r="N1198" s="435"/>
      <c r="O1198" s="435"/>
      <c r="P1198" s="435" t="s">
        <v>29</v>
      </c>
      <c r="Q1198" s="435"/>
      <c r="R1198" s="46"/>
      <c r="S1198" s="129"/>
      <c r="T1198" s="129"/>
      <c r="U1198" s="129"/>
      <c r="V1198" s="129"/>
      <c r="W1198" s="129"/>
      <c r="X1198" s="129"/>
      <c r="Y1198" s="129"/>
      <c r="Z1198" s="129"/>
      <c r="AA1198" s="129"/>
      <c r="AB1198" s="129"/>
      <c r="AC1198" s="129"/>
      <c r="AD1198" s="129"/>
    </row>
    <row r="1199" ht="14.25" customHeight="1">
      <c r="A1199" s="211">
        <v>3.0</v>
      </c>
      <c r="B1199" s="34" t="s">
        <v>4820</v>
      </c>
      <c r="C1199" s="34" t="s">
        <v>4821</v>
      </c>
      <c r="D1199" s="34"/>
      <c r="E1199" s="34"/>
      <c r="F1199" s="410"/>
      <c r="G1199" s="275" t="s">
        <v>4822</v>
      </c>
      <c r="H1199" s="46">
        <v>3.0</v>
      </c>
      <c r="I1199" s="46">
        <v>15.0</v>
      </c>
      <c r="J1199" s="46">
        <v>0.0</v>
      </c>
      <c r="K1199" s="46">
        <v>0.0</v>
      </c>
      <c r="L1199" s="46">
        <v>1.0</v>
      </c>
      <c r="M1199" s="46" t="s">
        <v>4817</v>
      </c>
      <c r="N1199" s="46"/>
      <c r="O1199" s="46">
        <v>3.0</v>
      </c>
      <c r="P1199" s="46" t="s">
        <v>29</v>
      </c>
      <c r="Q1199" s="46" t="s">
        <v>59</v>
      </c>
      <c r="R1199" s="46"/>
      <c r="S1199" s="129"/>
      <c r="T1199" s="129"/>
      <c r="U1199" s="129"/>
      <c r="V1199" s="129"/>
      <c r="W1199" s="129"/>
      <c r="X1199" s="129"/>
      <c r="Y1199" s="129"/>
      <c r="Z1199" s="129"/>
      <c r="AA1199" s="129"/>
      <c r="AB1199" s="129"/>
      <c r="AC1199" s="129"/>
      <c r="AD1199" s="129"/>
    </row>
    <row r="1200" ht="14.25" customHeight="1">
      <c r="A1200" s="211">
        <v>4.0</v>
      </c>
      <c r="B1200" s="28" t="s">
        <v>4823</v>
      </c>
      <c r="C1200" s="28" t="s">
        <v>4824</v>
      </c>
      <c r="D1200" s="28"/>
      <c r="E1200" s="28"/>
      <c r="F1200" s="412"/>
      <c r="G1200" s="437" t="s">
        <v>28</v>
      </c>
      <c r="H1200" s="438">
        <v>5.0</v>
      </c>
      <c r="I1200" s="438">
        <v>25.0</v>
      </c>
      <c r="J1200" s="438">
        <v>3.0</v>
      </c>
      <c r="K1200" s="438">
        <v>3.0</v>
      </c>
      <c r="L1200" s="46">
        <v>3.0</v>
      </c>
      <c r="M1200" s="46" t="s">
        <v>4825</v>
      </c>
      <c r="N1200" s="46"/>
      <c r="O1200" s="46">
        <v>25.0</v>
      </c>
      <c r="P1200" s="46" t="s">
        <v>29</v>
      </c>
      <c r="Q1200" s="46"/>
      <c r="R1200" s="46"/>
      <c r="S1200" s="129"/>
      <c r="T1200" s="129"/>
      <c r="U1200" s="129"/>
      <c r="V1200" s="129"/>
      <c r="W1200" s="129"/>
      <c r="X1200" s="129"/>
      <c r="Y1200" s="129"/>
      <c r="Z1200" s="129"/>
      <c r="AA1200" s="129"/>
      <c r="AB1200" s="129"/>
      <c r="AC1200" s="129"/>
      <c r="AD1200" s="129"/>
    </row>
    <row r="1201" ht="14.25" customHeight="1">
      <c r="A1201" s="211">
        <v>5.0</v>
      </c>
      <c r="B1201" s="46" t="s">
        <v>1171</v>
      </c>
      <c r="C1201" s="46" t="s">
        <v>4826</v>
      </c>
      <c r="D1201" s="46"/>
      <c r="E1201" s="46"/>
      <c r="F1201" s="50"/>
      <c r="G1201" s="275" t="s">
        <v>4827</v>
      </c>
      <c r="H1201" s="46">
        <v>7.0</v>
      </c>
      <c r="I1201" s="46">
        <v>28.0</v>
      </c>
      <c r="J1201" s="46">
        <v>0.0</v>
      </c>
      <c r="K1201" s="46">
        <v>0.0</v>
      </c>
      <c r="L1201" s="46">
        <v>1.0</v>
      </c>
      <c r="M1201" s="46" t="s">
        <v>27</v>
      </c>
      <c r="N1201" s="46"/>
      <c r="O1201" s="46">
        <v>477.0</v>
      </c>
      <c r="P1201" s="46" t="s">
        <v>29</v>
      </c>
      <c r="Q1201" s="46"/>
      <c r="R1201" s="46"/>
      <c r="S1201" s="129"/>
      <c r="T1201" s="129"/>
      <c r="U1201" s="129"/>
      <c r="V1201" s="129"/>
      <c r="W1201" s="129"/>
      <c r="X1201" s="129"/>
      <c r="Y1201" s="129"/>
      <c r="Z1201" s="129"/>
      <c r="AA1201" s="129"/>
      <c r="AB1201" s="129"/>
      <c r="AC1201" s="129"/>
      <c r="AD1201" s="129"/>
    </row>
    <row r="1202" ht="14.25" customHeight="1">
      <c r="A1202" s="211">
        <v>6.0</v>
      </c>
      <c r="B1202" s="46" t="s">
        <v>68</v>
      </c>
      <c r="C1202" s="46" t="s">
        <v>4828</v>
      </c>
      <c r="D1202" s="46"/>
      <c r="E1202" s="46"/>
      <c r="F1202" s="50"/>
      <c r="G1202" s="275" t="s">
        <v>4829</v>
      </c>
      <c r="H1202" s="46">
        <v>6.0</v>
      </c>
      <c r="I1202" s="46">
        <v>30.0</v>
      </c>
      <c r="J1202" s="46">
        <v>1.0</v>
      </c>
      <c r="K1202" s="46">
        <v>1.0</v>
      </c>
      <c r="L1202" s="46">
        <v>0.0</v>
      </c>
      <c r="M1202" s="46" t="s">
        <v>4817</v>
      </c>
      <c r="N1202" s="46"/>
      <c r="O1202" s="46">
        <v>3000.0</v>
      </c>
      <c r="P1202" s="46" t="s">
        <v>29</v>
      </c>
      <c r="Q1202" s="46"/>
      <c r="R1202" s="46"/>
      <c r="S1202" s="129"/>
      <c r="T1202" s="129"/>
      <c r="U1202" s="129"/>
      <c r="V1202" s="129"/>
      <c r="W1202" s="129"/>
      <c r="X1202" s="129"/>
      <c r="Y1202" s="129"/>
      <c r="Z1202" s="129"/>
      <c r="AA1202" s="129"/>
      <c r="AB1202" s="129"/>
      <c r="AC1202" s="129"/>
      <c r="AD1202" s="129"/>
    </row>
    <row r="1203" ht="14.25" customHeight="1">
      <c r="A1203" s="211">
        <v>7.0</v>
      </c>
      <c r="B1203" s="46" t="s">
        <v>4830</v>
      </c>
      <c r="C1203" s="392" t="s">
        <v>4831</v>
      </c>
      <c r="D1203" s="291"/>
      <c r="E1203" s="291"/>
      <c r="F1203" s="421"/>
      <c r="G1203" s="275" t="s">
        <v>28</v>
      </c>
      <c r="H1203" s="46">
        <v>6.0</v>
      </c>
      <c r="I1203" s="46">
        <v>20.0</v>
      </c>
      <c r="J1203" s="46">
        <v>0.0</v>
      </c>
      <c r="K1203" s="46">
        <v>0.0</v>
      </c>
      <c r="L1203" s="46">
        <v>1.0</v>
      </c>
      <c r="M1203" s="46" t="s">
        <v>27</v>
      </c>
      <c r="N1203" s="46"/>
      <c r="O1203" s="46">
        <v>25.0</v>
      </c>
      <c r="P1203" s="46" t="s">
        <v>52</v>
      </c>
      <c r="Q1203" s="46"/>
      <c r="R1203" s="46"/>
      <c r="S1203" s="129"/>
      <c r="T1203" s="129"/>
      <c r="U1203" s="129"/>
      <c r="V1203" s="129"/>
      <c r="W1203" s="129"/>
      <c r="X1203" s="129"/>
      <c r="Y1203" s="129"/>
      <c r="Z1203" s="129"/>
      <c r="AA1203" s="129"/>
      <c r="AB1203" s="129"/>
      <c r="AC1203" s="129"/>
      <c r="AD1203" s="129"/>
    </row>
    <row r="1204" ht="14.25" customHeight="1">
      <c r="A1204" s="211">
        <v>8.0</v>
      </c>
      <c r="B1204" s="46" t="s">
        <v>4832</v>
      </c>
      <c r="C1204" s="153"/>
      <c r="D1204" s="46"/>
      <c r="E1204" s="46"/>
      <c r="F1204" s="50"/>
      <c r="G1204" s="275" t="s">
        <v>28</v>
      </c>
      <c r="H1204" s="46">
        <v>5.0</v>
      </c>
      <c r="I1204" s="46">
        <v>15.0</v>
      </c>
      <c r="J1204" s="46">
        <v>0.0</v>
      </c>
      <c r="K1204" s="46">
        <v>0.0</v>
      </c>
      <c r="L1204" s="46">
        <v>1.0</v>
      </c>
      <c r="M1204" s="46" t="s">
        <v>27</v>
      </c>
      <c r="N1204" s="46"/>
      <c r="O1204" s="46">
        <v>20.0</v>
      </c>
      <c r="P1204" s="46" t="s">
        <v>52</v>
      </c>
      <c r="Q1204" s="46"/>
      <c r="R1204" s="46"/>
      <c r="S1204" s="129"/>
      <c r="T1204" s="129"/>
      <c r="U1204" s="129"/>
      <c r="V1204" s="129"/>
      <c r="W1204" s="129"/>
      <c r="X1204" s="129"/>
      <c r="Y1204" s="129"/>
      <c r="Z1204" s="129"/>
      <c r="AA1204" s="129"/>
      <c r="AB1204" s="129"/>
      <c r="AC1204" s="129"/>
      <c r="AD1204" s="129"/>
    </row>
    <row r="1205" ht="14.25" customHeight="1">
      <c r="A1205" s="211">
        <v>9.0</v>
      </c>
      <c r="B1205" s="46" t="s">
        <v>2300</v>
      </c>
      <c r="C1205" s="13"/>
      <c r="D1205" s="46"/>
      <c r="E1205" s="46"/>
      <c r="F1205" s="50"/>
      <c r="G1205" s="275" t="s">
        <v>28</v>
      </c>
      <c r="H1205" s="46">
        <v>50.0</v>
      </c>
      <c r="I1205" s="46">
        <v>200.0</v>
      </c>
      <c r="J1205" s="46">
        <v>1.0</v>
      </c>
      <c r="K1205" s="46">
        <v>1.0</v>
      </c>
      <c r="L1205" s="46">
        <v>1.0</v>
      </c>
      <c r="M1205" s="46" t="s">
        <v>27</v>
      </c>
      <c r="N1205" s="46"/>
      <c r="O1205" s="46">
        <v>200.0</v>
      </c>
      <c r="P1205" s="46" t="s">
        <v>29</v>
      </c>
      <c r="Q1205" s="46"/>
      <c r="R1205" s="46"/>
      <c r="S1205" s="129"/>
      <c r="T1205" s="129"/>
      <c r="U1205" s="129"/>
      <c r="V1205" s="129"/>
      <c r="W1205" s="129"/>
      <c r="X1205" s="129"/>
      <c r="Y1205" s="129"/>
      <c r="Z1205" s="129"/>
      <c r="AA1205" s="129"/>
      <c r="AB1205" s="129"/>
      <c r="AC1205" s="129"/>
      <c r="AD1205" s="129"/>
    </row>
    <row r="1206" ht="14.25" customHeight="1">
      <c r="A1206" s="211">
        <v>10.0</v>
      </c>
      <c r="B1206" s="46" t="s">
        <v>68</v>
      </c>
      <c r="C1206" s="46" t="s">
        <v>4833</v>
      </c>
      <c r="D1206" s="46"/>
      <c r="E1206" s="46"/>
      <c r="F1206" s="50"/>
      <c r="G1206" s="275" t="s">
        <v>4834</v>
      </c>
      <c r="H1206" s="46">
        <v>5.0</v>
      </c>
      <c r="I1206" s="46" t="s">
        <v>4835</v>
      </c>
      <c r="J1206" s="46">
        <v>0.0</v>
      </c>
      <c r="K1206" s="46">
        <v>0.0</v>
      </c>
      <c r="L1206" s="46">
        <v>1.0</v>
      </c>
      <c r="M1206" s="46" t="s">
        <v>4817</v>
      </c>
      <c r="N1206" s="46"/>
      <c r="O1206" s="46">
        <v>50.0</v>
      </c>
      <c r="P1206" s="46" t="s">
        <v>29</v>
      </c>
      <c r="Q1206" s="46"/>
      <c r="R1206" s="46"/>
      <c r="S1206" s="129"/>
      <c r="T1206" s="129"/>
      <c r="U1206" s="129"/>
      <c r="V1206" s="129"/>
      <c r="W1206" s="129"/>
      <c r="X1206" s="129"/>
      <c r="Y1206" s="129"/>
      <c r="Z1206" s="129"/>
      <c r="AA1206" s="129"/>
      <c r="AB1206" s="129"/>
      <c r="AC1206" s="129"/>
      <c r="AD1206" s="129"/>
    </row>
    <row r="1207" ht="14.25" customHeight="1">
      <c r="A1207" s="211">
        <v>11.0</v>
      </c>
      <c r="B1207" s="46" t="s">
        <v>1171</v>
      </c>
      <c r="C1207" s="46" t="s">
        <v>4836</v>
      </c>
      <c r="D1207" s="46"/>
      <c r="E1207" s="46"/>
      <c r="F1207" s="50"/>
      <c r="G1207" s="275" t="s">
        <v>4837</v>
      </c>
      <c r="H1207" s="46">
        <v>12.0</v>
      </c>
      <c r="I1207" s="46">
        <v>60.0</v>
      </c>
      <c r="J1207" s="46">
        <v>0.0</v>
      </c>
      <c r="K1207" s="46">
        <v>0.0</v>
      </c>
      <c r="L1207" s="46">
        <v>2.0</v>
      </c>
      <c r="M1207" s="46" t="s">
        <v>4817</v>
      </c>
      <c r="N1207" s="46"/>
      <c r="O1207" s="46">
        <v>800.0</v>
      </c>
      <c r="P1207" s="46" t="s">
        <v>29</v>
      </c>
      <c r="Q1207" s="46"/>
      <c r="R1207" s="46"/>
      <c r="S1207" s="129"/>
      <c r="T1207" s="129"/>
      <c r="U1207" s="129"/>
      <c r="V1207" s="129"/>
      <c r="W1207" s="129"/>
      <c r="X1207" s="129"/>
      <c r="Y1207" s="129"/>
      <c r="Z1207" s="129"/>
      <c r="AA1207" s="129"/>
      <c r="AB1207" s="129"/>
      <c r="AC1207" s="129"/>
      <c r="AD1207" s="129"/>
    </row>
    <row r="1208" ht="14.25" customHeight="1">
      <c r="A1208" s="211">
        <v>12.0</v>
      </c>
      <c r="B1208" s="46" t="s">
        <v>2300</v>
      </c>
      <c r="C1208" s="392" t="s">
        <v>4838</v>
      </c>
      <c r="D1208" s="291"/>
      <c r="E1208" s="291"/>
      <c r="F1208" s="421"/>
      <c r="G1208" s="275" t="s">
        <v>4839</v>
      </c>
      <c r="H1208" s="46">
        <v>120.0</v>
      </c>
      <c r="I1208" s="46">
        <v>600.0</v>
      </c>
      <c r="J1208" s="46">
        <v>1.0</v>
      </c>
      <c r="K1208" s="46">
        <v>1.0</v>
      </c>
      <c r="L1208" s="46">
        <v>13.0</v>
      </c>
      <c r="M1208" s="46" t="s">
        <v>4817</v>
      </c>
      <c r="N1208" s="46"/>
      <c r="O1208" s="46">
        <v>120.0</v>
      </c>
      <c r="P1208" s="46" t="s">
        <v>29</v>
      </c>
      <c r="Q1208" s="46"/>
      <c r="R1208" s="46"/>
      <c r="S1208" s="129"/>
      <c r="T1208" s="129"/>
      <c r="U1208" s="129"/>
      <c r="V1208" s="129"/>
      <c r="W1208" s="129"/>
      <c r="X1208" s="129"/>
      <c r="Y1208" s="129"/>
      <c r="Z1208" s="129"/>
      <c r="AA1208" s="129"/>
      <c r="AB1208" s="129"/>
      <c r="AC1208" s="129"/>
      <c r="AD1208" s="129"/>
    </row>
    <row r="1209" ht="14.25" customHeight="1">
      <c r="A1209" s="211">
        <v>13.0</v>
      </c>
      <c r="B1209" s="46" t="s">
        <v>4840</v>
      </c>
      <c r="C1209" s="13"/>
      <c r="D1209" s="46"/>
      <c r="E1209" s="46"/>
      <c r="F1209" s="50"/>
      <c r="G1209" s="275" t="s">
        <v>4841</v>
      </c>
      <c r="H1209" s="46">
        <v>200.0</v>
      </c>
      <c r="I1209" s="46">
        <v>1000.0</v>
      </c>
      <c r="J1209" s="46">
        <v>3.0</v>
      </c>
      <c r="K1209" s="46">
        <v>3.0</v>
      </c>
      <c r="L1209" s="46">
        <v>14.0</v>
      </c>
      <c r="M1209" s="46" t="s">
        <v>4817</v>
      </c>
      <c r="N1209" s="46"/>
      <c r="O1209" s="46">
        <v>200.0</v>
      </c>
      <c r="P1209" s="46" t="s">
        <v>29</v>
      </c>
      <c r="Q1209" s="46"/>
      <c r="R1209" s="46"/>
      <c r="S1209" s="129"/>
      <c r="T1209" s="129"/>
      <c r="U1209" s="129"/>
      <c r="V1209" s="129"/>
      <c r="W1209" s="129"/>
      <c r="X1209" s="129"/>
      <c r="Y1209" s="129"/>
      <c r="Z1209" s="129"/>
      <c r="AA1209" s="129"/>
      <c r="AB1209" s="129"/>
      <c r="AC1209" s="129"/>
      <c r="AD1209" s="129"/>
    </row>
    <row r="1210" ht="14.25" customHeight="1">
      <c r="A1210" s="211">
        <v>14.0</v>
      </c>
      <c r="B1210" s="46" t="s">
        <v>4842</v>
      </c>
      <c r="C1210" s="392" t="s">
        <v>4843</v>
      </c>
      <c r="D1210" s="291"/>
      <c r="E1210" s="291"/>
      <c r="F1210" s="421"/>
      <c r="G1210" s="275" t="s">
        <v>4844</v>
      </c>
      <c r="H1210" s="46">
        <v>79.0</v>
      </c>
      <c r="I1210" s="46">
        <v>316.0</v>
      </c>
      <c r="J1210" s="46">
        <v>0.0</v>
      </c>
      <c r="K1210" s="46">
        <v>0.0</v>
      </c>
      <c r="L1210" s="46">
        <v>0.0</v>
      </c>
      <c r="M1210" s="46" t="s">
        <v>4825</v>
      </c>
      <c r="N1210" s="46"/>
      <c r="O1210" s="46"/>
      <c r="P1210" s="46" t="s">
        <v>29</v>
      </c>
      <c r="Q1210" s="46"/>
      <c r="R1210" s="46"/>
      <c r="S1210" s="129"/>
      <c r="T1210" s="129"/>
      <c r="U1210" s="129"/>
      <c r="V1210" s="129"/>
      <c r="W1210" s="129"/>
      <c r="X1210" s="129"/>
      <c r="Y1210" s="129"/>
      <c r="Z1210" s="129"/>
      <c r="AA1210" s="129"/>
      <c r="AB1210" s="129"/>
      <c r="AC1210" s="129"/>
      <c r="AD1210" s="129"/>
    </row>
    <row r="1211" ht="14.25" customHeight="1">
      <c r="A1211" s="211">
        <v>15.0</v>
      </c>
      <c r="B1211" s="46" t="s">
        <v>1134</v>
      </c>
      <c r="C1211" s="153"/>
      <c r="D1211" s="46"/>
      <c r="E1211" s="46"/>
      <c r="F1211" s="50"/>
      <c r="G1211" s="275" t="s">
        <v>4845</v>
      </c>
      <c r="H1211" s="46">
        <v>3.0</v>
      </c>
      <c r="I1211" s="46">
        <v>12.0</v>
      </c>
      <c r="J1211" s="46">
        <v>1.0</v>
      </c>
      <c r="K1211" s="46">
        <v>1.0</v>
      </c>
      <c r="L1211" s="46">
        <v>0.0</v>
      </c>
      <c r="M1211" s="46" t="s">
        <v>4817</v>
      </c>
      <c r="N1211" s="46"/>
      <c r="O1211" s="46"/>
      <c r="P1211" s="46" t="s">
        <v>29</v>
      </c>
      <c r="Q1211" s="46"/>
      <c r="R1211" s="46"/>
      <c r="S1211" s="129"/>
      <c r="T1211" s="129"/>
      <c r="U1211" s="129"/>
      <c r="V1211" s="129"/>
      <c r="W1211" s="129"/>
      <c r="X1211" s="129"/>
      <c r="Y1211" s="129"/>
      <c r="Z1211" s="129"/>
      <c r="AA1211" s="129"/>
      <c r="AB1211" s="129"/>
      <c r="AC1211" s="129"/>
      <c r="AD1211" s="129"/>
    </row>
    <row r="1212" ht="14.25" customHeight="1">
      <c r="A1212" s="211">
        <v>16.0</v>
      </c>
      <c r="B1212" s="46" t="s">
        <v>1171</v>
      </c>
      <c r="C1212" s="13"/>
      <c r="D1212" s="46"/>
      <c r="E1212" s="46"/>
      <c r="F1212" s="50"/>
      <c r="G1212" s="275" t="s">
        <v>4846</v>
      </c>
      <c r="H1212" s="46">
        <v>4.0</v>
      </c>
      <c r="I1212" s="46">
        <v>16.0</v>
      </c>
      <c r="J1212" s="46">
        <v>0.0</v>
      </c>
      <c r="K1212" s="46">
        <v>0.0</v>
      </c>
      <c r="L1212" s="46">
        <v>1.0</v>
      </c>
      <c r="M1212" s="46" t="s">
        <v>4825</v>
      </c>
      <c r="N1212" s="46"/>
      <c r="O1212" s="46"/>
      <c r="P1212" s="46" t="s">
        <v>29</v>
      </c>
      <c r="Q1212" s="46"/>
      <c r="R1212" s="46"/>
      <c r="S1212" s="129"/>
      <c r="T1212" s="129"/>
      <c r="U1212" s="129"/>
      <c r="V1212" s="129"/>
      <c r="W1212" s="129"/>
      <c r="X1212" s="129"/>
      <c r="Y1212" s="129"/>
      <c r="Z1212" s="129"/>
      <c r="AA1212" s="129"/>
      <c r="AB1212" s="129"/>
      <c r="AC1212" s="129"/>
      <c r="AD1212" s="129"/>
    </row>
    <row r="1213" ht="14.25" customHeight="1">
      <c r="A1213" s="211">
        <v>17.0</v>
      </c>
      <c r="B1213" s="46" t="s">
        <v>68</v>
      </c>
      <c r="C1213" s="392" t="s">
        <v>4847</v>
      </c>
      <c r="D1213" s="291"/>
      <c r="E1213" s="291"/>
      <c r="F1213" s="421"/>
      <c r="G1213" s="275" t="s">
        <v>28</v>
      </c>
      <c r="H1213" s="46">
        <v>10.0</v>
      </c>
      <c r="I1213" s="46">
        <v>33.0</v>
      </c>
      <c r="J1213" s="46">
        <v>0.0</v>
      </c>
      <c r="K1213" s="46">
        <v>0.0</v>
      </c>
      <c r="L1213" s="46">
        <v>1.0</v>
      </c>
      <c r="M1213" s="46" t="s">
        <v>4817</v>
      </c>
      <c r="N1213" s="46"/>
      <c r="O1213" s="46">
        <v>33.0</v>
      </c>
      <c r="P1213" s="46" t="s">
        <v>29</v>
      </c>
      <c r="Q1213" s="46"/>
      <c r="R1213" s="46"/>
      <c r="S1213" s="129"/>
      <c r="T1213" s="129"/>
      <c r="U1213" s="129"/>
      <c r="V1213" s="129"/>
      <c r="W1213" s="129"/>
      <c r="X1213" s="129"/>
      <c r="Y1213" s="129"/>
      <c r="Z1213" s="129"/>
      <c r="AA1213" s="129"/>
      <c r="AB1213" s="129"/>
      <c r="AC1213" s="129"/>
      <c r="AD1213" s="129"/>
    </row>
    <row r="1214" ht="14.25" customHeight="1">
      <c r="A1214" s="211">
        <v>18.0</v>
      </c>
      <c r="B1214" s="46" t="s">
        <v>4848</v>
      </c>
      <c r="C1214" s="13"/>
      <c r="D1214" s="46"/>
      <c r="E1214" s="46"/>
      <c r="F1214" s="50"/>
      <c r="G1214" s="275" t="s">
        <v>28</v>
      </c>
      <c r="H1214" s="46">
        <v>12.0</v>
      </c>
      <c r="I1214" s="46">
        <v>28.0</v>
      </c>
      <c r="J1214" s="46">
        <v>0.0</v>
      </c>
      <c r="K1214" s="46">
        <v>0.0</v>
      </c>
      <c r="L1214" s="46">
        <v>1.0</v>
      </c>
      <c r="M1214" s="46" t="s">
        <v>27</v>
      </c>
      <c r="N1214" s="46"/>
      <c r="O1214" s="46">
        <v>12.0</v>
      </c>
      <c r="P1214" s="46" t="s">
        <v>29</v>
      </c>
      <c r="Q1214" s="46"/>
      <c r="R1214" s="46"/>
      <c r="S1214" s="129"/>
      <c r="T1214" s="129"/>
      <c r="U1214" s="129"/>
      <c r="V1214" s="129"/>
      <c r="W1214" s="129"/>
      <c r="X1214" s="129"/>
      <c r="Y1214" s="129"/>
      <c r="Z1214" s="129"/>
      <c r="AA1214" s="129"/>
      <c r="AB1214" s="129"/>
      <c r="AC1214" s="129"/>
      <c r="AD1214" s="129"/>
    </row>
    <row r="1215" ht="14.25" customHeight="1">
      <c r="A1215" s="211">
        <v>19.0</v>
      </c>
      <c r="B1215" s="46" t="s">
        <v>68</v>
      </c>
      <c r="C1215" s="46" t="s">
        <v>4849</v>
      </c>
      <c r="D1215" s="46"/>
      <c r="E1215" s="46"/>
      <c r="F1215" s="50"/>
      <c r="G1215" s="275" t="s">
        <v>4850</v>
      </c>
      <c r="H1215" s="46">
        <v>10.0</v>
      </c>
      <c r="I1215" s="46">
        <v>40.0</v>
      </c>
      <c r="J1215" s="46">
        <v>0.0</v>
      </c>
      <c r="K1215" s="46">
        <v>0.0</v>
      </c>
      <c r="L1215" s="46">
        <v>1.0</v>
      </c>
      <c r="M1215" s="46" t="s">
        <v>4817</v>
      </c>
      <c r="N1215" s="46"/>
      <c r="O1215" s="46">
        <v>120.0</v>
      </c>
      <c r="P1215" s="46" t="s">
        <v>29</v>
      </c>
      <c r="Q1215" s="46" t="s">
        <v>401</v>
      </c>
      <c r="R1215" s="46"/>
      <c r="S1215" s="129"/>
      <c r="T1215" s="129"/>
      <c r="U1215" s="129"/>
      <c r="V1215" s="129"/>
      <c r="W1215" s="129"/>
      <c r="X1215" s="129"/>
      <c r="Y1215" s="129"/>
      <c r="Z1215" s="129"/>
      <c r="AA1215" s="129"/>
      <c r="AB1215" s="129"/>
      <c r="AC1215" s="129"/>
      <c r="AD1215" s="129"/>
    </row>
    <row r="1216" ht="14.25" customHeight="1">
      <c r="A1216" s="211">
        <v>20.0</v>
      </c>
      <c r="B1216" s="46" t="s">
        <v>2781</v>
      </c>
      <c r="C1216" s="46" t="s">
        <v>4851</v>
      </c>
      <c r="D1216" s="46"/>
      <c r="E1216" s="46"/>
      <c r="F1216" s="50"/>
      <c r="G1216" s="275" t="s">
        <v>4852</v>
      </c>
      <c r="H1216" s="46">
        <v>10.0</v>
      </c>
      <c r="I1216" s="46">
        <v>100.0</v>
      </c>
      <c r="J1216" s="46">
        <v>2.0</v>
      </c>
      <c r="K1216" s="46">
        <v>3.0</v>
      </c>
      <c r="L1216" s="46">
        <v>5.0</v>
      </c>
      <c r="M1216" s="46" t="s">
        <v>4817</v>
      </c>
      <c r="N1216" s="46"/>
      <c r="O1216" s="46">
        <v>100.0</v>
      </c>
      <c r="P1216" s="46" t="s">
        <v>29</v>
      </c>
      <c r="Q1216" s="46"/>
      <c r="R1216" s="46"/>
      <c r="S1216" s="129"/>
      <c r="T1216" s="129"/>
      <c r="U1216" s="129"/>
      <c r="V1216" s="129"/>
      <c r="W1216" s="129"/>
      <c r="X1216" s="129"/>
      <c r="Y1216" s="129"/>
      <c r="Z1216" s="129"/>
      <c r="AA1216" s="129"/>
      <c r="AB1216" s="129"/>
      <c r="AC1216" s="129"/>
      <c r="AD1216" s="129"/>
    </row>
    <row r="1217" ht="14.25" customHeight="1">
      <c r="A1217" s="211">
        <v>21.0</v>
      </c>
      <c r="B1217" s="46" t="s">
        <v>2300</v>
      </c>
      <c r="C1217" s="46" t="s">
        <v>4853</v>
      </c>
      <c r="D1217" s="46"/>
      <c r="E1217" s="46"/>
      <c r="F1217" s="50"/>
      <c r="G1217" s="275" t="s">
        <v>4854</v>
      </c>
      <c r="H1217" s="46">
        <v>100.0</v>
      </c>
      <c r="I1217" s="46">
        <v>250.0</v>
      </c>
      <c r="J1217" s="46">
        <v>0.0</v>
      </c>
      <c r="K1217" s="46">
        <v>0.0</v>
      </c>
      <c r="L1217" s="46">
        <v>6.0</v>
      </c>
      <c r="M1217" s="46" t="s">
        <v>4817</v>
      </c>
      <c r="N1217" s="46"/>
      <c r="O1217" s="46">
        <v>100.0</v>
      </c>
      <c r="P1217" s="46" t="s">
        <v>29</v>
      </c>
      <c r="Q1217" s="46"/>
      <c r="R1217" s="46"/>
      <c r="S1217" s="129"/>
      <c r="T1217" s="129"/>
      <c r="U1217" s="129"/>
      <c r="V1217" s="129"/>
      <c r="W1217" s="129"/>
      <c r="X1217" s="129"/>
      <c r="Y1217" s="129"/>
      <c r="Z1217" s="129"/>
      <c r="AA1217" s="129"/>
      <c r="AB1217" s="129"/>
      <c r="AC1217" s="129"/>
      <c r="AD1217" s="129"/>
    </row>
    <row r="1218" ht="14.25" customHeight="1">
      <c r="A1218" s="211">
        <v>22.0</v>
      </c>
      <c r="B1218" s="46" t="s">
        <v>68</v>
      </c>
      <c r="C1218" s="392" t="s">
        <v>4855</v>
      </c>
      <c r="D1218" s="291"/>
      <c r="E1218" s="291"/>
      <c r="F1218" s="421"/>
      <c r="G1218" s="275" t="s">
        <v>4837</v>
      </c>
      <c r="H1218" s="46">
        <v>8.0</v>
      </c>
      <c r="I1218" s="46">
        <v>40.0</v>
      </c>
      <c r="J1218" s="46">
        <v>0.0</v>
      </c>
      <c r="K1218" s="46">
        <v>0.0</v>
      </c>
      <c r="L1218" s="46">
        <v>1.0</v>
      </c>
      <c r="M1218" s="46" t="s">
        <v>4825</v>
      </c>
      <c r="N1218" s="46"/>
      <c r="O1218" s="46">
        <v>150.0</v>
      </c>
      <c r="P1218" s="46" t="s">
        <v>29</v>
      </c>
      <c r="Q1218" s="46"/>
      <c r="R1218" s="46"/>
      <c r="S1218" s="129"/>
      <c r="T1218" s="129"/>
      <c r="U1218" s="129"/>
      <c r="V1218" s="129"/>
      <c r="W1218" s="129"/>
      <c r="X1218" s="129"/>
      <c r="Y1218" s="129"/>
      <c r="Z1218" s="129"/>
      <c r="AA1218" s="129"/>
      <c r="AB1218" s="129"/>
      <c r="AC1218" s="129"/>
      <c r="AD1218" s="129"/>
    </row>
    <row r="1219" ht="14.25" customHeight="1">
      <c r="A1219" s="211">
        <v>23.0</v>
      </c>
      <c r="B1219" s="46" t="s">
        <v>4842</v>
      </c>
      <c r="C1219" s="13"/>
      <c r="D1219" s="46"/>
      <c r="E1219" s="46"/>
      <c r="F1219" s="50"/>
      <c r="G1219" s="275" t="s">
        <v>4856</v>
      </c>
      <c r="H1219" s="46">
        <v>6.0</v>
      </c>
      <c r="I1219" s="46">
        <v>25.0</v>
      </c>
      <c r="J1219" s="46">
        <v>0.0</v>
      </c>
      <c r="K1219" s="46">
        <v>0.0</v>
      </c>
      <c r="L1219" s="46">
        <v>1.0</v>
      </c>
      <c r="M1219" s="46" t="s">
        <v>4825</v>
      </c>
      <c r="N1219" s="46"/>
      <c r="O1219" s="46">
        <v>320.0</v>
      </c>
      <c r="P1219" s="46" t="s">
        <v>29</v>
      </c>
      <c r="Q1219" s="46"/>
      <c r="R1219" s="46"/>
      <c r="S1219" s="129"/>
      <c r="T1219" s="129"/>
      <c r="U1219" s="129"/>
      <c r="V1219" s="129"/>
      <c r="W1219" s="129"/>
      <c r="X1219" s="129"/>
      <c r="Y1219" s="129"/>
      <c r="Z1219" s="129"/>
      <c r="AA1219" s="129"/>
      <c r="AB1219" s="129"/>
      <c r="AC1219" s="129"/>
      <c r="AD1219" s="129"/>
    </row>
    <row r="1220" ht="14.25" customHeight="1">
      <c r="A1220" s="211">
        <v>24.0</v>
      </c>
      <c r="B1220" s="46" t="s">
        <v>68</v>
      </c>
      <c r="C1220" s="46" t="s">
        <v>4857</v>
      </c>
      <c r="D1220" s="46"/>
      <c r="E1220" s="46"/>
      <c r="F1220" s="50"/>
      <c r="G1220" s="275" t="s">
        <v>2735</v>
      </c>
      <c r="H1220" s="439">
        <v>44656.0</v>
      </c>
      <c r="I1220" s="46" t="s">
        <v>4835</v>
      </c>
      <c r="J1220" s="46">
        <v>0.0</v>
      </c>
      <c r="K1220" s="46">
        <v>0.0</v>
      </c>
      <c r="L1220" s="46">
        <v>1.0</v>
      </c>
      <c r="M1220" s="46" t="s">
        <v>4817</v>
      </c>
      <c r="N1220" s="46"/>
      <c r="O1220" s="46" t="s">
        <v>4858</v>
      </c>
      <c r="P1220" s="46" t="s">
        <v>29</v>
      </c>
      <c r="Q1220" s="46"/>
      <c r="R1220" s="46"/>
      <c r="S1220" s="129"/>
      <c r="T1220" s="129"/>
      <c r="U1220" s="129"/>
      <c r="V1220" s="129"/>
      <c r="W1220" s="129"/>
      <c r="X1220" s="129"/>
      <c r="Y1220" s="129"/>
      <c r="Z1220" s="129"/>
      <c r="AA1220" s="129"/>
      <c r="AB1220" s="129"/>
      <c r="AC1220" s="129"/>
      <c r="AD1220" s="129"/>
    </row>
    <row r="1221" ht="14.25" customHeight="1">
      <c r="A1221" s="211">
        <v>25.0</v>
      </c>
      <c r="B1221" s="46" t="s">
        <v>2300</v>
      </c>
      <c r="C1221" s="46" t="s">
        <v>4859</v>
      </c>
      <c r="D1221" s="46"/>
      <c r="E1221" s="46"/>
      <c r="F1221" s="50"/>
      <c r="G1221" s="275" t="s">
        <v>4860</v>
      </c>
      <c r="H1221" s="46">
        <v>50.0</v>
      </c>
      <c r="I1221" s="46">
        <v>100.0</v>
      </c>
      <c r="J1221" s="46">
        <v>0.0</v>
      </c>
      <c r="K1221" s="46">
        <v>0.0</v>
      </c>
      <c r="L1221" s="46">
        <v>1.0</v>
      </c>
      <c r="M1221" s="46" t="s">
        <v>27</v>
      </c>
      <c r="N1221" s="46"/>
      <c r="O1221" s="46"/>
      <c r="P1221" s="46" t="s">
        <v>29</v>
      </c>
      <c r="Q1221" s="46"/>
      <c r="R1221" s="46"/>
      <c r="S1221" s="129"/>
      <c r="T1221" s="129"/>
      <c r="U1221" s="129"/>
      <c r="V1221" s="129"/>
      <c r="W1221" s="129"/>
      <c r="X1221" s="129"/>
      <c r="Y1221" s="129"/>
      <c r="Z1221" s="129"/>
      <c r="AA1221" s="129"/>
      <c r="AB1221" s="129"/>
      <c r="AC1221" s="129"/>
      <c r="AD1221" s="129"/>
    </row>
    <row r="1222" ht="14.25" customHeight="1">
      <c r="A1222" s="211">
        <v>26.0</v>
      </c>
      <c r="B1222" s="46" t="s">
        <v>68</v>
      </c>
      <c r="C1222" s="46" t="s">
        <v>4861</v>
      </c>
      <c r="D1222" s="46"/>
      <c r="E1222" s="46"/>
      <c r="F1222" s="50"/>
      <c r="G1222" s="275" t="s">
        <v>4862</v>
      </c>
      <c r="H1222" s="46">
        <v>4.0</v>
      </c>
      <c r="I1222" s="46">
        <v>16.0</v>
      </c>
      <c r="J1222" s="46">
        <v>0.0</v>
      </c>
      <c r="K1222" s="46">
        <v>0.0</v>
      </c>
      <c r="L1222" s="46">
        <v>1.0</v>
      </c>
      <c r="M1222" s="46" t="s">
        <v>4863</v>
      </c>
      <c r="N1222" s="46"/>
      <c r="O1222" s="46">
        <v>20.0</v>
      </c>
      <c r="P1222" s="46" t="s">
        <v>29</v>
      </c>
      <c r="Q1222" s="46"/>
      <c r="R1222" s="46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</row>
    <row r="1223" ht="14.25" customHeight="1">
      <c r="A1223" s="211">
        <v>27.0</v>
      </c>
      <c r="B1223" s="46" t="s">
        <v>68</v>
      </c>
      <c r="C1223" s="46" t="s">
        <v>4864</v>
      </c>
      <c r="D1223" s="46"/>
      <c r="E1223" s="46"/>
      <c r="F1223" s="50"/>
      <c r="G1223" s="275" t="s">
        <v>4865</v>
      </c>
      <c r="H1223" s="46">
        <v>10.0</v>
      </c>
      <c r="I1223" s="46">
        <v>40.0</v>
      </c>
      <c r="J1223" s="46">
        <v>0.0</v>
      </c>
      <c r="K1223" s="46">
        <v>0.0</v>
      </c>
      <c r="L1223" s="46">
        <v>1.0</v>
      </c>
      <c r="M1223" s="46" t="s">
        <v>4866</v>
      </c>
      <c r="N1223" s="46"/>
      <c r="O1223" s="46">
        <v>50.0</v>
      </c>
      <c r="P1223" s="46" t="s">
        <v>29</v>
      </c>
      <c r="Q1223" s="46"/>
      <c r="R1223" s="46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</row>
    <row r="1224" ht="15.75" customHeight="1">
      <c r="A1224" s="181"/>
      <c r="B1224" s="182" t="s">
        <v>4867</v>
      </c>
      <c r="C1224" s="182"/>
      <c r="D1224" s="182"/>
      <c r="E1224" s="182"/>
      <c r="F1224" s="403"/>
      <c r="G1224" s="404"/>
      <c r="H1224" s="182"/>
      <c r="I1224" s="182"/>
      <c r="J1224" s="91"/>
      <c r="K1224" s="91"/>
      <c r="L1224" s="91"/>
      <c r="M1224" s="91"/>
      <c r="N1224" s="91"/>
      <c r="O1224" s="91"/>
      <c r="P1224" s="182"/>
      <c r="Q1224" s="91"/>
      <c r="R1224" s="218"/>
      <c r="S1224" s="405"/>
      <c r="T1224" s="405"/>
      <c r="U1224" s="405"/>
      <c r="V1224" s="405"/>
      <c r="W1224" s="405"/>
      <c r="X1224" s="405"/>
      <c r="Y1224" s="405"/>
      <c r="Z1224" s="405"/>
      <c r="AA1224" s="405"/>
      <c r="AB1224" s="405"/>
      <c r="AC1224" s="405"/>
      <c r="AD1224" s="405"/>
    </row>
    <row r="1225" ht="14.25" customHeight="1">
      <c r="A1225" s="211">
        <v>1.0</v>
      </c>
      <c r="B1225" s="27" t="s">
        <v>4868</v>
      </c>
      <c r="C1225" s="27" t="s">
        <v>4869</v>
      </c>
      <c r="D1225" s="27"/>
      <c r="E1225" s="27"/>
      <c r="F1225" s="38"/>
      <c r="G1225" s="407">
        <v>5400.0</v>
      </c>
      <c r="H1225" s="27" t="s">
        <v>39</v>
      </c>
      <c r="I1225" s="42">
        <v>1000.0</v>
      </c>
      <c r="J1225" s="42">
        <v>3.0</v>
      </c>
      <c r="K1225" s="42">
        <v>3.0</v>
      </c>
      <c r="L1225" s="27" t="s">
        <v>39</v>
      </c>
      <c r="M1225" s="27" t="s">
        <v>4870</v>
      </c>
      <c r="N1225" s="25" t="s">
        <v>39</v>
      </c>
      <c r="O1225" s="27" t="s">
        <v>39</v>
      </c>
      <c r="P1225" s="27" t="s">
        <v>65</v>
      </c>
      <c r="Q1225" s="440">
        <v>50.0</v>
      </c>
      <c r="R1225" s="46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</row>
    <row r="1226" ht="14.25" customHeight="1">
      <c r="A1226" s="211">
        <v>2.0</v>
      </c>
      <c r="B1226" s="25" t="s">
        <v>4871</v>
      </c>
      <c r="C1226" s="25" t="s">
        <v>4869</v>
      </c>
      <c r="D1226" s="25"/>
      <c r="E1226" s="25"/>
      <c r="F1226" s="39"/>
      <c r="G1226" s="418">
        <v>1000.0</v>
      </c>
      <c r="H1226" s="25" t="s">
        <v>39</v>
      </c>
      <c r="I1226" s="43">
        <v>300.0</v>
      </c>
      <c r="J1226" s="43">
        <v>2.0</v>
      </c>
      <c r="K1226" s="43">
        <v>2.0</v>
      </c>
      <c r="L1226" s="25" t="s">
        <v>39</v>
      </c>
      <c r="M1226" s="25"/>
      <c r="N1226" s="25" t="s">
        <v>39</v>
      </c>
      <c r="O1226" s="25" t="s">
        <v>39</v>
      </c>
      <c r="P1226" s="25" t="s">
        <v>52</v>
      </c>
      <c r="Q1226" s="25" t="s">
        <v>39</v>
      </c>
      <c r="R1226" s="46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</row>
    <row r="1227" ht="14.25" customHeight="1">
      <c r="A1227" s="211">
        <v>3.0</v>
      </c>
      <c r="B1227" s="27" t="s">
        <v>4872</v>
      </c>
      <c r="C1227" s="27" t="s">
        <v>4869</v>
      </c>
      <c r="D1227" s="27"/>
      <c r="E1227" s="27"/>
      <c r="F1227" s="38"/>
      <c r="G1227" s="407">
        <v>900.0</v>
      </c>
      <c r="H1227" s="27" t="s">
        <v>39</v>
      </c>
      <c r="I1227" s="42">
        <v>150.0</v>
      </c>
      <c r="J1227" s="42">
        <v>2.0</v>
      </c>
      <c r="K1227" s="42">
        <v>2.0</v>
      </c>
      <c r="L1227" s="27" t="s">
        <v>39</v>
      </c>
      <c r="M1227" s="27" t="s">
        <v>4870</v>
      </c>
      <c r="N1227" s="25" t="s">
        <v>39</v>
      </c>
      <c r="O1227" s="27" t="s">
        <v>39</v>
      </c>
      <c r="P1227" s="27" t="s">
        <v>52</v>
      </c>
      <c r="Q1227" s="27" t="s">
        <v>39</v>
      </c>
      <c r="R1227" s="46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</row>
    <row r="1228" ht="14.25" customHeight="1">
      <c r="A1228" s="211">
        <v>4.0</v>
      </c>
      <c r="B1228" s="25" t="s">
        <v>4873</v>
      </c>
      <c r="C1228" s="25" t="s">
        <v>4874</v>
      </c>
      <c r="D1228" s="25"/>
      <c r="E1228" s="25"/>
      <c r="F1228" s="39"/>
      <c r="G1228" s="418">
        <v>10000.0</v>
      </c>
      <c r="H1228" s="25" t="s">
        <v>39</v>
      </c>
      <c r="I1228" s="43">
        <v>1500.0</v>
      </c>
      <c r="J1228" s="43">
        <v>26.0</v>
      </c>
      <c r="K1228" s="43">
        <v>26.0</v>
      </c>
      <c r="L1228" s="25" t="s">
        <v>39</v>
      </c>
      <c r="M1228" s="25" t="s">
        <v>4870</v>
      </c>
      <c r="N1228" s="25" t="s">
        <v>39</v>
      </c>
      <c r="O1228" s="25" t="s">
        <v>39</v>
      </c>
      <c r="P1228" s="25" t="s">
        <v>52</v>
      </c>
      <c r="Q1228" s="25" t="s">
        <v>39</v>
      </c>
      <c r="R1228" s="46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</row>
    <row r="1229" ht="14.25" customHeight="1">
      <c r="A1229" s="211">
        <v>5.0</v>
      </c>
      <c r="B1229" s="27" t="s">
        <v>4875</v>
      </c>
      <c r="C1229" s="27" t="s">
        <v>4874</v>
      </c>
      <c r="D1229" s="27"/>
      <c r="E1229" s="27"/>
      <c r="F1229" s="38"/>
      <c r="G1229" s="407">
        <v>10000.0</v>
      </c>
      <c r="H1229" s="27" t="s">
        <v>39</v>
      </c>
      <c r="I1229" s="42">
        <v>1500.0</v>
      </c>
      <c r="J1229" s="42">
        <v>33.0</v>
      </c>
      <c r="K1229" s="42">
        <v>33.0</v>
      </c>
      <c r="L1229" s="27" t="s">
        <v>39</v>
      </c>
      <c r="M1229" s="27" t="s">
        <v>4870</v>
      </c>
      <c r="N1229" s="25" t="s">
        <v>39</v>
      </c>
      <c r="O1229" s="27" t="s">
        <v>39</v>
      </c>
      <c r="P1229" s="27" t="s">
        <v>52</v>
      </c>
      <c r="Q1229" s="27" t="s">
        <v>39</v>
      </c>
      <c r="R1229" s="46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</row>
    <row r="1230" ht="14.25" customHeight="1">
      <c r="A1230" s="211">
        <v>6.0</v>
      </c>
      <c r="B1230" s="25" t="s">
        <v>4876</v>
      </c>
      <c r="C1230" s="25" t="s">
        <v>4877</v>
      </c>
      <c r="D1230" s="25"/>
      <c r="E1230" s="25"/>
      <c r="F1230" s="39"/>
      <c r="G1230" s="418">
        <v>3500.0</v>
      </c>
      <c r="H1230" s="25" t="s">
        <v>39</v>
      </c>
      <c r="I1230" s="43">
        <v>750.0</v>
      </c>
      <c r="J1230" s="43">
        <v>9.0</v>
      </c>
      <c r="K1230" s="43">
        <v>9.0</v>
      </c>
      <c r="L1230" s="25" t="s">
        <v>39</v>
      </c>
      <c r="M1230" s="25" t="s">
        <v>427</v>
      </c>
      <c r="N1230" s="25" t="s">
        <v>39</v>
      </c>
      <c r="O1230" s="25" t="s">
        <v>39</v>
      </c>
      <c r="P1230" s="25" t="s">
        <v>52</v>
      </c>
      <c r="Q1230" s="25" t="s">
        <v>39</v>
      </c>
      <c r="R1230" s="46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</row>
    <row r="1231" ht="14.25" customHeight="1">
      <c r="A1231" s="211">
        <v>7.0</v>
      </c>
      <c r="B1231" s="27" t="s">
        <v>4878</v>
      </c>
      <c r="C1231" s="27" t="s">
        <v>4879</v>
      </c>
      <c r="D1231" s="27"/>
      <c r="E1231" s="27"/>
      <c r="F1231" s="38"/>
      <c r="G1231" s="407">
        <v>3500.0</v>
      </c>
      <c r="H1231" s="27" t="s">
        <v>39</v>
      </c>
      <c r="I1231" s="42">
        <v>750.0</v>
      </c>
      <c r="J1231" s="42">
        <v>10.0</v>
      </c>
      <c r="K1231" s="42">
        <v>10.0</v>
      </c>
      <c r="L1231" s="27" t="s">
        <v>39</v>
      </c>
      <c r="M1231" s="27" t="s">
        <v>4870</v>
      </c>
      <c r="N1231" s="25" t="s">
        <v>39</v>
      </c>
      <c r="O1231" s="27" t="s">
        <v>39</v>
      </c>
      <c r="P1231" s="27" t="s">
        <v>52</v>
      </c>
      <c r="Q1231" s="27" t="s">
        <v>39</v>
      </c>
      <c r="R1231" s="46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</row>
    <row r="1232" ht="14.25" customHeight="1">
      <c r="A1232" s="211">
        <v>8.0</v>
      </c>
      <c r="B1232" s="25" t="s">
        <v>4880</v>
      </c>
      <c r="C1232" s="25" t="s">
        <v>4881</v>
      </c>
      <c r="D1232" s="25"/>
      <c r="E1232" s="25"/>
      <c r="F1232" s="39"/>
      <c r="G1232" s="418">
        <v>3500.0</v>
      </c>
      <c r="H1232" s="25" t="s">
        <v>39</v>
      </c>
      <c r="I1232" s="43">
        <v>750.0</v>
      </c>
      <c r="J1232" s="43">
        <v>7.0</v>
      </c>
      <c r="K1232" s="43">
        <v>7.0</v>
      </c>
      <c r="L1232" s="25" t="s">
        <v>39</v>
      </c>
      <c r="M1232" s="25" t="s">
        <v>4870</v>
      </c>
      <c r="N1232" s="25" t="s">
        <v>39</v>
      </c>
      <c r="O1232" s="25" t="s">
        <v>39</v>
      </c>
      <c r="P1232" s="25" t="s">
        <v>52</v>
      </c>
      <c r="Q1232" s="25" t="s">
        <v>39</v>
      </c>
      <c r="R1232" s="46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</row>
    <row r="1233" ht="14.25" customHeight="1">
      <c r="A1233" s="211">
        <v>9.0</v>
      </c>
      <c r="B1233" s="27" t="s">
        <v>4882</v>
      </c>
      <c r="C1233" s="27" t="s">
        <v>4883</v>
      </c>
      <c r="D1233" s="27"/>
      <c r="E1233" s="27"/>
      <c r="F1233" s="38"/>
      <c r="G1233" s="407">
        <v>7500.0</v>
      </c>
      <c r="H1233" s="27" t="s">
        <v>39</v>
      </c>
      <c r="I1233" s="42">
        <v>1300.0</v>
      </c>
      <c r="J1233" s="42">
        <v>19.0</v>
      </c>
      <c r="K1233" s="42">
        <v>19.0</v>
      </c>
      <c r="L1233" s="27" t="s">
        <v>39</v>
      </c>
      <c r="M1233" s="27" t="s">
        <v>4870</v>
      </c>
      <c r="N1233" s="25" t="s">
        <v>39</v>
      </c>
      <c r="O1233" s="27" t="s">
        <v>39</v>
      </c>
      <c r="P1233" s="27" t="s">
        <v>52</v>
      </c>
      <c r="Q1233" s="27" t="s">
        <v>39</v>
      </c>
      <c r="R1233" s="46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</row>
    <row r="1234" ht="14.25" customHeight="1">
      <c r="A1234" s="211">
        <v>10.0</v>
      </c>
      <c r="B1234" s="25" t="s">
        <v>4884</v>
      </c>
      <c r="C1234" s="25" t="s">
        <v>4885</v>
      </c>
      <c r="D1234" s="25"/>
      <c r="E1234" s="25"/>
      <c r="F1234" s="39"/>
      <c r="G1234" s="418">
        <v>3500.0</v>
      </c>
      <c r="H1234" s="25" t="s">
        <v>39</v>
      </c>
      <c r="I1234" s="43">
        <v>500.0</v>
      </c>
      <c r="J1234" s="43">
        <v>6.0</v>
      </c>
      <c r="K1234" s="43">
        <v>6.0</v>
      </c>
      <c r="L1234" s="25" t="s">
        <v>39</v>
      </c>
      <c r="M1234" s="25" t="s">
        <v>427</v>
      </c>
      <c r="N1234" s="25" t="s">
        <v>39</v>
      </c>
      <c r="O1234" s="25" t="s">
        <v>39</v>
      </c>
      <c r="P1234" s="25" t="s">
        <v>52</v>
      </c>
      <c r="Q1234" s="25" t="s">
        <v>39</v>
      </c>
      <c r="R1234" s="46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</row>
    <row r="1235" ht="14.25" customHeight="1">
      <c r="A1235" s="211">
        <v>11.0</v>
      </c>
      <c r="B1235" s="27" t="s">
        <v>4886</v>
      </c>
      <c r="C1235" s="27" t="s">
        <v>4887</v>
      </c>
      <c r="D1235" s="27"/>
      <c r="E1235" s="27"/>
      <c r="F1235" s="38"/>
      <c r="G1235" s="407">
        <v>4000.0</v>
      </c>
      <c r="H1235" s="27" t="s">
        <v>39</v>
      </c>
      <c r="I1235" s="42">
        <v>850.0</v>
      </c>
      <c r="J1235" s="42">
        <v>8.0</v>
      </c>
      <c r="K1235" s="42">
        <v>8.0</v>
      </c>
      <c r="L1235" s="27" t="s">
        <v>39</v>
      </c>
      <c r="M1235" s="27" t="s">
        <v>4870</v>
      </c>
      <c r="N1235" s="25" t="s">
        <v>39</v>
      </c>
      <c r="O1235" s="27" t="s">
        <v>39</v>
      </c>
      <c r="P1235" s="27" t="s">
        <v>52</v>
      </c>
      <c r="Q1235" s="27" t="s">
        <v>39</v>
      </c>
      <c r="R1235" s="46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</row>
    <row r="1236" ht="14.25" customHeight="1">
      <c r="A1236" s="211">
        <v>12.0</v>
      </c>
      <c r="B1236" s="25" t="s">
        <v>4888</v>
      </c>
      <c r="C1236" s="25" t="s">
        <v>4889</v>
      </c>
      <c r="D1236" s="25"/>
      <c r="E1236" s="25"/>
      <c r="F1236" s="39"/>
      <c r="G1236" s="418">
        <v>7500.0</v>
      </c>
      <c r="H1236" s="25" t="s">
        <v>39</v>
      </c>
      <c r="I1236" s="43">
        <v>1200.0</v>
      </c>
      <c r="J1236" s="43">
        <v>12.0</v>
      </c>
      <c r="K1236" s="43">
        <v>12.0</v>
      </c>
      <c r="L1236" s="25" t="s">
        <v>39</v>
      </c>
      <c r="M1236" s="25" t="s">
        <v>427</v>
      </c>
      <c r="N1236" s="25" t="s">
        <v>39</v>
      </c>
      <c r="O1236" s="25" t="s">
        <v>39</v>
      </c>
      <c r="P1236" s="25" t="s">
        <v>52</v>
      </c>
      <c r="Q1236" s="25" t="s">
        <v>39</v>
      </c>
      <c r="R1236" s="46"/>
      <c r="S1236" s="129"/>
      <c r="T1236" s="129"/>
      <c r="U1236" s="129"/>
      <c r="V1236" s="129"/>
      <c r="W1236" s="129"/>
      <c r="X1236" s="129"/>
      <c r="Y1236" s="129"/>
      <c r="Z1236" s="129"/>
      <c r="AA1236" s="129"/>
      <c r="AB1236" s="129"/>
      <c r="AC1236" s="129"/>
      <c r="AD1236" s="129"/>
    </row>
    <row r="1237" ht="14.25" customHeight="1">
      <c r="A1237" s="211">
        <v>13.0</v>
      </c>
      <c r="B1237" s="27" t="s">
        <v>4890</v>
      </c>
      <c r="C1237" s="27" t="s">
        <v>4891</v>
      </c>
      <c r="D1237" s="27"/>
      <c r="E1237" s="27"/>
      <c r="F1237" s="38"/>
      <c r="G1237" s="407">
        <v>5000.0</v>
      </c>
      <c r="H1237" s="27" t="s">
        <v>39</v>
      </c>
      <c r="I1237" s="42">
        <v>1000.0</v>
      </c>
      <c r="J1237" s="42">
        <v>9.0</v>
      </c>
      <c r="K1237" s="42">
        <v>9.0</v>
      </c>
      <c r="L1237" s="27" t="s">
        <v>39</v>
      </c>
      <c r="M1237" s="27" t="s">
        <v>4870</v>
      </c>
      <c r="N1237" s="25" t="s">
        <v>39</v>
      </c>
      <c r="O1237" s="27" t="s">
        <v>39</v>
      </c>
      <c r="P1237" s="27" t="s">
        <v>52</v>
      </c>
      <c r="Q1237" s="27" t="s">
        <v>39</v>
      </c>
      <c r="R1237" s="46"/>
      <c r="S1237" s="129"/>
      <c r="T1237" s="129"/>
      <c r="U1237" s="129"/>
      <c r="V1237" s="129"/>
      <c r="W1237" s="129"/>
      <c r="X1237" s="129"/>
      <c r="Y1237" s="129"/>
      <c r="Z1237" s="129"/>
      <c r="AA1237" s="129"/>
      <c r="AB1237" s="129"/>
      <c r="AC1237" s="129"/>
      <c r="AD1237" s="129"/>
    </row>
    <row r="1238" ht="14.25" customHeight="1">
      <c r="A1238" s="211">
        <v>14.0</v>
      </c>
      <c r="B1238" s="25" t="s">
        <v>4892</v>
      </c>
      <c r="C1238" s="25" t="s">
        <v>4893</v>
      </c>
      <c r="D1238" s="25"/>
      <c r="E1238" s="25"/>
      <c r="F1238" s="39"/>
      <c r="G1238" s="418">
        <v>5000.0</v>
      </c>
      <c r="H1238" s="25" t="s">
        <v>39</v>
      </c>
      <c r="I1238" s="43">
        <v>750.0</v>
      </c>
      <c r="J1238" s="43">
        <v>9.0</v>
      </c>
      <c r="K1238" s="43">
        <v>9.0</v>
      </c>
      <c r="L1238" s="25" t="s">
        <v>39</v>
      </c>
      <c r="M1238" s="25" t="s">
        <v>427</v>
      </c>
      <c r="N1238" s="25" t="s">
        <v>39</v>
      </c>
      <c r="O1238" s="25" t="s">
        <v>39</v>
      </c>
      <c r="P1238" s="25" t="s">
        <v>52</v>
      </c>
      <c r="Q1238" s="25" t="s">
        <v>39</v>
      </c>
      <c r="R1238" s="46"/>
      <c r="S1238" s="129"/>
      <c r="T1238" s="129"/>
      <c r="U1238" s="129"/>
      <c r="V1238" s="129"/>
      <c r="W1238" s="129"/>
      <c r="X1238" s="129"/>
      <c r="Y1238" s="129"/>
      <c r="Z1238" s="129"/>
      <c r="AA1238" s="129"/>
      <c r="AB1238" s="129"/>
      <c r="AC1238" s="129"/>
      <c r="AD1238" s="129"/>
    </row>
    <row r="1239" ht="14.25" customHeight="1">
      <c r="A1239" s="211">
        <v>15.0</v>
      </c>
      <c r="B1239" s="27" t="s">
        <v>4894</v>
      </c>
      <c r="C1239" s="27" t="s">
        <v>4893</v>
      </c>
      <c r="D1239" s="27"/>
      <c r="E1239" s="27"/>
      <c r="F1239" s="38"/>
      <c r="G1239" s="407">
        <v>3500.0</v>
      </c>
      <c r="H1239" s="27" t="s">
        <v>39</v>
      </c>
      <c r="I1239" s="42">
        <v>750.0</v>
      </c>
      <c r="J1239" s="42">
        <v>9.0</v>
      </c>
      <c r="K1239" s="42">
        <v>9.0</v>
      </c>
      <c r="L1239" s="27" t="s">
        <v>39</v>
      </c>
      <c r="M1239" s="27" t="s">
        <v>427</v>
      </c>
      <c r="N1239" s="25" t="s">
        <v>39</v>
      </c>
      <c r="O1239" s="27" t="s">
        <v>39</v>
      </c>
      <c r="P1239" s="27" t="s">
        <v>52</v>
      </c>
      <c r="Q1239" s="27" t="s">
        <v>39</v>
      </c>
      <c r="R1239" s="46"/>
      <c r="S1239" s="129"/>
      <c r="T1239" s="129"/>
      <c r="U1239" s="129"/>
      <c r="V1239" s="129"/>
      <c r="W1239" s="129"/>
      <c r="X1239" s="129"/>
      <c r="Y1239" s="129"/>
      <c r="Z1239" s="129"/>
      <c r="AA1239" s="129"/>
      <c r="AB1239" s="129"/>
      <c r="AC1239" s="129"/>
      <c r="AD1239" s="129"/>
    </row>
    <row r="1240" ht="14.25" customHeight="1">
      <c r="A1240" s="211">
        <v>16.0</v>
      </c>
      <c r="B1240" s="25" t="s">
        <v>4895</v>
      </c>
      <c r="C1240" s="25" t="s">
        <v>4896</v>
      </c>
      <c r="D1240" s="25"/>
      <c r="E1240" s="25"/>
      <c r="F1240" s="39"/>
      <c r="G1240" s="418">
        <v>3500.0</v>
      </c>
      <c r="H1240" s="25" t="s">
        <v>39</v>
      </c>
      <c r="I1240" s="43">
        <v>750.0</v>
      </c>
      <c r="J1240" s="43">
        <v>9.0</v>
      </c>
      <c r="K1240" s="43">
        <v>9.0</v>
      </c>
      <c r="L1240" s="25" t="s">
        <v>39</v>
      </c>
      <c r="M1240" s="25" t="s">
        <v>427</v>
      </c>
      <c r="N1240" s="25" t="s">
        <v>39</v>
      </c>
      <c r="O1240" s="25" t="s">
        <v>39</v>
      </c>
      <c r="P1240" s="25" t="s">
        <v>52</v>
      </c>
      <c r="Q1240" s="25" t="s">
        <v>39</v>
      </c>
      <c r="R1240" s="46"/>
      <c r="S1240" s="129"/>
      <c r="T1240" s="129"/>
      <c r="U1240" s="129"/>
      <c r="V1240" s="129"/>
      <c r="W1240" s="129"/>
      <c r="X1240" s="129"/>
      <c r="Y1240" s="129"/>
      <c r="Z1240" s="129"/>
      <c r="AA1240" s="129"/>
      <c r="AB1240" s="129"/>
      <c r="AC1240" s="129"/>
      <c r="AD1240" s="129"/>
    </row>
    <row r="1241" ht="14.25" customHeight="1">
      <c r="A1241" s="211">
        <v>17.0</v>
      </c>
      <c r="B1241" s="27" t="s">
        <v>4897</v>
      </c>
      <c r="C1241" s="27" t="s">
        <v>4898</v>
      </c>
      <c r="D1241" s="27"/>
      <c r="E1241" s="27"/>
      <c r="F1241" s="38"/>
      <c r="G1241" s="407">
        <v>5000.0</v>
      </c>
      <c r="H1241" s="27" t="s">
        <v>39</v>
      </c>
      <c r="I1241" s="42">
        <v>1000.0</v>
      </c>
      <c r="J1241" s="42">
        <v>11.0</v>
      </c>
      <c r="K1241" s="42">
        <v>11.0</v>
      </c>
      <c r="L1241" s="27" t="s">
        <v>39</v>
      </c>
      <c r="M1241" s="27" t="s">
        <v>4870</v>
      </c>
      <c r="N1241" s="25" t="s">
        <v>39</v>
      </c>
      <c r="O1241" s="27" t="s">
        <v>39</v>
      </c>
      <c r="P1241" s="27" t="s">
        <v>52</v>
      </c>
      <c r="Q1241" s="27" t="s">
        <v>39</v>
      </c>
      <c r="R1241" s="46"/>
      <c r="S1241" s="129"/>
      <c r="T1241" s="129"/>
      <c r="U1241" s="129"/>
      <c r="V1241" s="129"/>
      <c r="W1241" s="129"/>
      <c r="X1241" s="129"/>
      <c r="Y1241" s="129"/>
      <c r="Z1241" s="129"/>
      <c r="AA1241" s="129"/>
      <c r="AB1241" s="129"/>
      <c r="AC1241" s="129"/>
      <c r="AD1241" s="129"/>
    </row>
    <row r="1242" ht="15.75" customHeight="1">
      <c r="A1242" s="181"/>
      <c r="B1242" s="182" t="s">
        <v>4899</v>
      </c>
      <c r="C1242" s="182"/>
      <c r="D1242" s="182"/>
      <c r="E1242" s="182"/>
      <c r="F1242" s="403"/>
      <c r="G1242" s="404"/>
      <c r="H1242" s="182"/>
      <c r="I1242" s="182"/>
      <c r="J1242" s="91"/>
      <c r="K1242" s="91"/>
      <c r="L1242" s="91"/>
      <c r="M1242" s="91"/>
      <c r="N1242" s="91"/>
      <c r="O1242" s="91"/>
      <c r="P1242" s="182"/>
      <c r="Q1242" s="91"/>
      <c r="R1242" s="218"/>
      <c r="S1242" s="405"/>
      <c r="T1242" s="405"/>
      <c r="U1242" s="405"/>
      <c r="V1242" s="405"/>
      <c r="W1242" s="405"/>
      <c r="X1242" s="405"/>
      <c r="Y1242" s="405"/>
      <c r="Z1242" s="405"/>
      <c r="AA1242" s="405"/>
      <c r="AB1242" s="405"/>
      <c r="AC1242" s="405"/>
      <c r="AD1242" s="405"/>
    </row>
    <row r="1243" ht="14.25" customHeight="1">
      <c r="A1243" s="211">
        <v>1.0</v>
      </c>
      <c r="B1243" s="46" t="s">
        <v>4900</v>
      </c>
      <c r="C1243" s="46" t="s">
        <v>4901</v>
      </c>
      <c r="D1243" s="46"/>
      <c r="E1243" s="46"/>
      <c r="F1243" s="50"/>
      <c r="G1243" s="275"/>
      <c r="H1243" s="46">
        <v>100.0</v>
      </c>
      <c r="I1243" s="46">
        <v>500.0</v>
      </c>
      <c r="J1243" s="46">
        <v>20.0</v>
      </c>
      <c r="K1243" s="46">
        <v>20.0</v>
      </c>
      <c r="L1243" s="46">
        <v>3.0</v>
      </c>
      <c r="M1243" s="46" t="s">
        <v>82</v>
      </c>
      <c r="N1243" s="46"/>
      <c r="O1243" s="46">
        <v>2000.0</v>
      </c>
      <c r="P1243" s="46" t="s">
        <v>66</v>
      </c>
      <c r="Q1243" s="46">
        <v>100.0</v>
      </c>
      <c r="R1243" s="46"/>
      <c r="S1243" s="129"/>
      <c r="T1243" s="129"/>
      <c r="U1243" s="129"/>
      <c r="V1243" s="129"/>
      <c r="W1243" s="129"/>
      <c r="X1243" s="129"/>
      <c r="Y1243" s="129"/>
      <c r="Z1243" s="129"/>
      <c r="AA1243" s="129"/>
      <c r="AB1243" s="129"/>
      <c r="AC1243" s="129"/>
      <c r="AD1243" s="129"/>
    </row>
    <row r="1244" ht="14.25" customHeight="1">
      <c r="A1244" s="211">
        <v>2.0</v>
      </c>
      <c r="B1244" s="46" t="s">
        <v>7143</v>
      </c>
      <c r="C1244" s="46" t="s">
        <v>4904</v>
      </c>
      <c r="D1244" s="46"/>
      <c r="E1244" s="46"/>
      <c r="F1244" s="50"/>
      <c r="G1244" s="275"/>
      <c r="H1244" s="46" t="s">
        <v>4835</v>
      </c>
      <c r="I1244" s="46">
        <v>200.0</v>
      </c>
      <c r="J1244" s="46">
        <v>1.0</v>
      </c>
      <c r="K1244" s="46">
        <v>1.0</v>
      </c>
      <c r="L1244" s="46">
        <v>1.0</v>
      </c>
      <c r="M1244" s="46" t="s">
        <v>82</v>
      </c>
      <c r="N1244" s="46"/>
      <c r="O1244" s="46">
        <v>500.0</v>
      </c>
      <c r="P1244" s="46" t="s">
        <v>29</v>
      </c>
      <c r="Q1244" s="46">
        <v>0.0</v>
      </c>
      <c r="R1244" s="46"/>
      <c r="S1244" s="129"/>
      <c r="T1244" s="129"/>
      <c r="U1244" s="129"/>
      <c r="V1244" s="129"/>
      <c r="W1244" s="129"/>
      <c r="X1244" s="129"/>
      <c r="Y1244" s="129"/>
      <c r="Z1244" s="129"/>
      <c r="AA1244" s="129"/>
      <c r="AB1244" s="129"/>
      <c r="AC1244" s="129"/>
      <c r="AD1244" s="129"/>
    </row>
    <row r="1245" ht="15.75" customHeight="1">
      <c r="A1245" s="181"/>
      <c r="B1245" s="182" t="s">
        <v>4976</v>
      </c>
      <c r="C1245" s="182"/>
      <c r="D1245" s="182"/>
      <c r="E1245" s="182"/>
      <c r="F1245" s="403"/>
      <c r="G1245" s="404"/>
      <c r="H1245" s="182"/>
      <c r="I1245" s="182"/>
      <c r="J1245" s="91"/>
      <c r="K1245" s="91"/>
      <c r="L1245" s="91"/>
      <c r="M1245" s="91"/>
      <c r="N1245" s="91"/>
      <c r="O1245" s="91"/>
      <c r="P1245" s="182"/>
      <c r="Q1245" s="91"/>
      <c r="R1245" s="218"/>
      <c r="S1245" s="405"/>
      <c r="T1245" s="405"/>
      <c r="U1245" s="405"/>
      <c r="V1245" s="405"/>
      <c r="W1245" s="405"/>
      <c r="X1245" s="405"/>
      <c r="Y1245" s="405"/>
      <c r="Z1245" s="405"/>
      <c r="AA1245" s="405"/>
      <c r="AB1245" s="405"/>
      <c r="AC1245" s="405"/>
      <c r="AD1245" s="405"/>
    </row>
    <row r="1246" ht="14.25" customHeight="1">
      <c r="A1246" s="211">
        <v>1.0</v>
      </c>
      <c r="B1246" s="46" t="s">
        <v>4977</v>
      </c>
      <c r="C1246" s="46" t="s">
        <v>4978</v>
      </c>
      <c r="D1246" s="46"/>
      <c r="E1246" s="46"/>
      <c r="F1246" s="50"/>
      <c r="G1246" s="275" t="s">
        <v>4979</v>
      </c>
      <c r="H1246" s="46"/>
      <c r="I1246" s="46">
        <v>200.0</v>
      </c>
      <c r="J1246" s="46">
        <v>1.0</v>
      </c>
      <c r="K1246" s="46">
        <v>1.0</v>
      </c>
      <c r="L1246" s="46"/>
      <c r="M1246" s="46" t="s">
        <v>4980</v>
      </c>
      <c r="N1246" s="46"/>
      <c r="O1246" s="46">
        <v>0.0</v>
      </c>
      <c r="P1246" s="46" t="s">
        <v>66</v>
      </c>
      <c r="Q1246" s="46">
        <v>30.0</v>
      </c>
      <c r="R1246" s="46"/>
      <c r="S1246" s="129"/>
      <c r="T1246" s="129"/>
      <c r="U1246" s="129"/>
      <c r="V1246" s="129"/>
      <c r="W1246" s="129"/>
      <c r="X1246" s="129"/>
      <c r="Y1246" s="129"/>
      <c r="Z1246" s="129"/>
      <c r="AA1246" s="129"/>
      <c r="AB1246" s="129"/>
      <c r="AC1246" s="129"/>
      <c r="AD1246" s="129"/>
    </row>
    <row r="1247" ht="14.25" customHeight="1">
      <c r="A1247" s="211">
        <v>2.0</v>
      </c>
      <c r="B1247" s="46" t="s">
        <v>4981</v>
      </c>
      <c r="C1247" s="46" t="s">
        <v>4982</v>
      </c>
      <c r="D1247" s="46"/>
      <c r="E1247" s="46"/>
      <c r="F1247" s="50"/>
      <c r="G1247" s="275" t="s">
        <v>4983</v>
      </c>
      <c r="H1247" s="46"/>
      <c r="I1247" s="46">
        <v>300.0</v>
      </c>
      <c r="J1247" s="46">
        <v>2.0</v>
      </c>
      <c r="K1247" s="46">
        <v>2.0</v>
      </c>
      <c r="L1247" s="46"/>
      <c r="M1247" s="46" t="s">
        <v>4980</v>
      </c>
      <c r="N1247" s="46"/>
      <c r="O1247" s="46">
        <v>0.0</v>
      </c>
      <c r="P1247" s="46" t="s">
        <v>29</v>
      </c>
      <c r="Q1247" s="46">
        <v>0.0</v>
      </c>
      <c r="R1247" s="46"/>
      <c r="S1247" s="129"/>
      <c r="T1247" s="129"/>
      <c r="U1247" s="129"/>
      <c r="V1247" s="129"/>
      <c r="W1247" s="129"/>
      <c r="X1247" s="129"/>
      <c r="Y1247" s="129"/>
      <c r="Z1247" s="129"/>
      <c r="AA1247" s="129"/>
      <c r="AB1247" s="129"/>
      <c r="AC1247" s="129"/>
      <c r="AD1247" s="129"/>
    </row>
    <row r="1248" ht="14.25" customHeight="1">
      <c r="A1248" s="211">
        <v>3.0</v>
      </c>
      <c r="B1248" s="46" t="s">
        <v>4984</v>
      </c>
      <c r="C1248" s="46" t="s">
        <v>4985</v>
      </c>
      <c r="D1248" s="46"/>
      <c r="E1248" s="46"/>
      <c r="F1248" s="50"/>
      <c r="G1248" s="275" t="s">
        <v>4986</v>
      </c>
      <c r="H1248" s="46"/>
      <c r="I1248" s="46">
        <v>200.0</v>
      </c>
      <c r="J1248" s="46">
        <v>1.0</v>
      </c>
      <c r="K1248" s="46">
        <v>1.0</v>
      </c>
      <c r="L1248" s="46"/>
      <c r="M1248" s="46" t="s">
        <v>4980</v>
      </c>
      <c r="N1248" s="46"/>
      <c r="O1248" s="46">
        <v>0.0</v>
      </c>
      <c r="P1248" s="46" t="s">
        <v>29</v>
      </c>
      <c r="Q1248" s="46">
        <v>0.0</v>
      </c>
      <c r="R1248" s="46"/>
      <c r="S1248" s="129"/>
      <c r="T1248" s="129"/>
      <c r="U1248" s="129"/>
      <c r="V1248" s="129"/>
      <c r="W1248" s="129"/>
      <c r="X1248" s="129"/>
      <c r="Y1248" s="129"/>
      <c r="Z1248" s="129"/>
      <c r="AA1248" s="129"/>
      <c r="AB1248" s="129"/>
      <c r="AC1248" s="129"/>
      <c r="AD1248" s="129"/>
    </row>
    <row r="1249" ht="14.25" customHeight="1">
      <c r="A1249" s="211">
        <v>4.0</v>
      </c>
      <c r="B1249" s="46" t="s">
        <v>4987</v>
      </c>
      <c r="C1249" s="46" t="s">
        <v>4978</v>
      </c>
      <c r="D1249" s="46"/>
      <c r="E1249" s="46"/>
      <c r="F1249" s="50"/>
      <c r="G1249" s="275" t="s">
        <v>4988</v>
      </c>
      <c r="H1249" s="46"/>
      <c r="I1249" s="46">
        <v>1000.0</v>
      </c>
      <c r="J1249" s="46">
        <v>3.0</v>
      </c>
      <c r="K1249" s="46">
        <v>3.0</v>
      </c>
      <c r="L1249" s="46"/>
      <c r="M1249" s="46" t="s">
        <v>4980</v>
      </c>
      <c r="N1249" s="46"/>
      <c r="O1249" s="46">
        <v>0.0</v>
      </c>
      <c r="P1249" s="46" t="s">
        <v>29</v>
      </c>
      <c r="Q1249" s="46">
        <v>0.0</v>
      </c>
      <c r="R1249" s="46"/>
      <c r="S1249" s="129"/>
      <c r="T1249" s="129"/>
      <c r="U1249" s="129"/>
      <c r="V1249" s="129"/>
      <c r="W1249" s="129"/>
      <c r="X1249" s="129"/>
      <c r="Y1249" s="129"/>
      <c r="Z1249" s="129"/>
      <c r="AA1249" s="129"/>
      <c r="AB1249" s="129"/>
      <c r="AC1249" s="129"/>
      <c r="AD1249" s="129"/>
    </row>
    <row r="1250" ht="14.25" customHeight="1">
      <c r="A1250" s="211">
        <v>5.0</v>
      </c>
      <c r="B1250" s="46" t="s">
        <v>4989</v>
      </c>
      <c r="C1250" s="46" t="s">
        <v>4990</v>
      </c>
      <c r="D1250" s="46"/>
      <c r="E1250" s="46"/>
      <c r="F1250" s="50"/>
      <c r="G1250" s="275" t="s">
        <v>4986</v>
      </c>
      <c r="H1250" s="46"/>
      <c r="I1250" s="46">
        <v>700.0</v>
      </c>
      <c r="J1250" s="46">
        <v>1.0</v>
      </c>
      <c r="K1250" s="46">
        <v>1.0</v>
      </c>
      <c r="L1250" s="46"/>
      <c r="M1250" s="46" t="s">
        <v>4980</v>
      </c>
      <c r="N1250" s="46"/>
      <c r="O1250" s="46">
        <v>0.0</v>
      </c>
      <c r="P1250" s="46" t="s">
        <v>29</v>
      </c>
      <c r="Q1250" s="46">
        <v>0.0</v>
      </c>
      <c r="R1250" s="46"/>
      <c r="S1250" s="129"/>
      <c r="T1250" s="129"/>
      <c r="U1250" s="129"/>
      <c r="V1250" s="129"/>
      <c r="W1250" s="129"/>
      <c r="X1250" s="129"/>
      <c r="Y1250" s="129"/>
      <c r="Z1250" s="129"/>
      <c r="AA1250" s="129"/>
      <c r="AB1250" s="129"/>
      <c r="AC1250" s="129"/>
      <c r="AD1250" s="129"/>
    </row>
    <row r="1251" ht="14.25" customHeight="1">
      <c r="A1251" s="211">
        <v>6.0</v>
      </c>
      <c r="B1251" s="46" t="s">
        <v>4991</v>
      </c>
      <c r="C1251" s="46" t="s">
        <v>4992</v>
      </c>
      <c r="D1251" s="46"/>
      <c r="E1251" s="46"/>
      <c r="F1251" s="50"/>
      <c r="G1251" s="275" t="s">
        <v>4986</v>
      </c>
      <c r="H1251" s="46"/>
      <c r="I1251" s="46">
        <v>100.0</v>
      </c>
      <c r="J1251" s="46">
        <v>1.0</v>
      </c>
      <c r="K1251" s="46">
        <v>1.0</v>
      </c>
      <c r="L1251" s="46"/>
      <c r="M1251" s="46" t="s">
        <v>4980</v>
      </c>
      <c r="N1251" s="46"/>
      <c r="O1251" s="46">
        <v>0.0</v>
      </c>
      <c r="P1251" s="46" t="s">
        <v>29</v>
      </c>
      <c r="Q1251" s="46">
        <v>0.0</v>
      </c>
      <c r="R1251" s="46"/>
      <c r="S1251" s="129"/>
      <c r="T1251" s="129"/>
      <c r="U1251" s="129"/>
      <c r="V1251" s="129"/>
      <c r="W1251" s="129"/>
      <c r="X1251" s="129"/>
      <c r="Y1251" s="129"/>
      <c r="Z1251" s="129"/>
      <c r="AA1251" s="129"/>
      <c r="AB1251" s="129"/>
      <c r="AC1251" s="129"/>
      <c r="AD1251" s="129"/>
    </row>
    <row r="1252" ht="14.25" customHeight="1">
      <c r="A1252" s="211">
        <v>7.0</v>
      </c>
      <c r="B1252" s="46" t="s">
        <v>4993</v>
      </c>
      <c r="C1252" s="46" t="s">
        <v>4994</v>
      </c>
      <c r="D1252" s="46"/>
      <c r="E1252" s="46"/>
      <c r="F1252" s="50"/>
      <c r="G1252" s="275" t="s">
        <v>4986</v>
      </c>
      <c r="H1252" s="46"/>
      <c r="I1252" s="46">
        <v>200.0</v>
      </c>
      <c r="J1252" s="46">
        <v>1.0</v>
      </c>
      <c r="K1252" s="46">
        <v>1.0</v>
      </c>
      <c r="L1252" s="46"/>
      <c r="M1252" s="46" t="s">
        <v>4980</v>
      </c>
      <c r="N1252" s="46"/>
      <c r="O1252" s="46">
        <v>0.0</v>
      </c>
      <c r="P1252" s="46" t="s">
        <v>29</v>
      </c>
      <c r="Q1252" s="46">
        <v>0.0</v>
      </c>
      <c r="R1252" s="46"/>
      <c r="S1252" s="129"/>
      <c r="T1252" s="129"/>
      <c r="U1252" s="129"/>
      <c r="V1252" s="129"/>
      <c r="W1252" s="129"/>
      <c r="X1252" s="129"/>
      <c r="Y1252" s="129"/>
      <c r="Z1252" s="129"/>
      <c r="AA1252" s="129"/>
      <c r="AB1252" s="129"/>
      <c r="AC1252" s="129"/>
      <c r="AD1252" s="129"/>
    </row>
    <row r="1253" ht="14.25" customHeight="1">
      <c r="A1253" s="211">
        <v>8.0</v>
      </c>
      <c r="B1253" s="46" t="s">
        <v>4995</v>
      </c>
      <c r="C1253" s="46" t="s">
        <v>4996</v>
      </c>
      <c r="D1253" s="46"/>
      <c r="E1253" s="46"/>
      <c r="F1253" s="50"/>
      <c r="G1253" s="275" t="s">
        <v>4986</v>
      </c>
      <c r="H1253" s="46"/>
      <c r="I1253" s="46">
        <v>300.0</v>
      </c>
      <c r="J1253" s="46">
        <v>2.0</v>
      </c>
      <c r="K1253" s="46">
        <v>2.0</v>
      </c>
      <c r="L1253" s="46"/>
      <c r="M1253" s="46" t="s">
        <v>4980</v>
      </c>
      <c r="N1253" s="46"/>
      <c r="O1253" s="46">
        <v>0.0</v>
      </c>
      <c r="P1253" s="46" t="s">
        <v>29</v>
      </c>
      <c r="Q1253" s="46">
        <v>0.0</v>
      </c>
      <c r="R1253" s="46"/>
      <c r="S1253" s="129"/>
      <c r="T1253" s="129"/>
      <c r="U1253" s="129"/>
      <c r="V1253" s="129"/>
      <c r="W1253" s="129"/>
      <c r="X1253" s="129"/>
      <c r="Y1253" s="129"/>
      <c r="Z1253" s="129"/>
      <c r="AA1253" s="129"/>
      <c r="AB1253" s="129"/>
      <c r="AC1253" s="129"/>
      <c r="AD1253" s="129"/>
    </row>
    <row r="1254" ht="14.25" customHeight="1">
      <c r="A1254" s="211">
        <v>9.0</v>
      </c>
      <c r="B1254" s="46" t="s">
        <v>4997</v>
      </c>
      <c r="C1254" s="46" t="s">
        <v>4998</v>
      </c>
      <c r="D1254" s="46"/>
      <c r="E1254" s="46"/>
      <c r="F1254" s="50"/>
      <c r="G1254" s="275" t="s">
        <v>4986</v>
      </c>
      <c r="H1254" s="46"/>
      <c r="I1254" s="46">
        <v>200.0</v>
      </c>
      <c r="J1254" s="46">
        <v>2.0</v>
      </c>
      <c r="K1254" s="46">
        <v>2.0</v>
      </c>
      <c r="L1254" s="46"/>
      <c r="M1254" s="46" t="s">
        <v>4980</v>
      </c>
      <c r="N1254" s="46"/>
      <c r="O1254" s="46">
        <v>0.0</v>
      </c>
      <c r="P1254" s="46" t="s">
        <v>29</v>
      </c>
      <c r="Q1254" s="46">
        <v>0.0</v>
      </c>
      <c r="R1254" s="46"/>
      <c r="S1254" s="129"/>
      <c r="T1254" s="129"/>
      <c r="U1254" s="129"/>
      <c r="V1254" s="129"/>
      <c r="W1254" s="129"/>
      <c r="X1254" s="129"/>
      <c r="Y1254" s="129"/>
      <c r="Z1254" s="129"/>
      <c r="AA1254" s="129"/>
      <c r="AB1254" s="129"/>
      <c r="AC1254" s="129"/>
      <c r="AD1254" s="129"/>
    </row>
    <row r="1255" ht="14.25" customHeight="1">
      <c r="A1255" s="211">
        <v>10.0</v>
      </c>
      <c r="B1255" s="46" t="s">
        <v>4999</v>
      </c>
      <c r="C1255" s="46" t="s">
        <v>5000</v>
      </c>
      <c r="D1255" s="46"/>
      <c r="E1255" s="46"/>
      <c r="F1255" s="50"/>
      <c r="G1255" s="275" t="s">
        <v>4986</v>
      </c>
      <c r="H1255" s="46"/>
      <c r="I1255" s="46">
        <v>200.0</v>
      </c>
      <c r="J1255" s="46">
        <v>1.0</v>
      </c>
      <c r="K1255" s="46">
        <v>1.0</v>
      </c>
      <c r="L1255" s="46"/>
      <c r="M1255" s="46" t="s">
        <v>4980</v>
      </c>
      <c r="N1255" s="46"/>
      <c r="O1255" s="46">
        <v>0.0</v>
      </c>
      <c r="P1255" s="46" t="s">
        <v>29</v>
      </c>
      <c r="Q1255" s="46">
        <v>0.0</v>
      </c>
      <c r="R1255" s="46"/>
      <c r="S1255" s="129"/>
      <c r="T1255" s="129"/>
      <c r="U1255" s="129"/>
      <c r="V1255" s="129"/>
      <c r="W1255" s="129"/>
      <c r="X1255" s="129"/>
      <c r="Y1255" s="129"/>
      <c r="Z1255" s="129"/>
      <c r="AA1255" s="129"/>
      <c r="AB1255" s="129"/>
      <c r="AC1255" s="129"/>
      <c r="AD1255" s="129"/>
    </row>
    <row r="1256" ht="14.25" customHeight="1">
      <c r="A1256" s="211">
        <v>11.0</v>
      </c>
      <c r="B1256" s="46" t="s">
        <v>5001</v>
      </c>
      <c r="C1256" s="46" t="s">
        <v>5002</v>
      </c>
      <c r="D1256" s="46"/>
      <c r="E1256" s="46"/>
      <c r="F1256" s="50"/>
      <c r="G1256" s="275" t="s">
        <v>4986</v>
      </c>
      <c r="H1256" s="46"/>
      <c r="I1256" s="46">
        <v>250.0</v>
      </c>
      <c r="J1256" s="46">
        <v>1.0</v>
      </c>
      <c r="K1256" s="46">
        <v>1.0</v>
      </c>
      <c r="L1256" s="46"/>
      <c r="M1256" s="46" t="s">
        <v>4980</v>
      </c>
      <c r="N1256" s="46"/>
      <c r="O1256" s="46">
        <v>0.0</v>
      </c>
      <c r="P1256" s="46" t="s">
        <v>29</v>
      </c>
      <c r="Q1256" s="46">
        <v>0.0</v>
      </c>
      <c r="R1256" s="46"/>
      <c r="S1256" s="129"/>
      <c r="T1256" s="129"/>
      <c r="U1256" s="129"/>
      <c r="V1256" s="129"/>
      <c r="W1256" s="129"/>
      <c r="X1256" s="129"/>
      <c r="Y1256" s="129"/>
      <c r="Z1256" s="129"/>
      <c r="AA1256" s="129"/>
      <c r="AB1256" s="129"/>
      <c r="AC1256" s="129"/>
      <c r="AD1256" s="129"/>
    </row>
    <row r="1257" ht="14.25" customHeight="1">
      <c r="A1257" s="211">
        <v>12.0</v>
      </c>
      <c r="B1257" s="46" t="s">
        <v>5003</v>
      </c>
      <c r="C1257" s="46" t="s">
        <v>5004</v>
      </c>
      <c r="D1257" s="46"/>
      <c r="E1257" s="46"/>
      <c r="F1257" s="50"/>
      <c r="G1257" s="275" t="s">
        <v>4986</v>
      </c>
      <c r="H1257" s="46"/>
      <c r="I1257" s="46">
        <v>200.0</v>
      </c>
      <c r="J1257" s="46">
        <v>1.0</v>
      </c>
      <c r="K1257" s="46">
        <v>1.0</v>
      </c>
      <c r="L1257" s="46"/>
      <c r="M1257" s="46" t="s">
        <v>4980</v>
      </c>
      <c r="N1257" s="46"/>
      <c r="O1257" s="46">
        <v>0.0</v>
      </c>
      <c r="P1257" s="46" t="s">
        <v>29</v>
      </c>
      <c r="Q1257" s="46">
        <v>0.0</v>
      </c>
      <c r="R1257" s="46"/>
      <c r="S1257" s="129"/>
      <c r="T1257" s="129"/>
      <c r="U1257" s="129"/>
      <c r="V1257" s="129"/>
      <c r="W1257" s="129"/>
      <c r="X1257" s="129"/>
      <c r="Y1257" s="129"/>
      <c r="Z1257" s="129"/>
      <c r="AA1257" s="129"/>
      <c r="AB1257" s="129"/>
      <c r="AC1257" s="129"/>
      <c r="AD1257" s="129"/>
    </row>
    <row r="1258" ht="14.25" customHeight="1">
      <c r="A1258" s="211">
        <v>13.0</v>
      </c>
      <c r="B1258" s="46" t="s">
        <v>5005</v>
      </c>
      <c r="C1258" s="46" t="s">
        <v>4985</v>
      </c>
      <c r="D1258" s="46"/>
      <c r="E1258" s="46"/>
      <c r="F1258" s="50"/>
      <c r="G1258" s="275" t="s">
        <v>4986</v>
      </c>
      <c r="H1258" s="46"/>
      <c r="I1258" s="46">
        <v>300.0</v>
      </c>
      <c r="J1258" s="46">
        <v>1.0</v>
      </c>
      <c r="K1258" s="46">
        <v>1.0</v>
      </c>
      <c r="L1258" s="46"/>
      <c r="M1258" s="46" t="s">
        <v>4980</v>
      </c>
      <c r="N1258" s="46"/>
      <c r="O1258" s="46">
        <v>0.0</v>
      </c>
      <c r="P1258" s="46" t="s">
        <v>29</v>
      </c>
      <c r="Q1258" s="46">
        <v>0.0</v>
      </c>
      <c r="R1258" s="46"/>
      <c r="S1258" s="129"/>
      <c r="T1258" s="129"/>
      <c r="U1258" s="129"/>
      <c r="V1258" s="129"/>
      <c r="W1258" s="129"/>
      <c r="X1258" s="129"/>
      <c r="Y1258" s="129"/>
      <c r="Z1258" s="129"/>
      <c r="AA1258" s="129"/>
      <c r="AB1258" s="129"/>
      <c r="AC1258" s="129"/>
      <c r="AD1258" s="129"/>
    </row>
    <row r="1259" ht="14.25" customHeight="1">
      <c r="A1259" s="211">
        <v>14.0</v>
      </c>
      <c r="B1259" s="46" t="s">
        <v>5006</v>
      </c>
      <c r="C1259" s="46" t="s">
        <v>5007</v>
      </c>
      <c r="D1259" s="46"/>
      <c r="E1259" s="46"/>
      <c r="F1259" s="50"/>
      <c r="G1259" s="275" t="s">
        <v>4986</v>
      </c>
      <c r="H1259" s="46"/>
      <c r="I1259" s="46">
        <v>350.0</v>
      </c>
      <c r="J1259" s="46">
        <v>2.0</v>
      </c>
      <c r="K1259" s="46">
        <v>2.0</v>
      </c>
      <c r="L1259" s="46"/>
      <c r="M1259" s="46" t="s">
        <v>4980</v>
      </c>
      <c r="N1259" s="46"/>
      <c r="O1259" s="46">
        <v>0.0</v>
      </c>
      <c r="P1259" s="46" t="s">
        <v>29</v>
      </c>
      <c r="Q1259" s="46">
        <v>0.0</v>
      </c>
      <c r="R1259" s="46"/>
      <c r="S1259" s="129"/>
      <c r="T1259" s="129"/>
      <c r="U1259" s="129"/>
      <c r="V1259" s="129"/>
      <c r="W1259" s="129"/>
      <c r="X1259" s="129"/>
      <c r="Y1259" s="129"/>
      <c r="Z1259" s="129"/>
      <c r="AA1259" s="129"/>
      <c r="AB1259" s="129"/>
      <c r="AC1259" s="129"/>
      <c r="AD1259" s="129"/>
    </row>
    <row r="1260" ht="14.25" customHeight="1">
      <c r="A1260" s="211">
        <v>15.0</v>
      </c>
      <c r="B1260" s="46" t="s">
        <v>5008</v>
      </c>
      <c r="C1260" s="46" t="s">
        <v>5009</v>
      </c>
      <c r="D1260" s="46"/>
      <c r="E1260" s="46"/>
      <c r="F1260" s="50"/>
      <c r="G1260" s="275" t="s">
        <v>4986</v>
      </c>
      <c r="H1260" s="46"/>
      <c r="I1260" s="46">
        <v>200.0</v>
      </c>
      <c r="J1260" s="46">
        <v>2.0</v>
      </c>
      <c r="K1260" s="46">
        <v>2.0</v>
      </c>
      <c r="L1260" s="46"/>
      <c r="M1260" s="46" t="s">
        <v>4980</v>
      </c>
      <c r="N1260" s="46"/>
      <c r="O1260" s="46">
        <v>0.0</v>
      </c>
      <c r="P1260" s="46" t="s">
        <v>29</v>
      </c>
      <c r="Q1260" s="46">
        <v>0.0</v>
      </c>
      <c r="R1260" s="46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</row>
    <row r="1261" ht="14.25" customHeight="1">
      <c r="A1261" s="211">
        <v>16.0</v>
      </c>
      <c r="B1261" s="46" t="s">
        <v>5010</v>
      </c>
      <c r="C1261" s="46" t="s">
        <v>5011</v>
      </c>
      <c r="D1261" s="46"/>
      <c r="E1261" s="46"/>
      <c r="F1261" s="50"/>
      <c r="G1261" s="275" t="s">
        <v>4986</v>
      </c>
      <c r="H1261" s="46"/>
      <c r="I1261" s="46">
        <v>200.0</v>
      </c>
      <c r="J1261" s="46">
        <v>1.0</v>
      </c>
      <c r="K1261" s="46">
        <v>1.0</v>
      </c>
      <c r="L1261" s="46"/>
      <c r="M1261" s="46" t="s">
        <v>4980</v>
      </c>
      <c r="N1261" s="46"/>
      <c r="O1261" s="46">
        <v>0.0</v>
      </c>
      <c r="P1261" s="46" t="s">
        <v>29</v>
      </c>
      <c r="Q1261" s="46">
        <v>0.0</v>
      </c>
      <c r="R1261" s="46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</row>
    <row r="1262" ht="14.25" customHeight="1">
      <c r="A1262" s="211">
        <v>17.0</v>
      </c>
      <c r="B1262" s="46" t="s">
        <v>5012</v>
      </c>
      <c r="C1262" s="46" t="s">
        <v>5013</v>
      </c>
      <c r="D1262" s="46"/>
      <c r="E1262" s="46"/>
      <c r="F1262" s="50"/>
      <c r="G1262" s="275" t="s">
        <v>4986</v>
      </c>
      <c r="H1262" s="46"/>
      <c r="I1262" s="46">
        <v>100.0</v>
      </c>
      <c r="J1262" s="46">
        <v>1.0</v>
      </c>
      <c r="K1262" s="46">
        <v>1.0</v>
      </c>
      <c r="L1262" s="46"/>
      <c r="M1262" s="46" t="s">
        <v>4980</v>
      </c>
      <c r="N1262" s="46"/>
      <c r="O1262" s="46">
        <v>0.0</v>
      </c>
      <c r="P1262" s="46" t="s">
        <v>29</v>
      </c>
      <c r="Q1262" s="46">
        <v>0.0</v>
      </c>
      <c r="R1262" s="46"/>
      <c r="S1262" s="129"/>
      <c r="T1262" s="129"/>
      <c r="U1262" s="129"/>
      <c r="V1262" s="129"/>
      <c r="W1262" s="129"/>
      <c r="X1262" s="129"/>
      <c r="Y1262" s="129"/>
      <c r="Z1262" s="129"/>
      <c r="AA1262" s="129"/>
      <c r="AB1262" s="129"/>
      <c r="AC1262" s="129"/>
      <c r="AD1262" s="129"/>
    </row>
    <row r="1263" ht="14.25" customHeight="1">
      <c r="A1263" s="211">
        <v>18.0</v>
      </c>
      <c r="B1263" s="46" t="s">
        <v>5014</v>
      </c>
      <c r="C1263" s="46" t="s">
        <v>5015</v>
      </c>
      <c r="D1263" s="46"/>
      <c r="E1263" s="46"/>
      <c r="F1263" s="50"/>
      <c r="G1263" s="275" t="s">
        <v>4986</v>
      </c>
      <c r="H1263" s="46"/>
      <c r="I1263" s="46">
        <v>200.0</v>
      </c>
      <c r="J1263" s="46">
        <v>1.0</v>
      </c>
      <c r="K1263" s="46">
        <v>1.0</v>
      </c>
      <c r="L1263" s="46"/>
      <c r="M1263" s="46" t="s">
        <v>4980</v>
      </c>
      <c r="N1263" s="46"/>
      <c r="O1263" s="46">
        <v>0.0</v>
      </c>
      <c r="P1263" s="46" t="s">
        <v>29</v>
      </c>
      <c r="Q1263" s="46">
        <v>0.0</v>
      </c>
      <c r="R1263" s="46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</row>
    <row r="1264" ht="14.25" customHeight="1">
      <c r="A1264" s="211">
        <v>19.0</v>
      </c>
      <c r="B1264" s="46" t="s">
        <v>5016</v>
      </c>
      <c r="C1264" s="46" t="s">
        <v>5017</v>
      </c>
      <c r="D1264" s="46"/>
      <c r="E1264" s="46"/>
      <c r="F1264" s="50"/>
      <c r="G1264" s="275" t="s">
        <v>4986</v>
      </c>
      <c r="H1264" s="46"/>
      <c r="I1264" s="46">
        <v>200.0</v>
      </c>
      <c r="J1264" s="46">
        <v>1.0</v>
      </c>
      <c r="K1264" s="46">
        <v>1.0</v>
      </c>
      <c r="L1264" s="46"/>
      <c r="M1264" s="46" t="s">
        <v>4980</v>
      </c>
      <c r="N1264" s="46"/>
      <c r="O1264" s="46">
        <v>0.0</v>
      </c>
      <c r="P1264" s="46" t="s">
        <v>29</v>
      </c>
      <c r="Q1264" s="46">
        <v>0.0</v>
      </c>
      <c r="R1264" s="46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</row>
    <row r="1265" ht="14.25" customHeight="1">
      <c r="A1265" s="211">
        <v>20.0</v>
      </c>
      <c r="B1265" s="46" t="s">
        <v>5018</v>
      </c>
      <c r="C1265" s="46" t="s">
        <v>5019</v>
      </c>
      <c r="D1265" s="46"/>
      <c r="E1265" s="46"/>
      <c r="F1265" s="50"/>
      <c r="G1265" s="275" t="s">
        <v>4986</v>
      </c>
      <c r="H1265" s="46"/>
      <c r="I1265" s="46">
        <v>150.0</v>
      </c>
      <c r="J1265" s="46">
        <v>1.0</v>
      </c>
      <c r="K1265" s="46">
        <v>1.0</v>
      </c>
      <c r="L1265" s="46"/>
      <c r="M1265" s="46" t="s">
        <v>4980</v>
      </c>
      <c r="N1265" s="46"/>
      <c r="O1265" s="46">
        <v>0.0</v>
      </c>
      <c r="P1265" s="46" t="s">
        <v>29</v>
      </c>
      <c r="Q1265" s="46">
        <v>0.0</v>
      </c>
      <c r="R1265" s="46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</row>
    <row r="1266" ht="15.75" customHeight="1">
      <c r="A1266" s="181"/>
      <c r="B1266" s="182" t="s">
        <v>5020</v>
      </c>
      <c r="C1266" s="182"/>
      <c r="D1266" s="182"/>
      <c r="E1266" s="182"/>
      <c r="F1266" s="403"/>
      <c r="G1266" s="404"/>
      <c r="H1266" s="182"/>
      <c r="I1266" s="182"/>
      <c r="J1266" s="91"/>
      <c r="K1266" s="91"/>
      <c r="L1266" s="91"/>
      <c r="M1266" s="91"/>
      <c r="N1266" s="91"/>
      <c r="O1266" s="91"/>
      <c r="P1266" s="182"/>
      <c r="Q1266" s="91"/>
      <c r="R1266" s="218"/>
      <c r="S1266" s="405"/>
      <c r="T1266" s="405"/>
      <c r="U1266" s="405"/>
      <c r="V1266" s="405"/>
      <c r="W1266" s="405"/>
      <c r="X1266" s="405"/>
      <c r="Y1266" s="405"/>
      <c r="Z1266" s="405"/>
      <c r="AA1266" s="405"/>
      <c r="AB1266" s="405"/>
      <c r="AC1266" s="405"/>
      <c r="AD1266" s="405"/>
    </row>
    <row r="1267" ht="45.75" customHeight="1">
      <c r="A1267" s="211">
        <v>1.0</v>
      </c>
      <c r="B1267" s="146" t="s">
        <v>5021</v>
      </c>
      <c r="C1267" s="146" t="s">
        <v>5022</v>
      </c>
      <c r="D1267" s="146"/>
      <c r="E1267" s="146"/>
      <c r="F1267" s="441"/>
      <c r="G1267" s="422"/>
      <c r="H1267" s="216">
        <v>135.0</v>
      </c>
      <c r="I1267" s="216">
        <v>675.0</v>
      </c>
      <c r="J1267" s="216" t="s">
        <v>5023</v>
      </c>
      <c r="K1267" s="216" t="s">
        <v>5024</v>
      </c>
      <c r="L1267" s="216">
        <v>1.0</v>
      </c>
      <c r="M1267" s="216" t="s">
        <v>27</v>
      </c>
      <c r="N1267" s="291"/>
      <c r="O1267" s="442">
        <v>20000.0</v>
      </c>
      <c r="P1267" s="291" t="s">
        <v>29</v>
      </c>
      <c r="Q1267" s="291"/>
      <c r="R1267" s="46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</row>
    <row r="1268" ht="15.75" customHeight="1">
      <c r="A1268" s="181"/>
      <c r="B1268" s="182" t="s">
        <v>5098</v>
      </c>
      <c r="C1268" s="182"/>
      <c r="D1268" s="182"/>
      <c r="E1268" s="182"/>
      <c r="F1268" s="403"/>
      <c r="G1268" s="404"/>
      <c r="H1268" s="182"/>
      <c r="I1268" s="182"/>
      <c r="J1268" s="91"/>
      <c r="K1268" s="91"/>
      <c r="L1268" s="91"/>
      <c r="M1268" s="91"/>
      <c r="N1268" s="91"/>
      <c r="O1268" s="91"/>
      <c r="P1268" s="182"/>
      <c r="Q1268" s="91"/>
      <c r="R1268" s="218"/>
      <c r="S1268" s="405"/>
      <c r="T1268" s="405"/>
      <c r="U1268" s="405"/>
      <c r="V1268" s="405"/>
      <c r="W1268" s="405"/>
      <c r="X1268" s="405"/>
      <c r="Y1268" s="405"/>
      <c r="Z1268" s="405"/>
      <c r="AA1268" s="405"/>
      <c r="AB1268" s="405"/>
      <c r="AC1268" s="405"/>
      <c r="AD1268" s="405"/>
    </row>
    <row r="1269" ht="14.25" customHeight="1">
      <c r="A1269" s="211">
        <v>1.0</v>
      </c>
      <c r="B1269" s="82" t="s">
        <v>5099</v>
      </c>
      <c r="C1269" s="82" t="s">
        <v>5100</v>
      </c>
      <c r="D1269" s="82"/>
      <c r="E1269" s="82"/>
      <c r="F1269" s="406"/>
      <c r="G1269" s="89">
        <v>816.75</v>
      </c>
      <c r="H1269" s="81">
        <v>25.0</v>
      </c>
      <c r="I1269" s="81">
        <v>100.0</v>
      </c>
      <c r="J1269" s="81">
        <v>2.0</v>
      </c>
      <c r="K1269" s="81">
        <v>2.0</v>
      </c>
      <c r="L1269" s="81">
        <v>2.0</v>
      </c>
      <c r="M1269" s="81" t="s">
        <v>27</v>
      </c>
      <c r="N1269" s="81"/>
      <c r="O1269" s="443">
        <v>1000.0</v>
      </c>
      <c r="P1269" s="81" t="s">
        <v>29</v>
      </c>
      <c r="Q1269" s="81" t="s">
        <v>1137</v>
      </c>
      <c r="R1269" s="46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</row>
    <row r="1270" ht="14.25" customHeight="1">
      <c r="A1270" s="211">
        <v>2.0</v>
      </c>
      <c r="B1270" s="82" t="s">
        <v>5101</v>
      </c>
      <c r="C1270" s="82" t="s">
        <v>5100</v>
      </c>
      <c r="D1270" s="82"/>
      <c r="E1270" s="82"/>
      <c r="F1270" s="406"/>
      <c r="G1270" s="89">
        <v>345.0</v>
      </c>
      <c r="H1270" s="81">
        <v>11.0</v>
      </c>
      <c r="I1270" s="81">
        <v>44.0</v>
      </c>
      <c r="J1270" s="81">
        <v>1.0</v>
      </c>
      <c r="K1270" s="81">
        <v>1.0</v>
      </c>
      <c r="L1270" s="81" t="s">
        <v>1137</v>
      </c>
      <c r="M1270" s="81" t="s">
        <v>27</v>
      </c>
      <c r="N1270" s="81"/>
      <c r="O1270" s="81">
        <v>450.0</v>
      </c>
      <c r="P1270" s="81" t="s">
        <v>29</v>
      </c>
      <c r="Q1270" s="81" t="s">
        <v>1137</v>
      </c>
      <c r="R1270" s="46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</row>
    <row r="1271" ht="14.25" customHeight="1">
      <c r="A1271" s="211">
        <v>3.0</v>
      </c>
      <c r="B1271" s="82" t="s">
        <v>5102</v>
      </c>
      <c r="C1271" s="82" t="s">
        <v>5103</v>
      </c>
      <c r="D1271" s="82"/>
      <c r="E1271" s="82"/>
      <c r="F1271" s="406"/>
      <c r="G1271" s="89">
        <v>134.26</v>
      </c>
      <c r="H1271" s="81">
        <v>5.0</v>
      </c>
      <c r="I1271" s="81">
        <v>20.0</v>
      </c>
      <c r="J1271" s="81" t="s">
        <v>1137</v>
      </c>
      <c r="K1271" s="81" t="s">
        <v>1137</v>
      </c>
      <c r="L1271" s="81">
        <v>1.0</v>
      </c>
      <c r="M1271" s="81"/>
      <c r="N1271" s="81" t="s">
        <v>172</v>
      </c>
      <c r="O1271" s="81">
        <v>200.0</v>
      </c>
      <c r="P1271" s="81" t="s">
        <v>29</v>
      </c>
      <c r="Q1271" s="81" t="s">
        <v>1137</v>
      </c>
      <c r="R1271" s="46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</row>
    <row r="1272" ht="14.25" customHeight="1">
      <c r="A1272" s="211">
        <v>4.0</v>
      </c>
      <c r="B1272" s="82" t="s">
        <v>5104</v>
      </c>
      <c r="C1272" s="82" t="s">
        <v>5105</v>
      </c>
      <c r="D1272" s="82"/>
      <c r="E1272" s="82"/>
      <c r="F1272" s="406"/>
      <c r="G1272" s="89">
        <v>110.22</v>
      </c>
      <c r="H1272" s="81">
        <v>4.0</v>
      </c>
      <c r="I1272" s="81">
        <v>16.0</v>
      </c>
      <c r="J1272" s="81" t="s">
        <v>1137</v>
      </c>
      <c r="K1272" s="81" t="s">
        <v>1137</v>
      </c>
      <c r="L1272" s="81" t="s">
        <v>1137</v>
      </c>
      <c r="M1272" s="81"/>
      <c r="N1272" s="81" t="s">
        <v>172</v>
      </c>
      <c r="O1272" s="81">
        <v>160.0</v>
      </c>
      <c r="P1272" s="81" t="s">
        <v>29</v>
      </c>
      <c r="Q1272" s="81" t="s">
        <v>1137</v>
      </c>
      <c r="R1272" s="46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</row>
    <row r="1273" ht="14.25" customHeight="1">
      <c r="A1273" s="211">
        <v>5.0</v>
      </c>
      <c r="B1273" s="82" t="s">
        <v>5106</v>
      </c>
      <c r="C1273" s="82" t="s">
        <v>5107</v>
      </c>
      <c r="D1273" s="82"/>
      <c r="E1273" s="82"/>
      <c r="F1273" s="406"/>
      <c r="G1273" s="89">
        <v>41.58</v>
      </c>
      <c r="H1273" s="81">
        <v>2.0</v>
      </c>
      <c r="I1273" s="81">
        <v>8.0</v>
      </c>
      <c r="J1273" s="81" t="s">
        <v>1137</v>
      </c>
      <c r="K1273" s="81" t="s">
        <v>1137</v>
      </c>
      <c r="L1273" s="81" t="s">
        <v>1137</v>
      </c>
      <c r="M1273" s="81" t="s">
        <v>5108</v>
      </c>
      <c r="N1273" s="81"/>
      <c r="O1273" s="81">
        <v>80.0</v>
      </c>
      <c r="P1273" s="81" t="s">
        <v>29</v>
      </c>
      <c r="Q1273" s="81" t="s">
        <v>1137</v>
      </c>
      <c r="R1273" s="46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</row>
    <row r="1274" ht="14.25" customHeight="1">
      <c r="A1274" s="211">
        <v>6.0</v>
      </c>
      <c r="B1274" s="82" t="s">
        <v>5109</v>
      </c>
      <c r="C1274" s="82" t="s">
        <v>5110</v>
      </c>
      <c r="D1274" s="82"/>
      <c r="E1274" s="82"/>
      <c r="F1274" s="406"/>
      <c r="G1274" s="89">
        <v>78.4</v>
      </c>
      <c r="H1274" s="81">
        <v>3.0</v>
      </c>
      <c r="I1274" s="81">
        <v>12.0</v>
      </c>
      <c r="J1274" s="81" t="s">
        <v>1137</v>
      </c>
      <c r="K1274" s="81" t="s">
        <v>1137</v>
      </c>
      <c r="L1274" s="81" t="s">
        <v>1137</v>
      </c>
      <c r="M1274" s="81" t="s">
        <v>5108</v>
      </c>
      <c r="N1274" s="81"/>
      <c r="O1274" s="81">
        <v>120.0</v>
      </c>
      <c r="P1274" s="81" t="s">
        <v>29</v>
      </c>
      <c r="Q1274" s="81" t="s">
        <v>1137</v>
      </c>
      <c r="R1274" s="46"/>
      <c r="S1274" s="129"/>
      <c r="T1274" s="129"/>
      <c r="U1274" s="129"/>
      <c r="V1274" s="129"/>
      <c r="W1274" s="129"/>
      <c r="X1274" s="129"/>
      <c r="Y1274" s="129"/>
      <c r="Z1274" s="129"/>
      <c r="AA1274" s="129"/>
      <c r="AB1274" s="129"/>
      <c r="AC1274" s="129"/>
      <c r="AD1274" s="129"/>
    </row>
    <row r="1275" ht="14.25" customHeight="1">
      <c r="A1275" s="211">
        <v>7.0</v>
      </c>
      <c r="B1275" s="82" t="s">
        <v>5111</v>
      </c>
      <c r="C1275" s="82" t="s">
        <v>5112</v>
      </c>
      <c r="D1275" s="82"/>
      <c r="E1275" s="82"/>
      <c r="F1275" s="406"/>
      <c r="G1275" s="89">
        <v>420.0</v>
      </c>
      <c r="H1275" s="81">
        <v>13.0</v>
      </c>
      <c r="I1275" s="81">
        <v>52.0</v>
      </c>
      <c r="J1275" s="81" t="s">
        <v>1137</v>
      </c>
      <c r="K1275" s="81" t="s">
        <v>1137</v>
      </c>
      <c r="L1275" s="81" t="s">
        <v>1137</v>
      </c>
      <c r="M1275" s="81" t="s">
        <v>5108</v>
      </c>
      <c r="N1275" s="81"/>
      <c r="O1275" s="81">
        <v>520.0</v>
      </c>
      <c r="P1275" s="81" t="s">
        <v>29</v>
      </c>
      <c r="Q1275" s="81" t="s">
        <v>1137</v>
      </c>
      <c r="R1275" s="46"/>
      <c r="S1275" s="129"/>
      <c r="T1275" s="129"/>
      <c r="U1275" s="129"/>
      <c r="V1275" s="129"/>
      <c r="W1275" s="129"/>
      <c r="X1275" s="129"/>
      <c r="Y1275" s="129"/>
      <c r="Z1275" s="129"/>
      <c r="AA1275" s="129"/>
      <c r="AB1275" s="129"/>
      <c r="AC1275" s="129"/>
      <c r="AD1275" s="129"/>
    </row>
    <row r="1276" ht="14.25" customHeight="1">
      <c r="A1276" s="211">
        <v>8.0</v>
      </c>
      <c r="B1276" s="82" t="s">
        <v>5113</v>
      </c>
      <c r="C1276" s="82" t="s">
        <v>5114</v>
      </c>
      <c r="D1276" s="82"/>
      <c r="E1276" s="82"/>
      <c r="F1276" s="406"/>
      <c r="G1276" s="89">
        <v>73.6</v>
      </c>
      <c r="H1276" s="81">
        <v>3.0</v>
      </c>
      <c r="I1276" s="81">
        <v>12.0</v>
      </c>
      <c r="J1276" s="81" t="s">
        <v>1137</v>
      </c>
      <c r="K1276" s="81" t="s">
        <v>1137</v>
      </c>
      <c r="L1276" s="81" t="s">
        <v>1137</v>
      </c>
      <c r="M1276" s="81" t="s">
        <v>5108</v>
      </c>
      <c r="N1276" s="81"/>
      <c r="O1276" s="81">
        <v>120.0</v>
      </c>
      <c r="P1276" s="81" t="s">
        <v>29</v>
      </c>
      <c r="Q1276" s="81" t="s">
        <v>1137</v>
      </c>
      <c r="R1276" s="46"/>
      <c r="S1276" s="129"/>
      <c r="T1276" s="129"/>
      <c r="U1276" s="129"/>
      <c r="V1276" s="129"/>
      <c r="W1276" s="129"/>
      <c r="X1276" s="129"/>
      <c r="Y1276" s="129"/>
      <c r="Z1276" s="129"/>
      <c r="AA1276" s="129"/>
      <c r="AB1276" s="129"/>
      <c r="AC1276" s="129"/>
      <c r="AD1276" s="129"/>
    </row>
    <row r="1277" ht="14.25" customHeight="1">
      <c r="A1277" s="211">
        <v>9.0</v>
      </c>
      <c r="B1277" s="82" t="s">
        <v>5115</v>
      </c>
      <c r="C1277" s="82" t="s">
        <v>5116</v>
      </c>
      <c r="D1277" s="82"/>
      <c r="E1277" s="82"/>
      <c r="F1277" s="406"/>
      <c r="G1277" s="89">
        <v>40.0</v>
      </c>
      <c r="H1277" s="81">
        <v>2.0</v>
      </c>
      <c r="I1277" s="81">
        <v>8.0</v>
      </c>
      <c r="J1277" s="81" t="s">
        <v>1137</v>
      </c>
      <c r="K1277" s="81" t="s">
        <v>1137</v>
      </c>
      <c r="L1277" s="81" t="s">
        <v>1137</v>
      </c>
      <c r="M1277" s="81" t="s">
        <v>5108</v>
      </c>
      <c r="N1277" s="81"/>
      <c r="O1277" s="81">
        <v>80.0</v>
      </c>
      <c r="P1277" s="81" t="s">
        <v>29</v>
      </c>
      <c r="Q1277" s="81" t="s">
        <v>1137</v>
      </c>
      <c r="R1277" s="46"/>
      <c r="S1277" s="129"/>
      <c r="T1277" s="129"/>
      <c r="U1277" s="129"/>
      <c r="V1277" s="129"/>
      <c r="W1277" s="129"/>
      <c r="X1277" s="129"/>
      <c r="Y1277" s="129"/>
      <c r="Z1277" s="129"/>
      <c r="AA1277" s="129"/>
      <c r="AB1277" s="129"/>
      <c r="AC1277" s="129"/>
      <c r="AD1277" s="129"/>
    </row>
    <row r="1278" ht="14.25" customHeight="1">
      <c r="A1278" s="211">
        <v>10.0</v>
      </c>
      <c r="B1278" s="82" t="s">
        <v>5117</v>
      </c>
      <c r="C1278" s="82" t="s">
        <v>5118</v>
      </c>
      <c r="D1278" s="82"/>
      <c r="E1278" s="82"/>
      <c r="F1278" s="406"/>
      <c r="G1278" s="89">
        <v>191.52</v>
      </c>
      <c r="H1278" s="81">
        <v>6.0</v>
      </c>
      <c r="I1278" s="81">
        <v>24.0</v>
      </c>
      <c r="J1278" s="81" t="s">
        <v>1137</v>
      </c>
      <c r="K1278" s="81" t="s">
        <v>1137</v>
      </c>
      <c r="L1278" s="81" t="s">
        <v>1137</v>
      </c>
      <c r="M1278" s="81" t="s">
        <v>5108</v>
      </c>
      <c r="N1278" s="81"/>
      <c r="O1278" s="81">
        <v>240.0</v>
      </c>
      <c r="P1278" s="81" t="s">
        <v>29</v>
      </c>
      <c r="Q1278" s="81" t="s">
        <v>1137</v>
      </c>
      <c r="R1278" s="46"/>
      <c r="S1278" s="129"/>
      <c r="T1278" s="129"/>
      <c r="U1278" s="129"/>
      <c r="V1278" s="129"/>
      <c r="W1278" s="129"/>
      <c r="X1278" s="129"/>
      <c r="Y1278" s="129"/>
      <c r="Z1278" s="129"/>
      <c r="AA1278" s="129"/>
      <c r="AB1278" s="129"/>
      <c r="AC1278" s="129"/>
      <c r="AD1278" s="129"/>
    </row>
    <row r="1279" ht="14.25" customHeight="1">
      <c r="A1279" s="211">
        <v>11.0</v>
      </c>
      <c r="B1279" s="82" t="s">
        <v>5119</v>
      </c>
      <c r="C1279" s="82" t="s">
        <v>5120</v>
      </c>
      <c r="D1279" s="82"/>
      <c r="E1279" s="82"/>
      <c r="F1279" s="406"/>
      <c r="G1279" s="89">
        <v>172.76</v>
      </c>
      <c r="H1279" s="81">
        <v>6.0</v>
      </c>
      <c r="I1279" s="81">
        <v>24.0</v>
      </c>
      <c r="J1279" s="81" t="s">
        <v>1137</v>
      </c>
      <c r="K1279" s="81" t="s">
        <v>1137</v>
      </c>
      <c r="L1279" s="81" t="s">
        <v>1137</v>
      </c>
      <c r="M1279" s="81" t="s">
        <v>5108</v>
      </c>
      <c r="N1279" s="81"/>
      <c r="O1279" s="81">
        <v>240.0</v>
      </c>
      <c r="P1279" s="81" t="s">
        <v>29</v>
      </c>
      <c r="Q1279" s="81" t="s">
        <v>1137</v>
      </c>
      <c r="R1279" s="46"/>
      <c r="S1279" s="129"/>
      <c r="T1279" s="129"/>
      <c r="U1279" s="129"/>
      <c r="V1279" s="129"/>
      <c r="W1279" s="129"/>
      <c r="X1279" s="129"/>
      <c r="Y1279" s="129"/>
      <c r="Z1279" s="129"/>
      <c r="AA1279" s="129"/>
      <c r="AB1279" s="129"/>
      <c r="AC1279" s="129"/>
      <c r="AD1279" s="129"/>
    </row>
    <row r="1280" ht="14.25" customHeight="1">
      <c r="A1280" s="211">
        <v>12.0</v>
      </c>
      <c r="B1280" s="82" t="s">
        <v>5121</v>
      </c>
      <c r="C1280" s="82" t="s">
        <v>5122</v>
      </c>
      <c r="D1280" s="82"/>
      <c r="E1280" s="82"/>
      <c r="F1280" s="406"/>
      <c r="G1280" s="89">
        <v>61.43</v>
      </c>
      <c r="H1280" s="81">
        <v>2.0</v>
      </c>
      <c r="I1280" s="81">
        <v>8.0</v>
      </c>
      <c r="J1280" s="81" t="s">
        <v>1137</v>
      </c>
      <c r="K1280" s="81" t="s">
        <v>1137</v>
      </c>
      <c r="L1280" s="81" t="s">
        <v>1137</v>
      </c>
      <c r="M1280" s="81" t="s">
        <v>5108</v>
      </c>
      <c r="N1280" s="81"/>
      <c r="O1280" s="81">
        <v>80.0</v>
      </c>
      <c r="P1280" s="81" t="s">
        <v>29</v>
      </c>
      <c r="Q1280" s="81" t="s">
        <v>1137</v>
      </c>
      <c r="R1280" s="46"/>
      <c r="S1280" s="129"/>
      <c r="T1280" s="129"/>
      <c r="U1280" s="129"/>
      <c r="V1280" s="129"/>
      <c r="W1280" s="129"/>
      <c r="X1280" s="129"/>
      <c r="Y1280" s="129"/>
      <c r="Z1280" s="129"/>
      <c r="AA1280" s="129"/>
      <c r="AB1280" s="129"/>
      <c r="AC1280" s="129"/>
      <c r="AD1280" s="129"/>
    </row>
    <row r="1281" ht="14.25" customHeight="1">
      <c r="A1281" s="211">
        <v>13.0</v>
      </c>
      <c r="B1281" s="82" t="s">
        <v>5123</v>
      </c>
      <c r="C1281" s="82" t="s">
        <v>5124</v>
      </c>
      <c r="D1281" s="82"/>
      <c r="E1281" s="82"/>
      <c r="F1281" s="406"/>
      <c r="G1281" s="89">
        <v>71.4</v>
      </c>
      <c r="H1281" s="81">
        <v>3.0</v>
      </c>
      <c r="I1281" s="81">
        <v>12.0</v>
      </c>
      <c r="J1281" s="81" t="s">
        <v>1137</v>
      </c>
      <c r="K1281" s="81" t="s">
        <v>1137</v>
      </c>
      <c r="L1281" s="81" t="s">
        <v>1137</v>
      </c>
      <c r="M1281" s="81" t="s">
        <v>5108</v>
      </c>
      <c r="N1281" s="81"/>
      <c r="O1281" s="81">
        <v>120.0</v>
      </c>
      <c r="P1281" s="81" t="s">
        <v>29</v>
      </c>
      <c r="Q1281" s="81" t="s">
        <v>1137</v>
      </c>
      <c r="R1281" s="46"/>
      <c r="S1281" s="129"/>
      <c r="T1281" s="129"/>
      <c r="U1281" s="129"/>
      <c r="V1281" s="129"/>
      <c r="W1281" s="129"/>
      <c r="X1281" s="129"/>
      <c r="Y1281" s="129"/>
      <c r="Z1281" s="129"/>
      <c r="AA1281" s="129"/>
      <c r="AB1281" s="129"/>
      <c r="AC1281" s="129"/>
      <c r="AD1281" s="129"/>
    </row>
    <row r="1282" ht="14.25" customHeight="1">
      <c r="A1282" s="211">
        <v>14.0</v>
      </c>
      <c r="B1282" s="82" t="s">
        <v>5125</v>
      </c>
      <c r="C1282" s="82" t="s">
        <v>5126</v>
      </c>
      <c r="D1282" s="82"/>
      <c r="E1282" s="82"/>
      <c r="F1282" s="406"/>
      <c r="G1282" s="89">
        <v>70.0</v>
      </c>
      <c r="H1282" s="81">
        <v>3.0</v>
      </c>
      <c r="I1282" s="81">
        <v>12.0</v>
      </c>
      <c r="J1282" s="81" t="s">
        <v>1137</v>
      </c>
      <c r="K1282" s="81" t="s">
        <v>1137</v>
      </c>
      <c r="L1282" s="81" t="s">
        <v>1137</v>
      </c>
      <c r="M1282" s="81" t="s">
        <v>5108</v>
      </c>
      <c r="N1282" s="81"/>
      <c r="O1282" s="81">
        <v>120.0</v>
      </c>
      <c r="P1282" s="81" t="s">
        <v>29</v>
      </c>
      <c r="Q1282" s="81" t="s">
        <v>1137</v>
      </c>
      <c r="R1282" s="46"/>
      <c r="S1282" s="129"/>
      <c r="T1282" s="129"/>
      <c r="U1282" s="129"/>
      <c r="V1282" s="129"/>
      <c r="W1282" s="129"/>
      <c r="X1282" s="129"/>
      <c r="Y1282" s="129"/>
      <c r="Z1282" s="129"/>
      <c r="AA1282" s="129"/>
      <c r="AB1282" s="129"/>
      <c r="AC1282" s="129"/>
      <c r="AD1282" s="129"/>
    </row>
    <row r="1283" ht="14.25" customHeight="1">
      <c r="A1283" s="211">
        <v>15.0</v>
      </c>
      <c r="B1283" s="82" t="s">
        <v>5127</v>
      </c>
      <c r="C1283" s="82" t="s">
        <v>5128</v>
      </c>
      <c r="D1283" s="82"/>
      <c r="E1283" s="82"/>
      <c r="F1283" s="406"/>
      <c r="G1283" s="89">
        <v>106.92</v>
      </c>
      <c r="H1283" s="81">
        <v>4.0</v>
      </c>
      <c r="I1283" s="81">
        <v>16.0</v>
      </c>
      <c r="J1283" s="81" t="s">
        <v>1137</v>
      </c>
      <c r="K1283" s="81" t="s">
        <v>1137</v>
      </c>
      <c r="L1283" s="81" t="s">
        <v>1137</v>
      </c>
      <c r="M1283" s="81" t="s">
        <v>5108</v>
      </c>
      <c r="N1283" s="81"/>
      <c r="O1283" s="81">
        <v>160.0</v>
      </c>
      <c r="P1283" s="81" t="s">
        <v>29</v>
      </c>
      <c r="Q1283" s="81" t="s">
        <v>1137</v>
      </c>
      <c r="R1283" s="46"/>
      <c r="S1283" s="129"/>
      <c r="T1283" s="129"/>
      <c r="U1283" s="129"/>
      <c r="V1283" s="129"/>
      <c r="W1283" s="129"/>
      <c r="X1283" s="129"/>
      <c r="Y1283" s="129"/>
      <c r="Z1283" s="129"/>
      <c r="AA1283" s="129"/>
      <c r="AB1283" s="129"/>
      <c r="AC1283" s="129"/>
      <c r="AD1283" s="129"/>
    </row>
    <row r="1284" ht="14.25" customHeight="1">
      <c r="A1284" s="211">
        <v>16.0</v>
      </c>
      <c r="B1284" s="82" t="s">
        <v>5129</v>
      </c>
      <c r="C1284" s="82" t="s">
        <v>5130</v>
      </c>
      <c r="D1284" s="82"/>
      <c r="E1284" s="82"/>
      <c r="F1284" s="406"/>
      <c r="G1284" s="89">
        <v>90.0</v>
      </c>
      <c r="H1284" s="81">
        <v>3.0</v>
      </c>
      <c r="I1284" s="81">
        <v>12.0</v>
      </c>
      <c r="J1284" s="81" t="s">
        <v>1137</v>
      </c>
      <c r="K1284" s="81" t="s">
        <v>1137</v>
      </c>
      <c r="L1284" s="81" t="s">
        <v>1137</v>
      </c>
      <c r="M1284" s="81" t="s">
        <v>5108</v>
      </c>
      <c r="N1284" s="81"/>
      <c r="O1284" s="81">
        <v>120.0</v>
      </c>
      <c r="P1284" s="81" t="s">
        <v>29</v>
      </c>
      <c r="Q1284" s="81" t="s">
        <v>1137</v>
      </c>
      <c r="R1284" s="46"/>
      <c r="S1284" s="129"/>
      <c r="T1284" s="129"/>
      <c r="U1284" s="129"/>
      <c r="V1284" s="129"/>
      <c r="W1284" s="129"/>
      <c r="X1284" s="129"/>
      <c r="Y1284" s="129"/>
      <c r="Z1284" s="129"/>
      <c r="AA1284" s="129"/>
      <c r="AB1284" s="129"/>
      <c r="AC1284" s="129"/>
      <c r="AD1284" s="129"/>
    </row>
    <row r="1285" ht="14.25" customHeight="1">
      <c r="A1285" s="211">
        <v>17.0</v>
      </c>
      <c r="B1285" s="82" t="s">
        <v>5131</v>
      </c>
      <c r="C1285" s="82" t="s">
        <v>5132</v>
      </c>
      <c r="D1285" s="82"/>
      <c r="E1285" s="82"/>
      <c r="F1285" s="406"/>
      <c r="G1285" s="89">
        <v>154.0</v>
      </c>
      <c r="H1285" s="81">
        <v>5.0</v>
      </c>
      <c r="I1285" s="81">
        <v>20.0</v>
      </c>
      <c r="J1285" s="81" t="s">
        <v>1137</v>
      </c>
      <c r="K1285" s="81" t="s">
        <v>1137</v>
      </c>
      <c r="L1285" s="81" t="s">
        <v>1137</v>
      </c>
      <c r="M1285" s="81" t="s">
        <v>5108</v>
      </c>
      <c r="N1285" s="81"/>
      <c r="O1285" s="81">
        <v>200.0</v>
      </c>
      <c r="P1285" s="81" t="s">
        <v>29</v>
      </c>
      <c r="Q1285" s="81" t="s">
        <v>1137</v>
      </c>
      <c r="R1285" s="46"/>
      <c r="S1285" s="129"/>
      <c r="T1285" s="129"/>
      <c r="U1285" s="129"/>
      <c r="V1285" s="129"/>
      <c r="W1285" s="129"/>
      <c r="X1285" s="129"/>
      <c r="Y1285" s="129"/>
      <c r="Z1285" s="129"/>
      <c r="AA1285" s="129"/>
      <c r="AB1285" s="129"/>
      <c r="AC1285" s="129"/>
      <c r="AD1285" s="129"/>
    </row>
    <row r="1286" ht="14.25" customHeight="1">
      <c r="A1286" s="211">
        <v>18.0</v>
      </c>
      <c r="B1286" s="82" t="s">
        <v>5133</v>
      </c>
      <c r="C1286" s="82" t="s">
        <v>5134</v>
      </c>
      <c r="D1286" s="82"/>
      <c r="E1286" s="82"/>
      <c r="F1286" s="406"/>
      <c r="G1286" s="89">
        <v>116.56</v>
      </c>
      <c r="H1286" s="81">
        <v>4.0</v>
      </c>
      <c r="I1286" s="81">
        <v>16.0</v>
      </c>
      <c r="J1286" s="81" t="s">
        <v>1137</v>
      </c>
      <c r="K1286" s="81" t="s">
        <v>1137</v>
      </c>
      <c r="L1286" s="81" t="s">
        <v>1137</v>
      </c>
      <c r="M1286" s="81" t="s">
        <v>5108</v>
      </c>
      <c r="N1286" s="81"/>
      <c r="O1286" s="81">
        <v>160.0</v>
      </c>
      <c r="P1286" s="81" t="s">
        <v>29</v>
      </c>
      <c r="Q1286" s="81" t="s">
        <v>1137</v>
      </c>
      <c r="R1286" s="46"/>
      <c r="S1286" s="129"/>
      <c r="T1286" s="129"/>
      <c r="U1286" s="129"/>
      <c r="V1286" s="129"/>
      <c r="W1286" s="129"/>
      <c r="X1286" s="129"/>
      <c r="Y1286" s="129"/>
      <c r="Z1286" s="129"/>
      <c r="AA1286" s="129"/>
      <c r="AB1286" s="129"/>
      <c r="AC1286" s="129"/>
      <c r="AD1286" s="129"/>
    </row>
    <row r="1287" ht="14.25" customHeight="1">
      <c r="A1287" s="211">
        <v>19.0</v>
      </c>
      <c r="B1287" s="82" t="s">
        <v>5135</v>
      </c>
      <c r="C1287" s="82" t="s">
        <v>5136</v>
      </c>
      <c r="D1287" s="82"/>
      <c r="E1287" s="82"/>
      <c r="F1287" s="406"/>
      <c r="G1287" s="89">
        <v>135.12</v>
      </c>
      <c r="H1287" s="81">
        <v>4.0</v>
      </c>
      <c r="I1287" s="81">
        <v>16.0</v>
      </c>
      <c r="J1287" s="81" t="s">
        <v>1137</v>
      </c>
      <c r="K1287" s="81" t="s">
        <v>1137</v>
      </c>
      <c r="L1287" s="81" t="s">
        <v>1137</v>
      </c>
      <c r="M1287" s="81"/>
      <c r="N1287" s="81" t="s">
        <v>172</v>
      </c>
      <c r="O1287" s="81">
        <v>160.0</v>
      </c>
      <c r="P1287" s="81" t="s">
        <v>29</v>
      </c>
      <c r="Q1287" s="81" t="s">
        <v>1137</v>
      </c>
      <c r="R1287" s="46"/>
      <c r="S1287" s="129"/>
      <c r="T1287" s="129"/>
      <c r="U1287" s="129"/>
      <c r="V1287" s="129"/>
      <c r="W1287" s="129"/>
      <c r="X1287" s="129"/>
      <c r="Y1287" s="129"/>
      <c r="Z1287" s="129"/>
      <c r="AA1287" s="129"/>
      <c r="AB1287" s="129"/>
      <c r="AC1287" s="129"/>
      <c r="AD1287" s="129"/>
    </row>
    <row r="1288" ht="14.25" customHeight="1">
      <c r="A1288" s="211">
        <v>20.0</v>
      </c>
      <c r="B1288" s="82" t="s">
        <v>5137</v>
      </c>
      <c r="C1288" s="82" t="s">
        <v>5138</v>
      </c>
      <c r="D1288" s="82"/>
      <c r="E1288" s="82"/>
      <c r="F1288" s="406"/>
      <c r="G1288" s="89">
        <v>89.78</v>
      </c>
      <c r="H1288" s="81">
        <v>3.0</v>
      </c>
      <c r="I1288" s="81">
        <v>12.0</v>
      </c>
      <c r="J1288" s="81" t="s">
        <v>1137</v>
      </c>
      <c r="K1288" s="81" t="s">
        <v>1137</v>
      </c>
      <c r="L1288" s="81" t="s">
        <v>1137</v>
      </c>
      <c r="M1288" s="81" t="s">
        <v>27</v>
      </c>
      <c r="N1288" s="81"/>
      <c r="O1288" s="81">
        <v>120.0</v>
      </c>
      <c r="P1288" s="81" t="s">
        <v>29</v>
      </c>
      <c r="Q1288" s="81" t="s">
        <v>1137</v>
      </c>
      <c r="R1288" s="46"/>
      <c r="S1288" s="129"/>
      <c r="T1288" s="129"/>
      <c r="U1288" s="129"/>
      <c r="V1288" s="129"/>
      <c r="W1288" s="129"/>
      <c r="X1288" s="129"/>
      <c r="Y1288" s="129"/>
      <c r="Z1288" s="129"/>
      <c r="AA1288" s="129"/>
      <c r="AB1288" s="129"/>
      <c r="AC1288" s="129"/>
      <c r="AD1288" s="129"/>
    </row>
    <row r="1289" ht="14.25" customHeight="1">
      <c r="A1289" s="211">
        <v>21.0</v>
      </c>
      <c r="B1289" s="82" t="s">
        <v>5139</v>
      </c>
      <c r="C1289" s="82" t="s">
        <v>5140</v>
      </c>
      <c r="D1289" s="82"/>
      <c r="E1289" s="82"/>
      <c r="F1289" s="406"/>
      <c r="G1289" s="89">
        <v>75.64</v>
      </c>
      <c r="H1289" s="81">
        <v>3.0</v>
      </c>
      <c r="I1289" s="81">
        <v>12.0</v>
      </c>
      <c r="J1289" s="81" t="s">
        <v>1137</v>
      </c>
      <c r="K1289" s="81" t="s">
        <v>1137</v>
      </c>
      <c r="L1289" s="81" t="s">
        <v>1137</v>
      </c>
      <c r="M1289" s="81"/>
      <c r="N1289" s="81" t="s">
        <v>172</v>
      </c>
      <c r="O1289" s="81">
        <v>120.0</v>
      </c>
      <c r="P1289" s="81" t="s">
        <v>29</v>
      </c>
      <c r="Q1289" s="81" t="s">
        <v>1137</v>
      </c>
      <c r="R1289" s="46"/>
      <c r="S1289" s="129"/>
      <c r="T1289" s="129"/>
      <c r="U1289" s="129"/>
      <c r="V1289" s="129"/>
      <c r="W1289" s="129"/>
      <c r="X1289" s="129"/>
      <c r="Y1289" s="129"/>
      <c r="Z1289" s="129"/>
      <c r="AA1289" s="129"/>
      <c r="AB1289" s="129"/>
      <c r="AC1289" s="129"/>
      <c r="AD1289" s="129"/>
    </row>
    <row r="1290" ht="14.25" customHeight="1">
      <c r="A1290" s="211">
        <v>22.0</v>
      </c>
      <c r="B1290" s="82" t="s">
        <v>5141</v>
      </c>
      <c r="C1290" s="82" t="s">
        <v>5142</v>
      </c>
      <c r="D1290" s="82"/>
      <c r="E1290" s="82"/>
      <c r="F1290" s="406"/>
      <c r="G1290" s="89">
        <v>241.08</v>
      </c>
      <c r="H1290" s="81">
        <v>8.0</v>
      </c>
      <c r="I1290" s="81">
        <v>32.0</v>
      </c>
      <c r="J1290" s="81" t="s">
        <v>1137</v>
      </c>
      <c r="K1290" s="81" t="s">
        <v>1137</v>
      </c>
      <c r="L1290" s="81" t="s">
        <v>1137</v>
      </c>
      <c r="M1290" s="81" t="s">
        <v>5108</v>
      </c>
      <c r="N1290" s="81"/>
      <c r="O1290" s="81">
        <v>320.0</v>
      </c>
      <c r="P1290" s="81" t="s">
        <v>29</v>
      </c>
      <c r="Q1290" s="81" t="s">
        <v>1137</v>
      </c>
      <c r="R1290" s="46"/>
      <c r="S1290" s="129"/>
      <c r="T1290" s="129"/>
      <c r="U1290" s="129"/>
      <c r="V1290" s="129"/>
      <c r="W1290" s="129"/>
      <c r="X1290" s="129"/>
      <c r="Y1290" s="129"/>
      <c r="Z1290" s="129"/>
      <c r="AA1290" s="129"/>
      <c r="AB1290" s="129"/>
      <c r="AC1290" s="129"/>
      <c r="AD1290" s="129"/>
    </row>
    <row r="1291" ht="14.25" customHeight="1">
      <c r="A1291" s="211">
        <v>23.0</v>
      </c>
      <c r="B1291" s="82" t="s">
        <v>5143</v>
      </c>
      <c r="C1291" s="82" t="s">
        <v>5144</v>
      </c>
      <c r="D1291" s="82"/>
      <c r="E1291" s="82"/>
      <c r="F1291" s="406"/>
      <c r="G1291" s="89">
        <v>225.0</v>
      </c>
      <c r="H1291" s="81">
        <v>7.0</v>
      </c>
      <c r="I1291" s="81">
        <v>23.0</v>
      </c>
      <c r="J1291" s="81" t="s">
        <v>1137</v>
      </c>
      <c r="K1291" s="81" t="s">
        <v>1137</v>
      </c>
      <c r="L1291" s="81" t="s">
        <v>1137</v>
      </c>
      <c r="M1291" s="81" t="s">
        <v>5108</v>
      </c>
      <c r="N1291" s="81"/>
      <c r="O1291" s="81">
        <v>280.0</v>
      </c>
      <c r="P1291" s="81" t="s">
        <v>29</v>
      </c>
      <c r="Q1291" s="81" t="s">
        <v>1137</v>
      </c>
      <c r="R1291" s="46"/>
      <c r="S1291" s="129"/>
      <c r="T1291" s="129"/>
      <c r="U1291" s="129"/>
      <c r="V1291" s="129"/>
      <c r="W1291" s="129"/>
      <c r="X1291" s="129"/>
      <c r="Y1291" s="129"/>
      <c r="Z1291" s="129"/>
      <c r="AA1291" s="129"/>
      <c r="AB1291" s="129"/>
      <c r="AC1291" s="129"/>
      <c r="AD1291" s="129"/>
    </row>
    <row r="1292" ht="14.25" customHeight="1">
      <c r="A1292" s="211">
        <v>24.0</v>
      </c>
      <c r="B1292" s="82" t="s">
        <v>5145</v>
      </c>
      <c r="C1292" s="82" t="s">
        <v>5146</v>
      </c>
      <c r="D1292" s="82"/>
      <c r="E1292" s="82"/>
      <c r="F1292" s="406"/>
      <c r="G1292" s="89">
        <v>40.0</v>
      </c>
      <c r="H1292" s="81">
        <v>2.0</v>
      </c>
      <c r="I1292" s="81">
        <v>8.0</v>
      </c>
      <c r="J1292" s="81" t="s">
        <v>1137</v>
      </c>
      <c r="K1292" s="81" t="s">
        <v>1137</v>
      </c>
      <c r="L1292" s="81" t="s">
        <v>1137</v>
      </c>
      <c r="M1292" s="81" t="s">
        <v>5108</v>
      </c>
      <c r="N1292" s="81"/>
      <c r="O1292" s="81">
        <v>80.0</v>
      </c>
      <c r="P1292" s="81" t="s">
        <v>29</v>
      </c>
      <c r="Q1292" s="81" t="s">
        <v>1137</v>
      </c>
      <c r="R1292" s="46"/>
      <c r="S1292" s="129"/>
      <c r="T1292" s="129"/>
      <c r="U1292" s="129"/>
      <c r="V1292" s="129"/>
      <c r="W1292" s="129"/>
      <c r="X1292" s="129"/>
      <c r="Y1292" s="129"/>
      <c r="Z1292" s="129"/>
      <c r="AA1292" s="129"/>
      <c r="AB1292" s="129"/>
      <c r="AC1292" s="129"/>
      <c r="AD1292" s="129"/>
    </row>
    <row r="1293" ht="14.25" customHeight="1">
      <c r="A1293" s="211">
        <v>25.0</v>
      </c>
      <c r="B1293" s="82" t="s">
        <v>5147</v>
      </c>
      <c r="C1293" s="82" t="s">
        <v>5148</v>
      </c>
      <c r="D1293" s="82"/>
      <c r="E1293" s="82"/>
      <c r="F1293" s="406"/>
      <c r="G1293" s="89">
        <v>153.6</v>
      </c>
      <c r="H1293" s="81">
        <v>5.0</v>
      </c>
      <c r="I1293" s="81">
        <v>20.0</v>
      </c>
      <c r="J1293" s="81" t="s">
        <v>1137</v>
      </c>
      <c r="K1293" s="81" t="s">
        <v>1137</v>
      </c>
      <c r="L1293" s="81" t="s">
        <v>1137</v>
      </c>
      <c r="M1293" s="81" t="s">
        <v>5108</v>
      </c>
      <c r="N1293" s="81"/>
      <c r="O1293" s="81">
        <v>200.0</v>
      </c>
      <c r="P1293" s="81" t="s">
        <v>29</v>
      </c>
      <c r="Q1293" s="81" t="s">
        <v>1137</v>
      </c>
      <c r="R1293" s="46"/>
      <c r="S1293" s="129"/>
      <c r="T1293" s="129"/>
      <c r="U1293" s="129"/>
      <c r="V1293" s="129"/>
      <c r="W1293" s="129"/>
      <c r="X1293" s="129"/>
      <c r="Y1293" s="129"/>
      <c r="Z1293" s="129"/>
      <c r="AA1293" s="129"/>
      <c r="AB1293" s="129"/>
      <c r="AC1293" s="129"/>
      <c r="AD1293" s="129"/>
    </row>
    <row r="1294" ht="14.25" customHeight="1">
      <c r="A1294" s="211">
        <v>26.0</v>
      </c>
      <c r="B1294" s="82" t="s">
        <v>5149</v>
      </c>
      <c r="C1294" s="82" t="s">
        <v>5150</v>
      </c>
      <c r="D1294" s="82"/>
      <c r="E1294" s="82"/>
      <c r="F1294" s="406"/>
      <c r="G1294" s="89">
        <v>208.0</v>
      </c>
      <c r="H1294" s="81">
        <v>7.0</v>
      </c>
      <c r="I1294" s="81">
        <v>23.0</v>
      </c>
      <c r="J1294" s="81" t="s">
        <v>1137</v>
      </c>
      <c r="K1294" s="81" t="s">
        <v>1137</v>
      </c>
      <c r="L1294" s="81" t="s">
        <v>1137</v>
      </c>
      <c r="M1294" s="81" t="s">
        <v>5108</v>
      </c>
      <c r="N1294" s="81"/>
      <c r="O1294" s="81">
        <v>280.0</v>
      </c>
      <c r="P1294" s="81" t="s">
        <v>29</v>
      </c>
      <c r="Q1294" s="81" t="s">
        <v>1137</v>
      </c>
      <c r="R1294" s="46"/>
      <c r="S1294" s="129"/>
      <c r="T1294" s="129"/>
      <c r="U1294" s="129"/>
      <c r="V1294" s="129"/>
      <c r="W1294" s="129"/>
      <c r="X1294" s="129"/>
      <c r="Y1294" s="129"/>
      <c r="Z1294" s="129"/>
      <c r="AA1294" s="129"/>
      <c r="AB1294" s="129"/>
      <c r="AC1294" s="129"/>
      <c r="AD1294" s="129"/>
    </row>
    <row r="1295" ht="14.25" customHeight="1">
      <c r="A1295" s="211">
        <v>27.0</v>
      </c>
      <c r="B1295" s="82" t="s">
        <v>5151</v>
      </c>
      <c r="C1295" s="82" t="s">
        <v>5152</v>
      </c>
      <c r="D1295" s="82"/>
      <c r="E1295" s="82"/>
      <c r="F1295" s="406"/>
      <c r="G1295" s="89">
        <v>175.51</v>
      </c>
      <c r="H1295" s="81">
        <v>6.0</v>
      </c>
      <c r="I1295" s="81">
        <v>24.0</v>
      </c>
      <c r="J1295" s="81" t="s">
        <v>1137</v>
      </c>
      <c r="K1295" s="81" t="s">
        <v>1137</v>
      </c>
      <c r="L1295" s="81" t="s">
        <v>1137</v>
      </c>
      <c r="M1295" s="81" t="s">
        <v>5108</v>
      </c>
      <c r="N1295" s="81"/>
      <c r="O1295" s="81">
        <v>240.0</v>
      </c>
      <c r="P1295" s="81" t="s">
        <v>29</v>
      </c>
      <c r="Q1295" s="81" t="s">
        <v>1137</v>
      </c>
      <c r="R1295" s="46"/>
      <c r="S1295" s="129"/>
      <c r="T1295" s="129"/>
      <c r="U1295" s="129"/>
      <c r="V1295" s="129"/>
      <c r="W1295" s="129"/>
      <c r="X1295" s="129"/>
      <c r="Y1295" s="129"/>
      <c r="Z1295" s="129"/>
      <c r="AA1295" s="129"/>
      <c r="AB1295" s="129"/>
      <c r="AC1295" s="129"/>
      <c r="AD1295" s="129"/>
    </row>
    <row r="1296" ht="14.25" customHeight="1">
      <c r="A1296" s="211">
        <v>28.0</v>
      </c>
      <c r="B1296" s="82" t="s">
        <v>5153</v>
      </c>
      <c r="C1296" s="82" t="s">
        <v>5154</v>
      </c>
      <c r="D1296" s="82"/>
      <c r="E1296" s="82"/>
      <c r="F1296" s="406"/>
      <c r="G1296" s="89">
        <v>360.0</v>
      </c>
      <c r="H1296" s="81">
        <v>12.0</v>
      </c>
      <c r="I1296" s="81">
        <v>48.0</v>
      </c>
      <c r="J1296" s="81" t="s">
        <v>1137</v>
      </c>
      <c r="K1296" s="81" t="s">
        <v>1137</v>
      </c>
      <c r="L1296" s="81" t="s">
        <v>1137</v>
      </c>
      <c r="M1296" s="81" t="s">
        <v>5108</v>
      </c>
      <c r="N1296" s="81"/>
      <c r="O1296" s="81">
        <v>480.0</v>
      </c>
      <c r="P1296" s="81" t="s">
        <v>29</v>
      </c>
      <c r="Q1296" s="81" t="s">
        <v>1137</v>
      </c>
      <c r="R1296" s="46"/>
      <c r="S1296" s="129"/>
      <c r="T1296" s="129"/>
      <c r="U1296" s="129"/>
      <c r="V1296" s="129"/>
      <c r="W1296" s="129"/>
      <c r="X1296" s="129"/>
      <c r="Y1296" s="129"/>
      <c r="Z1296" s="129"/>
      <c r="AA1296" s="129"/>
      <c r="AB1296" s="129"/>
      <c r="AC1296" s="129"/>
      <c r="AD1296" s="129"/>
    </row>
    <row r="1297" ht="14.25" customHeight="1">
      <c r="A1297" s="211">
        <v>29.0</v>
      </c>
      <c r="B1297" s="82" t="s">
        <v>5155</v>
      </c>
      <c r="C1297" s="82" t="s">
        <v>5156</v>
      </c>
      <c r="D1297" s="82"/>
      <c r="E1297" s="82"/>
      <c r="F1297" s="406"/>
      <c r="G1297" s="89">
        <v>269.88</v>
      </c>
      <c r="H1297" s="81">
        <v>9.0</v>
      </c>
      <c r="I1297" s="81">
        <v>36.0</v>
      </c>
      <c r="J1297" s="81" t="s">
        <v>1137</v>
      </c>
      <c r="K1297" s="81" t="s">
        <v>1137</v>
      </c>
      <c r="L1297" s="81" t="s">
        <v>1137</v>
      </c>
      <c r="M1297" s="81" t="s">
        <v>5108</v>
      </c>
      <c r="N1297" s="81"/>
      <c r="O1297" s="81">
        <v>360.0</v>
      </c>
      <c r="P1297" s="81" t="s">
        <v>29</v>
      </c>
      <c r="Q1297" s="81" t="s">
        <v>1137</v>
      </c>
      <c r="R1297" s="46"/>
      <c r="S1297" s="129"/>
      <c r="T1297" s="129"/>
      <c r="U1297" s="129"/>
      <c r="V1297" s="129"/>
      <c r="W1297" s="129"/>
      <c r="X1297" s="129"/>
      <c r="Y1297" s="129"/>
      <c r="Z1297" s="129"/>
      <c r="AA1297" s="129"/>
      <c r="AB1297" s="129"/>
      <c r="AC1297" s="129"/>
      <c r="AD1297" s="129"/>
    </row>
    <row r="1298" ht="13.5" customHeight="1">
      <c r="A1298" s="211">
        <v>30.0</v>
      </c>
      <c r="B1298" s="82" t="s">
        <v>5157</v>
      </c>
      <c r="C1298" s="82" t="s">
        <v>5158</v>
      </c>
      <c r="D1298" s="82"/>
      <c r="E1298" s="82"/>
      <c r="F1298" s="406"/>
      <c r="G1298" s="89">
        <v>166.0</v>
      </c>
      <c r="H1298" s="81">
        <v>5.0</v>
      </c>
      <c r="I1298" s="81">
        <v>20.0</v>
      </c>
      <c r="J1298" s="81" t="s">
        <v>1137</v>
      </c>
      <c r="K1298" s="81" t="s">
        <v>1137</v>
      </c>
      <c r="L1298" s="81" t="s">
        <v>1137</v>
      </c>
      <c r="M1298" s="81" t="s">
        <v>5108</v>
      </c>
      <c r="N1298" s="81"/>
      <c r="O1298" s="81">
        <v>200.0</v>
      </c>
      <c r="P1298" s="81" t="s">
        <v>29</v>
      </c>
      <c r="Q1298" s="81" t="s">
        <v>1137</v>
      </c>
      <c r="R1298" s="46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</row>
    <row r="1299" ht="15.75" customHeight="1">
      <c r="A1299" s="181"/>
      <c r="B1299" s="182" t="s">
        <v>2191</v>
      </c>
      <c r="C1299" s="182"/>
      <c r="D1299" s="182"/>
      <c r="E1299" s="182"/>
      <c r="F1299" s="403"/>
      <c r="G1299" s="404"/>
      <c r="H1299" s="182"/>
      <c r="I1299" s="182"/>
      <c r="J1299" s="91"/>
      <c r="K1299" s="91"/>
      <c r="L1299" s="91"/>
      <c r="M1299" s="91"/>
      <c r="N1299" s="91"/>
      <c r="O1299" s="91"/>
      <c r="P1299" s="182"/>
      <c r="Q1299" s="91"/>
      <c r="R1299" s="218"/>
      <c r="S1299" s="405"/>
      <c r="T1299" s="405"/>
      <c r="U1299" s="405"/>
      <c r="V1299" s="405"/>
      <c r="W1299" s="405"/>
      <c r="X1299" s="405"/>
      <c r="Y1299" s="405"/>
      <c r="Z1299" s="405"/>
      <c r="AA1299" s="405"/>
      <c r="AB1299" s="405"/>
      <c r="AC1299" s="405"/>
      <c r="AD1299" s="405"/>
    </row>
    <row r="1300" ht="14.25" customHeight="1">
      <c r="A1300" s="211">
        <v>1.0</v>
      </c>
      <c r="B1300" s="46" t="s">
        <v>5159</v>
      </c>
      <c r="C1300" s="46" t="s">
        <v>5160</v>
      </c>
      <c r="D1300" s="46"/>
      <c r="E1300" s="46"/>
      <c r="F1300" s="50"/>
      <c r="G1300" s="275">
        <v>144.0</v>
      </c>
      <c r="H1300" s="46"/>
      <c r="I1300" s="46">
        <v>28.0</v>
      </c>
      <c r="J1300" s="46">
        <v>1.0</v>
      </c>
      <c r="K1300" s="46">
        <v>1.0</v>
      </c>
      <c r="L1300" s="46"/>
      <c r="M1300" s="46" t="s">
        <v>4870</v>
      </c>
      <c r="N1300" s="46"/>
      <c r="O1300" s="46">
        <v>50.0</v>
      </c>
      <c r="P1300" s="46" t="s">
        <v>29</v>
      </c>
      <c r="Q1300" s="46"/>
      <c r="R1300" s="46"/>
      <c r="S1300" s="129"/>
      <c r="T1300" s="129"/>
      <c r="U1300" s="129"/>
      <c r="V1300" s="129"/>
      <c r="W1300" s="129"/>
      <c r="X1300" s="129"/>
      <c r="Y1300" s="129"/>
      <c r="Z1300" s="129"/>
      <c r="AA1300" s="129"/>
      <c r="AB1300" s="129"/>
      <c r="AC1300" s="129"/>
      <c r="AD1300" s="129"/>
    </row>
    <row r="1301" ht="14.25" customHeight="1">
      <c r="A1301" s="211">
        <v>2.0</v>
      </c>
      <c r="B1301" s="46" t="s">
        <v>5161</v>
      </c>
      <c r="C1301" s="46" t="s">
        <v>5162</v>
      </c>
      <c r="D1301" s="46"/>
      <c r="E1301" s="46"/>
      <c r="F1301" s="50"/>
      <c r="G1301" s="275">
        <v>528.0</v>
      </c>
      <c r="H1301" s="46"/>
      <c r="I1301" s="46">
        <v>105.0</v>
      </c>
      <c r="J1301" s="46"/>
      <c r="K1301" s="46"/>
      <c r="L1301" s="46">
        <v>10.0</v>
      </c>
      <c r="M1301" s="46" t="s">
        <v>4870</v>
      </c>
      <c r="N1301" s="46"/>
      <c r="O1301" s="46">
        <v>150.0</v>
      </c>
      <c r="P1301" s="46" t="s">
        <v>29</v>
      </c>
      <c r="Q1301" s="46"/>
      <c r="R1301" s="46"/>
      <c r="S1301" s="119"/>
      <c r="T1301" s="119"/>
      <c r="U1301" s="119"/>
      <c r="V1301" s="119"/>
      <c r="W1301" s="119"/>
      <c r="X1301" s="119"/>
      <c r="Y1301" s="119"/>
      <c r="Z1301" s="119"/>
      <c r="AA1301" s="119"/>
      <c r="AB1301" s="129"/>
      <c r="AC1301" s="129"/>
      <c r="AD1301" s="129"/>
    </row>
    <row r="1302" ht="14.25" customHeight="1">
      <c r="A1302" s="211">
        <v>3.0</v>
      </c>
      <c r="B1302" s="46" t="s">
        <v>5163</v>
      </c>
      <c r="C1302" s="46" t="s">
        <v>5164</v>
      </c>
      <c r="D1302" s="46"/>
      <c r="E1302" s="46"/>
      <c r="F1302" s="50"/>
      <c r="G1302" s="275">
        <v>240.0</v>
      </c>
      <c r="H1302" s="46"/>
      <c r="I1302" s="46">
        <v>50.0</v>
      </c>
      <c r="J1302" s="46"/>
      <c r="K1302" s="46"/>
      <c r="L1302" s="46">
        <v>5.0</v>
      </c>
      <c r="M1302" s="46" t="s">
        <v>4870</v>
      </c>
      <c r="N1302" s="46"/>
      <c r="O1302" s="46">
        <v>75.0</v>
      </c>
      <c r="P1302" s="46" t="s">
        <v>29</v>
      </c>
      <c r="Q1302" s="46"/>
      <c r="R1302" s="46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</row>
    <row r="1303" ht="14.25" customHeight="1">
      <c r="A1303" s="211">
        <v>4.0</v>
      </c>
      <c r="B1303" s="46" t="s">
        <v>5165</v>
      </c>
      <c r="C1303" s="46" t="s">
        <v>5166</v>
      </c>
      <c r="D1303" s="46"/>
      <c r="E1303" s="46"/>
      <c r="F1303" s="50"/>
      <c r="G1303" s="275">
        <v>384.0</v>
      </c>
      <c r="H1303" s="46"/>
      <c r="I1303" s="46">
        <v>79.0</v>
      </c>
      <c r="J1303" s="46"/>
      <c r="K1303" s="46"/>
      <c r="L1303" s="46">
        <v>8.0</v>
      </c>
      <c r="M1303" s="46" t="s">
        <v>4870</v>
      </c>
      <c r="N1303" s="46"/>
      <c r="O1303" s="46">
        <v>100.0</v>
      </c>
      <c r="P1303" s="46" t="s">
        <v>29</v>
      </c>
      <c r="Q1303" s="46"/>
      <c r="R1303" s="46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</row>
    <row r="1304" ht="14.25" customHeight="1">
      <c r="A1304" s="211">
        <v>5.0</v>
      </c>
      <c r="B1304" s="46" t="s">
        <v>5167</v>
      </c>
      <c r="C1304" s="46" t="s">
        <v>5168</v>
      </c>
      <c r="D1304" s="46"/>
      <c r="E1304" s="46"/>
      <c r="F1304" s="50"/>
      <c r="G1304" s="275">
        <v>144.0</v>
      </c>
      <c r="H1304" s="46"/>
      <c r="I1304" s="46">
        <v>28.0</v>
      </c>
      <c r="J1304" s="46"/>
      <c r="K1304" s="46"/>
      <c r="L1304" s="46">
        <v>3.0</v>
      </c>
      <c r="M1304" s="46" t="s">
        <v>4870</v>
      </c>
      <c r="N1304" s="46"/>
      <c r="O1304" s="46">
        <v>50.0</v>
      </c>
      <c r="P1304" s="46" t="s">
        <v>29</v>
      </c>
      <c r="Q1304" s="46"/>
      <c r="R1304" s="46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</row>
    <row r="1305" ht="14.25" customHeight="1">
      <c r="A1305" s="211">
        <v>6.0</v>
      </c>
      <c r="B1305" s="46" t="s">
        <v>5169</v>
      </c>
      <c r="C1305" s="46" t="s">
        <v>5170</v>
      </c>
      <c r="D1305" s="46"/>
      <c r="E1305" s="46"/>
      <c r="F1305" s="50"/>
      <c r="G1305" s="275">
        <v>240.0</v>
      </c>
      <c r="H1305" s="46"/>
      <c r="I1305" s="46">
        <v>48.0</v>
      </c>
      <c r="J1305" s="46"/>
      <c r="K1305" s="46"/>
      <c r="L1305" s="46">
        <v>5.0</v>
      </c>
      <c r="M1305" s="46" t="s">
        <v>4870</v>
      </c>
      <c r="N1305" s="46"/>
      <c r="O1305" s="46">
        <v>60.0</v>
      </c>
      <c r="P1305" s="46" t="s">
        <v>29</v>
      </c>
      <c r="Q1305" s="46"/>
      <c r="R1305" s="46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</row>
    <row r="1306" ht="14.25" customHeight="1">
      <c r="A1306" s="211">
        <v>7.0</v>
      </c>
      <c r="B1306" s="46" t="s">
        <v>5171</v>
      </c>
      <c r="C1306" s="46" t="s">
        <v>5172</v>
      </c>
      <c r="D1306" s="46"/>
      <c r="E1306" s="46"/>
      <c r="F1306" s="50"/>
      <c r="G1306" s="275">
        <v>528.0</v>
      </c>
      <c r="H1306" s="46"/>
      <c r="I1306" s="46">
        <v>105.0</v>
      </c>
      <c r="J1306" s="46"/>
      <c r="K1306" s="46"/>
      <c r="L1306" s="46">
        <v>10.0</v>
      </c>
      <c r="M1306" s="46" t="s">
        <v>4870</v>
      </c>
      <c r="N1306" s="46"/>
      <c r="O1306" s="46">
        <v>125.0</v>
      </c>
      <c r="P1306" s="46" t="s">
        <v>29</v>
      </c>
      <c r="Q1306" s="46"/>
      <c r="R1306" s="46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</row>
    <row r="1307" ht="14.25" customHeight="1">
      <c r="A1307" s="211">
        <v>8.0</v>
      </c>
      <c r="B1307" s="46" t="s">
        <v>5173</v>
      </c>
      <c r="C1307" s="46" t="s">
        <v>5164</v>
      </c>
      <c r="D1307" s="46"/>
      <c r="E1307" s="46"/>
      <c r="F1307" s="50"/>
      <c r="G1307" s="275">
        <v>1600.0</v>
      </c>
      <c r="H1307" s="46"/>
      <c r="I1307" s="46">
        <v>320.0</v>
      </c>
      <c r="J1307" s="46">
        <v>1.0</v>
      </c>
      <c r="K1307" s="46">
        <v>1.0</v>
      </c>
      <c r="L1307" s="46"/>
      <c r="M1307" s="46" t="s">
        <v>4870</v>
      </c>
      <c r="N1307" s="46"/>
      <c r="O1307" s="46">
        <v>340.0</v>
      </c>
      <c r="P1307" s="46" t="s">
        <v>29</v>
      </c>
      <c r="Q1307" s="46"/>
      <c r="R1307" s="46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</row>
    <row r="1308" ht="14.25" customHeight="1">
      <c r="A1308" s="211">
        <v>9.0</v>
      </c>
      <c r="B1308" s="46" t="s">
        <v>5174</v>
      </c>
      <c r="C1308" s="46" t="s">
        <v>5175</v>
      </c>
      <c r="D1308" s="46"/>
      <c r="E1308" s="46"/>
      <c r="F1308" s="50"/>
      <c r="G1308" s="275">
        <v>1064.0</v>
      </c>
      <c r="H1308" s="46"/>
      <c r="I1308" s="46">
        <v>213.0</v>
      </c>
      <c r="J1308" s="46">
        <v>1.0</v>
      </c>
      <c r="K1308" s="46">
        <v>1.0</v>
      </c>
      <c r="L1308" s="46"/>
      <c r="M1308" s="46" t="s">
        <v>4870</v>
      </c>
      <c r="N1308" s="46"/>
      <c r="O1308" s="46">
        <v>235.0</v>
      </c>
      <c r="P1308" s="46" t="s">
        <v>29</v>
      </c>
      <c r="Q1308" s="46"/>
      <c r="R1308" s="46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</row>
    <row r="1309" ht="14.25" customHeight="1">
      <c r="A1309" s="211">
        <v>10.0</v>
      </c>
      <c r="B1309" s="46" t="s">
        <v>5176</v>
      </c>
      <c r="C1309" s="46" t="s">
        <v>5177</v>
      </c>
      <c r="D1309" s="46"/>
      <c r="E1309" s="46"/>
      <c r="F1309" s="50"/>
      <c r="G1309" s="275">
        <v>240.0</v>
      </c>
      <c r="H1309" s="46"/>
      <c r="I1309" s="46">
        <v>48.0</v>
      </c>
      <c r="J1309" s="46"/>
      <c r="K1309" s="46"/>
      <c r="L1309" s="46">
        <v>5.0</v>
      </c>
      <c r="M1309" s="46" t="s">
        <v>4870</v>
      </c>
      <c r="N1309" s="46"/>
      <c r="O1309" s="46">
        <v>60.0</v>
      </c>
      <c r="P1309" s="46" t="s">
        <v>29</v>
      </c>
      <c r="Q1309" s="46"/>
      <c r="R1309" s="46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</row>
    <row r="1310" ht="14.25" customHeight="1">
      <c r="A1310" s="211">
        <v>11.0</v>
      </c>
      <c r="B1310" s="46" t="s">
        <v>5178</v>
      </c>
      <c r="C1310" s="46" t="s">
        <v>5175</v>
      </c>
      <c r="D1310" s="46"/>
      <c r="E1310" s="46"/>
      <c r="F1310" s="50"/>
      <c r="G1310" s="275">
        <v>480.0</v>
      </c>
      <c r="H1310" s="46"/>
      <c r="I1310" s="46">
        <v>58.0</v>
      </c>
      <c r="J1310" s="46"/>
      <c r="K1310" s="46"/>
      <c r="L1310" s="46">
        <v>10.0</v>
      </c>
      <c r="M1310" s="46" t="s">
        <v>4870</v>
      </c>
      <c r="N1310" s="46"/>
      <c r="O1310" s="46">
        <v>70.0</v>
      </c>
      <c r="P1310" s="46" t="s">
        <v>29</v>
      </c>
      <c r="Q1310" s="46"/>
      <c r="R1310" s="46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</row>
    <row r="1311" ht="14.25" customHeight="1">
      <c r="A1311" s="211">
        <v>12.0</v>
      </c>
      <c r="B1311" s="46" t="s">
        <v>5179</v>
      </c>
      <c r="C1311" s="46" t="s">
        <v>5180</v>
      </c>
      <c r="D1311" s="46"/>
      <c r="E1311" s="46"/>
      <c r="F1311" s="50"/>
      <c r="G1311" s="275">
        <v>172.0</v>
      </c>
      <c r="H1311" s="46"/>
      <c r="I1311" s="46">
        <v>34.0</v>
      </c>
      <c r="J1311" s="46"/>
      <c r="K1311" s="46"/>
      <c r="L1311" s="46">
        <v>4.0</v>
      </c>
      <c r="M1311" s="46" t="s">
        <v>4870</v>
      </c>
      <c r="N1311" s="46"/>
      <c r="O1311" s="46">
        <v>50.0</v>
      </c>
      <c r="P1311" s="46" t="s">
        <v>29</v>
      </c>
      <c r="Q1311" s="46"/>
      <c r="R1311" s="46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</row>
    <row r="1312" ht="14.25" customHeight="1">
      <c r="A1312" s="211">
        <v>13.0</v>
      </c>
      <c r="B1312" s="46" t="s">
        <v>5181</v>
      </c>
      <c r="C1312" s="46" t="s">
        <v>2099</v>
      </c>
      <c r="D1312" s="46"/>
      <c r="E1312" s="46"/>
      <c r="F1312" s="50"/>
      <c r="G1312" s="275">
        <v>334.0</v>
      </c>
      <c r="H1312" s="46"/>
      <c r="I1312" s="46">
        <v>67.0</v>
      </c>
      <c r="J1312" s="46"/>
      <c r="K1312" s="46"/>
      <c r="L1312" s="46">
        <v>7.0</v>
      </c>
      <c r="M1312" s="46" t="s">
        <v>4870</v>
      </c>
      <c r="N1312" s="46"/>
      <c r="O1312" s="46">
        <v>80.0</v>
      </c>
      <c r="P1312" s="46" t="s">
        <v>29</v>
      </c>
      <c r="Q1312" s="46"/>
      <c r="R1312" s="46"/>
      <c r="S1312" s="129"/>
      <c r="T1312" s="129"/>
      <c r="U1312" s="129"/>
      <c r="V1312" s="129"/>
      <c r="W1312" s="129"/>
      <c r="X1312" s="129"/>
      <c r="Y1312" s="129"/>
      <c r="Z1312" s="129"/>
      <c r="AA1312" s="129"/>
      <c r="AB1312" s="129"/>
      <c r="AC1312" s="129"/>
      <c r="AD1312" s="129"/>
    </row>
    <row r="1313" ht="14.25" customHeight="1">
      <c r="A1313" s="211">
        <v>14.0</v>
      </c>
      <c r="B1313" s="46" t="s">
        <v>5182</v>
      </c>
      <c r="C1313" s="46" t="s">
        <v>5183</v>
      </c>
      <c r="D1313" s="46"/>
      <c r="E1313" s="46"/>
      <c r="F1313" s="50"/>
      <c r="G1313" s="275">
        <v>240.0</v>
      </c>
      <c r="H1313" s="46"/>
      <c r="I1313" s="46">
        <v>47.0</v>
      </c>
      <c r="J1313" s="46"/>
      <c r="K1313" s="46"/>
      <c r="L1313" s="46">
        <v>5.0</v>
      </c>
      <c r="M1313" s="46" t="s">
        <v>4870</v>
      </c>
      <c r="N1313" s="46"/>
      <c r="O1313" s="46">
        <v>80.0</v>
      </c>
      <c r="P1313" s="46" t="s">
        <v>29</v>
      </c>
      <c r="Q1313" s="46"/>
      <c r="R1313" s="46"/>
      <c r="S1313" s="129"/>
      <c r="T1313" s="129"/>
      <c r="U1313" s="129"/>
      <c r="V1313" s="129"/>
      <c r="W1313" s="129"/>
      <c r="X1313" s="129"/>
      <c r="Y1313" s="129"/>
      <c r="Z1313" s="129"/>
      <c r="AA1313" s="129"/>
      <c r="AB1313" s="129"/>
      <c r="AC1313" s="129"/>
      <c r="AD1313" s="129"/>
    </row>
    <row r="1314" ht="14.25" customHeight="1">
      <c r="A1314" s="211">
        <v>15.0</v>
      </c>
      <c r="B1314" s="46" t="s">
        <v>5184</v>
      </c>
      <c r="C1314" s="46" t="s">
        <v>5185</v>
      </c>
      <c r="D1314" s="46"/>
      <c r="E1314" s="46"/>
      <c r="F1314" s="50"/>
      <c r="G1314" s="275">
        <v>240.0</v>
      </c>
      <c r="H1314" s="46"/>
      <c r="I1314" s="46">
        <v>47.0</v>
      </c>
      <c r="J1314" s="46"/>
      <c r="K1314" s="46"/>
      <c r="L1314" s="46">
        <v>5.0</v>
      </c>
      <c r="M1314" s="46" t="s">
        <v>4870</v>
      </c>
      <c r="N1314" s="46"/>
      <c r="O1314" s="46">
        <v>60.0</v>
      </c>
      <c r="P1314" s="46" t="s">
        <v>29</v>
      </c>
      <c r="Q1314" s="46"/>
      <c r="R1314" s="46"/>
      <c r="S1314" s="129"/>
      <c r="T1314" s="129"/>
      <c r="U1314" s="129"/>
      <c r="V1314" s="129"/>
      <c r="W1314" s="129"/>
      <c r="X1314" s="129"/>
      <c r="Y1314" s="129"/>
      <c r="Z1314" s="129"/>
      <c r="AA1314" s="129"/>
      <c r="AB1314" s="129"/>
      <c r="AC1314" s="129"/>
      <c r="AD1314" s="129"/>
    </row>
    <row r="1315" ht="14.25" customHeight="1">
      <c r="A1315" s="211">
        <v>16.0</v>
      </c>
      <c r="B1315" s="46" t="s">
        <v>5186</v>
      </c>
      <c r="C1315" s="46" t="s">
        <v>5187</v>
      </c>
      <c r="D1315" s="46"/>
      <c r="E1315" s="46"/>
      <c r="F1315" s="50"/>
      <c r="G1315" s="275">
        <v>192.0</v>
      </c>
      <c r="H1315" s="46"/>
      <c r="I1315" s="46">
        <v>38.0</v>
      </c>
      <c r="J1315" s="46"/>
      <c r="K1315" s="46"/>
      <c r="L1315" s="46">
        <v>4.0</v>
      </c>
      <c r="M1315" s="46" t="s">
        <v>4870</v>
      </c>
      <c r="N1315" s="46"/>
      <c r="O1315" s="46">
        <v>50.0</v>
      </c>
      <c r="P1315" s="46" t="s">
        <v>29</v>
      </c>
      <c r="Q1315" s="46"/>
      <c r="R1315" s="46"/>
      <c r="S1315" s="129"/>
      <c r="T1315" s="129"/>
      <c r="U1315" s="129"/>
      <c r="V1315" s="129"/>
      <c r="W1315" s="129"/>
      <c r="X1315" s="129"/>
      <c r="Y1315" s="129"/>
      <c r="Z1315" s="129"/>
      <c r="AA1315" s="129"/>
      <c r="AB1315" s="129"/>
      <c r="AC1315" s="129"/>
      <c r="AD1315" s="129"/>
    </row>
    <row r="1316" ht="14.25" customHeight="1">
      <c r="A1316" s="211">
        <v>17.0</v>
      </c>
      <c r="B1316" s="46" t="s">
        <v>5188</v>
      </c>
      <c r="C1316" s="46" t="s">
        <v>5189</v>
      </c>
      <c r="D1316" s="46"/>
      <c r="E1316" s="46"/>
      <c r="F1316" s="50"/>
      <c r="G1316" s="275">
        <v>906.0</v>
      </c>
      <c r="H1316" s="46"/>
      <c r="I1316" s="46">
        <v>180.0</v>
      </c>
      <c r="J1316" s="46"/>
      <c r="K1316" s="46"/>
      <c r="L1316" s="46">
        <v>12.0</v>
      </c>
      <c r="M1316" s="46" t="s">
        <v>4870</v>
      </c>
      <c r="N1316" s="46"/>
      <c r="O1316" s="46">
        <v>200.0</v>
      </c>
      <c r="P1316" s="46" t="s">
        <v>29</v>
      </c>
      <c r="Q1316" s="46"/>
      <c r="R1316" s="46"/>
      <c r="S1316" s="129"/>
      <c r="T1316" s="129"/>
      <c r="U1316" s="129"/>
      <c r="V1316" s="129"/>
      <c r="W1316" s="129"/>
      <c r="X1316" s="129"/>
      <c r="Y1316" s="129"/>
      <c r="Z1316" s="129"/>
      <c r="AA1316" s="129"/>
      <c r="AB1316" s="129"/>
      <c r="AC1316" s="129"/>
      <c r="AD1316" s="129"/>
    </row>
    <row r="1317" ht="14.25" customHeight="1">
      <c r="A1317" s="211">
        <v>18.0</v>
      </c>
      <c r="B1317" s="46" t="s">
        <v>5190</v>
      </c>
      <c r="C1317" s="46" t="s">
        <v>5175</v>
      </c>
      <c r="D1317" s="46"/>
      <c r="E1317" s="46"/>
      <c r="F1317" s="50"/>
      <c r="G1317" s="275">
        <v>100.0</v>
      </c>
      <c r="H1317" s="46"/>
      <c r="I1317" s="46">
        <v>20.0</v>
      </c>
      <c r="J1317" s="46">
        <v>1.0</v>
      </c>
      <c r="K1317" s="46">
        <v>1.0</v>
      </c>
      <c r="L1317" s="46"/>
      <c r="M1317" s="46" t="s">
        <v>4870</v>
      </c>
      <c r="N1317" s="46"/>
      <c r="O1317" s="46">
        <v>40.0</v>
      </c>
      <c r="P1317" s="46" t="s">
        <v>29</v>
      </c>
      <c r="Q1317" s="46"/>
      <c r="R1317" s="46"/>
      <c r="S1317" s="129"/>
      <c r="T1317" s="129"/>
      <c r="U1317" s="129"/>
      <c r="V1317" s="129"/>
      <c r="W1317" s="129"/>
      <c r="X1317" s="129"/>
      <c r="Y1317" s="129"/>
      <c r="Z1317" s="129"/>
      <c r="AA1317" s="129"/>
      <c r="AB1317" s="129"/>
      <c r="AC1317" s="129"/>
      <c r="AD1317" s="129"/>
    </row>
    <row r="1318" ht="14.25" customHeight="1">
      <c r="A1318" s="211">
        <v>19.0</v>
      </c>
      <c r="B1318" s="46" t="s">
        <v>5182</v>
      </c>
      <c r="C1318" s="46" t="s">
        <v>5183</v>
      </c>
      <c r="D1318" s="46"/>
      <c r="E1318" s="46"/>
      <c r="F1318" s="50"/>
      <c r="G1318" s="275">
        <v>334.0</v>
      </c>
      <c r="H1318" s="46"/>
      <c r="I1318" s="46">
        <v>67.0</v>
      </c>
      <c r="J1318" s="46"/>
      <c r="K1318" s="46"/>
      <c r="L1318" s="46">
        <v>8.0</v>
      </c>
      <c r="M1318" s="46" t="s">
        <v>4870</v>
      </c>
      <c r="N1318" s="46"/>
      <c r="O1318" s="46">
        <v>80.0</v>
      </c>
      <c r="P1318" s="46" t="s">
        <v>29</v>
      </c>
      <c r="Q1318" s="46"/>
      <c r="R1318" s="46"/>
      <c r="S1318" s="129"/>
      <c r="T1318" s="129"/>
      <c r="U1318" s="129"/>
      <c r="V1318" s="129"/>
      <c r="W1318" s="129"/>
      <c r="X1318" s="129"/>
      <c r="Y1318" s="129"/>
      <c r="Z1318" s="129"/>
      <c r="AA1318" s="129"/>
      <c r="AB1318" s="129"/>
      <c r="AC1318" s="129"/>
      <c r="AD1318" s="129"/>
    </row>
    <row r="1319" ht="14.25" customHeight="1">
      <c r="A1319" s="211">
        <v>20.0</v>
      </c>
      <c r="B1319" s="46" t="s">
        <v>5191</v>
      </c>
      <c r="C1319" s="46" t="s">
        <v>5192</v>
      </c>
      <c r="D1319" s="46"/>
      <c r="E1319" s="46"/>
      <c r="F1319" s="50"/>
      <c r="G1319" s="275">
        <v>144.0</v>
      </c>
      <c r="H1319" s="46"/>
      <c r="I1319" s="46">
        <v>28.0</v>
      </c>
      <c r="J1319" s="46"/>
      <c r="K1319" s="46"/>
      <c r="L1319" s="46">
        <v>3.0</v>
      </c>
      <c r="M1319" s="46" t="s">
        <v>4870</v>
      </c>
      <c r="N1319" s="46"/>
      <c r="O1319" s="46">
        <v>40.0</v>
      </c>
      <c r="P1319" s="46" t="s">
        <v>29</v>
      </c>
      <c r="Q1319" s="46"/>
      <c r="R1319" s="46"/>
      <c r="S1319" s="129"/>
      <c r="T1319" s="129"/>
      <c r="U1319" s="129"/>
      <c r="V1319" s="129"/>
      <c r="W1319" s="129"/>
      <c r="X1319" s="129"/>
      <c r="Y1319" s="129"/>
      <c r="Z1319" s="129"/>
      <c r="AA1319" s="129"/>
      <c r="AB1319" s="129"/>
      <c r="AC1319" s="129"/>
      <c r="AD1319" s="129"/>
    </row>
    <row r="1320" ht="14.25" customHeight="1">
      <c r="A1320" s="211">
        <v>21.0</v>
      </c>
      <c r="B1320" s="46" t="s">
        <v>5193</v>
      </c>
      <c r="C1320" s="46" t="s">
        <v>5160</v>
      </c>
      <c r="D1320" s="46"/>
      <c r="E1320" s="46"/>
      <c r="F1320" s="50"/>
      <c r="G1320" s="275">
        <v>120.0</v>
      </c>
      <c r="H1320" s="46"/>
      <c r="I1320" s="46">
        <v>25.0</v>
      </c>
      <c r="J1320" s="46">
        <v>1.0</v>
      </c>
      <c r="K1320" s="46">
        <v>1.0</v>
      </c>
      <c r="L1320" s="46"/>
      <c r="M1320" s="46" t="s">
        <v>4870</v>
      </c>
      <c r="N1320" s="46"/>
      <c r="O1320" s="46">
        <v>35.0</v>
      </c>
      <c r="P1320" s="46" t="s">
        <v>29</v>
      </c>
      <c r="Q1320" s="46"/>
      <c r="R1320" s="46"/>
      <c r="S1320" s="129"/>
      <c r="T1320" s="129"/>
      <c r="U1320" s="129"/>
      <c r="V1320" s="129"/>
      <c r="W1320" s="129"/>
      <c r="X1320" s="129"/>
      <c r="Y1320" s="129"/>
      <c r="Z1320" s="129"/>
      <c r="AA1320" s="129"/>
      <c r="AB1320" s="129"/>
      <c r="AC1320" s="129"/>
      <c r="AD1320" s="129"/>
    </row>
    <row r="1321" ht="14.25" customHeight="1">
      <c r="A1321" s="211">
        <v>22.0</v>
      </c>
      <c r="B1321" s="46" t="s">
        <v>878</v>
      </c>
      <c r="C1321" s="46" t="s">
        <v>5175</v>
      </c>
      <c r="D1321" s="46"/>
      <c r="E1321" s="46"/>
      <c r="F1321" s="50"/>
      <c r="G1321" s="275"/>
      <c r="H1321" s="46"/>
      <c r="I1321" s="46">
        <v>50.0</v>
      </c>
      <c r="J1321" s="46">
        <v>1.0</v>
      </c>
      <c r="K1321" s="46">
        <v>1.0</v>
      </c>
      <c r="L1321" s="46"/>
      <c r="M1321" s="46" t="s">
        <v>4870</v>
      </c>
      <c r="N1321" s="46"/>
      <c r="O1321" s="46"/>
      <c r="P1321" s="46" t="s">
        <v>29</v>
      </c>
      <c r="Q1321" s="46"/>
      <c r="R1321" s="46"/>
      <c r="S1321" s="129"/>
      <c r="T1321" s="129"/>
      <c r="U1321" s="129"/>
      <c r="V1321" s="129"/>
      <c r="W1321" s="129"/>
      <c r="X1321" s="129"/>
      <c r="Y1321" s="129"/>
      <c r="Z1321" s="129"/>
      <c r="AA1321" s="129"/>
      <c r="AB1321" s="129"/>
      <c r="AC1321" s="129"/>
      <c r="AD1321" s="129"/>
    </row>
    <row r="1322" ht="15.75" customHeight="1">
      <c r="A1322" s="181"/>
      <c r="B1322" s="182" t="s">
        <v>5194</v>
      </c>
      <c r="C1322" s="182"/>
      <c r="D1322" s="182"/>
      <c r="E1322" s="182"/>
      <c r="F1322" s="403"/>
      <c r="G1322" s="404"/>
      <c r="H1322" s="182"/>
      <c r="I1322" s="182"/>
      <c r="J1322" s="91"/>
      <c r="K1322" s="91"/>
      <c r="L1322" s="91"/>
      <c r="M1322" s="91"/>
      <c r="N1322" s="91"/>
      <c r="O1322" s="91"/>
      <c r="P1322" s="182"/>
      <c r="Q1322" s="91"/>
      <c r="R1322" s="218"/>
      <c r="S1322" s="405"/>
      <c r="T1322" s="405"/>
      <c r="U1322" s="405"/>
      <c r="V1322" s="405"/>
      <c r="W1322" s="405"/>
      <c r="X1322" s="405"/>
      <c r="Y1322" s="405"/>
      <c r="Z1322" s="405"/>
      <c r="AA1322" s="405"/>
      <c r="AB1322" s="405"/>
      <c r="AC1322" s="405"/>
      <c r="AD1322" s="405"/>
    </row>
    <row r="1323" ht="14.25" customHeight="1">
      <c r="A1323" s="211">
        <v>1.0</v>
      </c>
      <c r="B1323" s="55" t="s">
        <v>5195</v>
      </c>
      <c r="C1323" s="146" t="s">
        <v>5196</v>
      </c>
      <c r="D1323" s="146"/>
      <c r="E1323" s="146"/>
      <c r="F1323" s="441"/>
      <c r="G1323" s="336" t="s">
        <v>5199</v>
      </c>
      <c r="H1323" s="216">
        <v>50.0</v>
      </c>
      <c r="I1323" s="216">
        <v>300.0</v>
      </c>
      <c r="J1323" s="216">
        <v>5.0</v>
      </c>
      <c r="K1323" s="216">
        <v>5.0</v>
      </c>
      <c r="L1323" s="216">
        <v>0.0</v>
      </c>
      <c r="M1323" s="133" t="s">
        <v>5200</v>
      </c>
      <c r="N1323" s="133" t="s">
        <v>5200</v>
      </c>
      <c r="O1323" s="216">
        <v>400.0</v>
      </c>
      <c r="P1323" s="216" t="s">
        <v>66</v>
      </c>
      <c r="Q1323" s="216">
        <v>100.0</v>
      </c>
      <c r="R1323" s="46"/>
      <c r="S1323" s="129"/>
      <c r="T1323" s="129"/>
      <c r="U1323" s="129"/>
      <c r="V1323" s="129"/>
      <c r="W1323" s="129"/>
      <c r="X1323" s="129"/>
      <c r="Y1323" s="129"/>
      <c r="Z1323" s="129"/>
      <c r="AA1323" s="129"/>
      <c r="AB1323" s="129"/>
      <c r="AC1323" s="129"/>
      <c r="AD1323" s="129"/>
    </row>
    <row r="1324" ht="14.25" customHeight="1">
      <c r="A1324" s="211">
        <v>2.0</v>
      </c>
      <c r="B1324" s="52" t="s">
        <v>5201</v>
      </c>
      <c r="C1324" s="52" t="s">
        <v>5202</v>
      </c>
      <c r="D1324" s="52"/>
      <c r="E1324" s="52"/>
      <c r="F1324" s="409"/>
      <c r="G1324" s="89" t="s">
        <v>5203</v>
      </c>
      <c r="H1324" s="81">
        <v>10.0</v>
      </c>
      <c r="I1324" s="81">
        <v>50.0</v>
      </c>
      <c r="J1324" s="81">
        <v>3.0</v>
      </c>
      <c r="K1324" s="81">
        <v>3.0</v>
      </c>
      <c r="L1324" s="81">
        <v>0.0</v>
      </c>
      <c r="M1324" s="133" t="s">
        <v>5200</v>
      </c>
      <c r="N1324" s="133" t="s">
        <v>5200</v>
      </c>
      <c r="O1324" s="81">
        <v>50.0</v>
      </c>
      <c r="P1324" s="216" t="s">
        <v>29</v>
      </c>
      <c r="Q1324" s="81"/>
      <c r="R1324" s="46"/>
      <c r="S1324" s="129"/>
      <c r="T1324" s="129"/>
      <c r="U1324" s="129"/>
      <c r="V1324" s="129"/>
      <c r="W1324" s="129"/>
      <c r="X1324" s="129"/>
      <c r="Y1324" s="129"/>
      <c r="Z1324" s="129"/>
      <c r="AA1324" s="129"/>
      <c r="AB1324" s="129"/>
      <c r="AC1324" s="129"/>
      <c r="AD1324" s="129"/>
    </row>
    <row r="1325" ht="14.25" customHeight="1">
      <c r="A1325" s="211">
        <v>3.0</v>
      </c>
      <c r="B1325" s="52" t="s">
        <v>5204</v>
      </c>
      <c r="C1325" s="52" t="s">
        <v>5205</v>
      </c>
      <c r="D1325" s="52"/>
      <c r="E1325" s="52"/>
      <c r="F1325" s="409"/>
      <c r="G1325" s="275">
        <v>200.0</v>
      </c>
      <c r="H1325" s="46">
        <v>20.0</v>
      </c>
      <c r="I1325" s="46">
        <v>100.0</v>
      </c>
      <c r="J1325" s="46">
        <v>1.0</v>
      </c>
      <c r="K1325" s="46">
        <v>1.0</v>
      </c>
      <c r="L1325" s="46">
        <v>1.0</v>
      </c>
      <c r="M1325" s="46" t="s">
        <v>5206</v>
      </c>
      <c r="N1325" s="46" t="s">
        <v>401</v>
      </c>
      <c r="O1325" s="46"/>
      <c r="P1325" s="216" t="s">
        <v>29</v>
      </c>
      <c r="Q1325" s="46" t="s">
        <v>401</v>
      </c>
      <c r="R1325" s="46"/>
      <c r="S1325" s="129"/>
      <c r="T1325" s="129"/>
      <c r="U1325" s="129"/>
      <c r="V1325" s="129"/>
      <c r="W1325" s="129"/>
      <c r="X1325" s="129"/>
      <c r="Y1325" s="129"/>
      <c r="Z1325" s="129"/>
      <c r="AA1325" s="129"/>
      <c r="AB1325" s="129"/>
      <c r="AC1325" s="129"/>
      <c r="AD1325" s="129"/>
    </row>
    <row r="1326" ht="14.25" customHeight="1">
      <c r="A1326" s="211">
        <v>4.0</v>
      </c>
      <c r="B1326" s="52" t="s">
        <v>5207</v>
      </c>
      <c r="C1326" s="52" t="s">
        <v>5208</v>
      </c>
      <c r="D1326" s="52"/>
      <c r="E1326" s="52"/>
      <c r="F1326" s="409"/>
      <c r="G1326" s="275">
        <v>200.0</v>
      </c>
      <c r="H1326" s="46">
        <v>20.0</v>
      </c>
      <c r="I1326" s="46">
        <v>100.0</v>
      </c>
      <c r="J1326" s="46">
        <v>1.0</v>
      </c>
      <c r="K1326" s="46">
        <v>1.0</v>
      </c>
      <c r="L1326" s="46">
        <v>1.0</v>
      </c>
      <c r="M1326" s="46" t="s">
        <v>5206</v>
      </c>
      <c r="N1326" s="46" t="s">
        <v>401</v>
      </c>
      <c r="O1326" s="46"/>
      <c r="P1326" s="216" t="s">
        <v>29</v>
      </c>
      <c r="Q1326" s="46" t="s">
        <v>401</v>
      </c>
      <c r="R1326" s="46"/>
      <c r="S1326" s="129"/>
      <c r="T1326" s="129"/>
      <c r="U1326" s="129"/>
      <c r="V1326" s="129"/>
      <c r="W1326" s="129"/>
      <c r="X1326" s="129"/>
      <c r="Y1326" s="129"/>
      <c r="Z1326" s="129"/>
      <c r="AA1326" s="129"/>
      <c r="AB1326" s="129"/>
      <c r="AC1326" s="129"/>
      <c r="AD1326" s="129"/>
    </row>
    <row r="1327" ht="14.25" customHeight="1">
      <c r="A1327" s="211">
        <v>5.0</v>
      </c>
      <c r="B1327" s="52" t="s">
        <v>5209</v>
      </c>
      <c r="C1327" s="52" t="s">
        <v>5210</v>
      </c>
      <c r="D1327" s="52"/>
      <c r="E1327" s="52"/>
      <c r="F1327" s="409"/>
      <c r="G1327" s="275">
        <v>1722.0</v>
      </c>
      <c r="H1327" s="46">
        <v>120.0</v>
      </c>
      <c r="I1327" s="46">
        <v>600.0</v>
      </c>
      <c r="J1327" s="46">
        <v>13.0</v>
      </c>
      <c r="K1327" s="46">
        <v>13.0</v>
      </c>
      <c r="L1327" s="46">
        <v>1.0</v>
      </c>
      <c r="M1327" s="46" t="s">
        <v>5206</v>
      </c>
      <c r="N1327" s="46" t="s">
        <v>401</v>
      </c>
      <c r="O1327" s="46"/>
      <c r="P1327" s="216" t="s">
        <v>29</v>
      </c>
      <c r="Q1327" s="46" t="s">
        <v>401</v>
      </c>
      <c r="R1327" s="46"/>
      <c r="S1327" s="129"/>
      <c r="T1327" s="129"/>
      <c r="U1327" s="129"/>
      <c r="V1327" s="129"/>
      <c r="W1327" s="129"/>
      <c r="X1327" s="129"/>
      <c r="Y1327" s="129"/>
      <c r="Z1327" s="129"/>
      <c r="AA1327" s="129"/>
      <c r="AB1327" s="129"/>
      <c r="AC1327" s="129"/>
      <c r="AD1327" s="129"/>
    </row>
    <row r="1328" ht="14.25" customHeight="1">
      <c r="A1328" s="211">
        <v>6.0</v>
      </c>
      <c r="B1328" s="52" t="s">
        <v>2130</v>
      </c>
      <c r="C1328" s="52" t="s">
        <v>5211</v>
      </c>
      <c r="D1328" s="52"/>
      <c r="E1328" s="52"/>
      <c r="F1328" s="409"/>
      <c r="G1328" s="275"/>
      <c r="H1328" s="46">
        <v>52.0</v>
      </c>
      <c r="I1328" s="46">
        <v>208.0</v>
      </c>
      <c r="J1328" s="46">
        <v>1.0</v>
      </c>
      <c r="K1328" s="46">
        <v>1.0</v>
      </c>
      <c r="L1328" s="46">
        <v>5.0</v>
      </c>
      <c r="M1328" s="46" t="s">
        <v>27</v>
      </c>
      <c r="N1328" s="46" t="s">
        <v>401</v>
      </c>
      <c r="O1328" s="46"/>
      <c r="P1328" s="216" t="s">
        <v>29</v>
      </c>
      <c r="Q1328" s="46" t="s">
        <v>401</v>
      </c>
      <c r="R1328" s="46"/>
      <c r="S1328" s="129"/>
      <c r="T1328" s="129"/>
      <c r="U1328" s="129"/>
      <c r="V1328" s="129"/>
      <c r="W1328" s="129"/>
      <c r="X1328" s="129"/>
      <c r="Y1328" s="129"/>
      <c r="Z1328" s="129"/>
      <c r="AA1328" s="129"/>
      <c r="AB1328" s="129"/>
      <c r="AC1328" s="129"/>
      <c r="AD1328" s="129"/>
    </row>
    <row r="1329" ht="14.25" customHeight="1">
      <c r="A1329" s="211">
        <v>7.0</v>
      </c>
      <c r="B1329" s="52" t="s">
        <v>5212</v>
      </c>
      <c r="C1329" s="52" t="s">
        <v>5213</v>
      </c>
      <c r="D1329" s="52"/>
      <c r="E1329" s="52"/>
      <c r="F1329" s="409"/>
      <c r="G1329" s="275">
        <v>200.0</v>
      </c>
      <c r="H1329" s="46">
        <v>20.0</v>
      </c>
      <c r="I1329" s="46">
        <v>100.0</v>
      </c>
      <c r="J1329" s="46">
        <v>1.0</v>
      </c>
      <c r="K1329" s="46">
        <v>1.0</v>
      </c>
      <c r="L1329" s="46">
        <v>1.0</v>
      </c>
      <c r="M1329" s="46" t="s">
        <v>5214</v>
      </c>
      <c r="N1329" s="46" t="s">
        <v>401</v>
      </c>
      <c r="O1329" s="46"/>
      <c r="P1329" s="216" t="s">
        <v>29</v>
      </c>
      <c r="Q1329" s="46" t="s">
        <v>401</v>
      </c>
      <c r="R1329" s="46"/>
      <c r="S1329" s="129"/>
      <c r="T1329" s="129"/>
      <c r="U1329" s="129"/>
      <c r="V1329" s="129"/>
      <c r="W1329" s="129"/>
      <c r="X1329" s="129"/>
      <c r="Y1329" s="129"/>
      <c r="Z1329" s="129"/>
      <c r="AA1329" s="129"/>
      <c r="AB1329" s="129"/>
      <c r="AC1329" s="129"/>
      <c r="AD1329" s="129"/>
    </row>
    <row r="1330" ht="14.25" customHeight="1">
      <c r="A1330" s="211">
        <v>8.0</v>
      </c>
      <c r="B1330" s="52" t="s">
        <v>5215</v>
      </c>
      <c r="C1330" s="52" t="s">
        <v>5213</v>
      </c>
      <c r="D1330" s="52"/>
      <c r="E1330" s="52"/>
      <c r="F1330" s="409"/>
      <c r="G1330" s="275">
        <v>2709.0</v>
      </c>
      <c r="H1330" s="46">
        <v>43.0</v>
      </c>
      <c r="I1330" s="46">
        <v>215.0</v>
      </c>
      <c r="J1330" s="46">
        <v>6.0</v>
      </c>
      <c r="K1330" s="46">
        <v>6.0</v>
      </c>
      <c r="L1330" s="46">
        <v>20.0</v>
      </c>
      <c r="M1330" s="46" t="s">
        <v>5206</v>
      </c>
      <c r="N1330" s="46" t="s">
        <v>401</v>
      </c>
      <c r="O1330" s="46"/>
      <c r="P1330" s="216" t="s">
        <v>29</v>
      </c>
      <c r="Q1330" s="46" t="s">
        <v>401</v>
      </c>
      <c r="R1330" s="46"/>
      <c r="S1330" s="129"/>
      <c r="T1330" s="129"/>
      <c r="U1330" s="129"/>
      <c r="V1330" s="129"/>
      <c r="W1330" s="129"/>
      <c r="X1330" s="129"/>
      <c r="Y1330" s="129"/>
      <c r="Z1330" s="129"/>
      <c r="AA1330" s="129"/>
      <c r="AB1330" s="129"/>
      <c r="AC1330" s="129"/>
      <c r="AD1330" s="129"/>
    </row>
    <row r="1331" ht="14.25" customHeight="1">
      <c r="A1331" s="211">
        <v>9.0</v>
      </c>
      <c r="B1331" s="52" t="s">
        <v>5216</v>
      </c>
      <c r="C1331" s="52" t="s">
        <v>5208</v>
      </c>
      <c r="D1331" s="52"/>
      <c r="E1331" s="52"/>
      <c r="F1331" s="409"/>
      <c r="G1331" s="275">
        <v>900.0</v>
      </c>
      <c r="H1331" s="46">
        <v>50.0</v>
      </c>
      <c r="I1331" s="46">
        <v>200.0</v>
      </c>
      <c r="J1331" s="46">
        <v>1.0</v>
      </c>
      <c r="K1331" s="46">
        <v>1.0</v>
      </c>
      <c r="L1331" s="46">
        <v>0.0</v>
      </c>
      <c r="M1331" s="46" t="s">
        <v>5206</v>
      </c>
      <c r="N1331" s="46" t="s">
        <v>401</v>
      </c>
      <c r="O1331" s="46"/>
      <c r="P1331" s="216" t="s">
        <v>29</v>
      </c>
      <c r="Q1331" s="46" t="s">
        <v>401</v>
      </c>
      <c r="R1331" s="46"/>
      <c r="S1331" s="129"/>
      <c r="T1331" s="129"/>
      <c r="U1331" s="129"/>
      <c r="V1331" s="129"/>
      <c r="W1331" s="129"/>
      <c r="X1331" s="129"/>
      <c r="Y1331" s="129"/>
      <c r="Z1331" s="129"/>
      <c r="AA1331" s="129"/>
      <c r="AB1331" s="129"/>
      <c r="AC1331" s="129"/>
      <c r="AD1331" s="129"/>
    </row>
    <row r="1332" ht="15.75" customHeight="1">
      <c r="A1332" s="181"/>
      <c r="B1332" s="182" t="s">
        <v>5217</v>
      </c>
      <c r="C1332" s="182"/>
      <c r="D1332" s="182"/>
      <c r="E1332" s="182"/>
      <c r="F1332" s="403"/>
      <c r="G1332" s="404"/>
      <c r="H1332" s="182"/>
      <c r="I1332" s="182"/>
      <c r="J1332" s="91"/>
      <c r="K1332" s="91"/>
      <c r="L1332" s="91"/>
      <c r="M1332" s="91"/>
      <c r="N1332" s="91"/>
      <c r="O1332" s="91"/>
      <c r="P1332" s="182"/>
      <c r="Q1332" s="91"/>
      <c r="R1332" s="218"/>
      <c r="S1332" s="405"/>
      <c r="T1332" s="405"/>
      <c r="U1332" s="405"/>
      <c r="V1332" s="405"/>
      <c r="W1332" s="405"/>
      <c r="X1332" s="405"/>
      <c r="Y1332" s="405"/>
      <c r="Z1332" s="405"/>
      <c r="AA1332" s="405"/>
      <c r="AB1332" s="405"/>
      <c r="AC1332" s="405"/>
      <c r="AD1332" s="405"/>
    </row>
    <row r="1333" ht="14.25" customHeight="1">
      <c r="A1333" s="211">
        <v>1.0</v>
      </c>
      <c r="B1333" s="46" t="s">
        <v>5218</v>
      </c>
      <c r="C1333" s="46" t="s">
        <v>5219</v>
      </c>
      <c r="D1333" s="46"/>
      <c r="E1333" s="46"/>
      <c r="F1333" s="50"/>
      <c r="G1333" s="275"/>
      <c r="H1333" s="46">
        <v>438.0</v>
      </c>
      <c r="I1333" s="420">
        <v>1911.0</v>
      </c>
      <c r="J1333" s="46">
        <v>956.0</v>
      </c>
      <c r="K1333" s="46">
        <v>955.0</v>
      </c>
      <c r="L1333" s="46">
        <v>3.0</v>
      </c>
      <c r="M1333" s="46"/>
      <c r="N1333" s="46"/>
      <c r="O1333" s="46"/>
      <c r="P1333" s="46"/>
      <c r="Q1333" s="46"/>
      <c r="R1333" s="46"/>
      <c r="S1333" s="129"/>
      <c r="T1333" s="129"/>
      <c r="U1333" s="129"/>
      <c r="V1333" s="129"/>
      <c r="W1333" s="129"/>
      <c r="X1333" s="129"/>
      <c r="Y1333" s="129"/>
      <c r="Z1333" s="129"/>
      <c r="AA1333" s="129"/>
      <c r="AB1333" s="129"/>
      <c r="AC1333" s="129"/>
      <c r="AD1333" s="129"/>
    </row>
    <row r="1334" ht="14.25" customHeight="1">
      <c r="A1334" s="211">
        <v>2.0</v>
      </c>
      <c r="B1334" s="46" t="s">
        <v>5218</v>
      </c>
      <c r="C1334" s="46" t="s">
        <v>5220</v>
      </c>
      <c r="D1334" s="46"/>
      <c r="E1334" s="46"/>
      <c r="F1334" s="50"/>
      <c r="G1334" s="275"/>
      <c r="H1334" s="46">
        <v>577.0</v>
      </c>
      <c r="I1334" s="420">
        <v>2093.0</v>
      </c>
      <c r="J1334" s="46">
        <v>1031.0</v>
      </c>
      <c r="K1334" s="46">
        <v>1067.0</v>
      </c>
      <c r="L1334" s="46">
        <v>12.0</v>
      </c>
      <c r="M1334" s="46"/>
      <c r="N1334" s="46"/>
      <c r="O1334" s="46"/>
      <c r="P1334" s="46"/>
      <c r="Q1334" s="46"/>
      <c r="R1334" s="46"/>
      <c r="S1334" s="129"/>
      <c r="T1334" s="129"/>
      <c r="U1334" s="129"/>
      <c r="V1334" s="129"/>
      <c r="W1334" s="129"/>
      <c r="X1334" s="129"/>
      <c r="Y1334" s="129"/>
      <c r="Z1334" s="129"/>
      <c r="AA1334" s="129"/>
      <c r="AB1334" s="129"/>
      <c r="AC1334" s="129"/>
      <c r="AD1334" s="129"/>
    </row>
    <row r="1335" ht="14.25" customHeight="1">
      <c r="A1335" s="211">
        <v>3.0</v>
      </c>
      <c r="B1335" s="46" t="s">
        <v>5221</v>
      </c>
      <c r="C1335" s="46" t="s">
        <v>5222</v>
      </c>
      <c r="D1335" s="46"/>
      <c r="E1335" s="46"/>
      <c r="F1335" s="50"/>
      <c r="G1335" s="275"/>
      <c r="H1335" s="46">
        <v>577.0</v>
      </c>
      <c r="I1335" s="420">
        <v>2093.0</v>
      </c>
      <c r="J1335" s="46">
        <v>1031.0</v>
      </c>
      <c r="K1335" s="46">
        <v>1067.0</v>
      </c>
      <c r="L1335" s="46">
        <v>12.0</v>
      </c>
      <c r="M1335" s="46"/>
      <c r="N1335" s="46"/>
      <c r="O1335" s="46"/>
      <c r="P1335" s="46"/>
      <c r="Q1335" s="46"/>
      <c r="R1335" s="46"/>
      <c r="S1335" s="129"/>
      <c r="T1335" s="129"/>
      <c r="U1335" s="129"/>
      <c r="V1335" s="129"/>
      <c r="W1335" s="129"/>
      <c r="X1335" s="129"/>
      <c r="Y1335" s="129"/>
      <c r="Z1335" s="129"/>
      <c r="AA1335" s="129"/>
      <c r="AB1335" s="129"/>
      <c r="AC1335" s="129"/>
      <c r="AD1335" s="129"/>
    </row>
    <row r="1336" ht="14.25" customHeight="1">
      <c r="A1336" s="211">
        <v>4.0</v>
      </c>
      <c r="B1336" s="46" t="s">
        <v>5218</v>
      </c>
      <c r="C1336" s="46" t="s">
        <v>5223</v>
      </c>
      <c r="D1336" s="46"/>
      <c r="E1336" s="46"/>
      <c r="F1336" s="50"/>
      <c r="G1336" s="275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</row>
    <row r="1337" ht="14.25" customHeight="1">
      <c r="A1337" s="211">
        <v>5.0</v>
      </c>
      <c r="B1337" s="46" t="s">
        <v>5218</v>
      </c>
      <c r="C1337" s="46" t="s">
        <v>5224</v>
      </c>
      <c r="D1337" s="46"/>
      <c r="E1337" s="46"/>
      <c r="F1337" s="50"/>
      <c r="G1337" s="275"/>
      <c r="H1337" s="46"/>
      <c r="I1337" s="46"/>
      <c r="J1337" s="46"/>
      <c r="K1337" s="46"/>
      <c r="L1337" s="46"/>
      <c r="M1337" s="46"/>
      <c r="N1337" s="46"/>
      <c r="O1337" s="46"/>
      <c r="P1337" s="46"/>
      <c r="Q1337" s="46"/>
      <c r="R1337" s="46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</row>
    <row r="1338" ht="14.25" customHeight="1">
      <c r="A1338" s="211">
        <v>6.0</v>
      </c>
      <c r="B1338" s="46" t="s">
        <v>5225</v>
      </c>
      <c r="C1338" s="46" t="s">
        <v>5224</v>
      </c>
      <c r="D1338" s="46"/>
      <c r="E1338" s="46"/>
      <c r="F1338" s="50"/>
      <c r="G1338" s="275"/>
      <c r="H1338" s="46"/>
      <c r="I1338" s="46"/>
      <c r="J1338" s="46"/>
      <c r="K1338" s="46"/>
      <c r="L1338" s="46"/>
      <c r="M1338" s="46"/>
      <c r="N1338" s="46"/>
      <c r="O1338" s="46"/>
      <c r="P1338" s="46"/>
      <c r="Q1338" s="46"/>
      <c r="R1338" s="46"/>
      <c r="S1338" s="129"/>
      <c r="T1338" s="129"/>
      <c r="U1338" s="129"/>
      <c r="V1338" s="129"/>
      <c r="W1338" s="129"/>
      <c r="X1338" s="129"/>
      <c r="Y1338" s="129"/>
      <c r="Z1338" s="129"/>
      <c r="AA1338" s="129"/>
      <c r="AB1338" s="129"/>
      <c r="AC1338" s="129"/>
      <c r="AD1338" s="129"/>
    </row>
    <row r="1339" ht="14.25" customHeight="1">
      <c r="A1339" s="211">
        <v>7.0</v>
      </c>
      <c r="B1339" s="46" t="s">
        <v>5218</v>
      </c>
      <c r="C1339" s="46" t="s">
        <v>5226</v>
      </c>
      <c r="D1339" s="46"/>
      <c r="E1339" s="46"/>
      <c r="F1339" s="50"/>
      <c r="G1339" s="275"/>
      <c r="H1339" s="46"/>
      <c r="I1339" s="46"/>
      <c r="J1339" s="46"/>
      <c r="K1339" s="46"/>
      <c r="L1339" s="46"/>
      <c r="M1339" s="46"/>
      <c r="N1339" s="46"/>
      <c r="O1339" s="46"/>
      <c r="P1339" s="46"/>
      <c r="Q1339" s="46"/>
      <c r="R1339" s="46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</row>
    <row r="1340" ht="14.25" customHeight="1">
      <c r="A1340" s="211">
        <v>8.0</v>
      </c>
      <c r="B1340" s="46" t="s">
        <v>5227</v>
      </c>
      <c r="C1340" s="46" t="s">
        <v>5228</v>
      </c>
      <c r="D1340" s="46"/>
      <c r="E1340" s="46"/>
      <c r="F1340" s="50"/>
      <c r="G1340" s="275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</row>
    <row r="1341" ht="14.25" customHeight="1">
      <c r="A1341" s="211">
        <v>9.0</v>
      </c>
      <c r="B1341" s="46" t="s">
        <v>5229</v>
      </c>
      <c r="C1341" s="46" t="s">
        <v>5230</v>
      </c>
      <c r="D1341" s="46"/>
      <c r="E1341" s="46"/>
      <c r="F1341" s="50"/>
      <c r="G1341" s="275"/>
      <c r="H1341" s="46"/>
      <c r="I1341" s="46"/>
      <c r="J1341" s="46"/>
      <c r="K1341" s="46"/>
      <c r="L1341" s="46"/>
      <c r="M1341" s="46"/>
      <c r="N1341" s="46"/>
      <c r="O1341" s="46"/>
      <c r="P1341" s="46"/>
      <c r="Q1341" s="46"/>
      <c r="R1341" s="46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</row>
    <row r="1342" ht="14.25" customHeight="1">
      <c r="A1342" s="211">
        <v>10.0</v>
      </c>
      <c r="B1342" s="46" t="s">
        <v>5231</v>
      </c>
      <c r="C1342" s="46" t="s">
        <v>5230</v>
      </c>
      <c r="D1342" s="46"/>
      <c r="E1342" s="46"/>
      <c r="F1342" s="50"/>
      <c r="G1342" s="275"/>
      <c r="H1342" s="46"/>
      <c r="I1342" s="46"/>
      <c r="J1342" s="46"/>
      <c r="K1342" s="46"/>
      <c r="L1342" s="46"/>
      <c r="M1342" s="46"/>
      <c r="N1342" s="46"/>
      <c r="O1342" s="46"/>
      <c r="P1342" s="46"/>
      <c r="Q1342" s="46"/>
      <c r="R1342" s="46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</row>
    <row r="1343" ht="14.25" customHeight="1">
      <c r="A1343" s="211">
        <v>11.0</v>
      </c>
      <c r="B1343" s="46" t="s">
        <v>1171</v>
      </c>
      <c r="C1343" s="46" t="s">
        <v>5232</v>
      </c>
      <c r="D1343" s="46"/>
      <c r="E1343" s="46"/>
      <c r="F1343" s="50"/>
      <c r="G1343" s="275"/>
      <c r="H1343" s="46"/>
      <c r="I1343" s="46"/>
      <c r="J1343" s="46"/>
      <c r="K1343" s="46"/>
      <c r="L1343" s="46"/>
      <c r="M1343" s="46"/>
      <c r="N1343" s="46"/>
      <c r="O1343" s="46"/>
      <c r="P1343" s="46"/>
      <c r="Q1343" s="46"/>
      <c r="R1343" s="46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</row>
    <row r="1344" ht="14.25" customHeight="1">
      <c r="A1344" s="211">
        <v>12.0</v>
      </c>
      <c r="B1344" s="46" t="s">
        <v>5234</v>
      </c>
      <c r="C1344" s="46" t="s">
        <v>5232</v>
      </c>
      <c r="D1344" s="46"/>
      <c r="E1344" s="46"/>
      <c r="F1344" s="50"/>
      <c r="G1344" s="275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</row>
    <row r="1345" ht="14.25" customHeight="1">
      <c r="A1345" s="211">
        <v>13.0</v>
      </c>
      <c r="B1345" s="46" t="s">
        <v>5218</v>
      </c>
      <c r="C1345" s="46" t="s">
        <v>5235</v>
      </c>
      <c r="D1345" s="46"/>
      <c r="E1345" s="46"/>
      <c r="F1345" s="50"/>
      <c r="G1345" s="275"/>
      <c r="H1345" s="46"/>
      <c r="I1345" s="46"/>
      <c r="J1345" s="46"/>
      <c r="K1345" s="46"/>
      <c r="L1345" s="46"/>
      <c r="M1345" s="46"/>
      <c r="N1345" s="46"/>
      <c r="O1345" s="46"/>
      <c r="P1345" s="46"/>
      <c r="Q1345" s="46"/>
      <c r="R1345" s="46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</row>
    <row r="1346" ht="14.25" customHeight="1">
      <c r="A1346" s="211">
        <v>14.0</v>
      </c>
      <c r="B1346" s="46" t="s">
        <v>5236</v>
      </c>
      <c r="C1346" s="46" t="s">
        <v>5237</v>
      </c>
      <c r="D1346" s="46"/>
      <c r="E1346" s="46"/>
      <c r="F1346" s="50"/>
      <c r="G1346" s="275"/>
      <c r="H1346" s="46"/>
      <c r="I1346" s="46"/>
      <c r="J1346" s="46"/>
      <c r="K1346" s="46"/>
      <c r="L1346" s="46"/>
      <c r="M1346" s="46"/>
      <c r="N1346" s="46"/>
      <c r="O1346" s="46"/>
      <c r="P1346" s="46"/>
      <c r="Q1346" s="46"/>
      <c r="R1346" s="46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</row>
    <row r="1347" ht="14.25" customHeight="1">
      <c r="A1347" s="211">
        <v>15.0</v>
      </c>
      <c r="B1347" s="46" t="s">
        <v>5238</v>
      </c>
      <c r="C1347" s="46" t="s">
        <v>5239</v>
      </c>
      <c r="D1347" s="46"/>
      <c r="E1347" s="46"/>
      <c r="F1347" s="50"/>
      <c r="G1347" s="275"/>
      <c r="H1347" s="46"/>
      <c r="I1347" s="46"/>
      <c r="J1347" s="46"/>
      <c r="K1347" s="46"/>
      <c r="L1347" s="46"/>
      <c r="M1347" s="46"/>
      <c r="N1347" s="46"/>
      <c r="O1347" s="46"/>
      <c r="P1347" s="46"/>
      <c r="Q1347" s="46"/>
      <c r="R1347" s="46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</row>
    <row r="1348" ht="14.25" customHeight="1">
      <c r="A1348" s="211">
        <v>16.0</v>
      </c>
      <c r="B1348" s="46" t="s">
        <v>5218</v>
      </c>
      <c r="C1348" s="46" t="s">
        <v>5240</v>
      </c>
      <c r="D1348" s="46"/>
      <c r="E1348" s="46"/>
      <c r="F1348" s="50"/>
      <c r="G1348" s="275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</row>
    <row r="1349" ht="14.25" customHeight="1">
      <c r="A1349" s="211">
        <v>17.0</v>
      </c>
      <c r="B1349" s="46" t="s">
        <v>1142</v>
      </c>
      <c r="C1349" s="46" t="s">
        <v>5240</v>
      </c>
      <c r="D1349" s="46"/>
      <c r="E1349" s="46"/>
      <c r="F1349" s="50"/>
      <c r="G1349" s="275"/>
      <c r="H1349" s="46"/>
      <c r="I1349" s="46"/>
      <c r="J1349" s="46"/>
      <c r="K1349" s="46"/>
      <c r="L1349" s="46">
        <v>1.0</v>
      </c>
      <c r="M1349" s="46"/>
      <c r="N1349" s="46"/>
      <c r="O1349" s="46"/>
      <c r="P1349" s="46"/>
      <c r="Q1349" s="46"/>
      <c r="R1349" s="46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</row>
    <row r="1350" ht="14.25" customHeight="1">
      <c r="A1350" s="211">
        <v>18.0</v>
      </c>
      <c r="B1350" s="46" t="s">
        <v>5241</v>
      </c>
      <c r="C1350" s="46" t="s">
        <v>5242</v>
      </c>
      <c r="D1350" s="46"/>
      <c r="E1350" s="46"/>
      <c r="F1350" s="50"/>
      <c r="G1350" s="275"/>
      <c r="H1350" s="46"/>
      <c r="I1350" s="46"/>
      <c r="J1350" s="46"/>
      <c r="K1350" s="46"/>
      <c r="L1350" s="46"/>
      <c r="M1350" s="46"/>
      <c r="N1350" s="46"/>
      <c r="O1350" s="46"/>
      <c r="P1350" s="46"/>
      <c r="Q1350" s="46"/>
      <c r="R1350" s="46"/>
      <c r="S1350" s="129"/>
      <c r="T1350" s="129"/>
      <c r="U1350" s="129"/>
      <c r="V1350" s="129"/>
      <c r="W1350" s="129"/>
      <c r="X1350" s="129"/>
      <c r="Y1350" s="129"/>
      <c r="Z1350" s="129"/>
      <c r="AA1350" s="129"/>
      <c r="AB1350" s="129"/>
      <c r="AC1350" s="129"/>
      <c r="AD1350" s="129"/>
    </row>
    <row r="1351" ht="14.25" customHeight="1">
      <c r="A1351" s="211">
        <v>19.0</v>
      </c>
      <c r="B1351" s="46" t="s">
        <v>5218</v>
      </c>
      <c r="C1351" s="46" t="s">
        <v>5243</v>
      </c>
      <c r="D1351" s="46"/>
      <c r="E1351" s="46"/>
      <c r="F1351" s="50"/>
      <c r="G1351" s="275"/>
      <c r="H1351" s="46"/>
      <c r="I1351" s="46"/>
      <c r="J1351" s="46"/>
      <c r="K1351" s="46"/>
      <c r="L1351" s="46"/>
      <c r="M1351" s="46"/>
      <c r="N1351" s="46"/>
      <c r="O1351" s="46"/>
      <c r="P1351" s="46"/>
      <c r="Q1351" s="46"/>
      <c r="R1351" s="46"/>
      <c r="S1351" s="129"/>
      <c r="T1351" s="129"/>
      <c r="U1351" s="129"/>
      <c r="V1351" s="129"/>
      <c r="W1351" s="129"/>
      <c r="X1351" s="129"/>
      <c r="Y1351" s="129"/>
      <c r="Z1351" s="129"/>
      <c r="AA1351" s="129"/>
      <c r="AB1351" s="129"/>
      <c r="AC1351" s="129"/>
      <c r="AD1351" s="129"/>
    </row>
    <row r="1352" ht="14.25" customHeight="1">
      <c r="A1352" s="211">
        <v>20.0</v>
      </c>
      <c r="B1352" s="46" t="s">
        <v>1142</v>
      </c>
      <c r="C1352" s="46" t="s">
        <v>5243</v>
      </c>
      <c r="D1352" s="46"/>
      <c r="E1352" s="46"/>
      <c r="F1352" s="50"/>
      <c r="G1352" s="275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  <c r="S1352" s="129"/>
      <c r="T1352" s="129"/>
      <c r="U1352" s="129"/>
      <c r="V1352" s="129"/>
      <c r="W1352" s="129"/>
      <c r="X1352" s="129"/>
      <c r="Y1352" s="129"/>
      <c r="Z1352" s="129"/>
      <c r="AA1352" s="129"/>
      <c r="AB1352" s="129"/>
      <c r="AC1352" s="129"/>
      <c r="AD1352" s="129"/>
    </row>
    <row r="1353" ht="14.25" customHeight="1">
      <c r="A1353" s="211">
        <v>21.0</v>
      </c>
      <c r="B1353" s="46" t="s">
        <v>1171</v>
      </c>
      <c r="C1353" s="46" t="s">
        <v>5243</v>
      </c>
      <c r="D1353" s="46"/>
      <c r="E1353" s="46"/>
      <c r="F1353" s="50"/>
      <c r="G1353" s="275"/>
      <c r="H1353" s="46"/>
      <c r="I1353" s="46"/>
      <c r="J1353" s="46"/>
      <c r="K1353" s="46"/>
      <c r="L1353" s="46"/>
      <c r="M1353" s="46"/>
      <c r="N1353" s="46"/>
      <c r="O1353" s="46"/>
      <c r="P1353" s="46"/>
      <c r="Q1353" s="46"/>
      <c r="R1353" s="46"/>
      <c r="S1353" s="129"/>
      <c r="T1353" s="129"/>
      <c r="U1353" s="129"/>
      <c r="V1353" s="129"/>
      <c r="W1353" s="129"/>
      <c r="X1353" s="129"/>
      <c r="Y1353" s="129"/>
      <c r="Z1353" s="129"/>
      <c r="AA1353" s="129"/>
      <c r="AB1353" s="129"/>
      <c r="AC1353" s="129"/>
      <c r="AD1353" s="129"/>
    </row>
    <row r="1354" ht="14.25" customHeight="1">
      <c r="A1354" s="211">
        <v>22.0</v>
      </c>
      <c r="B1354" s="46" t="s">
        <v>5218</v>
      </c>
      <c r="C1354" s="46" t="s">
        <v>5244</v>
      </c>
      <c r="D1354" s="46"/>
      <c r="E1354" s="46"/>
      <c r="F1354" s="50"/>
      <c r="G1354" s="275"/>
      <c r="H1354" s="46"/>
      <c r="I1354" s="46"/>
      <c r="J1354" s="46"/>
      <c r="K1354" s="46"/>
      <c r="L1354" s="46"/>
      <c r="M1354" s="46"/>
      <c r="N1354" s="46"/>
      <c r="O1354" s="46"/>
      <c r="P1354" s="46"/>
      <c r="Q1354" s="46"/>
      <c r="R1354" s="46"/>
      <c r="S1354" s="129"/>
      <c r="T1354" s="129"/>
      <c r="U1354" s="129"/>
      <c r="V1354" s="129"/>
      <c r="W1354" s="129"/>
      <c r="X1354" s="129"/>
      <c r="Y1354" s="129"/>
      <c r="Z1354" s="129"/>
      <c r="AA1354" s="129"/>
      <c r="AB1354" s="129"/>
      <c r="AC1354" s="129"/>
      <c r="AD1354" s="129"/>
    </row>
    <row r="1355" ht="14.25" customHeight="1">
      <c r="A1355" s="211">
        <v>23.0</v>
      </c>
      <c r="B1355" s="46" t="s">
        <v>1142</v>
      </c>
      <c r="C1355" s="46" t="s">
        <v>5245</v>
      </c>
      <c r="D1355" s="46"/>
      <c r="E1355" s="46"/>
      <c r="F1355" s="50"/>
      <c r="G1355" s="275"/>
      <c r="H1355" s="46"/>
      <c r="I1355" s="46"/>
      <c r="J1355" s="46"/>
      <c r="K1355" s="46"/>
      <c r="L1355" s="46"/>
      <c r="M1355" s="46"/>
      <c r="N1355" s="46"/>
      <c r="O1355" s="46"/>
      <c r="P1355" s="46"/>
      <c r="Q1355" s="46"/>
      <c r="R1355" s="46"/>
      <c r="S1355" s="129"/>
      <c r="T1355" s="129"/>
      <c r="U1355" s="129"/>
      <c r="V1355" s="129"/>
      <c r="W1355" s="129"/>
      <c r="X1355" s="129"/>
      <c r="Y1355" s="129"/>
      <c r="Z1355" s="129"/>
      <c r="AA1355" s="129"/>
      <c r="AB1355" s="129"/>
      <c r="AC1355" s="129"/>
      <c r="AD1355" s="129"/>
    </row>
    <row r="1356" ht="14.25" customHeight="1">
      <c r="A1356" s="211">
        <v>24.0</v>
      </c>
      <c r="B1356" s="46" t="s">
        <v>5246</v>
      </c>
      <c r="C1356" s="46" t="s">
        <v>5245</v>
      </c>
      <c r="D1356" s="46"/>
      <c r="E1356" s="46"/>
      <c r="F1356" s="50"/>
      <c r="G1356" s="275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  <c r="S1356" s="129"/>
      <c r="T1356" s="129"/>
      <c r="U1356" s="129"/>
      <c r="V1356" s="129"/>
      <c r="W1356" s="129"/>
      <c r="X1356" s="129"/>
      <c r="Y1356" s="129"/>
      <c r="Z1356" s="129"/>
      <c r="AA1356" s="129"/>
      <c r="AB1356" s="129"/>
      <c r="AC1356" s="129"/>
      <c r="AD1356" s="129"/>
    </row>
    <row r="1357" ht="14.25" customHeight="1">
      <c r="A1357" s="211">
        <v>25.0</v>
      </c>
      <c r="B1357" s="46" t="s">
        <v>5218</v>
      </c>
      <c r="C1357" s="46" t="s">
        <v>5247</v>
      </c>
      <c r="D1357" s="46"/>
      <c r="E1357" s="46"/>
      <c r="F1357" s="50"/>
      <c r="G1357" s="275"/>
      <c r="H1357" s="46">
        <v>323.0</v>
      </c>
      <c r="I1357" s="46">
        <v>1218.0</v>
      </c>
      <c r="J1357" s="46">
        <v>590.0</v>
      </c>
      <c r="K1357" s="46">
        <v>628.0</v>
      </c>
      <c r="L1357" s="46">
        <v>1.0</v>
      </c>
      <c r="M1357" s="46"/>
      <c r="N1357" s="46"/>
      <c r="O1357" s="46"/>
      <c r="P1357" s="46"/>
      <c r="Q1357" s="46"/>
      <c r="R1357" s="46"/>
      <c r="S1357" s="129"/>
      <c r="T1357" s="129"/>
      <c r="U1357" s="129"/>
      <c r="V1357" s="129"/>
      <c r="W1357" s="129"/>
      <c r="X1357" s="129"/>
      <c r="Y1357" s="129"/>
      <c r="Z1357" s="129"/>
      <c r="AA1357" s="129"/>
      <c r="AB1357" s="129"/>
      <c r="AC1357" s="129"/>
      <c r="AD1357" s="129"/>
    </row>
    <row r="1358" ht="14.25" customHeight="1">
      <c r="A1358" s="211">
        <v>26.0</v>
      </c>
      <c r="B1358" s="46" t="s">
        <v>2302</v>
      </c>
      <c r="C1358" s="46" t="s">
        <v>5247</v>
      </c>
      <c r="D1358" s="46"/>
      <c r="E1358" s="46"/>
      <c r="F1358" s="50"/>
      <c r="G1358" s="275"/>
      <c r="H1358" s="46">
        <v>323.0</v>
      </c>
      <c r="I1358" s="46">
        <v>1218.0</v>
      </c>
      <c r="J1358" s="46">
        <v>590.0</v>
      </c>
      <c r="K1358" s="46">
        <v>628.0</v>
      </c>
      <c r="L1358" s="46">
        <v>1.0</v>
      </c>
      <c r="M1358" s="46"/>
      <c r="N1358" s="46"/>
      <c r="O1358" s="46"/>
      <c r="P1358" s="46"/>
      <c r="Q1358" s="46"/>
      <c r="R1358" s="46"/>
      <c r="S1358" s="129"/>
      <c r="T1358" s="129"/>
      <c r="U1358" s="129"/>
      <c r="V1358" s="129"/>
      <c r="W1358" s="129"/>
      <c r="X1358" s="129"/>
      <c r="Y1358" s="129"/>
      <c r="Z1358" s="129"/>
      <c r="AA1358" s="129"/>
      <c r="AB1358" s="129"/>
      <c r="AC1358" s="129"/>
      <c r="AD1358" s="129"/>
    </row>
    <row r="1359" ht="14.25" customHeight="1">
      <c r="A1359" s="211">
        <v>27.0</v>
      </c>
      <c r="B1359" s="46" t="s">
        <v>1142</v>
      </c>
      <c r="C1359" s="46" t="s">
        <v>5247</v>
      </c>
      <c r="D1359" s="46"/>
      <c r="E1359" s="46"/>
      <c r="F1359" s="50"/>
      <c r="G1359" s="275"/>
      <c r="H1359" s="46">
        <v>323.0</v>
      </c>
      <c r="I1359" s="46">
        <v>1218.0</v>
      </c>
      <c r="J1359" s="46">
        <v>590.0</v>
      </c>
      <c r="K1359" s="46">
        <v>628.0</v>
      </c>
      <c r="L1359" s="46">
        <v>1.0</v>
      </c>
      <c r="M1359" s="46"/>
      <c r="N1359" s="46"/>
      <c r="O1359" s="46"/>
      <c r="P1359" s="46"/>
      <c r="Q1359" s="46"/>
      <c r="R1359" s="46"/>
      <c r="S1359" s="129"/>
      <c r="T1359" s="129"/>
      <c r="U1359" s="129"/>
      <c r="V1359" s="129"/>
      <c r="W1359" s="129"/>
      <c r="X1359" s="129"/>
      <c r="Y1359" s="129"/>
      <c r="Z1359" s="129"/>
      <c r="AA1359" s="129"/>
      <c r="AB1359" s="129"/>
      <c r="AC1359" s="129"/>
      <c r="AD1359" s="129"/>
    </row>
    <row r="1360" ht="14.25" customHeight="1">
      <c r="A1360" s="211">
        <v>28.0</v>
      </c>
      <c r="B1360" s="46" t="s">
        <v>5248</v>
      </c>
      <c r="C1360" s="46" t="s">
        <v>5249</v>
      </c>
      <c r="D1360" s="46"/>
      <c r="E1360" s="46"/>
      <c r="F1360" s="50"/>
      <c r="G1360" s="275"/>
      <c r="H1360" s="46">
        <v>323.0</v>
      </c>
      <c r="I1360" s="46">
        <v>1218.0</v>
      </c>
      <c r="J1360" s="46">
        <v>590.0</v>
      </c>
      <c r="K1360" s="46">
        <v>628.0</v>
      </c>
      <c r="L1360" s="46">
        <v>1.0</v>
      </c>
      <c r="M1360" s="46"/>
      <c r="N1360" s="46"/>
      <c r="O1360" s="46"/>
      <c r="P1360" s="46"/>
      <c r="Q1360" s="46"/>
      <c r="R1360" s="46"/>
      <c r="S1360" s="129"/>
      <c r="T1360" s="129"/>
      <c r="U1360" s="129"/>
      <c r="V1360" s="129"/>
      <c r="W1360" s="129"/>
      <c r="X1360" s="129"/>
      <c r="Y1360" s="129"/>
      <c r="Z1360" s="129"/>
      <c r="AA1360" s="129"/>
      <c r="AB1360" s="129"/>
      <c r="AC1360" s="129"/>
      <c r="AD1360" s="129"/>
    </row>
    <row r="1361" ht="14.25" customHeight="1">
      <c r="A1361" s="211">
        <v>29.0</v>
      </c>
      <c r="B1361" s="46" t="s">
        <v>1171</v>
      </c>
      <c r="C1361" s="46" t="s">
        <v>5250</v>
      </c>
      <c r="D1361" s="46"/>
      <c r="E1361" s="46"/>
      <c r="F1361" s="50"/>
      <c r="G1361" s="275"/>
      <c r="H1361" s="46"/>
      <c r="I1361" s="46"/>
      <c r="J1361" s="46"/>
      <c r="K1361" s="46"/>
      <c r="L1361" s="46"/>
      <c r="M1361" s="46"/>
      <c r="N1361" s="46"/>
      <c r="O1361" s="46"/>
      <c r="P1361" s="46"/>
      <c r="Q1361" s="46"/>
      <c r="R1361" s="46"/>
      <c r="S1361" s="129"/>
      <c r="T1361" s="129"/>
      <c r="U1361" s="129"/>
      <c r="V1361" s="129"/>
      <c r="W1361" s="129"/>
      <c r="X1361" s="129"/>
      <c r="Y1361" s="129"/>
      <c r="Z1361" s="129"/>
      <c r="AA1361" s="129"/>
      <c r="AB1361" s="129"/>
      <c r="AC1361" s="129"/>
      <c r="AD1361" s="129"/>
    </row>
    <row r="1362" ht="14.25" customHeight="1">
      <c r="A1362" s="211">
        <v>30.0</v>
      </c>
      <c r="B1362" s="46" t="s">
        <v>5218</v>
      </c>
      <c r="C1362" s="46" t="s">
        <v>5250</v>
      </c>
      <c r="D1362" s="46"/>
      <c r="E1362" s="46"/>
      <c r="F1362" s="50"/>
      <c r="G1362" s="275"/>
      <c r="H1362" s="46"/>
      <c r="I1362" s="46"/>
      <c r="J1362" s="46"/>
      <c r="K1362" s="46"/>
      <c r="L1362" s="46"/>
      <c r="M1362" s="46"/>
      <c r="N1362" s="46"/>
      <c r="O1362" s="46"/>
      <c r="P1362" s="46"/>
      <c r="Q1362" s="46"/>
      <c r="R1362" s="46"/>
      <c r="S1362" s="129"/>
      <c r="T1362" s="129"/>
      <c r="U1362" s="129"/>
      <c r="V1362" s="129"/>
      <c r="W1362" s="129"/>
      <c r="X1362" s="129"/>
      <c r="Y1362" s="129"/>
      <c r="Z1362" s="129"/>
      <c r="AA1362" s="129"/>
      <c r="AB1362" s="129"/>
      <c r="AC1362" s="129"/>
      <c r="AD1362" s="129"/>
    </row>
    <row r="1363" ht="14.25" customHeight="1">
      <c r="A1363" s="211">
        <v>31.0</v>
      </c>
      <c r="B1363" s="46" t="s">
        <v>1142</v>
      </c>
      <c r="C1363" s="46" t="s">
        <v>5250</v>
      </c>
      <c r="D1363" s="46"/>
      <c r="E1363" s="46"/>
      <c r="F1363" s="50"/>
      <c r="G1363" s="275"/>
      <c r="H1363" s="46"/>
      <c r="I1363" s="46"/>
      <c r="J1363" s="46"/>
      <c r="K1363" s="46"/>
      <c r="L1363" s="46"/>
      <c r="M1363" s="46"/>
      <c r="N1363" s="46"/>
      <c r="O1363" s="46"/>
      <c r="P1363" s="46"/>
      <c r="Q1363" s="46"/>
      <c r="R1363" s="46"/>
      <c r="S1363" s="129"/>
      <c r="T1363" s="129"/>
      <c r="U1363" s="129"/>
      <c r="V1363" s="129"/>
      <c r="W1363" s="129"/>
      <c r="X1363" s="129"/>
      <c r="Y1363" s="129"/>
      <c r="Z1363" s="129"/>
      <c r="AA1363" s="129"/>
      <c r="AB1363" s="129"/>
      <c r="AC1363" s="129"/>
      <c r="AD1363" s="129"/>
    </row>
    <row r="1364" ht="14.25" customHeight="1">
      <c r="A1364" s="211">
        <v>32.0</v>
      </c>
      <c r="B1364" s="46" t="s">
        <v>5251</v>
      </c>
      <c r="C1364" s="46" t="s">
        <v>5250</v>
      </c>
      <c r="D1364" s="46"/>
      <c r="E1364" s="46"/>
      <c r="F1364" s="50"/>
      <c r="G1364" s="275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  <c r="S1364" s="129"/>
      <c r="T1364" s="129"/>
      <c r="U1364" s="129"/>
      <c r="V1364" s="129"/>
      <c r="W1364" s="129"/>
      <c r="X1364" s="129"/>
      <c r="Y1364" s="129"/>
      <c r="Z1364" s="129"/>
      <c r="AA1364" s="129"/>
      <c r="AB1364" s="129"/>
      <c r="AC1364" s="129"/>
      <c r="AD1364" s="129"/>
    </row>
    <row r="1365" ht="14.25" customHeight="1">
      <c r="A1365" s="211">
        <v>33.0</v>
      </c>
      <c r="B1365" s="46" t="s">
        <v>5252</v>
      </c>
      <c r="C1365" s="46" t="s">
        <v>5253</v>
      </c>
      <c r="D1365" s="46"/>
      <c r="E1365" s="46"/>
      <c r="F1365" s="50"/>
      <c r="G1365" s="275"/>
      <c r="H1365" s="46"/>
      <c r="I1365" s="46"/>
      <c r="J1365" s="46"/>
      <c r="K1365" s="46"/>
      <c r="L1365" s="46"/>
      <c r="M1365" s="46"/>
      <c r="N1365" s="46"/>
      <c r="O1365" s="46"/>
      <c r="P1365" s="46"/>
      <c r="Q1365" s="46"/>
      <c r="R1365" s="46"/>
      <c r="S1365" s="129"/>
      <c r="T1365" s="129"/>
      <c r="U1365" s="129"/>
      <c r="V1365" s="129"/>
      <c r="W1365" s="129"/>
      <c r="X1365" s="129"/>
      <c r="Y1365" s="129"/>
      <c r="Z1365" s="129"/>
      <c r="AA1365" s="129"/>
      <c r="AB1365" s="129"/>
      <c r="AC1365" s="129"/>
      <c r="AD1365" s="129"/>
    </row>
    <row r="1366" ht="14.25" customHeight="1">
      <c r="A1366" s="211">
        <v>34.0</v>
      </c>
      <c r="B1366" s="46" t="s">
        <v>1171</v>
      </c>
      <c r="C1366" s="46" t="s">
        <v>5254</v>
      </c>
      <c r="D1366" s="46"/>
      <c r="E1366" s="46"/>
      <c r="F1366" s="50"/>
      <c r="G1366" s="275"/>
      <c r="H1366" s="46"/>
      <c r="I1366" s="46"/>
      <c r="J1366" s="46"/>
      <c r="K1366" s="46"/>
      <c r="L1366" s="46"/>
      <c r="M1366" s="46"/>
      <c r="N1366" s="46"/>
      <c r="O1366" s="46"/>
      <c r="P1366" s="46"/>
      <c r="Q1366" s="46"/>
      <c r="R1366" s="46"/>
      <c r="S1366" s="129"/>
      <c r="T1366" s="129"/>
      <c r="U1366" s="129"/>
      <c r="V1366" s="129"/>
      <c r="W1366" s="129"/>
      <c r="X1366" s="129"/>
      <c r="Y1366" s="129"/>
      <c r="Z1366" s="129"/>
      <c r="AA1366" s="129"/>
      <c r="AB1366" s="129"/>
      <c r="AC1366" s="129"/>
      <c r="AD1366" s="129"/>
    </row>
    <row r="1367" ht="14.25" customHeight="1">
      <c r="A1367" s="211">
        <v>35.0</v>
      </c>
      <c r="B1367" s="46" t="s">
        <v>1142</v>
      </c>
      <c r="C1367" s="46" t="s">
        <v>5254</v>
      </c>
      <c r="D1367" s="46"/>
      <c r="E1367" s="46"/>
      <c r="F1367" s="50"/>
      <c r="G1367" s="275"/>
      <c r="H1367" s="46"/>
      <c r="I1367" s="46"/>
      <c r="J1367" s="46"/>
      <c r="K1367" s="46"/>
      <c r="L1367" s="46"/>
      <c r="M1367" s="46"/>
      <c r="N1367" s="46"/>
      <c r="O1367" s="46"/>
      <c r="P1367" s="46"/>
      <c r="Q1367" s="46"/>
      <c r="R1367" s="46"/>
      <c r="S1367" s="129"/>
      <c r="T1367" s="129"/>
      <c r="U1367" s="129"/>
      <c r="V1367" s="129"/>
      <c r="W1367" s="129"/>
      <c r="X1367" s="129"/>
      <c r="Y1367" s="129"/>
      <c r="Z1367" s="129"/>
      <c r="AA1367" s="129"/>
      <c r="AB1367" s="129"/>
      <c r="AC1367" s="129"/>
      <c r="AD1367" s="129"/>
    </row>
    <row r="1368" ht="14.25" customHeight="1">
      <c r="A1368" s="211">
        <v>36.0</v>
      </c>
      <c r="B1368" s="46" t="s">
        <v>5218</v>
      </c>
      <c r="C1368" s="46" t="s">
        <v>5254</v>
      </c>
      <c r="D1368" s="46"/>
      <c r="E1368" s="46"/>
      <c r="F1368" s="50"/>
      <c r="G1368" s="275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  <c r="S1368" s="129"/>
      <c r="T1368" s="129"/>
      <c r="U1368" s="129"/>
      <c r="V1368" s="129"/>
      <c r="W1368" s="129"/>
      <c r="X1368" s="129"/>
      <c r="Y1368" s="129"/>
      <c r="Z1368" s="129"/>
      <c r="AA1368" s="129"/>
      <c r="AB1368" s="129"/>
      <c r="AC1368" s="129"/>
      <c r="AD1368" s="129"/>
    </row>
    <row r="1369" ht="14.25" customHeight="1">
      <c r="A1369" s="211">
        <v>37.0</v>
      </c>
      <c r="B1369" s="46" t="s">
        <v>1171</v>
      </c>
      <c r="C1369" s="46" t="s">
        <v>2920</v>
      </c>
      <c r="D1369" s="46"/>
      <c r="E1369" s="46"/>
      <c r="F1369" s="50"/>
      <c r="G1369" s="275"/>
      <c r="H1369" s="46"/>
      <c r="I1369" s="46"/>
      <c r="J1369" s="46"/>
      <c r="K1369" s="46"/>
      <c r="L1369" s="46"/>
      <c r="M1369" s="46"/>
      <c r="N1369" s="46"/>
      <c r="O1369" s="46"/>
      <c r="P1369" s="46"/>
      <c r="Q1369" s="46"/>
      <c r="R1369" s="46"/>
      <c r="S1369" s="129"/>
      <c r="T1369" s="129"/>
      <c r="U1369" s="129"/>
      <c r="V1369" s="129"/>
      <c r="W1369" s="129"/>
      <c r="X1369" s="129"/>
      <c r="Y1369" s="129"/>
      <c r="Z1369" s="129"/>
      <c r="AA1369" s="129"/>
      <c r="AB1369" s="129"/>
      <c r="AC1369" s="129"/>
      <c r="AD1369" s="129"/>
    </row>
    <row r="1370" ht="14.25" customHeight="1">
      <c r="A1370" s="211">
        <v>38.0</v>
      </c>
      <c r="B1370" s="46" t="s">
        <v>1142</v>
      </c>
      <c r="C1370" s="46" t="s">
        <v>2920</v>
      </c>
      <c r="D1370" s="46"/>
      <c r="E1370" s="46"/>
      <c r="F1370" s="50"/>
      <c r="G1370" s="275"/>
      <c r="H1370" s="46"/>
      <c r="I1370" s="46"/>
      <c r="J1370" s="46"/>
      <c r="K1370" s="46"/>
      <c r="L1370" s="46"/>
      <c r="M1370" s="46"/>
      <c r="N1370" s="46"/>
      <c r="O1370" s="46"/>
      <c r="P1370" s="46"/>
      <c r="Q1370" s="46"/>
      <c r="R1370" s="46"/>
      <c r="S1370" s="129"/>
      <c r="T1370" s="129"/>
      <c r="U1370" s="129"/>
      <c r="V1370" s="129"/>
      <c r="W1370" s="129"/>
      <c r="X1370" s="129"/>
      <c r="Y1370" s="129"/>
      <c r="Z1370" s="129"/>
      <c r="AA1370" s="129"/>
      <c r="AB1370" s="129"/>
      <c r="AC1370" s="129"/>
      <c r="AD1370" s="129"/>
    </row>
    <row r="1371" ht="14.25" customHeight="1">
      <c r="A1371" s="211">
        <v>39.0</v>
      </c>
      <c r="B1371" s="46" t="s">
        <v>5218</v>
      </c>
      <c r="C1371" s="46" t="s">
        <v>2920</v>
      </c>
      <c r="D1371" s="46"/>
      <c r="E1371" s="46"/>
      <c r="F1371" s="50"/>
      <c r="G1371" s="275"/>
      <c r="H1371" s="46"/>
      <c r="I1371" s="46"/>
      <c r="J1371" s="46"/>
      <c r="K1371" s="46"/>
      <c r="L1371" s="46"/>
      <c r="M1371" s="46"/>
      <c r="N1371" s="46"/>
      <c r="O1371" s="46"/>
      <c r="P1371" s="46"/>
      <c r="Q1371" s="46"/>
      <c r="R1371" s="46"/>
      <c r="S1371" s="129"/>
      <c r="T1371" s="129"/>
      <c r="U1371" s="129"/>
      <c r="V1371" s="129"/>
      <c r="W1371" s="129"/>
      <c r="X1371" s="129"/>
      <c r="Y1371" s="129"/>
      <c r="Z1371" s="129"/>
      <c r="AA1371" s="129"/>
      <c r="AB1371" s="129"/>
      <c r="AC1371" s="129"/>
      <c r="AD1371" s="129"/>
    </row>
    <row r="1372" ht="14.25" customHeight="1">
      <c r="A1372" s="211">
        <v>40.0</v>
      </c>
      <c r="B1372" s="46" t="s">
        <v>5255</v>
      </c>
      <c r="C1372" s="46" t="s">
        <v>5256</v>
      </c>
      <c r="D1372" s="46"/>
      <c r="E1372" s="46"/>
      <c r="F1372" s="50"/>
      <c r="G1372" s="275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  <c r="S1372" s="129"/>
      <c r="T1372" s="129"/>
      <c r="U1372" s="129"/>
      <c r="V1372" s="129"/>
      <c r="W1372" s="129"/>
      <c r="X1372" s="129"/>
      <c r="Y1372" s="129"/>
      <c r="Z1372" s="129"/>
      <c r="AA1372" s="129"/>
      <c r="AB1372" s="129"/>
      <c r="AC1372" s="129"/>
      <c r="AD1372" s="129"/>
    </row>
    <row r="1373" ht="14.25" customHeight="1">
      <c r="A1373" s="211">
        <v>41.0</v>
      </c>
      <c r="B1373" s="46" t="s">
        <v>5218</v>
      </c>
      <c r="C1373" s="46" t="s">
        <v>5257</v>
      </c>
      <c r="D1373" s="46"/>
      <c r="E1373" s="46"/>
      <c r="F1373" s="50"/>
      <c r="G1373" s="275"/>
      <c r="H1373" s="46"/>
      <c r="I1373" s="46"/>
      <c r="J1373" s="46"/>
      <c r="K1373" s="46"/>
      <c r="L1373" s="46"/>
      <c r="M1373" s="46"/>
      <c r="N1373" s="46"/>
      <c r="O1373" s="46"/>
      <c r="P1373" s="46"/>
      <c r="Q1373" s="46"/>
      <c r="R1373" s="46"/>
      <c r="S1373" s="129"/>
      <c r="T1373" s="129"/>
      <c r="U1373" s="129"/>
      <c r="V1373" s="129"/>
      <c r="W1373" s="129"/>
      <c r="X1373" s="129"/>
      <c r="Y1373" s="129"/>
      <c r="Z1373" s="129"/>
      <c r="AA1373" s="129"/>
      <c r="AB1373" s="129"/>
      <c r="AC1373" s="129"/>
      <c r="AD1373" s="129"/>
    </row>
    <row r="1374" ht="14.25" customHeight="1">
      <c r="A1374" s="211">
        <v>42.0</v>
      </c>
      <c r="B1374" s="46" t="s">
        <v>5258</v>
      </c>
      <c r="C1374" s="46" t="s">
        <v>5259</v>
      </c>
      <c r="D1374" s="46"/>
      <c r="E1374" s="46"/>
      <c r="F1374" s="50"/>
      <c r="G1374" s="275"/>
      <c r="H1374" s="46"/>
      <c r="I1374" s="46"/>
      <c r="J1374" s="46"/>
      <c r="K1374" s="46"/>
      <c r="L1374" s="46"/>
      <c r="M1374" s="46"/>
      <c r="N1374" s="46"/>
      <c r="O1374" s="46"/>
      <c r="P1374" s="46"/>
      <c r="Q1374" s="46"/>
      <c r="R1374" s="46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</row>
    <row r="1375" ht="14.25" customHeight="1">
      <c r="A1375" s="211">
        <v>43.0</v>
      </c>
      <c r="B1375" s="46" t="s">
        <v>1142</v>
      </c>
      <c r="C1375" s="46" t="s">
        <v>5260</v>
      </c>
      <c r="D1375" s="46"/>
      <c r="E1375" s="46"/>
      <c r="F1375" s="50"/>
      <c r="G1375" s="275"/>
      <c r="H1375" s="46"/>
      <c r="I1375" s="46"/>
      <c r="J1375" s="46"/>
      <c r="K1375" s="46"/>
      <c r="L1375" s="46"/>
      <c r="M1375" s="46"/>
      <c r="N1375" s="46"/>
      <c r="O1375" s="46"/>
      <c r="P1375" s="46"/>
      <c r="Q1375" s="46"/>
      <c r="R1375" s="46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</row>
    <row r="1376" ht="14.25" customHeight="1">
      <c r="A1376" s="211">
        <v>44.0</v>
      </c>
      <c r="B1376" s="46" t="s">
        <v>1171</v>
      </c>
      <c r="C1376" s="46" t="s">
        <v>5260</v>
      </c>
      <c r="D1376" s="46"/>
      <c r="E1376" s="46"/>
      <c r="F1376" s="50"/>
      <c r="G1376" s="275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  <c r="S1376" s="129"/>
      <c r="T1376" s="129"/>
      <c r="U1376" s="129"/>
      <c r="V1376" s="129"/>
      <c r="W1376" s="129"/>
      <c r="X1376" s="129"/>
      <c r="Y1376" s="129"/>
      <c r="Z1376" s="129"/>
      <c r="AA1376" s="129"/>
      <c r="AB1376" s="129"/>
      <c r="AC1376" s="129"/>
      <c r="AD1376" s="129"/>
    </row>
    <row r="1377" ht="14.25" customHeight="1">
      <c r="A1377" s="211">
        <v>45.0</v>
      </c>
      <c r="B1377" s="46" t="s">
        <v>5227</v>
      </c>
      <c r="C1377" s="46" t="s">
        <v>5260</v>
      </c>
      <c r="D1377" s="46"/>
      <c r="E1377" s="46"/>
      <c r="F1377" s="50"/>
      <c r="G1377" s="275"/>
      <c r="H1377" s="46"/>
      <c r="I1377" s="46"/>
      <c r="J1377" s="46"/>
      <c r="K1377" s="46"/>
      <c r="L1377" s="46"/>
      <c r="M1377" s="46"/>
      <c r="N1377" s="46"/>
      <c r="O1377" s="46"/>
      <c r="P1377" s="46"/>
      <c r="Q1377" s="46"/>
      <c r="R1377" s="46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</row>
    <row r="1378" ht="14.25" customHeight="1">
      <c r="A1378" s="211">
        <v>46.0</v>
      </c>
      <c r="B1378" s="46" t="s">
        <v>1171</v>
      </c>
      <c r="C1378" s="46" t="s">
        <v>5261</v>
      </c>
      <c r="D1378" s="46"/>
      <c r="E1378" s="46"/>
      <c r="F1378" s="50"/>
      <c r="G1378" s="275"/>
      <c r="H1378" s="46"/>
      <c r="I1378" s="46"/>
      <c r="J1378" s="46"/>
      <c r="K1378" s="46"/>
      <c r="L1378" s="46"/>
      <c r="M1378" s="46"/>
      <c r="N1378" s="46"/>
      <c r="O1378" s="46"/>
      <c r="P1378" s="46"/>
      <c r="Q1378" s="46"/>
      <c r="R1378" s="46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</row>
    <row r="1379" ht="14.25" customHeight="1">
      <c r="A1379" s="211">
        <v>47.0</v>
      </c>
      <c r="B1379" s="46" t="s">
        <v>5262</v>
      </c>
      <c r="C1379" s="46" t="s">
        <v>5263</v>
      </c>
      <c r="D1379" s="46"/>
      <c r="E1379" s="46"/>
      <c r="F1379" s="50"/>
      <c r="G1379" s="275"/>
      <c r="H1379" s="46"/>
      <c r="I1379" s="46"/>
      <c r="J1379" s="46"/>
      <c r="K1379" s="46"/>
      <c r="L1379" s="46"/>
      <c r="M1379" s="46"/>
      <c r="N1379" s="46"/>
      <c r="O1379" s="46"/>
      <c r="P1379" s="46"/>
      <c r="Q1379" s="46"/>
      <c r="R1379" s="46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</row>
    <row r="1380" ht="14.25" customHeight="1">
      <c r="A1380" s="211">
        <v>48.0</v>
      </c>
      <c r="B1380" s="46" t="s">
        <v>5218</v>
      </c>
      <c r="C1380" s="46" t="s">
        <v>5264</v>
      </c>
      <c r="D1380" s="46"/>
      <c r="E1380" s="46"/>
      <c r="F1380" s="50"/>
      <c r="G1380" s="275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</row>
    <row r="1381" ht="14.25" customHeight="1">
      <c r="A1381" s="211">
        <v>49.0</v>
      </c>
      <c r="B1381" s="46" t="s">
        <v>1171</v>
      </c>
      <c r="C1381" s="46" t="s">
        <v>5264</v>
      </c>
      <c r="D1381" s="46"/>
      <c r="E1381" s="46"/>
      <c r="F1381" s="50"/>
      <c r="G1381" s="275"/>
      <c r="H1381" s="46"/>
      <c r="I1381" s="46"/>
      <c r="J1381" s="46"/>
      <c r="K1381" s="46"/>
      <c r="L1381" s="46"/>
      <c r="M1381" s="46"/>
      <c r="N1381" s="46"/>
      <c r="O1381" s="46"/>
      <c r="P1381" s="46"/>
      <c r="Q1381" s="46"/>
      <c r="R1381" s="46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</row>
    <row r="1382" ht="14.25" customHeight="1">
      <c r="A1382" s="211">
        <v>50.0</v>
      </c>
      <c r="B1382" s="46" t="s">
        <v>1134</v>
      </c>
      <c r="C1382" s="46" t="s">
        <v>5265</v>
      </c>
      <c r="D1382" s="46"/>
      <c r="E1382" s="46"/>
      <c r="F1382" s="50"/>
      <c r="G1382" s="275"/>
      <c r="H1382" s="46"/>
      <c r="I1382" s="46"/>
      <c r="J1382" s="46"/>
      <c r="K1382" s="46"/>
      <c r="L1382" s="46"/>
      <c r="M1382" s="46"/>
      <c r="N1382" s="46"/>
      <c r="O1382" s="46"/>
      <c r="P1382" s="46"/>
      <c r="Q1382" s="46"/>
      <c r="R1382" s="46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</row>
    <row r="1383" ht="14.25" customHeight="1">
      <c r="A1383" s="211">
        <v>51.0</v>
      </c>
      <c r="B1383" s="46" t="s">
        <v>5266</v>
      </c>
      <c r="C1383" s="46" t="s">
        <v>5265</v>
      </c>
      <c r="D1383" s="46"/>
      <c r="E1383" s="46"/>
      <c r="F1383" s="50"/>
      <c r="G1383" s="275"/>
      <c r="H1383" s="46"/>
      <c r="I1383" s="46"/>
      <c r="J1383" s="46"/>
      <c r="K1383" s="46"/>
      <c r="L1383" s="46"/>
      <c r="M1383" s="46"/>
      <c r="N1383" s="46"/>
      <c r="O1383" s="46"/>
      <c r="P1383" s="46"/>
      <c r="Q1383" s="46"/>
      <c r="R1383" s="46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</row>
    <row r="1384" ht="14.25" customHeight="1">
      <c r="A1384" s="211">
        <v>52.0</v>
      </c>
      <c r="B1384" s="46" t="s">
        <v>5267</v>
      </c>
      <c r="C1384" s="46" t="s">
        <v>1552</v>
      </c>
      <c r="D1384" s="46"/>
      <c r="E1384" s="46"/>
      <c r="F1384" s="50"/>
      <c r="G1384" s="275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</row>
    <row r="1385" ht="14.25" customHeight="1">
      <c r="A1385" s="211">
        <v>53.0</v>
      </c>
      <c r="B1385" s="46" t="s">
        <v>5268</v>
      </c>
      <c r="C1385" s="46" t="s">
        <v>1552</v>
      </c>
      <c r="D1385" s="46"/>
      <c r="E1385" s="46"/>
      <c r="F1385" s="50"/>
      <c r="G1385" s="275"/>
      <c r="H1385" s="46"/>
      <c r="I1385" s="46"/>
      <c r="J1385" s="46"/>
      <c r="K1385" s="46"/>
      <c r="L1385" s="46"/>
      <c r="M1385" s="46"/>
      <c r="N1385" s="46"/>
      <c r="O1385" s="46"/>
      <c r="P1385" s="46"/>
      <c r="Q1385" s="46"/>
      <c r="R1385" s="46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</row>
    <row r="1386" ht="14.25" customHeight="1">
      <c r="A1386" s="211">
        <v>54.0</v>
      </c>
      <c r="B1386" s="46" t="s">
        <v>5269</v>
      </c>
      <c r="C1386" s="46" t="s">
        <v>1552</v>
      </c>
      <c r="D1386" s="46"/>
      <c r="E1386" s="46"/>
      <c r="F1386" s="50"/>
      <c r="G1386" s="275"/>
      <c r="H1386" s="46"/>
      <c r="I1386" s="46"/>
      <c r="J1386" s="46"/>
      <c r="K1386" s="46"/>
      <c r="L1386" s="46"/>
      <c r="M1386" s="46"/>
      <c r="N1386" s="46"/>
      <c r="O1386" s="46"/>
      <c r="P1386" s="46"/>
      <c r="Q1386" s="46"/>
      <c r="R1386" s="46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</row>
    <row r="1387" ht="14.25" customHeight="1">
      <c r="A1387" s="211">
        <v>55.0</v>
      </c>
      <c r="B1387" s="46" t="s">
        <v>5270</v>
      </c>
      <c r="C1387" s="46" t="s">
        <v>1552</v>
      </c>
      <c r="D1387" s="46"/>
      <c r="E1387" s="46"/>
      <c r="F1387" s="50"/>
      <c r="G1387" s="275"/>
      <c r="H1387" s="46"/>
      <c r="I1387" s="46"/>
      <c r="J1387" s="46"/>
      <c r="K1387" s="46"/>
      <c r="L1387" s="46"/>
      <c r="M1387" s="46"/>
      <c r="N1387" s="46"/>
      <c r="O1387" s="46"/>
      <c r="P1387" s="46"/>
      <c r="Q1387" s="46"/>
      <c r="R1387" s="46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</row>
    <row r="1388" ht="14.25" customHeight="1">
      <c r="A1388" s="211">
        <v>56.0</v>
      </c>
      <c r="B1388" s="46" t="s">
        <v>1171</v>
      </c>
      <c r="C1388" s="46" t="s">
        <v>1552</v>
      </c>
      <c r="D1388" s="46"/>
      <c r="E1388" s="46"/>
      <c r="F1388" s="50"/>
      <c r="G1388" s="275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  <c r="S1388" s="129"/>
      <c r="T1388" s="129"/>
      <c r="U1388" s="129"/>
      <c r="V1388" s="129"/>
      <c r="W1388" s="129"/>
      <c r="X1388" s="129"/>
      <c r="Y1388" s="129"/>
      <c r="Z1388" s="129"/>
      <c r="AA1388" s="129"/>
      <c r="AB1388" s="129"/>
      <c r="AC1388" s="129"/>
      <c r="AD1388" s="129"/>
    </row>
    <row r="1389" ht="14.25" customHeight="1">
      <c r="A1389" s="211">
        <v>57.0</v>
      </c>
      <c r="B1389" s="46" t="s">
        <v>5271</v>
      </c>
      <c r="C1389" s="46" t="s">
        <v>1552</v>
      </c>
      <c r="D1389" s="46"/>
      <c r="E1389" s="46"/>
      <c r="F1389" s="50"/>
      <c r="G1389" s="275"/>
      <c r="H1389" s="46"/>
      <c r="I1389" s="46"/>
      <c r="J1389" s="46"/>
      <c r="K1389" s="46"/>
      <c r="L1389" s="46"/>
      <c r="M1389" s="46"/>
      <c r="N1389" s="46"/>
      <c r="O1389" s="46"/>
      <c r="P1389" s="46"/>
      <c r="Q1389" s="46"/>
      <c r="R1389" s="46"/>
      <c r="S1389" s="129"/>
      <c r="T1389" s="129"/>
      <c r="U1389" s="129"/>
      <c r="V1389" s="129"/>
      <c r="W1389" s="129"/>
      <c r="X1389" s="129"/>
      <c r="Y1389" s="129"/>
      <c r="Z1389" s="129"/>
      <c r="AA1389" s="129"/>
      <c r="AB1389" s="129"/>
      <c r="AC1389" s="129"/>
      <c r="AD1389" s="129"/>
    </row>
    <row r="1390" ht="15.75" customHeight="1">
      <c r="A1390" s="181"/>
      <c r="B1390" s="182" t="s">
        <v>5272</v>
      </c>
      <c r="C1390" s="182"/>
      <c r="D1390" s="182"/>
      <c r="E1390" s="182"/>
      <c r="F1390" s="403"/>
      <c r="G1390" s="404"/>
      <c r="H1390" s="182"/>
      <c r="I1390" s="182"/>
      <c r="J1390" s="91"/>
      <c r="K1390" s="91"/>
      <c r="L1390" s="91"/>
      <c r="M1390" s="91"/>
      <c r="N1390" s="91"/>
      <c r="O1390" s="91"/>
      <c r="P1390" s="182"/>
      <c r="Q1390" s="91"/>
      <c r="R1390" s="218"/>
      <c r="S1390" s="405"/>
      <c r="T1390" s="405"/>
      <c r="U1390" s="405"/>
      <c r="V1390" s="405"/>
      <c r="W1390" s="405"/>
      <c r="X1390" s="405"/>
      <c r="Y1390" s="405"/>
      <c r="Z1390" s="405"/>
      <c r="AA1390" s="405"/>
      <c r="AB1390" s="405"/>
      <c r="AC1390" s="405"/>
      <c r="AD1390" s="405"/>
    </row>
    <row r="1391" ht="14.25" customHeight="1">
      <c r="A1391" s="211">
        <v>1.0</v>
      </c>
      <c r="B1391" s="228" t="s">
        <v>5273</v>
      </c>
      <c r="C1391" s="228" t="s">
        <v>5274</v>
      </c>
      <c r="D1391" s="228"/>
      <c r="E1391" s="228"/>
      <c r="F1391" s="419"/>
      <c r="G1391" s="444">
        <v>300.0</v>
      </c>
      <c r="H1391" s="223">
        <v>15.0</v>
      </c>
      <c r="I1391" s="223">
        <v>30.0</v>
      </c>
      <c r="J1391" s="223">
        <v>1.0</v>
      </c>
      <c r="K1391" s="223">
        <v>1.0</v>
      </c>
      <c r="L1391" s="223">
        <v>5.0</v>
      </c>
      <c r="M1391" s="46" t="s">
        <v>5275</v>
      </c>
      <c r="N1391" s="46" t="s">
        <v>5276</v>
      </c>
      <c r="O1391" s="223">
        <v>1000.0</v>
      </c>
      <c r="P1391" s="46" t="s">
        <v>29</v>
      </c>
      <c r="Q1391" s="46"/>
      <c r="R1391" s="46"/>
      <c r="S1391" s="129"/>
      <c r="T1391" s="129"/>
      <c r="U1391" s="129"/>
      <c r="V1391" s="129"/>
      <c r="W1391" s="129"/>
      <c r="X1391" s="129"/>
      <c r="Y1391" s="129"/>
      <c r="Z1391" s="129"/>
      <c r="AA1391" s="129"/>
      <c r="AB1391" s="129"/>
      <c r="AC1391" s="129"/>
      <c r="AD1391" s="129"/>
    </row>
    <row r="1392" ht="14.25" customHeight="1">
      <c r="A1392" s="211">
        <v>2.0</v>
      </c>
      <c r="B1392" s="228" t="s">
        <v>5278</v>
      </c>
      <c r="C1392" s="228" t="s">
        <v>5279</v>
      </c>
      <c r="D1392" s="228"/>
      <c r="E1392" s="228"/>
      <c r="F1392" s="419"/>
      <c r="G1392" s="275" t="s">
        <v>5280</v>
      </c>
      <c r="H1392" s="223">
        <v>15.0</v>
      </c>
      <c r="I1392" s="223">
        <v>30.0</v>
      </c>
      <c r="J1392" s="223">
        <v>2.0</v>
      </c>
      <c r="K1392" s="223">
        <v>2.0</v>
      </c>
      <c r="L1392" s="46"/>
      <c r="M1392" s="46" t="s">
        <v>5275</v>
      </c>
      <c r="N1392" s="46" t="s">
        <v>5276</v>
      </c>
      <c r="O1392" s="223">
        <v>300.0</v>
      </c>
      <c r="P1392" s="46" t="s">
        <v>29</v>
      </c>
      <c r="Q1392" s="46"/>
      <c r="R1392" s="46"/>
      <c r="S1392" s="129"/>
      <c r="T1392" s="129"/>
      <c r="U1392" s="129"/>
      <c r="V1392" s="129"/>
      <c r="W1392" s="129"/>
      <c r="X1392" s="129"/>
      <c r="Y1392" s="129"/>
      <c r="Z1392" s="129"/>
      <c r="AA1392" s="129"/>
      <c r="AB1392" s="129"/>
      <c r="AC1392" s="129"/>
      <c r="AD1392" s="129"/>
    </row>
    <row r="1393" ht="14.25" customHeight="1">
      <c r="A1393" s="211">
        <v>3.0</v>
      </c>
      <c r="B1393" s="228" t="s">
        <v>5281</v>
      </c>
      <c r="C1393" s="228" t="s">
        <v>5274</v>
      </c>
      <c r="D1393" s="228"/>
      <c r="E1393" s="228"/>
      <c r="F1393" s="419"/>
      <c r="G1393" s="444">
        <v>960.0</v>
      </c>
      <c r="H1393" s="223">
        <v>40.0</v>
      </c>
      <c r="I1393" s="223">
        <v>160.0</v>
      </c>
      <c r="J1393" s="223">
        <v>4.0</v>
      </c>
      <c r="K1393" s="223">
        <v>4.0</v>
      </c>
      <c r="L1393" s="46"/>
      <c r="M1393" s="46" t="s">
        <v>5275</v>
      </c>
      <c r="N1393" s="46" t="s">
        <v>5276</v>
      </c>
      <c r="O1393" s="223">
        <v>2000.0</v>
      </c>
      <c r="P1393" s="46" t="s">
        <v>66</v>
      </c>
      <c r="Q1393" s="46"/>
      <c r="R1393" s="46"/>
      <c r="S1393" s="129"/>
      <c r="T1393" s="129"/>
      <c r="U1393" s="129"/>
      <c r="V1393" s="129"/>
      <c r="W1393" s="129"/>
      <c r="X1393" s="129"/>
      <c r="Y1393" s="129"/>
      <c r="Z1393" s="129"/>
      <c r="AA1393" s="129"/>
      <c r="AB1393" s="129"/>
      <c r="AC1393" s="129"/>
      <c r="AD1393" s="129"/>
    </row>
    <row r="1394" ht="14.25" customHeight="1">
      <c r="A1394" s="211">
        <v>4.0</v>
      </c>
      <c r="B1394" s="228" t="s">
        <v>5282</v>
      </c>
      <c r="C1394" s="228" t="s">
        <v>5274</v>
      </c>
      <c r="D1394" s="228"/>
      <c r="E1394" s="228"/>
      <c r="F1394" s="419"/>
      <c r="G1394" s="275" t="s">
        <v>5283</v>
      </c>
      <c r="H1394" s="223">
        <v>5.0</v>
      </c>
      <c r="I1394" s="223">
        <v>20.0</v>
      </c>
      <c r="J1394" s="223">
        <v>2.0</v>
      </c>
      <c r="K1394" s="223">
        <v>2.0</v>
      </c>
      <c r="L1394" s="223">
        <v>1.0</v>
      </c>
      <c r="M1394" s="46" t="s">
        <v>5275</v>
      </c>
      <c r="N1394" s="46" t="s">
        <v>5276</v>
      </c>
      <c r="O1394" s="223">
        <v>300.0</v>
      </c>
      <c r="P1394" s="46" t="s">
        <v>29</v>
      </c>
      <c r="Q1394" s="46"/>
      <c r="R1394" s="46"/>
      <c r="S1394" s="129"/>
      <c r="T1394" s="129"/>
      <c r="U1394" s="129"/>
      <c r="V1394" s="129"/>
      <c r="W1394" s="129"/>
      <c r="X1394" s="129"/>
      <c r="Y1394" s="129"/>
      <c r="Z1394" s="129"/>
      <c r="AA1394" s="129"/>
      <c r="AB1394" s="129"/>
      <c r="AC1394" s="129"/>
      <c r="AD1394" s="129"/>
    </row>
    <row r="1395" ht="14.25" customHeight="1">
      <c r="A1395" s="211">
        <v>5.0</v>
      </c>
      <c r="B1395" s="228" t="s">
        <v>5284</v>
      </c>
      <c r="C1395" s="228" t="s">
        <v>5285</v>
      </c>
      <c r="D1395" s="228"/>
      <c r="E1395" s="228"/>
      <c r="F1395" s="419"/>
      <c r="G1395" s="275" t="s">
        <v>5286</v>
      </c>
      <c r="H1395" s="223">
        <v>15.0</v>
      </c>
      <c r="I1395" s="223">
        <v>60.0</v>
      </c>
      <c r="J1395" s="223">
        <v>2.0</v>
      </c>
      <c r="K1395" s="223">
        <v>2.0</v>
      </c>
      <c r="L1395" s="223">
        <v>3.0</v>
      </c>
      <c r="M1395" s="46" t="s">
        <v>449</v>
      </c>
      <c r="N1395" s="46" t="s">
        <v>5276</v>
      </c>
      <c r="O1395" s="223">
        <v>2000.0</v>
      </c>
      <c r="P1395" s="46" t="s">
        <v>29</v>
      </c>
      <c r="Q1395" s="46"/>
      <c r="R1395" s="46"/>
      <c r="S1395" s="129"/>
      <c r="T1395" s="129"/>
      <c r="U1395" s="129"/>
      <c r="V1395" s="129"/>
      <c r="W1395" s="129"/>
      <c r="X1395" s="129"/>
      <c r="Y1395" s="129"/>
      <c r="Z1395" s="129"/>
      <c r="AA1395" s="129"/>
      <c r="AB1395" s="129"/>
      <c r="AC1395" s="129"/>
      <c r="AD1395" s="129"/>
    </row>
    <row r="1396" ht="14.25" customHeight="1">
      <c r="A1396" s="211">
        <v>6.0</v>
      </c>
      <c r="B1396" s="228" t="s">
        <v>5287</v>
      </c>
      <c r="C1396" s="228" t="s">
        <v>5288</v>
      </c>
      <c r="D1396" s="228"/>
      <c r="E1396" s="228"/>
      <c r="F1396" s="419"/>
      <c r="G1396" s="275" t="s">
        <v>5289</v>
      </c>
      <c r="H1396" s="223">
        <v>5.0</v>
      </c>
      <c r="I1396" s="223">
        <v>20.0</v>
      </c>
      <c r="J1396" s="223">
        <v>2.0</v>
      </c>
      <c r="K1396" s="223">
        <v>2.0</v>
      </c>
      <c r="L1396" s="223">
        <v>3.0</v>
      </c>
      <c r="M1396" s="46" t="s">
        <v>449</v>
      </c>
      <c r="N1396" s="46" t="s">
        <v>5276</v>
      </c>
      <c r="O1396" s="223">
        <v>300.0</v>
      </c>
      <c r="P1396" s="46" t="s">
        <v>29</v>
      </c>
      <c r="Q1396" s="46"/>
      <c r="R1396" s="46"/>
      <c r="S1396" s="129"/>
      <c r="T1396" s="129"/>
      <c r="U1396" s="129"/>
      <c r="V1396" s="129"/>
      <c r="W1396" s="129"/>
      <c r="X1396" s="129"/>
      <c r="Y1396" s="129"/>
      <c r="Z1396" s="129"/>
      <c r="AA1396" s="129"/>
      <c r="AB1396" s="129"/>
      <c r="AC1396" s="129"/>
      <c r="AD1396" s="129"/>
    </row>
    <row r="1397" ht="14.25" customHeight="1">
      <c r="A1397" s="211">
        <v>7.0</v>
      </c>
      <c r="B1397" s="228" t="s">
        <v>5290</v>
      </c>
      <c r="C1397" s="228" t="s">
        <v>5291</v>
      </c>
      <c r="D1397" s="228"/>
      <c r="E1397" s="228"/>
      <c r="F1397" s="419"/>
      <c r="G1397" s="275" t="s">
        <v>5292</v>
      </c>
      <c r="H1397" s="223">
        <v>5.0</v>
      </c>
      <c r="I1397" s="223">
        <v>20.0</v>
      </c>
      <c r="J1397" s="223">
        <v>2.0</v>
      </c>
      <c r="K1397" s="223">
        <v>2.0</v>
      </c>
      <c r="L1397" s="223">
        <v>3.0</v>
      </c>
      <c r="M1397" s="46" t="s">
        <v>5275</v>
      </c>
      <c r="N1397" s="46" t="s">
        <v>5276</v>
      </c>
      <c r="O1397" s="223">
        <v>300.0</v>
      </c>
      <c r="P1397" s="46" t="s">
        <v>29</v>
      </c>
      <c r="Q1397" s="46"/>
      <c r="R1397" s="46"/>
      <c r="S1397" s="129"/>
      <c r="T1397" s="129"/>
      <c r="U1397" s="129"/>
      <c r="V1397" s="129"/>
      <c r="W1397" s="129"/>
      <c r="X1397" s="129"/>
      <c r="Y1397" s="129"/>
      <c r="Z1397" s="129"/>
      <c r="AA1397" s="129"/>
      <c r="AB1397" s="129"/>
      <c r="AC1397" s="129"/>
      <c r="AD1397" s="129"/>
    </row>
    <row r="1398" ht="14.25" customHeight="1">
      <c r="A1398" s="211">
        <v>8.0</v>
      </c>
      <c r="B1398" s="228" t="s">
        <v>5293</v>
      </c>
      <c r="C1398" s="228" t="s">
        <v>5294</v>
      </c>
      <c r="D1398" s="228"/>
      <c r="E1398" s="228"/>
      <c r="F1398" s="419"/>
      <c r="G1398" s="275" t="s">
        <v>5295</v>
      </c>
      <c r="H1398" s="223">
        <v>5.0</v>
      </c>
      <c r="I1398" s="223">
        <v>20.0</v>
      </c>
      <c r="J1398" s="223">
        <v>2.0</v>
      </c>
      <c r="K1398" s="223">
        <v>2.0</v>
      </c>
      <c r="L1398" s="223">
        <v>3.0</v>
      </c>
      <c r="M1398" s="46" t="s">
        <v>449</v>
      </c>
      <c r="N1398" s="46" t="s">
        <v>5276</v>
      </c>
      <c r="O1398" s="223">
        <v>300.0</v>
      </c>
      <c r="P1398" s="46" t="s">
        <v>29</v>
      </c>
      <c r="Q1398" s="46"/>
      <c r="R1398" s="46"/>
      <c r="S1398" s="129"/>
      <c r="T1398" s="129"/>
      <c r="U1398" s="129"/>
      <c r="V1398" s="129"/>
      <c r="W1398" s="129"/>
      <c r="X1398" s="129"/>
      <c r="Y1398" s="129"/>
      <c r="Z1398" s="129"/>
      <c r="AA1398" s="129"/>
      <c r="AB1398" s="129"/>
      <c r="AC1398" s="129"/>
      <c r="AD1398" s="129"/>
    </row>
    <row r="1399" ht="14.25" customHeight="1">
      <c r="A1399" s="211">
        <v>9.0</v>
      </c>
      <c r="B1399" s="228" t="s">
        <v>5296</v>
      </c>
      <c r="C1399" s="228" t="s">
        <v>5297</v>
      </c>
      <c r="D1399" s="228"/>
      <c r="E1399" s="228"/>
      <c r="F1399" s="419"/>
      <c r="G1399" s="444">
        <v>85.0</v>
      </c>
      <c r="H1399" s="223">
        <v>10.0</v>
      </c>
      <c r="I1399" s="223">
        <v>40.0</v>
      </c>
      <c r="J1399" s="223">
        <v>2.0</v>
      </c>
      <c r="K1399" s="223">
        <v>2.0</v>
      </c>
      <c r="L1399" s="223">
        <v>3.0</v>
      </c>
      <c r="M1399" s="46" t="s">
        <v>449</v>
      </c>
      <c r="N1399" s="46" t="s">
        <v>5276</v>
      </c>
      <c r="O1399" s="223">
        <v>300.0</v>
      </c>
      <c r="P1399" s="46" t="s">
        <v>29</v>
      </c>
      <c r="Q1399" s="46"/>
      <c r="R1399" s="46"/>
      <c r="S1399" s="129"/>
      <c r="T1399" s="129"/>
      <c r="U1399" s="129"/>
      <c r="V1399" s="129"/>
      <c r="W1399" s="129"/>
      <c r="X1399" s="129"/>
      <c r="Y1399" s="129"/>
      <c r="Z1399" s="129"/>
      <c r="AA1399" s="129"/>
      <c r="AB1399" s="129"/>
      <c r="AC1399" s="129"/>
      <c r="AD1399" s="129"/>
    </row>
    <row r="1400" ht="14.25" customHeight="1">
      <c r="A1400" s="211">
        <v>10.0</v>
      </c>
      <c r="B1400" s="228" t="s">
        <v>5298</v>
      </c>
      <c r="C1400" s="228" t="s">
        <v>5299</v>
      </c>
      <c r="D1400" s="228"/>
      <c r="E1400" s="228"/>
      <c r="F1400" s="419"/>
      <c r="G1400" s="275" t="s">
        <v>5300</v>
      </c>
      <c r="H1400" s="223">
        <v>5.0</v>
      </c>
      <c r="I1400" s="223">
        <v>20.0</v>
      </c>
      <c r="J1400" s="223">
        <v>2.0</v>
      </c>
      <c r="K1400" s="223">
        <v>2.0</v>
      </c>
      <c r="L1400" s="223">
        <v>3.0</v>
      </c>
      <c r="M1400" s="46" t="s">
        <v>5275</v>
      </c>
      <c r="N1400" s="46" t="s">
        <v>5276</v>
      </c>
      <c r="O1400" s="223">
        <v>200.0</v>
      </c>
      <c r="P1400" s="46" t="s">
        <v>29</v>
      </c>
      <c r="Q1400" s="46"/>
      <c r="R1400" s="46"/>
      <c r="S1400" s="129"/>
      <c r="T1400" s="129"/>
      <c r="U1400" s="129"/>
      <c r="V1400" s="129"/>
      <c r="W1400" s="129"/>
      <c r="X1400" s="129"/>
      <c r="Y1400" s="129"/>
      <c r="Z1400" s="129"/>
      <c r="AA1400" s="129"/>
      <c r="AB1400" s="129"/>
      <c r="AC1400" s="129"/>
      <c r="AD1400" s="129"/>
    </row>
    <row r="1401" ht="14.25" customHeight="1">
      <c r="A1401" s="211">
        <v>11.0</v>
      </c>
      <c r="B1401" s="228" t="s">
        <v>5301</v>
      </c>
      <c r="C1401" s="228" t="s">
        <v>5302</v>
      </c>
      <c r="D1401" s="228"/>
      <c r="E1401" s="228"/>
      <c r="F1401" s="419"/>
      <c r="G1401" s="275" t="s">
        <v>5303</v>
      </c>
      <c r="H1401" s="223">
        <v>20.0</v>
      </c>
      <c r="I1401" s="223">
        <v>40.0</v>
      </c>
      <c r="J1401" s="223">
        <v>2.0</v>
      </c>
      <c r="K1401" s="223">
        <v>2.0</v>
      </c>
      <c r="L1401" s="223">
        <v>3.0</v>
      </c>
      <c r="M1401" s="46" t="s">
        <v>5275</v>
      </c>
      <c r="N1401" s="46" t="s">
        <v>5276</v>
      </c>
      <c r="O1401" s="223">
        <v>2000.0</v>
      </c>
      <c r="P1401" s="46" t="s">
        <v>29</v>
      </c>
      <c r="Q1401" s="46"/>
      <c r="R1401" s="46"/>
      <c r="S1401" s="129"/>
      <c r="T1401" s="129"/>
      <c r="U1401" s="129"/>
      <c r="V1401" s="129"/>
      <c r="W1401" s="129"/>
      <c r="X1401" s="129"/>
      <c r="Y1401" s="129"/>
      <c r="Z1401" s="129"/>
      <c r="AA1401" s="129"/>
      <c r="AB1401" s="129"/>
      <c r="AC1401" s="129"/>
      <c r="AD1401" s="129"/>
    </row>
    <row r="1402" ht="14.25" customHeight="1">
      <c r="A1402" s="211">
        <v>12.0</v>
      </c>
      <c r="B1402" s="228" t="s">
        <v>5304</v>
      </c>
      <c r="C1402" s="228" t="s">
        <v>5305</v>
      </c>
      <c r="D1402" s="228"/>
      <c r="E1402" s="228"/>
      <c r="F1402" s="419"/>
      <c r="G1402" s="275" t="s">
        <v>5306</v>
      </c>
      <c r="H1402" s="223">
        <v>5.0</v>
      </c>
      <c r="I1402" s="223">
        <v>20.0</v>
      </c>
      <c r="J1402" s="223">
        <v>2.0</v>
      </c>
      <c r="K1402" s="223">
        <v>2.0</v>
      </c>
      <c r="L1402" s="223">
        <v>3.0</v>
      </c>
      <c r="M1402" s="46" t="s">
        <v>449</v>
      </c>
      <c r="N1402" s="46" t="s">
        <v>5276</v>
      </c>
      <c r="O1402" s="223">
        <v>200.0</v>
      </c>
      <c r="P1402" s="46" t="s">
        <v>29</v>
      </c>
      <c r="Q1402" s="46"/>
      <c r="R1402" s="46"/>
      <c r="S1402" s="129"/>
      <c r="T1402" s="129"/>
      <c r="U1402" s="129"/>
      <c r="V1402" s="129"/>
      <c r="W1402" s="129"/>
      <c r="X1402" s="129"/>
      <c r="Y1402" s="129"/>
      <c r="Z1402" s="129"/>
      <c r="AA1402" s="129"/>
      <c r="AB1402" s="129"/>
      <c r="AC1402" s="129"/>
      <c r="AD1402" s="129"/>
    </row>
    <row r="1403" ht="14.25" customHeight="1">
      <c r="A1403" s="211">
        <v>13.0</v>
      </c>
      <c r="B1403" s="228" t="s">
        <v>5307</v>
      </c>
      <c r="C1403" s="228" t="s">
        <v>5308</v>
      </c>
      <c r="D1403" s="228"/>
      <c r="E1403" s="228"/>
      <c r="F1403" s="419"/>
      <c r="G1403" s="275" t="s">
        <v>5309</v>
      </c>
      <c r="H1403" s="223">
        <v>10.0</v>
      </c>
      <c r="I1403" s="223">
        <v>40.0</v>
      </c>
      <c r="J1403" s="223">
        <v>2.0</v>
      </c>
      <c r="K1403" s="223">
        <v>2.0</v>
      </c>
      <c r="L1403" s="223">
        <v>3.0</v>
      </c>
      <c r="M1403" s="46" t="s">
        <v>449</v>
      </c>
      <c r="N1403" s="46" t="s">
        <v>5276</v>
      </c>
      <c r="O1403" s="223">
        <v>200.0</v>
      </c>
      <c r="P1403" s="46" t="s">
        <v>29</v>
      </c>
      <c r="Q1403" s="46"/>
      <c r="R1403" s="46"/>
      <c r="S1403" s="129"/>
      <c r="T1403" s="129"/>
      <c r="U1403" s="129"/>
      <c r="V1403" s="129"/>
      <c r="W1403" s="129"/>
      <c r="X1403" s="129"/>
      <c r="Y1403" s="129"/>
      <c r="Z1403" s="129"/>
      <c r="AA1403" s="129"/>
      <c r="AB1403" s="129"/>
      <c r="AC1403" s="129"/>
      <c r="AD1403" s="129"/>
    </row>
    <row r="1404" ht="14.25" customHeight="1">
      <c r="A1404" s="211">
        <v>14.0</v>
      </c>
      <c r="B1404" s="228" t="s">
        <v>5310</v>
      </c>
      <c r="C1404" s="228" t="s">
        <v>5311</v>
      </c>
      <c r="D1404" s="228"/>
      <c r="E1404" s="228"/>
      <c r="F1404" s="419"/>
      <c r="G1404" s="275" t="s">
        <v>5312</v>
      </c>
      <c r="H1404" s="223">
        <v>10.0</v>
      </c>
      <c r="I1404" s="223">
        <v>40.0</v>
      </c>
      <c r="J1404" s="223">
        <v>2.0</v>
      </c>
      <c r="K1404" s="223">
        <v>2.0</v>
      </c>
      <c r="L1404" s="223">
        <v>3.0</v>
      </c>
      <c r="M1404" s="46" t="s">
        <v>5275</v>
      </c>
      <c r="N1404" s="46" t="s">
        <v>5276</v>
      </c>
      <c r="O1404" s="223">
        <v>2000.0</v>
      </c>
      <c r="P1404" s="46" t="s">
        <v>29</v>
      </c>
      <c r="Q1404" s="46"/>
      <c r="R1404" s="46"/>
      <c r="S1404" s="129"/>
      <c r="T1404" s="129"/>
      <c r="U1404" s="129"/>
      <c r="V1404" s="129"/>
      <c r="W1404" s="129"/>
      <c r="X1404" s="129"/>
      <c r="Y1404" s="129"/>
      <c r="Z1404" s="129"/>
      <c r="AA1404" s="129"/>
      <c r="AB1404" s="129"/>
      <c r="AC1404" s="129"/>
      <c r="AD1404" s="129"/>
    </row>
    <row r="1405" ht="14.25" customHeight="1">
      <c r="A1405" s="211">
        <v>15.0</v>
      </c>
      <c r="B1405" s="228" t="s">
        <v>5313</v>
      </c>
      <c r="C1405" s="228" t="s">
        <v>5314</v>
      </c>
      <c r="D1405" s="228"/>
      <c r="E1405" s="228"/>
      <c r="F1405" s="419"/>
      <c r="G1405" s="275" t="s">
        <v>5315</v>
      </c>
      <c r="H1405" s="223">
        <v>10.0</v>
      </c>
      <c r="I1405" s="223">
        <v>40.0</v>
      </c>
      <c r="J1405" s="223">
        <v>2.0</v>
      </c>
      <c r="K1405" s="223">
        <v>2.0</v>
      </c>
      <c r="L1405" s="223">
        <v>3.0</v>
      </c>
      <c r="M1405" s="46" t="s">
        <v>449</v>
      </c>
      <c r="N1405" s="46" t="s">
        <v>5276</v>
      </c>
      <c r="O1405" s="223">
        <v>1000.0</v>
      </c>
      <c r="P1405" s="46" t="s">
        <v>29</v>
      </c>
      <c r="Q1405" s="46"/>
      <c r="R1405" s="46"/>
      <c r="S1405" s="129"/>
      <c r="T1405" s="129"/>
      <c r="U1405" s="129"/>
      <c r="V1405" s="129"/>
      <c r="W1405" s="129"/>
      <c r="X1405" s="129"/>
      <c r="Y1405" s="129"/>
      <c r="Z1405" s="129"/>
      <c r="AA1405" s="129"/>
      <c r="AB1405" s="129"/>
      <c r="AC1405" s="129"/>
      <c r="AD1405" s="129"/>
    </row>
    <row r="1406" ht="14.25" customHeight="1">
      <c r="A1406" s="211">
        <v>16.0</v>
      </c>
      <c r="B1406" s="228" t="s">
        <v>5316</v>
      </c>
      <c r="C1406" s="228" t="s">
        <v>5317</v>
      </c>
      <c r="D1406" s="228"/>
      <c r="E1406" s="228"/>
      <c r="F1406" s="419"/>
      <c r="G1406" s="275" t="s">
        <v>5318</v>
      </c>
      <c r="H1406" s="223">
        <v>5.0</v>
      </c>
      <c r="I1406" s="223">
        <v>20.0</v>
      </c>
      <c r="J1406" s="223">
        <v>2.0</v>
      </c>
      <c r="K1406" s="223">
        <v>2.0</v>
      </c>
      <c r="L1406" s="223">
        <v>3.0</v>
      </c>
      <c r="M1406" s="46" t="s">
        <v>449</v>
      </c>
      <c r="N1406" s="46" t="s">
        <v>5276</v>
      </c>
      <c r="O1406" s="223">
        <v>150.0</v>
      </c>
      <c r="P1406" s="46" t="s">
        <v>29</v>
      </c>
      <c r="Q1406" s="46"/>
      <c r="R1406" s="46"/>
      <c r="S1406" s="129"/>
      <c r="T1406" s="129"/>
      <c r="U1406" s="129"/>
      <c r="V1406" s="129"/>
      <c r="W1406" s="129"/>
      <c r="X1406" s="129"/>
      <c r="Y1406" s="129"/>
      <c r="Z1406" s="129"/>
      <c r="AA1406" s="129"/>
      <c r="AB1406" s="129"/>
      <c r="AC1406" s="129"/>
      <c r="AD1406" s="129"/>
    </row>
    <row r="1407" ht="14.25" customHeight="1">
      <c r="A1407" s="211">
        <v>17.0</v>
      </c>
      <c r="B1407" s="228" t="s">
        <v>5319</v>
      </c>
      <c r="C1407" s="228" t="s">
        <v>5320</v>
      </c>
      <c r="D1407" s="228"/>
      <c r="E1407" s="228"/>
      <c r="F1407" s="419"/>
      <c r="G1407" s="275" t="s">
        <v>5321</v>
      </c>
      <c r="H1407" s="223">
        <v>3.0</v>
      </c>
      <c r="I1407" s="223">
        <v>12.0</v>
      </c>
      <c r="J1407" s="223">
        <v>2.0</v>
      </c>
      <c r="K1407" s="223">
        <v>2.0</v>
      </c>
      <c r="L1407" s="223">
        <v>3.0</v>
      </c>
      <c r="M1407" s="46" t="s">
        <v>449</v>
      </c>
      <c r="N1407" s="46" t="s">
        <v>5276</v>
      </c>
      <c r="O1407" s="223">
        <v>200.0</v>
      </c>
      <c r="P1407" s="46" t="s">
        <v>29</v>
      </c>
      <c r="Q1407" s="46"/>
      <c r="R1407" s="46"/>
      <c r="S1407" s="129"/>
      <c r="T1407" s="129"/>
      <c r="U1407" s="129"/>
      <c r="V1407" s="129"/>
      <c r="W1407" s="129"/>
      <c r="X1407" s="129"/>
      <c r="Y1407" s="129"/>
      <c r="Z1407" s="129"/>
      <c r="AA1407" s="129"/>
      <c r="AB1407" s="129"/>
      <c r="AC1407" s="129"/>
      <c r="AD1407" s="129"/>
    </row>
    <row r="1408" ht="14.25" customHeight="1">
      <c r="A1408" s="211">
        <v>18.0</v>
      </c>
      <c r="B1408" s="228" t="s">
        <v>5322</v>
      </c>
      <c r="C1408" s="228" t="s">
        <v>5323</v>
      </c>
      <c r="D1408" s="228"/>
      <c r="E1408" s="228"/>
      <c r="F1408" s="419"/>
      <c r="G1408" s="275" t="s">
        <v>5324</v>
      </c>
      <c r="H1408" s="223">
        <v>15.0</v>
      </c>
      <c r="I1408" s="223">
        <v>60.0</v>
      </c>
      <c r="J1408" s="223">
        <v>2.0</v>
      </c>
      <c r="K1408" s="223">
        <v>2.0</v>
      </c>
      <c r="L1408" s="223">
        <v>3.0</v>
      </c>
      <c r="M1408" s="46" t="s">
        <v>449</v>
      </c>
      <c r="N1408" s="46" t="s">
        <v>5276</v>
      </c>
      <c r="O1408" s="223">
        <v>2000.0</v>
      </c>
      <c r="P1408" s="46" t="s">
        <v>29</v>
      </c>
      <c r="Q1408" s="46"/>
      <c r="R1408" s="46"/>
      <c r="S1408" s="129"/>
      <c r="T1408" s="129"/>
      <c r="U1408" s="129"/>
      <c r="V1408" s="129"/>
      <c r="W1408" s="129"/>
      <c r="X1408" s="129"/>
      <c r="Y1408" s="129"/>
      <c r="Z1408" s="129"/>
      <c r="AA1408" s="129"/>
      <c r="AB1408" s="129"/>
      <c r="AC1408" s="129"/>
      <c r="AD1408" s="129"/>
    </row>
    <row r="1409" ht="14.25" customHeight="1">
      <c r="A1409" s="211">
        <v>19.0</v>
      </c>
      <c r="B1409" s="228" t="s">
        <v>5325</v>
      </c>
      <c r="C1409" s="228" t="s">
        <v>5326</v>
      </c>
      <c r="D1409" s="228"/>
      <c r="E1409" s="228"/>
      <c r="F1409" s="419"/>
      <c r="G1409" s="275" t="s">
        <v>5327</v>
      </c>
      <c r="H1409" s="223">
        <v>15.0</v>
      </c>
      <c r="I1409" s="223">
        <v>60.0</v>
      </c>
      <c r="J1409" s="223">
        <v>2.0</v>
      </c>
      <c r="K1409" s="223">
        <v>2.0</v>
      </c>
      <c r="L1409" s="223">
        <v>3.0</v>
      </c>
      <c r="M1409" s="46" t="s">
        <v>449</v>
      </c>
      <c r="N1409" s="46" t="s">
        <v>5276</v>
      </c>
      <c r="O1409" s="223">
        <v>2000.0</v>
      </c>
      <c r="P1409" s="46" t="s">
        <v>29</v>
      </c>
      <c r="Q1409" s="46"/>
      <c r="R1409" s="46"/>
      <c r="S1409" s="129"/>
      <c r="T1409" s="129"/>
      <c r="U1409" s="129"/>
      <c r="V1409" s="129"/>
      <c r="W1409" s="129"/>
      <c r="X1409" s="129"/>
      <c r="Y1409" s="129"/>
      <c r="Z1409" s="129"/>
      <c r="AA1409" s="129"/>
      <c r="AB1409" s="129"/>
      <c r="AC1409" s="129"/>
      <c r="AD1409" s="129"/>
    </row>
    <row r="1410" ht="14.25" customHeight="1">
      <c r="A1410" s="211">
        <v>20.0</v>
      </c>
      <c r="B1410" s="46" t="s">
        <v>5328</v>
      </c>
      <c r="C1410" s="82" t="s">
        <v>5329</v>
      </c>
      <c r="D1410" s="82"/>
      <c r="E1410" s="82"/>
      <c r="F1410" s="406"/>
      <c r="G1410" s="275">
        <v>400.0</v>
      </c>
      <c r="H1410" s="46">
        <v>20.0</v>
      </c>
      <c r="I1410" s="46">
        <v>60.0</v>
      </c>
      <c r="J1410" s="46">
        <v>0.0</v>
      </c>
      <c r="K1410" s="46">
        <v>0.0</v>
      </c>
      <c r="L1410" s="46">
        <v>0.0</v>
      </c>
      <c r="M1410" s="46" t="s">
        <v>5275</v>
      </c>
      <c r="N1410" s="46" t="s">
        <v>5276</v>
      </c>
      <c r="O1410" s="46">
        <v>200.0</v>
      </c>
      <c r="P1410" s="46" t="s">
        <v>29</v>
      </c>
      <c r="Q1410" s="46" t="s">
        <v>5330</v>
      </c>
      <c r="R1410" s="46"/>
      <c r="S1410" s="129"/>
      <c r="T1410" s="129"/>
      <c r="U1410" s="129"/>
      <c r="V1410" s="129"/>
      <c r="W1410" s="129"/>
      <c r="X1410" s="129"/>
      <c r="Y1410" s="129"/>
      <c r="Z1410" s="129"/>
      <c r="AA1410" s="129"/>
      <c r="AB1410" s="129"/>
      <c r="AC1410" s="129"/>
      <c r="AD1410" s="129"/>
    </row>
    <row r="1411" ht="15.75" customHeight="1">
      <c r="A1411" s="181"/>
      <c r="B1411" s="182" t="s">
        <v>5331</v>
      </c>
      <c r="C1411" s="182"/>
      <c r="D1411" s="182"/>
      <c r="E1411" s="182"/>
      <c r="F1411" s="403"/>
      <c r="G1411" s="404"/>
      <c r="H1411" s="182"/>
      <c r="I1411" s="182"/>
      <c r="J1411" s="91"/>
      <c r="K1411" s="91"/>
      <c r="L1411" s="91"/>
      <c r="M1411" s="91"/>
      <c r="N1411" s="91"/>
      <c r="O1411" s="91"/>
      <c r="P1411" s="182"/>
      <c r="Q1411" s="91"/>
      <c r="R1411" s="218"/>
      <c r="S1411" s="405"/>
      <c r="T1411" s="405"/>
      <c r="U1411" s="405"/>
      <c r="V1411" s="405"/>
      <c r="W1411" s="405"/>
      <c r="X1411" s="405"/>
      <c r="Y1411" s="405"/>
      <c r="Z1411" s="405"/>
      <c r="AA1411" s="405"/>
      <c r="AB1411" s="405"/>
      <c r="AC1411" s="405"/>
      <c r="AD1411" s="405"/>
    </row>
    <row r="1412" ht="14.25" customHeight="1">
      <c r="A1412" s="211">
        <v>1.0</v>
      </c>
      <c r="B1412" s="228" t="s">
        <v>5332</v>
      </c>
      <c r="C1412" s="82" t="s">
        <v>5333</v>
      </c>
      <c r="D1412" s="82"/>
      <c r="E1412" s="82"/>
      <c r="F1412" s="406"/>
      <c r="G1412" s="445">
        <v>112.0</v>
      </c>
      <c r="H1412" s="228"/>
      <c r="I1412" s="228">
        <v>50.0</v>
      </c>
      <c r="J1412" s="82">
        <v>1.0</v>
      </c>
      <c r="K1412" s="82">
        <v>1.0</v>
      </c>
      <c r="L1412" s="82"/>
      <c r="M1412" s="82" t="s">
        <v>5334</v>
      </c>
      <c r="N1412" s="82"/>
      <c r="O1412" s="82"/>
      <c r="P1412" s="82" t="s">
        <v>29</v>
      </c>
      <c r="Q1412" s="46"/>
      <c r="R1412" s="46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</row>
    <row r="1413" ht="14.25" customHeight="1">
      <c r="A1413" s="211">
        <v>2.0</v>
      </c>
      <c r="B1413" s="228" t="s">
        <v>5335</v>
      </c>
      <c r="C1413" s="82" t="s">
        <v>5336</v>
      </c>
      <c r="D1413" s="82"/>
      <c r="E1413" s="82"/>
      <c r="F1413" s="406"/>
      <c r="G1413" s="445">
        <v>60.0</v>
      </c>
      <c r="H1413" s="446">
        <v>44595.0</v>
      </c>
      <c r="I1413" s="228">
        <v>45.0</v>
      </c>
      <c r="J1413" s="82"/>
      <c r="K1413" s="82"/>
      <c r="L1413" s="82">
        <v>1.0</v>
      </c>
      <c r="M1413" s="82" t="s">
        <v>5334</v>
      </c>
      <c r="N1413" s="82"/>
      <c r="O1413" s="82"/>
      <c r="P1413" s="82" t="s">
        <v>29</v>
      </c>
      <c r="Q1413" s="46"/>
      <c r="R1413" s="46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</row>
    <row r="1414" ht="14.25" customHeight="1">
      <c r="A1414" s="211">
        <v>3.0</v>
      </c>
      <c r="B1414" s="82" t="s">
        <v>5337</v>
      </c>
      <c r="C1414" s="82" t="s">
        <v>5336</v>
      </c>
      <c r="D1414" s="82"/>
      <c r="E1414" s="82"/>
      <c r="F1414" s="406"/>
      <c r="G1414" s="444">
        <v>60.0</v>
      </c>
      <c r="H1414" s="447">
        <v>44687.0</v>
      </c>
      <c r="I1414" s="82">
        <v>30.0</v>
      </c>
      <c r="J1414" s="82">
        <v>1.0</v>
      </c>
      <c r="K1414" s="82">
        <v>1.0</v>
      </c>
      <c r="L1414" s="82"/>
      <c r="M1414" s="82" t="s">
        <v>5334</v>
      </c>
      <c r="N1414" s="82"/>
      <c r="O1414" s="82"/>
      <c r="P1414" s="82" t="s">
        <v>29</v>
      </c>
      <c r="Q1414" s="46"/>
      <c r="R1414" s="46"/>
      <c r="S1414" s="129"/>
      <c r="T1414" s="129"/>
      <c r="U1414" s="129"/>
      <c r="V1414" s="129"/>
      <c r="W1414" s="129"/>
      <c r="X1414" s="129"/>
      <c r="Y1414" s="129"/>
      <c r="Z1414" s="129"/>
      <c r="AA1414" s="129"/>
      <c r="AB1414" s="129"/>
      <c r="AC1414" s="129"/>
      <c r="AD1414" s="129"/>
    </row>
    <row r="1415" ht="14.25" customHeight="1">
      <c r="A1415" s="211">
        <v>4.0</v>
      </c>
      <c r="B1415" s="82" t="s">
        <v>5338</v>
      </c>
      <c r="C1415" s="82" t="s">
        <v>5339</v>
      </c>
      <c r="D1415" s="82"/>
      <c r="E1415" s="82"/>
      <c r="F1415" s="406"/>
      <c r="G1415" s="444">
        <v>256.0</v>
      </c>
      <c r="H1415" s="82">
        <v>20.0</v>
      </c>
      <c r="I1415" s="82">
        <v>180.0</v>
      </c>
      <c r="J1415" s="82">
        <v>2.0</v>
      </c>
      <c r="K1415" s="82">
        <v>2.0</v>
      </c>
      <c r="L1415" s="82"/>
      <c r="M1415" s="82" t="s">
        <v>449</v>
      </c>
      <c r="N1415" s="82"/>
      <c r="O1415" s="82"/>
      <c r="P1415" s="82" t="s">
        <v>29</v>
      </c>
      <c r="Q1415" s="46"/>
      <c r="R1415" s="46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</row>
    <row r="1416" ht="14.25" customHeight="1">
      <c r="A1416" s="211">
        <v>5.0</v>
      </c>
      <c r="B1416" s="82" t="s">
        <v>5340</v>
      </c>
      <c r="C1416" s="82" t="s">
        <v>5339</v>
      </c>
      <c r="D1416" s="82"/>
      <c r="E1416" s="82"/>
      <c r="F1416" s="406"/>
      <c r="G1416" s="444">
        <v>70.0</v>
      </c>
      <c r="H1416" s="82"/>
      <c r="I1416" s="82">
        <v>50.0</v>
      </c>
      <c r="J1416" s="82"/>
      <c r="K1416" s="82"/>
      <c r="L1416" s="82">
        <v>1.0</v>
      </c>
      <c r="M1416" s="82" t="s">
        <v>449</v>
      </c>
      <c r="N1416" s="82"/>
      <c r="O1416" s="82"/>
      <c r="P1416" s="82" t="s">
        <v>29</v>
      </c>
      <c r="Q1416" s="46"/>
      <c r="R1416" s="46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</row>
    <row r="1417" ht="14.25" customHeight="1">
      <c r="A1417" s="211">
        <v>6.0</v>
      </c>
      <c r="B1417" s="82" t="s">
        <v>5341</v>
      </c>
      <c r="C1417" s="82" t="s">
        <v>5342</v>
      </c>
      <c r="D1417" s="82"/>
      <c r="E1417" s="82"/>
      <c r="F1417" s="406"/>
      <c r="G1417" s="444">
        <v>195.0</v>
      </c>
      <c r="H1417" s="82">
        <v>30.0</v>
      </c>
      <c r="I1417" s="82">
        <v>80.0</v>
      </c>
      <c r="J1417" s="82">
        <v>2.0</v>
      </c>
      <c r="K1417" s="82">
        <v>2.0</v>
      </c>
      <c r="L1417" s="82"/>
      <c r="M1417" s="82" t="s">
        <v>449</v>
      </c>
      <c r="N1417" s="82"/>
      <c r="O1417" s="82"/>
      <c r="P1417" s="82" t="s">
        <v>29</v>
      </c>
      <c r="Q1417" s="46"/>
      <c r="R1417" s="46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</row>
    <row r="1418" ht="14.25" customHeight="1">
      <c r="A1418" s="211">
        <v>7.0</v>
      </c>
      <c r="B1418" s="82" t="s">
        <v>5343</v>
      </c>
      <c r="C1418" s="82" t="s">
        <v>5342</v>
      </c>
      <c r="D1418" s="82"/>
      <c r="E1418" s="82"/>
      <c r="F1418" s="406"/>
      <c r="G1418" s="444">
        <v>80.0</v>
      </c>
      <c r="H1418" s="82"/>
      <c r="I1418" s="82">
        <v>40.0</v>
      </c>
      <c r="J1418" s="82"/>
      <c r="K1418" s="82"/>
      <c r="L1418" s="82">
        <v>1.0</v>
      </c>
      <c r="M1418" s="82" t="s">
        <v>449</v>
      </c>
      <c r="N1418" s="82"/>
      <c r="O1418" s="82"/>
      <c r="P1418" s="82" t="s">
        <v>29</v>
      </c>
      <c r="Q1418" s="46"/>
      <c r="R1418" s="46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</row>
    <row r="1419" ht="14.25" customHeight="1">
      <c r="A1419" s="211">
        <v>8.0</v>
      </c>
      <c r="B1419" s="82" t="s">
        <v>5344</v>
      </c>
      <c r="C1419" s="82" t="s">
        <v>5345</v>
      </c>
      <c r="D1419" s="82"/>
      <c r="E1419" s="82"/>
      <c r="F1419" s="406"/>
      <c r="G1419" s="444">
        <v>192.0</v>
      </c>
      <c r="H1419" s="82">
        <v>30.0</v>
      </c>
      <c r="I1419" s="82">
        <v>90.0</v>
      </c>
      <c r="J1419" s="82">
        <v>2.0</v>
      </c>
      <c r="K1419" s="82">
        <v>2.0</v>
      </c>
      <c r="L1419" s="82"/>
      <c r="M1419" s="82" t="s">
        <v>5334</v>
      </c>
      <c r="N1419" s="82"/>
      <c r="O1419" s="82"/>
      <c r="P1419" s="82" t="s">
        <v>29</v>
      </c>
      <c r="Q1419" s="46"/>
      <c r="R1419" s="46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</row>
    <row r="1420" ht="14.25" customHeight="1">
      <c r="A1420" s="211">
        <v>9.0</v>
      </c>
      <c r="B1420" s="82" t="s">
        <v>5346</v>
      </c>
      <c r="C1420" s="82" t="s">
        <v>5345</v>
      </c>
      <c r="D1420" s="82"/>
      <c r="E1420" s="82"/>
      <c r="F1420" s="406"/>
      <c r="G1420" s="444">
        <v>18.0</v>
      </c>
      <c r="H1420" s="82"/>
      <c r="I1420" s="82">
        <v>10.0</v>
      </c>
      <c r="J1420" s="82"/>
      <c r="K1420" s="82"/>
      <c r="L1420" s="82">
        <v>1.0</v>
      </c>
      <c r="M1420" s="82" t="s">
        <v>5334</v>
      </c>
      <c r="N1420" s="82"/>
      <c r="O1420" s="82"/>
      <c r="P1420" s="82" t="s">
        <v>29</v>
      </c>
      <c r="Q1420" s="46"/>
      <c r="R1420" s="46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</row>
    <row r="1421" ht="14.25" customHeight="1">
      <c r="A1421" s="211">
        <v>10.0</v>
      </c>
      <c r="B1421" s="82" t="s">
        <v>5347</v>
      </c>
      <c r="C1421" s="82" t="s">
        <v>5348</v>
      </c>
      <c r="D1421" s="82"/>
      <c r="E1421" s="82"/>
      <c r="F1421" s="406"/>
      <c r="G1421" s="444">
        <v>256.0</v>
      </c>
      <c r="H1421" s="82"/>
      <c r="I1421" s="82">
        <v>180.0</v>
      </c>
      <c r="J1421" s="82">
        <v>2.0</v>
      </c>
      <c r="K1421" s="82">
        <v>2.0</v>
      </c>
      <c r="L1421" s="82"/>
      <c r="M1421" s="82" t="s">
        <v>449</v>
      </c>
      <c r="N1421" s="82"/>
      <c r="O1421" s="82"/>
      <c r="P1421" s="82" t="s">
        <v>29</v>
      </c>
      <c r="Q1421" s="46"/>
      <c r="R1421" s="46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</row>
    <row r="1422" ht="14.25" customHeight="1">
      <c r="A1422" s="211">
        <v>11.0</v>
      </c>
      <c r="B1422" s="82" t="s">
        <v>5349</v>
      </c>
      <c r="C1422" s="82" t="s">
        <v>5348</v>
      </c>
      <c r="D1422" s="82"/>
      <c r="E1422" s="82"/>
      <c r="F1422" s="406"/>
      <c r="G1422" s="444">
        <v>256.0</v>
      </c>
      <c r="H1422" s="82"/>
      <c r="I1422" s="82">
        <v>180.0</v>
      </c>
      <c r="J1422" s="82">
        <v>2.0</v>
      </c>
      <c r="K1422" s="82">
        <v>2.0</v>
      </c>
      <c r="L1422" s="82"/>
      <c r="M1422" s="82" t="s">
        <v>449</v>
      </c>
      <c r="N1422" s="82"/>
      <c r="O1422" s="82"/>
      <c r="P1422" s="82" t="s">
        <v>29</v>
      </c>
      <c r="Q1422" s="46"/>
      <c r="R1422" s="46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</row>
    <row r="1423" ht="14.25" customHeight="1">
      <c r="A1423" s="211">
        <v>12.0</v>
      </c>
      <c r="B1423" s="82" t="s">
        <v>5350</v>
      </c>
      <c r="C1423" s="82" t="s">
        <v>5348</v>
      </c>
      <c r="D1423" s="82"/>
      <c r="E1423" s="82"/>
      <c r="F1423" s="406"/>
      <c r="G1423" s="444">
        <v>64.0</v>
      </c>
      <c r="H1423" s="82"/>
      <c r="I1423" s="82">
        <v>25.0</v>
      </c>
      <c r="J1423" s="82"/>
      <c r="K1423" s="82"/>
      <c r="L1423" s="82">
        <v>1.0</v>
      </c>
      <c r="M1423" s="82" t="s">
        <v>449</v>
      </c>
      <c r="N1423" s="82"/>
      <c r="O1423" s="82"/>
      <c r="P1423" s="82" t="s">
        <v>29</v>
      </c>
      <c r="Q1423" s="46"/>
      <c r="R1423" s="46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</row>
    <row r="1424" ht="14.25" customHeight="1">
      <c r="A1424" s="211">
        <v>13.0</v>
      </c>
      <c r="B1424" s="82" t="s">
        <v>5351</v>
      </c>
      <c r="C1424" s="82" t="s">
        <v>5352</v>
      </c>
      <c r="D1424" s="82"/>
      <c r="E1424" s="82"/>
      <c r="F1424" s="406"/>
      <c r="G1424" s="444">
        <v>256.0</v>
      </c>
      <c r="H1424" s="82"/>
      <c r="I1424" s="82">
        <v>150.0</v>
      </c>
      <c r="J1424" s="82">
        <v>2.0</v>
      </c>
      <c r="K1424" s="82">
        <v>2.0</v>
      </c>
      <c r="L1424" s="82"/>
      <c r="M1424" s="82" t="s">
        <v>5334</v>
      </c>
      <c r="N1424" s="82"/>
      <c r="O1424" s="82"/>
      <c r="P1424" s="82" t="s">
        <v>29</v>
      </c>
      <c r="Q1424" s="46"/>
      <c r="R1424" s="46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</row>
    <row r="1425" ht="14.25" customHeight="1">
      <c r="A1425" s="211">
        <v>14.0</v>
      </c>
      <c r="B1425" s="82" t="s">
        <v>5353</v>
      </c>
      <c r="C1425" s="82" t="s">
        <v>5352</v>
      </c>
      <c r="D1425" s="82"/>
      <c r="E1425" s="82"/>
      <c r="F1425" s="406"/>
      <c r="G1425" s="444">
        <v>130.0</v>
      </c>
      <c r="H1425" s="82">
        <v>60.0</v>
      </c>
      <c r="I1425" s="82">
        <v>275.0</v>
      </c>
      <c r="J1425" s="82"/>
      <c r="K1425" s="82"/>
      <c r="L1425" s="82">
        <v>1.0</v>
      </c>
      <c r="M1425" s="82" t="s">
        <v>5334</v>
      </c>
      <c r="N1425" s="82"/>
      <c r="O1425" s="82"/>
      <c r="P1425" s="82" t="s">
        <v>29</v>
      </c>
      <c r="Q1425" s="46"/>
      <c r="R1425" s="46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</row>
    <row r="1426" ht="14.25" customHeight="1">
      <c r="A1426" s="211">
        <v>15.0</v>
      </c>
      <c r="B1426" s="82" t="s">
        <v>5354</v>
      </c>
      <c r="C1426" s="82" t="s">
        <v>5355</v>
      </c>
      <c r="D1426" s="82"/>
      <c r="E1426" s="82"/>
      <c r="F1426" s="406"/>
      <c r="G1426" s="444">
        <v>70.0</v>
      </c>
      <c r="H1426" s="82">
        <v>50.0</v>
      </c>
      <c r="I1426" s="82">
        <v>205.0</v>
      </c>
      <c r="J1426" s="82"/>
      <c r="K1426" s="82"/>
      <c r="L1426" s="82">
        <v>1.0</v>
      </c>
      <c r="M1426" s="82" t="s">
        <v>449</v>
      </c>
      <c r="N1426" s="82"/>
      <c r="O1426" s="82"/>
      <c r="P1426" s="82" t="s">
        <v>29</v>
      </c>
      <c r="Q1426" s="46"/>
      <c r="R1426" s="46"/>
      <c r="S1426" s="129"/>
      <c r="T1426" s="129"/>
      <c r="U1426" s="129"/>
      <c r="V1426" s="129"/>
      <c r="W1426" s="129"/>
      <c r="X1426" s="129"/>
      <c r="Y1426" s="129"/>
      <c r="Z1426" s="129"/>
      <c r="AA1426" s="129"/>
      <c r="AB1426" s="129"/>
      <c r="AC1426" s="129"/>
      <c r="AD1426" s="129"/>
    </row>
    <row r="1427" ht="14.25" customHeight="1">
      <c r="A1427" s="211">
        <v>16.0</v>
      </c>
      <c r="B1427" s="82" t="s">
        <v>5356</v>
      </c>
      <c r="C1427" s="82" t="s">
        <v>5357</v>
      </c>
      <c r="D1427" s="82"/>
      <c r="E1427" s="82"/>
      <c r="F1427" s="406"/>
      <c r="G1427" s="444">
        <v>63.0</v>
      </c>
      <c r="H1427" s="82"/>
      <c r="I1427" s="82">
        <v>45.0</v>
      </c>
      <c r="J1427" s="82">
        <v>2.0</v>
      </c>
      <c r="K1427" s="82">
        <v>2.0</v>
      </c>
      <c r="L1427" s="82"/>
      <c r="M1427" s="82" t="s">
        <v>449</v>
      </c>
      <c r="N1427" s="82"/>
      <c r="O1427" s="82"/>
      <c r="P1427" s="82" t="s">
        <v>29</v>
      </c>
      <c r="Q1427" s="46"/>
      <c r="R1427" s="46"/>
      <c r="S1427" s="129"/>
      <c r="T1427" s="129"/>
      <c r="U1427" s="129"/>
      <c r="V1427" s="129"/>
      <c r="W1427" s="129"/>
      <c r="X1427" s="129"/>
      <c r="Y1427" s="129"/>
      <c r="Z1427" s="129"/>
      <c r="AA1427" s="129"/>
      <c r="AB1427" s="129"/>
      <c r="AC1427" s="129"/>
      <c r="AD1427" s="129"/>
    </row>
    <row r="1428" ht="14.25" customHeight="1">
      <c r="A1428" s="211">
        <v>17.0</v>
      </c>
      <c r="B1428" s="82" t="s">
        <v>5358</v>
      </c>
      <c r="C1428" s="82" t="s">
        <v>5357</v>
      </c>
      <c r="D1428" s="82"/>
      <c r="E1428" s="82"/>
      <c r="F1428" s="406"/>
      <c r="G1428" s="444">
        <v>63.0</v>
      </c>
      <c r="H1428" s="82"/>
      <c r="I1428" s="82">
        <v>45.0</v>
      </c>
      <c r="J1428" s="82">
        <v>2.0</v>
      </c>
      <c r="K1428" s="82">
        <v>2.0</v>
      </c>
      <c r="L1428" s="82"/>
      <c r="M1428" s="82" t="s">
        <v>449</v>
      </c>
      <c r="N1428" s="82"/>
      <c r="O1428" s="82"/>
      <c r="P1428" s="82" t="s">
        <v>29</v>
      </c>
      <c r="Q1428" s="46"/>
      <c r="R1428" s="46"/>
      <c r="S1428" s="129"/>
      <c r="T1428" s="129"/>
      <c r="U1428" s="129"/>
      <c r="V1428" s="129"/>
      <c r="W1428" s="129"/>
      <c r="X1428" s="129"/>
      <c r="Y1428" s="129"/>
      <c r="Z1428" s="129"/>
      <c r="AA1428" s="129"/>
      <c r="AB1428" s="129"/>
      <c r="AC1428" s="129"/>
      <c r="AD1428" s="129"/>
    </row>
    <row r="1429" ht="14.25" customHeight="1">
      <c r="A1429" s="211">
        <v>18.0</v>
      </c>
      <c r="B1429" s="82" t="s">
        <v>5359</v>
      </c>
      <c r="C1429" s="82" t="s">
        <v>5357</v>
      </c>
      <c r="D1429" s="82"/>
      <c r="E1429" s="82"/>
      <c r="F1429" s="406"/>
      <c r="G1429" s="444">
        <v>24.0</v>
      </c>
      <c r="H1429" s="82"/>
      <c r="I1429" s="82">
        <v>15.0</v>
      </c>
      <c r="J1429" s="82"/>
      <c r="K1429" s="82"/>
      <c r="L1429" s="82">
        <v>1.0</v>
      </c>
      <c r="M1429" s="82" t="s">
        <v>449</v>
      </c>
      <c r="N1429" s="82"/>
      <c r="O1429" s="82"/>
      <c r="P1429" s="82" t="s">
        <v>29</v>
      </c>
      <c r="Q1429" s="46"/>
      <c r="R1429" s="46"/>
      <c r="S1429" s="129"/>
      <c r="T1429" s="129"/>
      <c r="U1429" s="129"/>
      <c r="V1429" s="129"/>
      <c r="W1429" s="129"/>
      <c r="X1429" s="129"/>
      <c r="Y1429" s="129"/>
      <c r="Z1429" s="129"/>
      <c r="AA1429" s="129"/>
      <c r="AB1429" s="129"/>
      <c r="AC1429" s="129"/>
      <c r="AD1429" s="129"/>
    </row>
    <row r="1430" ht="14.25" customHeight="1">
      <c r="A1430" s="211">
        <v>19.0</v>
      </c>
      <c r="B1430" s="82" t="s">
        <v>5360</v>
      </c>
      <c r="C1430" s="82" t="s">
        <v>5361</v>
      </c>
      <c r="D1430" s="82"/>
      <c r="E1430" s="82"/>
      <c r="F1430" s="406"/>
      <c r="G1430" s="444">
        <v>256.0</v>
      </c>
      <c r="H1430" s="82"/>
      <c r="I1430" s="82">
        <v>180.0</v>
      </c>
      <c r="J1430" s="82">
        <v>2.0</v>
      </c>
      <c r="K1430" s="82">
        <v>2.0</v>
      </c>
      <c r="L1430" s="82"/>
      <c r="M1430" s="82" t="s">
        <v>449</v>
      </c>
      <c r="N1430" s="82"/>
      <c r="O1430" s="82"/>
      <c r="P1430" s="82" t="s">
        <v>29</v>
      </c>
      <c r="Q1430" s="46"/>
      <c r="R1430" s="46"/>
      <c r="S1430" s="129"/>
      <c r="T1430" s="129"/>
      <c r="U1430" s="129"/>
      <c r="V1430" s="129"/>
      <c r="W1430" s="129"/>
      <c r="X1430" s="129"/>
      <c r="Y1430" s="129"/>
      <c r="Z1430" s="129"/>
      <c r="AA1430" s="129"/>
      <c r="AB1430" s="129"/>
      <c r="AC1430" s="129"/>
      <c r="AD1430" s="129"/>
    </row>
    <row r="1431" ht="14.25" customHeight="1">
      <c r="A1431" s="211">
        <v>20.0</v>
      </c>
      <c r="B1431" s="82" t="s">
        <v>5362</v>
      </c>
      <c r="C1431" s="82" t="s">
        <v>5361</v>
      </c>
      <c r="D1431" s="82"/>
      <c r="E1431" s="82"/>
      <c r="F1431" s="406"/>
      <c r="G1431" s="444">
        <v>192.0</v>
      </c>
      <c r="H1431" s="82"/>
      <c r="I1431" s="82">
        <v>95.0</v>
      </c>
      <c r="J1431" s="82"/>
      <c r="K1431" s="82"/>
      <c r="L1431" s="82">
        <v>1.0</v>
      </c>
      <c r="M1431" s="82" t="s">
        <v>449</v>
      </c>
      <c r="N1431" s="82"/>
      <c r="O1431" s="82"/>
      <c r="P1431" s="82" t="s">
        <v>29</v>
      </c>
      <c r="Q1431" s="46"/>
      <c r="R1431" s="46"/>
      <c r="S1431" s="129"/>
      <c r="T1431" s="129"/>
      <c r="U1431" s="129"/>
      <c r="V1431" s="129"/>
      <c r="W1431" s="129"/>
      <c r="X1431" s="129"/>
      <c r="Y1431" s="129"/>
      <c r="Z1431" s="129"/>
      <c r="AA1431" s="129"/>
      <c r="AB1431" s="129"/>
      <c r="AC1431" s="129"/>
      <c r="AD1431" s="129"/>
    </row>
    <row r="1432" ht="14.25" customHeight="1">
      <c r="A1432" s="211">
        <v>21.0</v>
      </c>
      <c r="B1432" s="82" t="s">
        <v>5363</v>
      </c>
      <c r="C1432" s="82" t="s">
        <v>4770</v>
      </c>
      <c r="D1432" s="82"/>
      <c r="E1432" s="82"/>
      <c r="F1432" s="406"/>
      <c r="G1432" s="444">
        <v>64.0</v>
      </c>
      <c r="H1432" s="82"/>
      <c r="I1432" s="82">
        <v>25.0</v>
      </c>
      <c r="J1432" s="82"/>
      <c r="K1432" s="82"/>
      <c r="L1432" s="82">
        <v>1.0</v>
      </c>
      <c r="M1432" s="82" t="s">
        <v>5334</v>
      </c>
      <c r="N1432" s="82"/>
      <c r="O1432" s="82"/>
      <c r="P1432" s="82" t="s">
        <v>29</v>
      </c>
      <c r="Q1432" s="46"/>
      <c r="R1432" s="46"/>
      <c r="S1432" s="129"/>
      <c r="T1432" s="129"/>
      <c r="U1432" s="129"/>
      <c r="V1432" s="129"/>
      <c r="W1432" s="129"/>
      <c r="X1432" s="129"/>
      <c r="Y1432" s="129"/>
      <c r="Z1432" s="129"/>
      <c r="AA1432" s="129"/>
      <c r="AB1432" s="129"/>
      <c r="AC1432" s="129"/>
      <c r="AD1432" s="129"/>
    </row>
    <row r="1433" ht="14.25" customHeight="1">
      <c r="A1433" s="211">
        <v>22.0</v>
      </c>
      <c r="B1433" s="82" t="s">
        <v>5364</v>
      </c>
      <c r="C1433" s="82" t="s">
        <v>5365</v>
      </c>
      <c r="D1433" s="82"/>
      <c r="E1433" s="82"/>
      <c r="F1433" s="406"/>
      <c r="G1433" s="444">
        <v>192.0</v>
      </c>
      <c r="H1433" s="82">
        <v>30.0</v>
      </c>
      <c r="I1433" s="82">
        <v>80.0</v>
      </c>
      <c r="J1433" s="82">
        <v>2.0</v>
      </c>
      <c r="K1433" s="82">
        <v>2.0</v>
      </c>
      <c r="L1433" s="82"/>
      <c r="M1433" s="82" t="s">
        <v>449</v>
      </c>
      <c r="N1433" s="82"/>
      <c r="O1433" s="82"/>
      <c r="P1433" s="82" t="s">
        <v>29</v>
      </c>
      <c r="Q1433" s="46"/>
      <c r="R1433" s="46"/>
      <c r="S1433" s="129"/>
      <c r="T1433" s="129"/>
      <c r="U1433" s="129"/>
      <c r="V1433" s="129"/>
      <c r="W1433" s="129"/>
      <c r="X1433" s="129"/>
      <c r="Y1433" s="129"/>
      <c r="Z1433" s="129"/>
      <c r="AA1433" s="129"/>
      <c r="AB1433" s="129"/>
      <c r="AC1433" s="129"/>
      <c r="AD1433" s="129"/>
    </row>
    <row r="1434" ht="14.25" customHeight="1">
      <c r="A1434" s="211">
        <v>23.0</v>
      </c>
      <c r="B1434" s="82" t="s">
        <v>5366</v>
      </c>
      <c r="C1434" s="82" t="s">
        <v>5365</v>
      </c>
      <c r="D1434" s="82"/>
      <c r="E1434" s="82"/>
      <c r="F1434" s="406"/>
      <c r="G1434" s="444">
        <v>64.0</v>
      </c>
      <c r="H1434" s="82"/>
      <c r="I1434" s="82">
        <v>25.0</v>
      </c>
      <c r="J1434" s="82"/>
      <c r="K1434" s="82"/>
      <c r="L1434" s="82">
        <v>1.0</v>
      </c>
      <c r="M1434" s="82" t="s">
        <v>449</v>
      </c>
      <c r="N1434" s="82"/>
      <c r="O1434" s="82"/>
      <c r="P1434" s="82" t="s">
        <v>29</v>
      </c>
      <c r="Q1434" s="46"/>
      <c r="R1434" s="46"/>
      <c r="S1434" s="129"/>
      <c r="T1434" s="129"/>
      <c r="U1434" s="129"/>
      <c r="V1434" s="129"/>
      <c r="W1434" s="129"/>
      <c r="X1434" s="129"/>
      <c r="Y1434" s="129"/>
      <c r="Z1434" s="129"/>
      <c r="AA1434" s="129"/>
      <c r="AB1434" s="129"/>
      <c r="AC1434" s="129"/>
      <c r="AD1434" s="129"/>
    </row>
    <row r="1435" ht="14.25" customHeight="1">
      <c r="A1435" s="211">
        <v>24.0</v>
      </c>
      <c r="B1435" s="82" t="s">
        <v>5367</v>
      </c>
      <c r="C1435" s="82" t="s">
        <v>5368</v>
      </c>
      <c r="D1435" s="82"/>
      <c r="E1435" s="82"/>
      <c r="F1435" s="406"/>
      <c r="G1435" s="444">
        <v>256.0</v>
      </c>
      <c r="H1435" s="82"/>
      <c r="I1435" s="82">
        <v>120.0</v>
      </c>
      <c r="J1435" s="82">
        <v>2.0</v>
      </c>
      <c r="K1435" s="82">
        <v>2.0</v>
      </c>
      <c r="L1435" s="82"/>
      <c r="M1435" s="82" t="s">
        <v>449</v>
      </c>
      <c r="N1435" s="82"/>
      <c r="O1435" s="82"/>
      <c r="P1435" s="82" t="s">
        <v>29</v>
      </c>
      <c r="Q1435" s="46"/>
      <c r="R1435" s="46"/>
      <c r="S1435" s="129"/>
      <c r="T1435" s="129"/>
      <c r="U1435" s="129"/>
      <c r="V1435" s="129"/>
      <c r="W1435" s="129"/>
      <c r="X1435" s="129"/>
      <c r="Y1435" s="129"/>
      <c r="Z1435" s="129"/>
      <c r="AA1435" s="129"/>
      <c r="AB1435" s="129"/>
      <c r="AC1435" s="129"/>
      <c r="AD1435" s="129"/>
    </row>
    <row r="1436" ht="14.25" customHeight="1">
      <c r="A1436" s="211">
        <v>25.0</v>
      </c>
      <c r="B1436" s="82" t="s">
        <v>5369</v>
      </c>
      <c r="C1436" s="82" t="s">
        <v>5368</v>
      </c>
      <c r="D1436" s="82"/>
      <c r="E1436" s="82"/>
      <c r="F1436" s="406"/>
      <c r="G1436" s="444">
        <v>35.0</v>
      </c>
      <c r="H1436" s="82"/>
      <c r="I1436" s="82">
        <v>15.0</v>
      </c>
      <c r="J1436" s="82"/>
      <c r="K1436" s="82"/>
      <c r="L1436" s="82">
        <v>1.0</v>
      </c>
      <c r="M1436" s="82" t="s">
        <v>449</v>
      </c>
      <c r="N1436" s="82"/>
      <c r="O1436" s="82"/>
      <c r="P1436" s="82" t="s">
        <v>29</v>
      </c>
      <c r="Q1436" s="46"/>
      <c r="R1436" s="46"/>
      <c r="S1436" s="129"/>
      <c r="T1436" s="129"/>
      <c r="U1436" s="129"/>
      <c r="V1436" s="129"/>
      <c r="W1436" s="129"/>
      <c r="X1436" s="129"/>
      <c r="Y1436" s="129"/>
      <c r="Z1436" s="129"/>
      <c r="AA1436" s="129"/>
      <c r="AB1436" s="129"/>
      <c r="AC1436" s="129"/>
      <c r="AD1436" s="129"/>
    </row>
    <row r="1437" ht="14.25" customHeight="1">
      <c r="A1437" s="211">
        <v>26.0</v>
      </c>
      <c r="B1437" s="82" t="s">
        <v>5370</v>
      </c>
      <c r="C1437" s="82" t="s">
        <v>5371</v>
      </c>
      <c r="D1437" s="82"/>
      <c r="E1437" s="82"/>
      <c r="F1437" s="406"/>
      <c r="G1437" s="444">
        <v>256.0</v>
      </c>
      <c r="H1437" s="82"/>
      <c r="I1437" s="82">
        <v>180.0</v>
      </c>
      <c r="J1437" s="82">
        <v>2.0</v>
      </c>
      <c r="K1437" s="82">
        <v>2.0</v>
      </c>
      <c r="L1437" s="82"/>
      <c r="M1437" s="82" t="s">
        <v>449</v>
      </c>
      <c r="N1437" s="82"/>
      <c r="O1437" s="82"/>
      <c r="P1437" s="82" t="s">
        <v>29</v>
      </c>
      <c r="Q1437" s="46"/>
      <c r="R1437" s="46"/>
      <c r="S1437" s="129"/>
      <c r="T1437" s="129"/>
      <c r="U1437" s="129"/>
      <c r="V1437" s="129"/>
      <c r="W1437" s="129"/>
      <c r="X1437" s="129"/>
      <c r="Y1437" s="129"/>
      <c r="Z1437" s="129"/>
      <c r="AA1437" s="129"/>
      <c r="AB1437" s="129"/>
      <c r="AC1437" s="129"/>
      <c r="AD1437" s="129"/>
    </row>
    <row r="1438" ht="14.25" customHeight="1">
      <c r="A1438" s="211">
        <v>27.0</v>
      </c>
      <c r="B1438" s="82" t="s">
        <v>5372</v>
      </c>
      <c r="C1438" s="82" t="s">
        <v>5371</v>
      </c>
      <c r="D1438" s="82"/>
      <c r="E1438" s="82"/>
      <c r="F1438" s="406"/>
      <c r="G1438" s="444">
        <v>128.0</v>
      </c>
      <c r="H1438" s="82"/>
      <c r="I1438" s="82">
        <v>70.0</v>
      </c>
      <c r="J1438" s="82"/>
      <c r="K1438" s="82"/>
      <c r="L1438" s="82">
        <v>1.0</v>
      </c>
      <c r="M1438" s="82" t="s">
        <v>449</v>
      </c>
      <c r="N1438" s="82"/>
      <c r="O1438" s="82"/>
      <c r="P1438" s="82" t="s">
        <v>29</v>
      </c>
      <c r="Q1438" s="46"/>
      <c r="R1438" s="46"/>
      <c r="S1438" s="129"/>
      <c r="T1438" s="129"/>
      <c r="U1438" s="129"/>
      <c r="V1438" s="129"/>
      <c r="W1438" s="129"/>
      <c r="X1438" s="129"/>
      <c r="Y1438" s="129"/>
      <c r="Z1438" s="129"/>
      <c r="AA1438" s="129"/>
      <c r="AB1438" s="129"/>
      <c r="AC1438" s="129"/>
      <c r="AD1438" s="129"/>
    </row>
    <row r="1439" ht="14.25" customHeight="1">
      <c r="A1439" s="211">
        <v>28.0</v>
      </c>
      <c r="B1439" s="82" t="s">
        <v>5373</v>
      </c>
      <c r="C1439" s="82" t="s">
        <v>5374</v>
      </c>
      <c r="D1439" s="82"/>
      <c r="E1439" s="82"/>
      <c r="F1439" s="406"/>
      <c r="G1439" s="444">
        <v>64.0</v>
      </c>
      <c r="H1439" s="82"/>
      <c r="I1439" s="82">
        <v>25.0</v>
      </c>
      <c r="J1439" s="82"/>
      <c r="K1439" s="82"/>
      <c r="L1439" s="82">
        <v>1.0</v>
      </c>
      <c r="M1439" s="82" t="s">
        <v>449</v>
      </c>
      <c r="N1439" s="82"/>
      <c r="O1439" s="82"/>
      <c r="P1439" s="82" t="s">
        <v>29</v>
      </c>
      <c r="Q1439" s="46"/>
      <c r="R1439" s="46"/>
      <c r="S1439" s="129"/>
      <c r="T1439" s="129"/>
      <c r="U1439" s="129"/>
      <c r="V1439" s="129"/>
      <c r="W1439" s="129"/>
      <c r="X1439" s="129"/>
      <c r="Y1439" s="129"/>
      <c r="Z1439" s="129"/>
      <c r="AA1439" s="129"/>
      <c r="AB1439" s="129"/>
      <c r="AC1439" s="129"/>
      <c r="AD1439" s="129"/>
    </row>
    <row r="1440" ht="14.25" customHeight="1">
      <c r="A1440" s="211">
        <v>29.0</v>
      </c>
      <c r="B1440" s="82" t="s">
        <v>5375</v>
      </c>
      <c r="C1440" s="82" t="s">
        <v>5376</v>
      </c>
      <c r="D1440" s="82"/>
      <c r="E1440" s="82"/>
      <c r="F1440" s="406"/>
      <c r="G1440" s="444">
        <v>64.0</v>
      </c>
      <c r="H1440" s="82"/>
      <c r="I1440" s="82">
        <v>25.0</v>
      </c>
      <c r="J1440" s="82"/>
      <c r="K1440" s="82"/>
      <c r="L1440" s="82">
        <v>1.0</v>
      </c>
      <c r="M1440" s="82" t="s">
        <v>449</v>
      </c>
      <c r="N1440" s="82"/>
      <c r="O1440" s="82"/>
      <c r="P1440" s="82" t="s">
        <v>29</v>
      </c>
      <c r="Q1440" s="46"/>
      <c r="R1440" s="46"/>
      <c r="S1440" s="129"/>
      <c r="T1440" s="129"/>
      <c r="U1440" s="129"/>
      <c r="V1440" s="129"/>
      <c r="W1440" s="129"/>
      <c r="X1440" s="129"/>
      <c r="Y1440" s="129"/>
      <c r="Z1440" s="129"/>
      <c r="AA1440" s="129"/>
      <c r="AB1440" s="129"/>
      <c r="AC1440" s="129"/>
      <c r="AD1440" s="129"/>
    </row>
    <row r="1441" ht="14.25" customHeight="1">
      <c r="A1441" s="211">
        <v>30.0</v>
      </c>
      <c r="B1441" s="82" t="s">
        <v>5377</v>
      </c>
      <c r="C1441" s="82" t="s">
        <v>5378</v>
      </c>
      <c r="D1441" s="82"/>
      <c r="E1441" s="82"/>
      <c r="F1441" s="406"/>
      <c r="G1441" s="444">
        <v>192.0</v>
      </c>
      <c r="H1441" s="82"/>
      <c r="I1441" s="82">
        <v>90.0</v>
      </c>
      <c r="J1441" s="82">
        <v>2.0</v>
      </c>
      <c r="K1441" s="82">
        <v>2.0</v>
      </c>
      <c r="L1441" s="82"/>
      <c r="M1441" s="82" t="s">
        <v>449</v>
      </c>
      <c r="N1441" s="82"/>
      <c r="O1441" s="82"/>
      <c r="P1441" s="82" t="s">
        <v>29</v>
      </c>
      <c r="Q1441" s="46"/>
      <c r="R1441" s="46"/>
      <c r="S1441" s="129"/>
      <c r="T1441" s="129"/>
      <c r="U1441" s="129"/>
      <c r="V1441" s="129"/>
      <c r="W1441" s="129"/>
      <c r="X1441" s="129"/>
      <c r="Y1441" s="129"/>
      <c r="Z1441" s="129"/>
      <c r="AA1441" s="129"/>
      <c r="AB1441" s="129"/>
      <c r="AC1441" s="129"/>
      <c r="AD1441" s="129"/>
    </row>
    <row r="1442" ht="14.25" customHeight="1">
      <c r="A1442" s="211">
        <v>31.0</v>
      </c>
      <c r="B1442" s="82" t="s">
        <v>5379</v>
      </c>
      <c r="C1442" s="82" t="s">
        <v>5378</v>
      </c>
      <c r="D1442" s="82"/>
      <c r="E1442" s="82"/>
      <c r="F1442" s="406"/>
      <c r="G1442" s="444">
        <v>64.0</v>
      </c>
      <c r="H1442" s="82"/>
      <c r="I1442" s="82">
        <v>25.0</v>
      </c>
      <c r="J1442" s="82"/>
      <c r="K1442" s="82"/>
      <c r="L1442" s="82">
        <v>1.0</v>
      </c>
      <c r="M1442" s="82" t="s">
        <v>449</v>
      </c>
      <c r="N1442" s="82"/>
      <c r="O1442" s="82"/>
      <c r="P1442" s="82" t="s">
        <v>29</v>
      </c>
      <c r="Q1442" s="46"/>
      <c r="R1442" s="46"/>
      <c r="S1442" s="129"/>
      <c r="T1442" s="129"/>
      <c r="U1442" s="129"/>
      <c r="V1442" s="129"/>
      <c r="W1442" s="129"/>
      <c r="X1442" s="129"/>
      <c r="Y1442" s="129"/>
      <c r="Z1442" s="129"/>
      <c r="AA1442" s="129"/>
      <c r="AB1442" s="129"/>
      <c r="AC1442" s="129"/>
      <c r="AD1442" s="129"/>
    </row>
    <row r="1443" ht="14.25" customHeight="1">
      <c r="A1443" s="211">
        <v>32.0</v>
      </c>
      <c r="B1443" s="82" t="s">
        <v>5380</v>
      </c>
      <c r="C1443" s="82" t="s">
        <v>5381</v>
      </c>
      <c r="D1443" s="82"/>
      <c r="E1443" s="82"/>
      <c r="F1443" s="406"/>
      <c r="G1443" s="444">
        <v>128.0</v>
      </c>
      <c r="H1443" s="82"/>
      <c r="I1443" s="82">
        <v>80.0</v>
      </c>
      <c r="J1443" s="82">
        <v>2.0</v>
      </c>
      <c r="K1443" s="82">
        <v>2.0</v>
      </c>
      <c r="L1443" s="82"/>
      <c r="M1443" s="82" t="s">
        <v>449</v>
      </c>
      <c r="N1443" s="82"/>
      <c r="O1443" s="82"/>
      <c r="P1443" s="82" t="s">
        <v>29</v>
      </c>
      <c r="Q1443" s="46"/>
      <c r="R1443" s="46"/>
      <c r="S1443" s="129"/>
      <c r="T1443" s="129"/>
      <c r="U1443" s="129"/>
      <c r="V1443" s="129"/>
      <c r="W1443" s="129"/>
      <c r="X1443" s="129"/>
      <c r="Y1443" s="129"/>
      <c r="Z1443" s="129"/>
      <c r="AA1443" s="129"/>
      <c r="AB1443" s="129"/>
      <c r="AC1443" s="129"/>
      <c r="AD1443" s="129"/>
    </row>
    <row r="1444" ht="14.25" customHeight="1">
      <c r="A1444" s="211">
        <v>33.0</v>
      </c>
      <c r="B1444" s="82" t="s">
        <v>5382</v>
      </c>
      <c r="C1444" s="82" t="s">
        <v>5381</v>
      </c>
      <c r="D1444" s="82"/>
      <c r="E1444" s="82"/>
      <c r="F1444" s="406"/>
      <c r="G1444" s="444">
        <v>64.0</v>
      </c>
      <c r="H1444" s="82"/>
      <c r="I1444" s="82">
        <v>30.0</v>
      </c>
      <c r="J1444" s="82"/>
      <c r="K1444" s="82"/>
      <c r="L1444" s="82">
        <v>1.0</v>
      </c>
      <c r="M1444" s="82" t="s">
        <v>449</v>
      </c>
      <c r="N1444" s="82"/>
      <c r="O1444" s="82"/>
      <c r="P1444" s="82" t="s">
        <v>29</v>
      </c>
      <c r="Q1444" s="46"/>
      <c r="R1444" s="46"/>
      <c r="S1444" s="129"/>
      <c r="T1444" s="129"/>
      <c r="U1444" s="129"/>
      <c r="V1444" s="129"/>
      <c r="W1444" s="129"/>
      <c r="X1444" s="129"/>
      <c r="Y1444" s="129"/>
      <c r="Z1444" s="129"/>
      <c r="AA1444" s="129"/>
      <c r="AB1444" s="129"/>
      <c r="AC1444" s="129"/>
      <c r="AD1444" s="129"/>
    </row>
    <row r="1445" ht="14.25" customHeight="1">
      <c r="A1445" s="211">
        <v>34.0</v>
      </c>
      <c r="B1445" s="82" t="s">
        <v>5383</v>
      </c>
      <c r="C1445" s="82" t="s">
        <v>5384</v>
      </c>
      <c r="D1445" s="82"/>
      <c r="E1445" s="82"/>
      <c r="F1445" s="406"/>
      <c r="G1445" s="444">
        <v>90.86</v>
      </c>
      <c r="H1445" s="82"/>
      <c r="I1445" s="82">
        <v>70.0</v>
      </c>
      <c r="J1445" s="82"/>
      <c r="K1445" s="82"/>
      <c r="L1445" s="82">
        <v>1.0</v>
      </c>
      <c r="M1445" s="82" t="s">
        <v>5334</v>
      </c>
      <c r="N1445" s="82"/>
      <c r="O1445" s="82"/>
      <c r="P1445" s="82" t="s">
        <v>29</v>
      </c>
      <c r="Q1445" s="46"/>
      <c r="R1445" s="46"/>
      <c r="S1445" s="129"/>
      <c r="T1445" s="129"/>
      <c r="U1445" s="129"/>
      <c r="V1445" s="129"/>
      <c r="W1445" s="129"/>
      <c r="X1445" s="129"/>
      <c r="Y1445" s="129"/>
      <c r="Z1445" s="129"/>
      <c r="AA1445" s="129"/>
      <c r="AB1445" s="129"/>
      <c r="AC1445" s="129"/>
      <c r="AD1445" s="129"/>
    </row>
    <row r="1446" ht="14.25" customHeight="1">
      <c r="A1446" s="211">
        <v>35.0</v>
      </c>
      <c r="B1446" s="82" t="s">
        <v>5385</v>
      </c>
      <c r="C1446" s="82" t="s">
        <v>5386</v>
      </c>
      <c r="D1446" s="82"/>
      <c r="E1446" s="82"/>
      <c r="F1446" s="406"/>
      <c r="G1446" s="444">
        <v>192.0</v>
      </c>
      <c r="H1446" s="82"/>
      <c r="I1446" s="82">
        <v>90.0</v>
      </c>
      <c r="J1446" s="82">
        <v>2.0</v>
      </c>
      <c r="K1446" s="82">
        <v>2.0</v>
      </c>
      <c r="L1446" s="82"/>
      <c r="M1446" s="82" t="s">
        <v>449</v>
      </c>
      <c r="N1446" s="82"/>
      <c r="O1446" s="82"/>
      <c r="P1446" s="82" t="s">
        <v>29</v>
      </c>
      <c r="Q1446" s="46"/>
      <c r="R1446" s="46"/>
      <c r="S1446" s="129"/>
      <c r="T1446" s="129"/>
      <c r="U1446" s="129"/>
      <c r="V1446" s="129"/>
      <c r="W1446" s="129"/>
      <c r="X1446" s="129"/>
      <c r="Y1446" s="129"/>
      <c r="Z1446" s="129"/>
      <c r="AA1446" s="129"/>
      <c r="AB1446" s="129"/>
      <c r="AC1446" s="129"/>
      <c r="AD1446" s="129"/>
    </row>
    <row r="1447" ht="14.25" customHeight="1">
      <c r="A1447" s="211">
        <v>36.0</v>
      </c>
      <c r="B1447" s="82" t="s">
        <v>5387</v>
      </c>
      <c r="C1447" s="82" t="s">
        <v>5386</v>
      </c>
      <c r="D1447" s="82"/>
      <c r="E1447" s="82"/>
      <c r="F1447" s="406"/>
      <c r="G1447" s="444">
        <v>128.0</v>
      </c>
      <c r="H1447" s="82"/>
      <c r="I1447" s="82">
        <v>60.0</v>
      </c>
      <c r="J1447" s="82"/>
      <c r="K1447" s="82"/>
      <c r="L1447" s="82">
        <v>1.0</v>
      </c>
      <c r="M1447" s="82" t="s">
        <v>449</v>
      </c>
      <c r="N1447" s="82"/>
      <c r="O1447" s="82"/>
      <c r="P1447" s="82" t="s">
        <v>29</v>
      </c>
      <c r="Q1447" s="46"/>
      <c r="R1447" s="46"/>
      <c r="S1447" s="129"/>
      <c r="T1447" s="129"/>
      <c r="U1447" s="129"/>
      <c r="V1447" s="129"/>
      <c r="W1447" s="129"/>
      <c r="X1447" s="129"/>
      <c r="Y1447" s="129"/>
      <c r="Z1447" s="129"/>
      <c r="AA1447" s="129"/>
      <c r="AB1447" s="129"/>
      <c r="AC1447" s="129"/>
      <c r="AD1447" s="129"/>
    </row>
    <row r="1448" ht="14.25" customHeight="1">
      <c r="A1448" s="211">
        <v>37.0</v>
      </c>
      <c r="B1448" s="82" t="s">
        <v>5388</v>
      </c>
      <c r="C1448" s="82" t="s">
        <v>5389</v>
      </c>
      <c r="D1448" s="82"/>
      <c r="E1448" s="82"/>
      <c r="F1448" s="406"/>
      <c r="G1448" s="444">
        <v>64.0</v>
      </c>
      <c r="H1448" s="82"/>
      <c r="I1448" s="82">
        <v>40.0</v>
      </c>
      <c r="J1448" s="82"/>
      <c r="K1448" s="82"/>
      <c r="L1448" s="82">
        <v>1.0</v>
      </c>
      <c r="M1448" s="82" t="s">
        <v>449</v>
      </c>
      <c r="N1448" s="82"/>
      <c r="O1448" s="82"/>
      <c r="P1448" s="82" t="s">
        <v>29</v>
      </c>
      <c r="Q1448" s="46"/>
      <c r="R1448" s="46"/>
      <c r="S1448" s="129"/>
      <c r="T1448" s="129"/>
      <c r="U1448" s="129"/>
      <c r="V1448" s="129"/>
      <c r="W1448" s="129"/>
      <c r="X1448" s="129"/>
      <c r="Y1448" s="129"/>
      <c r="Z1448" s="129"/>
      <c r="AA1448" s="129"/>
      <c r="AB1448" s="129"/>
      <c r="AC1448" s="129"/>
      <c r="AD1448" s="129"/>
    </row>
    <row r="1449" ht="14.25" customHeight="1">
      <c r="A1449" s="211">
        <v>38.0</v>
      </c>
      <c r="B1449" s="82" t="s">
        <v>5390</v>
      </c>
      <c r="C1449" s="82" t="s">
        <v>5391</v>
      </c>
      <c r="D1449" s="82"/>
      <c r="E1449" s="82"/>
      <c r="F1449" s="406"/>
      <c r="G1449" s="444">
        <v>384.0</v>
      </c>
      <c r="H1449" s="82"/>
      <c r="I1449" s="82">
        <v>240.0</v>
      </c>
      <c r="J1449" s="82">
        <v>2.0</v>
      </c>
      <c r="K1449" s="82">
        <v>2.0</v>
      </c>
      <c r="L1449" s="82"/>
      <c r="M1449" s="82" t="s">
        <v>449</v>
      </c>
      <c r="N1449" s="82"/>
      <c r="O1449" s="82"/>
      <c r="P1449" s="82" t="s">
        <v>29</v>
      </c>
      <c r="Q1449" s="46"/>
      <c r="R1449" s="46"/>
      <c r="S1449" s="129"/>
      <c r="T1449" s="129"/>
      <c r="U1449" s="129"/>
      <c r="V1449" s="129"/>
      <c r="W1449" s="129"/>
      <c r="X1449" s="129"/>
      <c r="Y1449" s="129"/>
      <c r="Z1449" s="129"/>
      <c r="AA1449" s="129"/>
      <c r="AB1449" s="129"/>
      <c r="AC1449" s="129"/>
      <c r="AD1449" s="129"/>
    </row>
    <row r="1450" ht="14.25" customHeight="1">
      <c r="A1450" s="211">
        <v>39.0</v>
      </c>
      <c r="B1450" s="82" t="s">
        <v>5392</v>
      </c>
      <c r="C1450" s="82" t="s">
        <v>5391</v>
      </c>
      <c r="D1450" s="82"/>
      <c r="E1450" s="82"/>
      <c r="F1450" s="406"/>
      <c r="G1450" s="444">
        <v>64.0</v>
      </c>
      <c r="H1450" s="82"/>
      <c r="I1450" s="82">
        <v>30.0</v>
      </c>
      <c r="J1450" s="82"/>
      <c r="K1450" s="82"/>
      <c r="L1450" s="82">
        <v>1.0</v>
      </c>
      <c r="M1450" s="82" t="s">
        <v>449</v>
      </c>
      <c r="N1450" s="82"/>
      <c r="O1450" s="82"/>
      <c r="P1450" s="82" t="s">
        <v>29</v>
      </c>
      <c r="Q1450" s="46"/>
      <c r="R1450" s="46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</row>
    <row r="1451" ht="14.25" customHeight="1">
      <c r="A1451" s="211">
        <v>40.0</v>
      </c>
      <c r="B1451" s="82" t="s">
        <v>5393</v>
      </c>
      <c r="C1451" s="82" t="s">
        <v>5394</v>
      </c>
      <c r="D1451" s="82"/>
      <c r="E1451" s="82"/>
      <c r="F1451" s="406"/>
      <c r="G1451" s="444">
        <v>256.0</v>
      </c>
      <c r="H1451" s="82"/>
      <c r="I1451" s="82">
        <v>120.0</v>
      </c>
      <c r="J1451" s="82">
        <v>2.0</v>
      </c>
      <c r="K1451" s="82">
        <v>2.0</v>
      </c>
      <c r="L1451" s="82"/>
      <c r="M1451" s="82" t="s">
        <v>449</v>
      </c>
      <c r="N1451" s="82"/>
      <c r="O1451" s="82"/>
      <c r="P1451" s="82" t="s">
        <v>29</v>
      </c>
      <c r="Q1451" s="46"/>
      <c r="R1451" s="46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</row>
    <row r="1452" ht="14.25" customHeight="1">
      <c r="A1452" s="211">
        <v>41.0</v>
      </c>
      <c r="B1452" s="82" t="s">
        <v>5395</v>
      </c>
      <c r="C1452" s="82" t="s">
        <v>5394</v>
      </c>
      <c r="D1452" s="82"/>
      <c r="E1452" s="82"/>
      <c r="F1452" s="406"/>
      <c r="G1452" s="444">
        <v>64.0</v>
      </c>
      <c r="H1452" s="82"/>
      <c r="I1452" s="82">
        <v>30.0</v>
      </c>
      <c r="J1452" s="82"/>
      <c r="K1452" s="82"/>
      <c r="L1452" s="82">
        <v>1.0</v>
      </c>
      <c r="M1452" s="82" t="s">
        <v>449</v>
      </c>
      <c r="N1452" s="82"/>
      <c r="O1452" s="82"/>
      <c r="P1452" s="82" t="s">
        <v>29</v>
      </c>
      <c r="Q1452" s="46"/>
      <c r="R1452" s="46"/>
      <c r="S1452" s="129"/>
      <c r="T1452" s="129"/>
      <c r="U1452" s="129"/>
      <c r="V1452" s="129"/>
      <c r="W1452" s="129"/>
      <c r="X1452" s="129"/>
      <c r="Y1452" s="129"/>
      <c r="Z1452" s="129"/>
      <c r="AA1452" s="129"/>
      <c r="AB1452" s="129"/>
      <c r="AC1452" s="129"/>
      <c r="AD1452" s="129"/>
    </row>
    <row r="1453" ht="14.25" customHeight="1">
      <c r="A1453" s="211">
        <v>42.0</v>
      </c>
      <c r="B1453" s="82" t="s">
        <v>5396</v>
      </c>
      <c r="C1453" s="82" t="s">
        <v>5397</v>
      </c>
      <c r="D1453" s="82"/>
      <c r="E1453" s="82"/>
      <c r="F1453" s="406"/>
      <c r="G1453" s="444">
        <v>256.0</v>
      </c>
      <c r="H1453" s="82"/>
      <c r="I1453" s="82">
        <v>120.0</v>
      </c>
      <c r="J1453" s="82">
        <v>2.0</v>
      </c>
      <c r="K1453" s="82">
        <v>2.0</v>
      </c>
      <c r="L1453" s="82"/>
      <c r="M1453" s="82" t="s">
        <v>449</v>
      </c>
      <c r="N1453" s="82"/>
      <c r="O1453" s="82"/>
      <c r="P1453" s="82" t="s">
        <v>29</v>
      </c>
      <c r="Q1453" s="46"/>
      <c r="R1453" s="46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</row>
    <row r="1454" ht="14.25" customHeight="1">
      <c r="A1454" s="211">
        <v>43.0</v>
      </c>
      <c r="B1454" s="82" t="s">
        <v>5398</v>
      </c>
      <c r="C1454" s="82" t="s">
        <v>5397</v>
      </c>
      <c r="D1454" s="82"/>
      <c r="E1454" s="82"/>
      <c r="F1454" s="406"/>
      <c r="G1454" s="444">
        <v>64.0</v>
      </c>
      <c r="H1454" s="82"/>
      <c r="I1454" s="82">
        <v>30.0</v>
      </c>
      <c r="J1454" s="82"/>
      <c r="K1454" s="82"/>
      <c r="L1454" s="82">
        <v>1.0</v>
      </c>
      <c r="M1454" s="82" t="s">
        <v>449</v>
      </c>
      <c r="N1454" s="82"/>
      <c r="O1454" s="82"/>
      <c r="P1454" s="82" t="s">
        <v>29</v>
      </c>
      <c r="Q1454" s="46"/>
      <c r="R1454" s="46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</row>
    <row r="1455" ht="14.25" customHeight="1">
      <c r="A1455" s="211">
        <v>44.0</v>
      </c>
      <c r="B1455" s="82" t="s">
        <v>5399</v>
      </c>
      <c r="C1455" s="82" t="s">
        <v>5400</v>
      </c>
      <c r="D1455" s="82"/>
      <c r="E1455" s="82"/>
      <c r="F1455" s="406"/>
      <c r="G1455" s="444">
        <v>128.0</v>
      </c>
      <c r="H1455" s="82"/>
      <c r="I1455" s="82">
        <v>80.0</v>
      </c>
      <c r="J1455" s="82"/>
      <c r="K1455" s="82"/>
      <c r="L1455" s="82">
        <v>1.0</v>
      </c>
      <c r="M1455" s="82" t="s">
        <v>449</v>
      </c>
      <c r="N1455" s="82"/>
      <c r="O1455" s="82"/>
      <c r="P1455" s="82" t="s">
        <v>29</v>
      </c>
      <c r="Q1455" s="46"/>
      <c r="R1455" s="46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</row>
    <row r="1456" ht="14.25" customHeight="1">
      <c r="A1456" s="211">
        <v>45.0</v>
      </c>
      <c r="B1456" s="82" t="s">
        <v>5401</v>
      </c>
      <c r="C1456" s="82" t="s">
        <v>5402</v>
      </c>
      <c r="D1456" s="82"/>
      <c r="E1456" s="82"/>
      <c r="F1456" s="406"/>
      <c r="G1456" s="444">
        <v>256.0</v>
      </c>
      <c r="H1456" s="82"/>
      <c r="I1456" s="82">
        <v>120.0</v>
      </c>
      <c r="J1456" s="82">
        <v>2.0</v>
      </c>
      <c r="K1456" s="82">
        <v>2.0</v>
      </c>
      <c r="L1456" s="82"/>
      <c r="M1456" s="82" t="s">
        <v>5334</v>
      </c>
      <c r="N1456" s="82"/>
      <c r="O1456" s="82"/>
      <c r="P1456" s="82" t="s">
        <v>29</v>
      </c>
      <c r="Q1456" s="46"/>
      <c r="R1456" s="46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</row>
    <row r="1457" ht="14.25" customHeight="1">
      <c r="A1457" s="211">
        <v>46.0</v>
      </c>
      <c r="B1457" s="82" t="s">
        <v>5403</v>
      </c>
      <c r="C1457" s="82" t="s">
        <v>5402</v>
      </c>
      <c r="D1457" s="82"/>
      <c r="E1457" s="82"/>
      <c r="F1457" s="406"/>
      <c r="G1457" s="444">
        <v>110.2</v>
      </c>
      <c r="H1457" s="82"/>
      <c r="I1457" s="82">
        <v>90.0</v>
      </c>
      <c r="J1457" s="82"/>
      <c r="K1457" s="82"/>
      <c r="L1457" s="82">
        <v>1.0</v>
      </c>
      <c r="M1457" s="82" t="s">
        <v>5334</v>
      </c>
      <c r="N1457" s="82"/>
      <c r="O1457" s="82"/>
      <c r="P1457" s="82" t="s">
        <v>29</v>
      </c>
      <c r="Q1457" s="46"/>
      <c r="R1457" s="46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</row>
    <row r="1458" ht="14.25" customHeight="1">
      <c r="A1458" s="211">
        <v>47.0</v>
      </c>
      <c r="B1458" s="82" t="s">
        <v>5404</v>
      </c>
      <c r="C1458" s="82" t="s">
        <v>5405</v>
      </c>
      <c r="D1458" s="82"/>
      <c r="E1458" s="82"/>
      <c r="F1458" s="406"/>
      <c r="G1458" s="444">
        <v>192.0</v>
      </c>
      <c r="H1458" s="82"/>
      <c r="I1458" s="82">
        <v>90.0</v>
      </c>
      <c r="J1458" s="82">
        <v>2.0</v>
      </c>
      <c r="K1458" s="82">
        <v>2.0</v>
      </c>
      <c r="L1458" s="82"/>
      <c r="M1458" s="82" t="s">
        <v>5334</v>
      </c>
      <c r="N1458" s="82"/>
      <c r="O1458" s="82"/>
      <c r="P1458" s="82" t="s">
        <v>29</v>
      </c>
      <c r="Q1458" s="46"/>
      <c r="R1458" s="46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</row>
    <row r="1459" ht="14.25" customHeight="1">
      <c r="A1459" s="211">
        <v>48.0</v>
      </c>
      <c r="B1459" s="82" t="s">
        <v>5406</v>
      </c>
      <c r="C1459" s="82" t="s">
        <v>5405</v>
      </c>
      <c r="D1459" s="82"/>
      <c r="E1459" s="82"/>
      <c r="F1459" s="406"/>
      <c r="G1459" s="444">
        <v>64.0</v>
      </c>
      <c r="H1459" s="82"/>
      <c r="I1459" s="82">
        <v>40.0</v>
      </c>
      <c r="J1459" s="82"/>
      <c r="K1459" s="82"/>
      <c r="L1459" s="82">
        <v>1.0</v>
      </c>
      <c r="M1459" s="82" t="s">
        <v>5334</v>
      </c>
      <c r="N1459" s="82"/>
      <c r="O1459" s="82"/>
      <c r="P1459" s="82" t="s">
        <v>29</v>
      </c>
      <c r="Q1459" s="46"/>
      <c r="R1459" s="46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</row>
    <row r="1460" ht="14.25" customHeight="1">
      <c r="A1460" s="211">
        <v>49.0</v>
      </c>
      <c r="B1460" s="82" t="s">
        <v>5407</v>
      </c>
      <c r="C1460" s="82" t="s">
        <v>5408</v>
      </c>
      <c r="D1460" s="82"/>
      <c r="E1460" s="82"/>
      <c r="F1460" s="406"/>
      <c r="G1460" s="444">
        <v>192.0</v>
      </c>
      <c r="H1460" s="82"/>
      <c r="I1460" s="82">
        <v>90.0</v>
      </c>
      <c r="J1460" s="82">
        <v>2.0</v>
      </c>
      <c r="K1460" s="82">
        <v>2.0</v>
      </c>
      <c r="L1460" s="82"/>
      <c r="M1460" s="82" t="s">
        <v>449</v>
      </c>
      <c r="N1460" s="82"/>
      <c r="O1460" s="82"/>
      <c r="P1460" s="82" t="s">
        <v>29</v>
      </c>
      <c r="Q1460" s="46"/>
      <c r="R1460" s="46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</row>
    <row r="1461" ht="14.25" customHeight="1">
      <c r="A1461" s="211">
        <v>50.0</v>
      </c>
      <c r="B1461" s="82" t="s">
        <v>5409</v>
      </c>
      <c r="C1461" s="82" t="s">
        <v>5408</v>
      </c>
      <c r="D1461" s="82"/>
      <c r="E1461" s="82"/>
      <c r="F1461" s="406"/>
      <c r="G1461" s="444">
        <v>64.0</v>
      </c>
      <c r="H1461" s="82"/>
      <c r="I1461" s="82">
        <v>40.0</v>
      </c>
      <c r="J1461" s="82"/>
      <c r="K1461" s="82"/>
      <c r="L1461" s="82">
        <v>1.0</v>
      </c>
      <c r="M1461" s="82" t="s">
        <v>449</v>
      </c>
      <c r="N1461" s="82"/>
      <c r="O1461" s="82"/>
      <c r="P1461" s="82" t="s">
        <v>29</v>
      </c>
      <c r="Q1461" s="46"/>
      <c r="R1461" s="46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</row>
    <row r="1462" ht="14.25" customHeight="1">
      <c r="A1462" s="211">
        <v>51.0</v>
      </c>
      <c r="B1462" s="82" t="s">
        <v>5410</v>
      </c>
      <c r="C1462" s="82" t="s">
        <v>5411</v>
      </c>
      <c r="D1462" s="82"/>
      <c r="E1462" s="82"/>
      <c r="F1462" s="406"/>
      <c r="G1462" s="444">
        <v>320.0</v>
      </c>
      <c r="H1462" s="82"/>
      <c r="I1462" s="82">
        <v>200.0</v>
      </c>
      <c r="J1462" s="82">
        <v>4.0</v>
      </c>
      <c r="K1462" s="82">
        <v>4.0</v>
      </c>
      <c r="L1462" s="82"/>
      <c r="M1462" s="82" t="s">
        <v>5334</v>
      </c>
      <c r="N1462" s="82"/>
      <c r="O1462" s="82"/>
      <c r="P1462" s="82" t="s">
        <v>29</v>
      </c>
      <c r="Q1462" s="46"/>
      <c r="R1462" s="46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</row>
    <row r="1463" ht="14.25" customHeight="1">
      <c r="A1463" s="211">
        <v>52.0</v>
      </c>
      <c r="B1463" s="82" t="s">
        <v>5412</v>
      </c>
      <c r="C1463" s="82" t="s">
        <v>5411</v>
      </c>
      <c r="D1463" s="82"/>
      <c r="E1463" s="82"/>
      <c r="F1463" s="406"/>
      <c r="G1463" s="444">
        <v>128.0</v>
      </c>
      <c r="H1463" s="82"/>
      <c r="I1463" s="82">
        <v>60.0</v>
      </c>
      <c r="J1463" s="82"/>
      <c r="K1463" s="82"/>
      <c r="L1463" s="82">
        <v>1.0</v>
      </c>
      <c r="M1463" s="82" t="s">
        <v>5334</v>
      </c>
      <c r="N1463" s="82"/>
      <c r="O1463" s="82"/>
      <c r="P1463" s="82" t="s">
        <v>29</v>
      </c>
      <c r="Q1463" s="46"/>
      <c r="R1463" s="46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</row>
    <row r="1464" ht="14.25" customHeight="1">
      <c r="A1464" s="211">
        <v>53.0</v>
      </c>
      <c r="B1464" s="82" t="s">
        <v>5413</v>
      </c>
      <c r="C1464" s="82" t="s">
        <v>5414</v>
      </c>
      <c r="D1464" s="82"/>
      <c r="E1464" s="82"/>
      <c r="F1464" s="406"/>
      <c r="G1464" s="444">
        <v>128.0</v>
      </c>
      <c r="H1464" s="82"/>
      <c r="I1464" s="82">
        <v>60.0</v>
      </c>
      <c r="J1464" s="82">
        <v>2.0</v>
      </c>
      <c r="K1464" s="82">
        <v>2.0</v>
      </c>
      <c r="L1464" s="82"/>
      <c r="M1464" s="82" t="s">
        <v>449</v>
      </c>
      <c r="N1464" s="82"/>
      <c r="O1464" s="82"/>
      <c r="P1464" s="82" t="s">
        <v>29</v>
      </c>
      <c r="Q1464" s="46"/>
      <c r="R1464" s="46"/>
      <c r="S1464" s="129"/>
      <c r="T1464" s="129"/>
      <c r="U1464" s="129"/>
      <c r="V1464" s="129"/>
      <c r="W1464" s="129"/>
      <c r="X1464" s="129"/>
      <c r="Y1464" s="129"/>
      <c r="Z1464" s="129"/>
      <c r="AA1464" s="129"/>
      <c r="AB1464" s="129"/>
      <c r="AC1464" s="129"/>
      <c r="AD1464" s="129"/>
    </row>
    <row r="1465" ht="14.25" customHeight="1">
      <c r="A1465" s="211">
        <v>54.0</v>
      </c>
      <c r="B1465" s="82" t="s">
        <v>5415</v>
      </c>
      <c r="C1465" s="82" t="s">
        <v>5414</v>
      </c>
      <c r="D1465" s="82"/>
      <c r="E1465" s="82"/>
      <c r="F1465" s="406"/>
      <c r="G1465" s="444">
        <v>64.0</v>
      </c>
      <c r="H1465" s="82"/>
      <c r="I1465" s="82">
        <v>30.0</v>
      </c>
      <c r="J1465" s="82"/>
      <c r="K1465" s="82"/>
      <c r="L1465" s="82">
        <v>1.0</v>
      </c>
      <c r="M1465" s="82" t="s">
        <v>449</v>
      </c>
      <c r="N1465" s="82"/>
      <c r="O1465" s="82"/>
      <c r="P1465" s="82" t="s">
        <v>29</v>
      </c>
      <c r="Q1465" s="46"/>
      <c r="R1465" s="46"/>
      <c r="S1465" s="129"/>
      <c r="T1465" s="129"/>
      <c r="U1465" s="129"/>
      <c r="V1465" s="129"/>
      <c r="W1465" s="129"/>
      <c r="X1465" s="129"/>
      <c r="Y1465" s="129"/>
      <c r="Z1465" s="129"/>
      <c r="AA1465" s="129"/>
      <c r="AB1465" s="129"/>
      <c r="AC1465" s="129"/>
      <c r="AD1465" s="129"/>
    </row>
    <row r="1466" ht="14.25" customHeight="1">
      <c r="A1466" s="211">
        <v>55.0</v>
      </c>
      <c r="B1466" s="82" t="s">
        <v>5416</v>
      </c>
      <c r="C1466" s="82" t="s">
        <v>5417</v>
      </c>
      <c r="D1466" s="82"/>
      <c r="E1466" s="82"/>
      <c r="F1466" s="406"/>
      <c r="G1466" s="444">
        <v>256.0</v>
      </c>
      <c r="H1466" s="82"/>
      <c r="I1466" s="82">
        <v>200.0</v>
      </c>
      <c r="J1466" s="82">
        <v>2.0</v>
      </c>
      <c r="K1466" s="82">
        <v>2.0</v>
      </c>
      <c r="L1466" s="82"/>
      <c r="M1466" s="82" t="s">
        <v>5334</v>
      </c>
      <c r="N1466" s="82"/>
      <c r="O1466" s="82"/>
      <c r="P1466" s="82" t="s">
        <v>29</v>
      </c>
      <c r="Q1466" s="46"/>
      <c r="R1466" s="46"/>
      <c r="S1466" s="129"/>
      <c r="T1466" s="129"/>
      <c r="U1466" s="129"/>
      <c r="V1466" s="129"/>
      <c r="W1466" s="129"/>
      <c r="X1466" s="129"/>
      <c r="Y1466" s="129"/>
      <c r="Z1466" s="129"/>
      <c r="AA1466" s="129"/>
      <c r="AB1466" s="129"/>
      <c r="AC1466" s="129"/>
      <c r="AD1466" s="129"/>
    </row>
    <row r="1467" ht="14.25" customHeight="1">
      <c r="A1467" s="211">
        <v>56.0</v>
      </c>
      <c r="B1467" s="82" t="s">
        <v>5418</v>
      </c>
      <c r="C1467" s="82" t="s">
        <v>5417</v>
      </c>
      <c r="D1467" s="82"/>
      <c r="E1467" s="82"/>
      <c r="F1467" s="406"/>
      <c r="G1467" s="444">
        <v>128.0</v>
      </c>
      <c r="H1467" s="82"/>
      <c r="I1467" s="82">
        <v>80.0</v>
      </c>
      <c r="J1467" s="82"/>
      <c r="K1467" s="82"/>
      <c r="L1467" s="82">
        <v>1.0</v>
      </c>
      <c r="M1467" s="82" t="s">
        <v>5334</v>
      </c>
      <c r="N1467" s="82"/>
      <c r="O1467" s="82"/>
      <c r="P1467" s="82" t="s">
        <v>29</v>
      </c>
      <c r="Q1467" s="46"/>
      <c r="R1467" s="46"/>
      <c r="S1467" s="129"/>
      <c r="T1467" s="129"/>
      <c r="U1467" s="129"/>
      <c r="V1467" s="129"/>
      <c r="W1467" s="129"/>
      <c r="X1467" s="129"/>
      <c r="Y1467" s="129"/>
      <c r="Z1467" s="129"/>
      <c r="AA1467" s="129"/>
      <c r="AB1467" s="129"/>
      <c r="AC1467" s="129"/>
      <c r="AD1467" s="129"/>
    </row>
    <row r="1468" ht="14.25" customHeight="1">
      <c r="A1468" s="211">
        <v>57.0</v>
      </c>
      <c r="B1468" s="82" t="s">
        <v>5419</v>
      </c>
      <c r="C1468" s="82" t="s">
        <v>5420</v>
      </c>
      <c r="D1468" s="82"/>
      <c r="E1468" s="82"/>
      <c r="F1468" s="406"/>
      <c r="G1468" s="444">
        <v>30.0</v>
      </c>
      <c r="H1468" s="82"/>
      <c r="I1468" s="82">
        <v>10.0</v>
      </c>
      <c r="J1468" s="82"/>
      <c r="K1468" s="82"/>
      <c r="L1468" s="82">
        <v>1.0</v>
      </c>
      <c r="M1468" s="82" t="s">
        <v>449</v>
      </c>
      <c r="N1468" s="82"/>
      <c r="O1468" s="82"/>
      <c r="P1468" s="82" t="s">
        <v>29</v>
      </c>
      <c r="Q1468" s="46"/>
      <c r="R1468" s="46"/>
      <c r="S1468" s="129"/>
      <c r="T1468" s="129"/>
      <c r="U1468" s="129"/>
      <c r="V1468" s="129"/>
      <c r="W1468" s="129"/>
      <c r="X1468" s="129"/>
      <c r="Y1468" s="129"/>
      <c r="Z1468" s="129"/>
      <c r="AA1468" s="129"/>
      <c r="AB1468" s="129"/>
      <c r="AC1468" s="129"/>
      <c r="AD1468" s="129"/>
    </row>
    <row r="1469" ht="14.25" customHeight="1">
      <c r="A1469" s="211">
        <v>58.0</v>
      </c>
      <c r="B1469" s="82" t="s">
        <v>5421</v>
      </c>
      <c r="C1469" s="82" t="s">
        <v>5422</v>
      </c>
      <c r="D1469" s="82"/>
      <c r="E1469" s="82"/>
      <c r="F1469" s="406"/>
      <c r="G1469" s="444">
        <v>285.2</v>
      </c>
      <c r="H1469" s="82"/>
      <c r="I1469" s="82">
        <v>250.0</v>
      </c>
      <c r="J1469" s="82">
        <v>4.0</v>
      </c>
      <c r="K1469" s="82">
        <v>4.0</v>
      </c>
      <c r="L1469" s="82"/>
      <c r="M1469" s="82" t="s">
        <v>5334</v>
      </c>
      <c r="N1469" s="82"/>
      <c r="O1469" s="82"/>
      <c r="P1469" s="82" t="s">
        <v>29</v>
      </c>
      <c r="Q1469" s="46"/>
      <c r="R1469" s="46"/>
      <c r="S1469" s="129"/>
      <c r="T1469" s="129"/>
      <c r="U1469" s="129"/>
      <c r="V1469" s="129"/>
      <c r="W1469" s="129"/>
      <c r="X1469" s="129"/>
      <c r="Y1469" s="129"/>
      <c r="Z1469" s="129"/>
      <c r="AA1469" s="129"/>
      <c r="AB1469" s="129"/>
      <c r="AC1469" s="129"/>
      <c r="AD1469" s="129"/>
    </row>
    <row r="1470" ht="14.25" customHeight="1">
      <c r="A1470" s="211">
        <v>59.0</v>
      </c>
      <c r="B1470" s="82" t="s">
        <v>5423</v>
      </c>
      <c r="C1470" s="82" t="s">
        <v>5422</v>
      </c>
      <c r="D1470" s="82"/>
      <c r="E1470" s="82"/>
      <c r="F1470" s="406"/>
      <c r="G1470" s="444">
        <v>38.5</v>
      </c>
      <c r="H1470" s="82"/>
      <c r="I1470" s="82">
        <v>25.0</v>
      </c>
      <c r="J1470" s="82"/>
      <c r="K1470" s="82"/>
      <c r="L1470" s="82">
        <v>1.0</v>
      </c>
      <c r="M1470" s="82" t="s">
        <v>5334</v>
      </c>
      <c r="N1470" s="82"/>
      <c r="O1470" s="82"/>
      <c r="P1470" s="82" t="s">
        <v>29</v>
      </c>
      <c r="Q1470" s="46"/>
      <c r="R1470" s="46"/>
      <c r="S1470" s="129"/>
      <c r="T1470" s="129"/>
      <c r="U1470" s="129"/>
      <c r="V1470" s="129"/>
      <c r="W1470" s="129"/>
      <c r="X1470" s="129"/>
      <c r="Y1470" s="129"/>
      <c r="Z1470" s="129"/>
      <c r="AA1470" s="129"/>
      <c r="AB1470" s="129"/>
      <c r="AC1470" s="129"/>
      <c r="AD1470" s="129"/>
    </row>
    <row r="1471" ht="14.25" customHeight="1">
      <c r="A1471" s="211">
        <v>60.0</v>
      </c>
      <c r="B1471" s="82" t="s">
        <v>5424</v>
      </c>
      <c r="C1471" s="82" t="s">
        <v>5425</v>
      </c>
      <c r="D1471" s="82"/>
      <c r="E1471" s="82"/>
      <c r="F1471" s="406"/>
      <c r="G1471" s="444">
        <v>256.0</v>
      </c>
      <c r="H1471" s="82"/>
      <c r="I1471" s="82">
        <v>160.0</v>
      </c>
      <c r="J1471" s="82">
        <v>2.0</v>
      </c>
      <c r="K1471" s="82">
        <v>2.0</v>
      </c>
      <c r="L1471" s="82"/>
      <c r="M1471" s="82" t="s">
        <v>5334</v>
      </c>
      <c r="N1471" s="82"/>
      <c r="O1471" s="82"/>
      <c r="P1471" s="82" t="s">
        <v>29</v>
      </c>
      <c r="Q1471" s="46"/>
      <c r="R1471" s="46"/>
      <c r="S1471" s="129"/>
      <c r="T1471" s="129"/>
      <c r="U1471" s="129"/>
      <c r="V1471" s="129"/>
      <c r="W1471" s="129"/>
      <c r="X1471" s="129"/>
      <c r="Y1471" s="129"/>
      <c r="Z1471" s="129"/>
      <c r="AA1471" s="129"/>
      <c r="AB1471" s="129"/>
      <c r="AC1471" s="129"/>
      <c r="AD1471" s="129"/>
    </row>
    <row r="1472" ht="14.25" customHeight="1">
      <c r="A1472" s="211">
        <v>61.0</v>
      </c>
      <c r="B1472" s="82" t="s">
        <v>5426</v>
      </c>
      <c r="C1472" s="82" t="s">
        <v>5425</v>
      </c>
      <c r="D1472" s="82"/>
      <c r="E1472" s="82"/>
      <c r="F1472" s="406"/>
      <c r="G1472" s="444">
        <v>192.0</v>
      </c>
      <c r="H1472" s="82"/>
      <c r="I1472" s="82">
        <v>120.0</v>
      </c>
      <c r="J1472" s="82"/>
      <c r="K1472" s="82"/>
      <c r="L1472" s="82">
        <v>1.0</v>
      </c>
      <c r="M1472" s="82" t="s">
        <v>5334</v>
      </c>
      <c r="N1472" s="82"/>
      <c r="O1472" s="82"/>
      <c r="P1472" s="82" t="s">
        <v>29</v>
      </c>
      <c r="Q1472" s="46"/>
      <c r="R1472" s="46"/>
      <c r="S1472" s="129"/>
      <c r="T1472" s="129"/>
      <c r="U1472" s="129"/>
      <c r="V1472" s="129"/>
      <c r="W1472" s="129"/>
      <c r="X1472" s="129"/>
      <c r="Y1472" s="129"/>
      <c r="Z1472" s="129"/>
      <c r="AA1472" s="129"/>
      <c r="AB1472" s="129"/>
      <c r="AC1472" s="129"/>
      <c r="AD1472" s="129"/>
    </row>
    <row r="1473" ht="14.25" customHeight="1">
      <c r="A1473" s="211">
        <v>62.0</v>
      </c>
      <c r="B1473" s="82" t="s">
        <v>5427</v>
      </c>
      <c r="C1473" s="82" t="s">
        <v>5428</v>
      </c>
      <c r="D1473" s="82"/>
      <c r="E1473" s="82"/>
      <c r="F1473" s="406"/>
      <c r="G1473" s="444">
        <v>192.0</v>
      </c>
      <c r="H1473" s="82"/>
      <c r="I1473" s="82">
        <v>90.0</v>
      </c>
      <c r="J1473" s="82">
        <v>2.0</v>
      </c>
      <c r="K1473" s="82">
        <v>2.0</v>
      </c>
      <c r="L1473" s="82"/>
      <c r="M1473" s="82" t="s">
        <v>5334</v>
      </c>
      <c r="N1473" s="82"/>
      <c r="O1473" s="82"/>
      <c r="P1473" s="82" t="s">
        <v>29</v>
      </c>
      <c r="Q1473" s="46"/>
      <c r="R1473" s="46"/>
      <c r="S1473" s="129"/>
      <c r="T1473" s="129"/>
      <c r="U1473" s="129"/>
      <c r="V1473" s="129"/>
      <c r="W1473" s="129"/>
      <c r="X1473" s="129"/>
      <c r="Y1473" s="129"/>
      <c r="Z1473" s="129"/>
      <c r="AA1473" s="129"/>
      <c r="AB1473" s="129"/>
      <c r="AC1473" s="129"/>
      <c r="AD1473" s="129"/>
    </row>
    <row r="1474" ht="14.25" customHeight="1">
      <c r="A1474" s="211">
        <v>63.0</v>
      </c>
      <c r="B1474" s="82" t="s">
        <v>5429</v>
      </c>
      <c r="C1474" s="82" t="s">
        <v>5428</v>
      </c>
      <c r="D1474" s="82"/>
      <c r="E1474" s="82"/>
      <c r="F1474" s="406"/>
      <c r="G1474" s="444">
        <v>64.0</v>
      </c>
      <c r="H1474" s="82"/>
      <c r="I1474" s="82">
        <v>30.0</v>
      </c>
      <c r="J1474" s="82"/>
      <c r="K1474" s="82"/>
      <c r="L1474" s="82">
        <v>1.0</v>
      </c>
      <c r="M1474" s="82" t="s">
        <v>5334</v>
      </c>
      <c r="N1474" s="82"/>
      <c r="O1474" s="82"/>
      <c r="P1474" s="82" t="s">
        <v>29</v>
      </c>
      <c r="Q1474" s="46"/>
      <c r="R1474" s="46"/>
      <c r="S1474" s="129"/>
      <c r="T1474" s="129"/>
      <c r="U1474" s="129"/>
      <c r="V1474" s="129"/>
      <c r="W1474" s="129"/>
      <c r="X1474" s="129"/>
      <c r="Y1474" s="129"/>
      <c r="Z1474" s="129"/>
      <c r="AA1474" s="129"/>
      <c r="AB1474" s="129"/>
      <c r="AC1474" s="129"/>
      <c r="AD1474" s="129"/>
    </row>
    <row r="1475" ht="14.25" customHeight="1">
      <c r="A1475" s="211">
        <v>64.0</v>
      </c>
      <c r="B1475" s="82" t="s">
        <v>5430</v>
      </c>
      <c r="C1475" s="82" t="s">
        <v>5431</v>
      </c>
      <c r="D1475" s="82"/>
      <c r="E1475" s="82"/>
      <c r="F1475" s="406"/>
      <c r="G1475" s="444">
        <v>256.0</v>
      </c>
      <c r="H1475" s="82"/>
      <c r="I1475" s="82">
        <v>120.0</v>
      </c>
      <c r="J1475" s="82">
        <v>2.0</v>
      </c>
      <c r="K1475" s="82">
        <v>2.0</v>
      </c>
      <c r="L1475" s="82"/>
      <c r="M1475" s="82" t="s">
        <v>449</v>
      </c>
      <c r="N1475" s="82"/>
      <c r="O1475" s="82"/>
      <c r="P1475" s="82" t="s">
        <v>29</v>
      </c>
      <c r="Q1475" s="46"/>
      <c r="R1475" s="46"/>
      <c r="S1475" s="129"/>
      <c r="T1475" s="129"/>
      <c r="U1475" s="129"/>
      <c r="V1475" s="129"/>
      <c r="W1475" s="129"/>
      <c r="X1475" s="129"/>
      <c r="Y1475" s="129"/>
      <c r="Z1475" s="129"/>
      <c r="AA1475" s="129"/>
      <c r="AB1475" s="129"/>
      <c r="AC1475" s="129"/>
      <c r="AD1475" s="129"/>
    </row>
    <row r="1476" ht="14.25" customHeight="1">
      <c r="A1476" s="211">
        <v>65.0</v>
      </c>
      <c r="B1476" s="82" t="s">
        <v>5432</v>
      </c>
      <c r="C1476" s="82" t="s">
        <v>5431</v>
      </c>
      <c r="D1476" s="82"/>
      <c r="E1476" s="82"/>
      <c r="F1476" s="406"/>
      <c r="G1476" s="444">
        <v>64.0</v>
      </c>
      <c r="H1476" s="82"/>
      <c r="I1476" s="82">
        <v>30.0</v>
      </c>
      <c r="J1476" s="82"/>
      <c r="K1476" s="82"/>
      <c r="L1476" s="82">
        <v>1.0</v>
      </c>
      <c r="M1476" s="82" t="s">
        <v>449</v>
      </c>
      <c r="N1476" s="82"/>
      <c r="O1476" s="82"/>
      <c r="P1476" s="82" t="s">
        <v>29</v>
      </c>
      <c r="Q1476" s="46"/>
      <c r="R1476" s="46"/>
      <c r="S1476" s="129"/>
      <c r="T1476" s="129"/>
      <c r="U1476" s="129"/>
      <c r="V1476" s="129"/>
      <c r="W1476" s="129"/>
      <c r="X1476" s="129"/>
      <c r="Y1476" s="129"/>
      <c r="Z1476" s="129"/>
      <c r="AA1476" s="129"/>
      <c r="AB1476" s="129"/>
      <c r="AC1476" s="129"/>
      <c r="AD1476" s="129"/>
    </row>
    <row r="1477" ht="14.25" customHeight="1">
      <c r="A1477" s="211">
        <v>66.0</v>
      </c>
      <c r="B1477" s="82" t="s">
        <v>5433</v>
      </c>
      <c r="C1477" s="82" t="s">
        <v>5434</v>
      </c>
      <c r="D1477" s="82"/>
      <c r="E1477" s="82"/>
      <c r="F1477" s="406"/>
      <c r="G1477" s="444">
        <v>192.0</v>
      </c>
      <c r="H1477" s="82"/>
      <c r="I1477" s="82">
        <v>90.0</v>
      </c>
      <c r="J1477" s="82">
        <v>2.0</v>
      </c>
      <c r="K1477" s="82">
        <v>2.0</v>
      </c>
      <c r="L1477" s="82"/>
      <c r="M1477" s="82" t="s">
        <v>449</v>
      </c>
      <c r="N1477" s="82"/>
      <c r="O1477" s="82"/>
      <c r="P1477" s="82" t="s">
        <v>29</v>
      </c>
      <c r="Q1477" s="46"/>
      <c r="R1477" s="46"/>
      <c r="S1477" s="129"/>
      <c r="T1477" s="129"/>
      <c r="U1477" s="129"/>
      <c r="V1477" s="129"/>
      <c r="W1477" s="129"/>
      <c r="X1477" s="129"/>
      <c r="Y1477" s="129"/>
      <c r="Z1477" s="129"/>
      <c r="AA1477" s="129"/>
      <c r="AB1477" s="129"/>
      <c r="AC1477" s="129"/>
      <c r="AD1477" s="129"/>
    </row>
    <row r="1478" ht="14.25" customHeight="1">
      <c r="A1478" s="211">
        <v>67.0</v>
      </c>
      <c r="B1478" s="82" t="s">
        <v>5435</v>
      </c>
      <c r="C1478" s="82" t="s">
        <v>5434</v>
      </c>
      <c r="D1478" s="82"/>
      <c r="E1478" s="82"/>
      <c r="F1478" s="406"/>
      <c r="G1478" s="444">
        <v>64.0</v>
      </c>
      <c r="H1478" s="82"/>
      <c r="I1478" s="82">
        <v>30.0</v>
      </c>
      <c r="J1478" s="82"/>
      <c r="K1478" s="82"/>
      <c r="L1478" s="82">
        <v>1.0</v>
      </c>
      <c r="M1478" s="82" t="s">
        <v>449</v>
      </c>
      <c r="N1478" s="82"/>
      <c r="O1478" s="82"/>
      <c r="P1478" s="82" t="s">
        <v>29</v>
      </c>
      <c r="Q1478" s="46"/>
      <c r="R1478" s="46"/>
      <c r="S1478" s="129"/>
      <c r="T1478" s="129"/>
      <c r="U1478" s="129"/>
      <c r="V1478" s="129"/>
      <c r="W1478" s="129"/>
      <c r="X1478" s="129"/>
      <c r="Y1478" s="129"/>
      <c r="Z1478" s="129"/>
      <c r="AA1478" s="129"/>
      <c r="AB1478" s="129"/>
      <c r="AC1478" s="129"/>
      <c r="AD1478" s="129"/>
    </row>
    <row r="1479" ht="14.25" customHeight="1">
      <c r="A1479" s="211">
        <v>68.0</v>
      </c>
      <c r="B1479" s="82" t="s">
        <v>5436</v>
      </c>
      <c r="C1479" s="82" t="s">
        <v>5437</v>
      </c>
      <c r="D1479" s="82"/>
      <c r="E1479" s="82"/>
      <c r="F1479" s="406"/>
      <c r="G1479" s="444">
        <v>128.0</v>
      </c>
      <c r="H1479" s="82"/>
      <c r="I1479" s="82">
        <v>60.0</v>
      </c>
      <c r="J1479" s="82">
        <v>2.0</v>
      </c>
      <c r="K1479" s="82">
        <v>2.0</v>
      </c>
      <c r="L1479" s="82"/>
      <c r="M1479" s="82" t="s">
        <v>449</v>
      </c>
      <c r="N1479" s="82"/>
      <c r="O1479" s="82"/>
      <c r="P1479" s="82" t="s">
        <v>29</v>
      </c>
      <c r="Q1479" s="46"/>
      <c r="R1479" s="46"/>
      <c r="S1479" s="129"/>
      <c r="T1479" s="129"/>
      <c r="U1479" s="129"/>
      <c r="V1479" s="129"/>
      <c r="W1479" s="129"/>
      <c r="X1479" s="129"/>
      <c r="Y1479" s="129"/>
      <c r="Z1479" s="129"/>
      <c r="AA1479" s="129"/>
      <c r="AB1479" s="129"/>
      <c r="AC1479" s="129"/>
      <c r="AD1479" s="129"/>
    </row>
    <row r="1480" ht="14.25" customHeight="1">
      <c r="A1480" s="211">
        <v>69.0</v>
      </c>
      <c r="B1480" s="82" t="s">
        <v>5438</v>
      </c>
      <c r="C1480" s="82" t="s">
        <v>5439</v>
      </c>
      <c r="D1480" s="82"/>
      <c r="E1480" s="82"/>
      <c r="F1480" s="406"/>
      <c r="G1480" s="444">
        <v>384.0</v>
      </c>
      <c r="H1480" s="82"/>
      <c r="I1480" s="82">
        <v>240.0</v>
      </c>
      <c r="J1480" s="82">
        <v>4.0</v>
      </c>
      <c r="K1480" s="82">
        <v>4.0</v>
      </c>
      <c r="L1480" s="82"/>
      <c r="M1480" s="82" t="s">
        <v>5334</v>
      </c>
      <c r="N1480" s="82"/>
      <c r="O1480" s="82"/>
      <c r="P1480" s="82" t="s">
        <v>29</v>
      </c>
      <c r="Q1480" s="46"/>
      <c r="R1480" s="46"/>
      <c r="S1480" s="129"/>
      <c r="T1480" s="129"/>
      <c r="U1480" s="129"/>
      <c r="V1480" s="129"/>
      <c r="W1480" s="129"/>
      <c r="X1480" s="129"/>
      <c r="Y1480" s="129"/>
      <c r="Z1480" s="129"/>
      <c r="AA1480" s="129"/>
      <c r="AB1480" s="129"/>
      <c r="AC1480" s="129"/>
      <c r="AD1480" s="129"/>
    </row>
    <row r="1481" ht="14.25" customHeight="1">
      <c r="A1481" s="211">
        <v>70.0</v>
      </c>
      <c r="B1481" s="82" t="s">
        <v>5440</v>
      </c>
      <c r="C1481" s="82" t="s">
        <v>5439</v>
      </c>
      <c r="D1481" s="82"/>
      <c r="E1481" s="82"/>
      <c r="F1481" s="406"/>
      <c r="G1481" s="444">
        <v>128.0</v>
      </c>
      <c r="H1481" s="82"/>
      <c r="I1481" s="82">
        <v>60.0</v>
      </c>
      <c r="J1481" s="82"/>
      <c r="K1481" s="82"/>
      <c r="L1481" s="82">
        <v>1.0</v>
      </c>
      <c r="M1481" s="82" t="s">
        <v>5334</v>
      </c>
      <c r="N1481" s="82"/>
      <c r="O1481" s="82"/>
      <c r="P1481" s="82" t="s">
        <v>29</v>
      </c>
      <c r="Q1481" s="46"/>
      <c r="R1481" s="46"/>
      <c r="S1481" s="129"/>
      <c r="T1481" s="129"/>
      <c r="U1481" s="129"/>
      <c r="V1481" s="129"/>
      <c r="W1481" s="129"/>
      <c r="X1481" s="129"/>
      <c r="Y1481" s="129"/>
      <c r="Z1481" s="129"/>
      <c r="AA1481" s="129"/>
      <c r="AB1481" s="129"/>
      <c r="AC1481" s="129"/>
      <c r="AD1481" s="129"/>
    </row>
    <row r="1482" ht="14.25" customHeight="1">
      <c r="A1482" s="211">
        <v>71.0</v>
      </c>
      <c r="B1482" s="82" t="s">
        <v>5441</v>
      </c>
      <c r="C1482" s="82" t="s">
        <v>5442</v>
      </c>
      <c r="D1482" s="82"/>
      <c r="E1482" s="82"/>
      <c r="F1482" s="406"/>
      <c r="G1482" s="444">
        <v>192.0</v>
      </c>
      <c r="H1482" s="82"/>
      <c r="I1482" s="82">
        <v>120.0</v>
      </c>
      <c r="J1482" s="82">
        <v>2.0</v>
      </c>
      <c r="K1482" s="82">
        <v>2.0</v>
      </c>
      <c r="L1482" s="82"/>
      <c r="M1482" s="82" t="s">
        <v>5334</v>
      </c>
      <c r="N1482" s="82"/>
      <c r="O1482" s="82"/>
      <c r="P1482" s="82" t="s">
        <v>29</v>
      </c>
      <c r="Q1482" s="46"/>
      <c r="R1482" s="46"/>
      <c r="S1482" s="129"/>
      <c r="T1482" s="129"/>
      <c r="U1482" s="129"/>
      <c r="V1482" s="129"/>
      <c r="W1482" s="129"/>
      <c r="X1482" s="129"/>
      <c r="Y1482" s="129"/>
      <c r="Z1482" s="129"/>
      <c r="AA1482" s="129"/>
      <c r="AB1482" s="129"/>
      <c r="AC1482" s="129"/>
      <c r="AD1482" s="129"/>
    </row>
    <row r="1483" ht="14.25" customHeight="1">
      <c r="A1483" s="211">
        <v>72.0</v>
      </c>
      <c r="B1483" s="82" t="s">
        <v>5443</v>
      </c>
      <c r="C1483" s="82" t="s">
        <v>5442</v>
      </c>
      <c r="D1483" s="82"/>
      <c r="E1483" s="82"/>
      <c r="F1483" s="406"/>
      <c r="G1483" s="444">
        <v>64.0</v>
      </c>
      <c r="H1483" s="82"/>
      <c r="I1483" s="82">
        <v>40.0</v>
      </c>
      <c r="J1483" s="82"/>
      <c r="K1483" s="82"/>
      <c r="L1483" s="82">
        <v>1.0</v>
      </c>
      <c r="M1483" s="82" t="s">
        <v>5334</v>
      </c>
      <c r="N1483" s="82"/>
      <c r="O1483" s="82"/>
      <c r="P1483" s="82" t="s">
        <v>29</v>
      </c>
      <c r="Q1483" s="46"/>
      <c r="R1483" s="46"/>
      <c r="S1483" s="129"/>
      <c r="T1483" s="129"/>
      <c r="U1483" s="129"/>
      <c r="V1483" s="129"/>
      <c r="W1483" s="129"/>
      <c r="X1483" s="129"/>
      <c r="Y1483" s="129"/>
      <c r="Z1483" s="129"/>
      <c r="AA1483" s="129"/>
      <c r="AB1483" s="129"/>
      <c r="AC1483" s="129"/>
      <c r="AD1483" s="129"/>
    </row>
    <row r="1484" ht="14.25" customHeight="1">
      <c r="A1484" s="211">
        <v>73.0</v>
      </c>
      <c r="B1484" s="82" t="s">
        <v>5444</v>
      </c>
      <c r="C1484" s="82" t="s">
        <v>5445</v>
      </c>
      <c r="D1484" s="82"/>
      <c r="E1484" s="82"/>
      <c r="F1484" s="406"/>
      <c r="G1484" s="444">
        <v>184.4</v>
      </c>
      <c r="H1484" s="82"/>
      <c r="I1484" s="82">
        <v>120.0</v>
      </c>
      <c r="J1484" s="82">
        <v>2.0</v>
      </c>
      <c r="K1484" s="82">
        <v>2.0</v>
      </c>
      <c r="L1484" s="82"/>
      <c r="M1484" s="82" t="s">
        <v>5334</v>
      </c>
      <c r="N1484" s="82"/>
      <c r="O1484" s="82"/>
      <c r="P1484" s="82" t="s">
        <v>29</v>
      </c>
      <c r="Q1484" s="46"/>
      <c r="R1484" s="46"/>
      <c r="S1484" s="129"/>
      <c r="T1484" s="129"/>
      <c r="U1484" s="129"/>
      <c r="V1484" s="129"/>
      <c r="W1484" s="129"/>
      <c r="X1484" s="129"/>
      <c r="Y1484" s="129"/>
      <c r="Z1484" s="129"/>
      <c r="AA1484" s="129"/>
      <c r="AB1484" s="129"/>
      <c r="AC1484" s="129"/>
      <c r="AD1484" s="129"/>
    </row>
    <row r="1485" ht="14.25" customHeight="1">
      <c r="A1485" s="211">
        <v>74.0</v>
      </c>
      <c r="B1485" s="82" t="s">
        <v>5446</v>
      </c>
      <c r="C1485" s="82" t="s">
        <v>5445</v>
      </c>
      <c r="D1485" s="82"/>
      <c r="E1485" s="82"/>
      <c r="F1485" s="406"/>
      <c r="G1485" s="444">
        <v>64.0</v>
      </c>
      <c r="H1485" s="82"/>
      <c r="I1485" s="82">
        <v>40.0</v>
      </c>
      <c r="J1485" s="82"/>
      <c r="K1485" s="82"/>
      <c r="L1485" s="82">
        <v>1.0</v>
      </c>
      <c r="M1485" s="82" t="s">
        <v>5334</v>
      </c>
      <c r="N1485" s="82"/>
      <c r="O1485" s="82"/>
      <c r="P1485" s="82" t="s">
        <v>29</v>
      </c>
      <c r="Q1485" s="46"/>
      <c r="R1485" s="46"/>
      <c r="S1485" s="129"/>
      <c r="T1485" s="129"/>
      <c r="U1485" s="129"/>
      <c r="V1485" s="129"/>
      <c r="W1485" s="129"/>
      <c r="X1485" s="129"/>
      <c r="Y1485" s="129"/>
      <c r="Z1485" s="129"/>
      <c r="AA1485" s="129"/>
      <c r="AB1485" s="129"/>
      <c r="AC1485" s="129"/>
      <c r="AD1485" s="129"/>
    </row>
    <row r="1486" ht="14.25" customHeight="1">
      <c r="A1486" s="211">
        <v>75.0</v>
      </c>
      <c r="B1486" s="82" t="s">
        <v>5447</v>
      </c>
      <c r="C1486" s="82" t="s">
        <v>5448</v>
      </c>
      <c r="D1486" s="82"/>
      <c r="E1486" s="82"/>
      <c r="F1486" s="406"/>
      <c r="G1486" s="444">
        <v>192.0</v>
      </c>
      <c r="H1486" s="82"/>
      <c r="I1486" s="82">
        <v>90.0</v>
      </c>
      <c r="J1486" s="82">
        <v>2.0</v>
      </c>
      <c r="K1486" s="82">
        <v>2.0</v>
      </c>
      <c r="L1486" s="82"/>
      <c r="M1486" s="82" t="s">
        <v>449</v>
      </c>
      <c r="N1486" s="82"/>
      <c r="O1486" s="82"/>
      <c r="P1486" s="82" t="s">
        <v>29</v>
      </c>
      <c r="Q1486" s="46"/>
      <c r="R1486" s="46"/>
      <c r="S1486" s="129"/>
      <c r="T1486" s="129"/>
      <c r="U1486" s="129"/>
      <c r="V1486" s="129"/>
      <c r="W1486" s="129"/>
      <c r="X1486" s="129"/>
      <c r="Y1486" s="129"/>
      <c r="Z1486" s="129"/>
      <c r="AA1486" s="129"/>
      <c r="AB1486" s="129"/>
      <c r="AC1486" s="129"/>
      <c r="AD1486" s="129"/>
    </row>
    <row r="1487" ht="14.25" customHeight="1">
      <c r="A1487" s="211">
        <v>76.0</v>
      </c>
      <c r="B1487" s="82" t="s">
        <v>5449</v>
      </c>
      <c r="C1487" s="82" t="s">
        <v>5448</v>
      </c>
      <c r="D1487" s="82"/>
      <c r="E1487" s="82"/>
      <c r="F1487" s="406"/>
      <c r="G1487" s="444">
        <v>128.0</v>
      </c>
      <c r="H1487" s="82"/>
      <c r="I1487" s="82">
        <v>60.0</v>
      </c>
      <c r="J1487" s="82"/>
      <c r="K1487" s="82"/>
      <c r="L1487" s="82">
        <v>1.0</v>
      </c>
      <c r="M1487" s="82" t="s">
        <v>449</v>
      </c>
      <c r="N1487" s="82"/>
      <c r="O1487" s="82"/>
      <c r="P1487" s="82" t="s">
        <v>29</v>
      </c>
      <c r="Q1487" s="46"/>
      <c r="R1487" s="46"/>
      <c r="S1487" s="129"/>
      <c r="T1487" s="129"/>
      <c r="U1487" s="129"/>
      <c r="V1487" s="129"/>
      <c r="W1487" s="129"/>
      <c r="X1487" s="129"/>
      <c r="Y1487" s="129"/>
      <c r="Z1487" s="129"/>
      <c r="AA1487" s="129"/>
      <c r="AB1487" s="129"/>
      <c r="AC1487" s="129"/>
      <c r="AD1487" s="129"/>
    </row>
    <row r="1488" ht="14.25" customHeight="1">
      <c r="A1488" s="211">
        <v>77.0</v>
      </c>
      <c r="B1488" s="82" t="s">
        <v>5450</v>
      </c>
      <c r="C1488" s="82" t="s">
        <v>5451</v>
      </c>
      <c r="D1488" s="82"/>
      <c r="E1488" s="82"/>
      <c r="F1488" s="406"/>
      <c r="G1488" s="444">
        <v>28.0</v>
      </c>
      <c r="H1488" s="82"/>
      <c r="I1488" s="82">
        <v>15.0</v>
      </c>
      <c r="J1488" s="82"/>
      <c r="K1488" s="82"/>
      <c r="L1488" s="82">
        <v>1.0</v>
      </c>
      <c r="M1488" s="82" t="s">
        <v>5334</v>
      </c>
      <c r="N1488" s="82"/>
      <c r="O1488" s="82"/>
      <c r="P1488" s="82" t="s">
        <v>29</v>
      </c>
      <c r="Q1488" s="46"/>
      <c r="R1488" s="46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</row>
    <row r="1489" ht="14.25" customHeight="1">
      <c r="A1489" s="211">
        <v>78.0</v>
      </c>
      <c r="B1489" s="82" t="s">
        <v>5452</v>
      </c>
      <c r="C1489" s="82" t="s">
        <v>5453</v>
      </c>
      <c r="D1489" s="82"/>
      <c r="E1489" s="82"/>
      <c r="F1489" s="406"/>
      <c r="G1489" s="444">
        <v>256.0</v>
      </c>
      <c r="H1489" s="82"/>
      <c r="I1489" s="82">
        <v>160.0</v>
      </c>
      <c r="J1489" s="82">
        <v>2.0</v>
      </c>
      <c r="K1489" s="82">
        <v>2.0</v>
      </c>
      <c r="L1489" s="82"/>
      <c r="M1489" s="82" t="s">
        <v>5334</v>
      </c>
      <c r="N1489" s="82"/>
      <c r="O1489" s="82"/>
      <c r="P1489" s="82" t="s">
        <v>29</v>
      </c>
      <c r="Q1489" s="46"/>
      <c r="R1489" s="46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</row>
    <row r="1490" ht="14.25" customHeight="1">
      <c r="A1490" s="211">
        <v>79.0</v>
      </c>
      <c r="B1490" s="82" t="s">
        <v>5454</v>
      </c>
      <c r="C1490" s="82" t="s">
        <v>5453</v>
      </c>
      <c r="D1490" s="82"/>
      <c r="E1490" s="82"/>
      <c r="F1490" s="406"/>
      <c r="G1490" s="444">
        <v>64.0</v>
      </c>
      <c r="H1490" s="82"/>
      <c r="I1490" s="82">
        <v>40.0</v>
      </c>
      <c r="J1490" s="82"/>
      <c r="K1490" s="82"/>
      <c r="L1490" s="82">
        <v>1.0</v>
      </c>
      <c r="M1490" s="82" t="s">
        <v>5334</v>
      </c>
      <c r="N1490" s="82"/>
      <c r="O1490" s="82"/>
      <c r="P1490" s="82" t="s">
        <v>29</v>
      </c>
      <c r="Q1490" s="46"/>
      <c r="R1490" s="46"/>
      <c r="S1490" s="129"/>
      <c r="T1490" s="129"/>
      <c r="U1490" s="129"/>
      <c r="V1490" s="129"/>
      <c r="W1490" s="129"/>
      <c r="X1490" s="129"/>
      <c r="Y1490" s="129"/>
      <c r="Z1490" s="129"/>
      <c r="AA1490" s="129"/>
      <c r="AB1490" s="129"/>
      <c r="AC1490" s="129"/>
      <c r="AD1490" s="129"/>
    </row>
    <row r="1491" ht="14.25" customHeight="1">
      <c r="A1491" s="211">
        <v>80.0</v>
      </c>
      <c r="B1491" s="82" t="s">
        <v>5455</v>
      </c>
      <c r="C1491" s="82" t="s">
        <v>5456</v>
      </c>
      <c r="D1491" s="82"/>
      <c r="E1491" s="82"/>
      <c r="F1491" s="406"/>
      <c r="G1491" s="444">
        <v>64.0</v>
      </c>
      <c r="H1491" s="82"/>
      <c r="I1491" s="82">
        <v>30.0</v>
      </c>
      <c r="J1491" s="82"/>
      <c r="K1491" s="82"/>
      <c r="L1491" s="82">
        <v>1.0</v>
      </c>
      <c r="M1491" s="82" t="s">
        <v>5334</v>
      </c>
      <c r="N1491" s="82"/>
      <c r="O1491" s="82"/>
      <c r="P1491" s="82" t="s">
        <v>29</v>
      </c>
      <c r="Q1491" s="46"/>
      <c r="R1491" s="46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</row>
    <row r="1492" ht="14.25" customHeight="1">
      <c r="A1492" s="211">
        <v>81.0</v>
      </c>
      <c r="B1492" s="82" t="s">
        <v>5457</v>
      </c>
      <c r="C1492" s="82" t="s">
        <v>5458</v>
      </c>
      <c r="D1492" s="82"/>
      <c r="E1492" s="82"/>
      <c r="F1492" s="406"/>
      <c r="G1492" s="444">
        <v>64.0</v>
      </c>
      <c r="H1492" s="82"/>
      <c r="I1492" s="82">
        <v>30.0</v>
      </c>
      <c r="J1492" s="82"/>
      <c r="K1492" s="82"/>
      <c r="L1492" s="82">
        <v>1.0</v>
      </c>
      <c r="M1492" s="82" t="s">
        <v>5334</v>
      </c>
      <c r="N1492" s="82"/>
      <c r="O1492" s="82"/>
      <c r="P1492" s="82" t="s">
        <v>29</v>
      </c>
      <c r="Q1492" s="46"/>
      <c r="R1492" s="46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</row>
    <row r="1493" ht="14.25" customHeight="1">
      <c r="A1493" s="211">
        <v>82.0</v>
      </c>
      <c r="B1493" s="82" t="s">
        <v>5459</v>
      </c>
      <c r="C1493" s="82" t="s">
        <v>5460</v>
      </c>
      <c r="D1493" s="82"/>
      <c r="E1493" s="82"/>
      <c r="F1493" s="406"/>
      <c r="G1493" s="444">
        <v>256.0</v>
      </c>
      <c r="H1493" s="82"/>
      <c r="I1493" s="82">
        <v>160.0</v>
      </c>
      <c r="J1493" s="82">
        <v>4.0</v>
      </c>
      <c r="K1493" s="82">
        <v>4.0</v>
      </c>
      <c r="L1493" s="82"/>
      <c r="M1493" s="82" t="s">
        <v>449</v>
      </c>
      <c r="N1493" s="82"/>
      <c r="O1493" s="82"/>
      <c r="P1493" s="82" t="s">
        <v>29</v>
      </c>
      <c r="Q1493" s="46"/>
      <c r="R1493" s="46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</row>
    <row r="1494" ht="14.25" customHeight="1">
      <c r="A1494" s="211">
        <v>83.0</v>
      </c>
      <c r="B1494" s="82" t="s">
        <v>5461</v>
      </c>
      <c r="C1494" s="82" t="s">
        <v>5460</v>
      </c>
      <c r="D1494" s="82"/>
      <c r="E1494" s="82"/>
      <c r="F1494" s="406"/>
      <c r="G1494" s="444">
        <v>64.0</v>
      </c>
      <c r="H1494" s="82"/>
      <c r="I1494" s="82">
        <v>30.0</v>
      </c>
      <c r="J1494" s="82"/>
      <c r="K1494" s="82"/>
      <c r="L1494" s="82">
        <v>1.0</v>
      </c>
      <c r="M1494" s="82" t="s">
        <v>449</v>
      </c>
      <c r="N1494" s="82"/>
      <c r="O1494" s="82"/>
      <c r="P1494" s="82" t="s">
        <v>29</v>
      </c>
      <c r="Q1494" s="46"/>
      <c r="R1494" s="46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</row>
    <row r="1495" ht="14.25" customHeight="1">
      <c r="A1495" s="211">
        <v>84.0</v>
      </c>
      <c r="B1495" s="82" t="s">
        <v>5462</v>
      </c>
      <c r="C1495" s="82" t="s">
        <v>5463</v>
      </c>
      <c r="D1495" s="82"/>
      <c r="E1495" s="82"/>
      <c r="F1495" s="406"/>
      <c r="G1495" s="444">
        <v>192.0</v>
      </c>
      <c r="H1495" s="82"/>
      <c r="I1495" s="82">
        <v>90.0</v>
      </c>
      <c r="J1495" s="82">
        <v>2.0</v>
      </c>
      <c r="K1495" s="82">
        <v>2.0</v>
      </c>
      <c r="L1495" s="82"/>
      <c r="M1495" s="82" t="s">
        <v>449</v>
      </c>
      <c r="N1495" s="82"/>
      <c r="O1495" s="82"/>
      <c r="P1495" s="82" t="s">
        <v>29</v>
      </c>
      <c r="Q1495" s="46"/>
      <c r="R1495" s="46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</row>
    <row r="1496" ht="14.25" customHeight="1">
      <c r="A1496" s="211">
        <v>85.0</v>
      </c>
      <c r="B1496" s="82" t="s">
        <v>5464</v>
      </c>
      <c r="C1496" s="82" t="s">
        <v>5463</v>
      </c>
      <c r="D1496" s="82"/>
      <c r="E1496" s="82"/>
      <c r="F1496" s="406"/>
      <c r="G1496" s="444">
        <v>128.0</v>
      </c>
      <c r="H1496" s="82"/>
      <c r="I1496" s="82">
        <v>100.0</v>
      </c>
      <c r="J1496" s="82"/>
      <c r="K1496" s="82"/>
      <c r="L1496" s="82">
        <v>1.0</v>
      </c>
      <c r="M1496" s="82" t="s">
        <v>449</v>
      </c>
      <c r="N1496" s="82"/>
      <c r="O1496" s="82"/>
      <c r="P1496" s="82" t="s">
        <v>29</v>
      </c>
      <c r="Q1496" s="46"/>
      <c r="R1496" s="46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</row>
    <row r="1497" ht="14.25" customHeight="1">
      <c r="A1497" s="211">
        <v>86.0</v>
      </c>
      <c r="B1497" s="82" t="s">
        <v>5465</v>
      </c>
      <c r="C1497" s="82" t="s">
        <v>5466</v>
      </c>
      <c r="D1497" s="82"/>
      <c r="E1497" s="82"/>
      <c r="F1497" s="406"/>
      <c r="G1497" s="444">
        <v>256.0</v>
      </c>
      <c r="H1497" s="82"/>
      <c r="I1497" s="82">
        <v>20.0</v>
      </c>
      <c r="J1497" s="82">
        <v>2.0</v>
      </c>
      <c r="K1497" s="82">
        <v>2.0</v>
      </c>
      <c r="L1497" s="82"/>
      <c r="M1497" s="82" t="s">
        <v>449</v>
      </c>
      <c r="N1497" s="82"/>
      <c r="O1497" s="82"/>
      <c r="P1497" s="82" t="s">
        <v>29</v>
      </c>
      <c r="Q1497" s="46"/>
      <c r="R1497" s="46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</row>
    <row r="1498" ht="14.25" customHeight="1">
      <c r="A1498" s="211">
        <v>87.0</v>
      </c>
      <c r="B1498" s="82" t="s">
        <v>5467</v>
      </c>
      <c r="C1498" s="82" t="s">
        <v>5466</v>
      </c>
      <c r="D1498" s="82"/>
      <c r="E1498" s="82"/>
      <c r="F1498" s="406"/>
      <c r="G1498" s="444">
        <v>64.0</v>
      </c>
      <c r="H1498" s="82"/>
      <c r="I1498" s="82">
        <v>30.0</v>
      </c>
      <c r="J1498" s="82"/>
      <c r="K1498" s="82"/>
      <c r="L1498" s="82">
        <v>1.0</v>
      </c>
      <c r="M1498" s="82" t="s">
        <v>449</v>
      </c>
      <c r="N1498" s="82"/>
      <c r="O1498" s="82"/>
      <c r="P1498" s="82" t="s">
        <v>29</v>
      </c>
      <c r="Q1498" s="46"/>
      <c r="R1498" s="46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</row>
    <row r="1499" ht="14.25" customHeight="1">
      <c r="A1499" s="211">
        <v>88.0</v>
      </c>
      <c r="B1499" s="82" t="s">
        <v>5468</v>
      </c>
      <c r="C1499" s="82" t="s">
        <v>5469</v>
      </c>
      <c r="D1499" s="82"/>
      <c r="E1499" s="82"/>
      <c r="F1499" s="406"/>
      <c r="G1499" s="444">
        <v>128.0</v>
      </c>
      <c r="H1499" s="82"/>
      <c r="I1499" s="82">
        <v>80.0</v>
      </c>
      <c r="J1499" s="82"/>
      <c r="K1499" s="82"/>
      <c r="L1499" s="82">
        <v>1.0</v>
      </c>
      <c r="M1499" s="82" t="s">
        <v>449</v>
      </c>
      <c r="N1499" s="82"/>
      <c r="O1499" s="82"/>
      <c r="P1499" s="82" t="s">
        <v>29</v>
      </c>
      <c r="Q1499" s="46"/>
      <c r="R1499" s="46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</row>
    <row r="1500" ht="14.25" customHeight="1">
      <c r="A1500" s="211">
        <v>89.0</v>
      </c>
      <c r="B1500" s="82" t="s">
        <v>5470</v>
      </c>
      <c r="C1500" s="82" t="s">
        <v>5471</v>
      </c>
      <c r="D1500" s="82"/>
      <c r="E1500" s="82"/>
      <c r="F1500" s="406"/>
      <c r="G1500" s="444">
        <v>320.0</v>
      </c>
      <c r="H1500" s="82"/>
      <c r="I1500" s="82">
        <v>120.0</v>
      </c>
      <c r="J1500" s="82">
        <v>3.0</v>
      </c>
      <c r="K1500" s="82">
        <v>3.0</v>
      </c>
      <c r="L1500" s="82"/>
      <c r="M1500" s="82" t="s">
        <v>449</v>
      </c>
      <c r="N1500" s="82"/>
      <c r="O1500" s="82"/>
      <c r="P1500" s="82" t="s">
        <v>29</v>
      </c>
      <c r="Q1500" s="46"/>
      <c r="R1500" s="46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</row>
    <row r="1501" ht="14.25" customHeight="1">
      <c r="A1501" s="211">
        <v>90.0</v>
      </c>
      <c r="B1501" s="82" t="s">
        <v>5472</v>
      </c>
      <c r="C1501" s="82" t="s">
        <v>5471</v>
      </c>
      <c r="D1501" s="82"/>
      <c r="E1501" s="82"/>
      <c r="F1501" s="406"/>
      <c r="G1501" s="444">
        <v>64.0</v>
      </c>
      <c r="H1501" s="82"/>
      <c r="I1501" s="82">
        <v>30.0</v>
      </c>
      <c r="J1501" s="82"/>
      <c r="K1501" s="82"/>
      <c r="L1501" s="82">
        <v>1.0</v>
      </c>
      <c r="M1501" s="82" t="s">
        <v>449</v>
      </c>
      <c r="N1501" s="82"/>
      <c r="O1501" s="82"/>
      <c r="P1501" s="82" t="s">
        <v>29</v>
      </c>
      <c r="Q1501" s="46"/>
      <c r="R1501" s="46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</row>
    <row r="1502" ht="14.25" customHeight="1">
      <c r="A1502" s="211">
        <v>91.0</v>
      </c>
      <c r="B1502" s="82" t="s">
        <v>5473</v>
      </c>
      <c r="C1502" s="82" t="s">
        <v>5474</v>
      </c>
      <c r="D1502" s="82"/>
      <c r="E1502" s="82"/>
      <c r="F1502" s="406"/>
      <c r="G1502" s="444">
        <v>252.0</v>
      </c>
      <c r="H1502" s="82"/>
      <c r="I1502" s="82">
        <v>240.0</v>
      </c>
      <c r="J1502" s="82">
        <v>3.0</v>
      </c>
      <c r="K1502" s="82">
        <v>3.0</v>
      </c>
      <c r="L1502" s="82"/>
      <c r="M1502" s="82" t="s">
        <v>449</v>
      </c>
      <c r="N1502" s="82"/>
      <c r="O1502" s="82"/>
      <c r="P1502" s="82" t="s">
        <v>29</v>
      </c>
      <c r="Q1502" s="46"/>
      <c r="R1502" s="46"/>
      <c r="S1502" s="129"/>
      <c r="T1502" s="129"/>
      <c r="U1502" s="129"/>
      <c r="V1502" s="129"/>
      <c r="W1502" s="129"/>
      <c r="X1502" s="129"/>
      <c r="Y1502" s="129"/>
      <c r="Z1502" s="129"/>
      <c r="AA1502" s="129"/>
      <c r="AB1502" s="129"/>
      <c r="AC1502" s="129"/>
      <c r="AD1502" s="129"/>
    </row>
    <row r="1503" ht="14.25" customHeight="1">
      <c r="A1503" s="211">
        <v>92.0</v>
      </c>
      <c r="B1503" s="82" t="s">
        <v>5475</v>
      </c>
      <c r="C1503" s="82" t="s">
        <v>5474</v>
      </c>
      <c r="D1503" s="82"/>
      <c r="E1503" s="82"/>
      <c r="F1503" s="406"/>
      <c r="G1503" s="444">
        <v>67.5</v>
      </c>
      <c r="H1503" s="82"/>
      <c r="I1503" s="82">
        <v>30.0</v>
      </c>
      <c r="J1503" s="82"/>
      <c r="K1503" s="82"/>
      <c r="L1503" s="82">
        <v>1.0</v>
      </c>
      <c r="M1503" s="82" t="s">
        <v>449</v>
      </c>
      <c r="N1503" s="82"/>
      <c r="O1503" s="82"/>
      <c r="P1503" s="82" t="s">
        <v>29</v>
      </c>
      <c r="Q1503" s="46"/>
      <c r="R1503" s="46"/>
      <c r="S1503" s="129"/>
      <c r="T1503" s="129"/>
      <c r="U1503" s="129"/>
      <c r="V1503" s="129"/>
      <c r="W1503" s="129"/>
      <c r="X1503" s="129"/>
      <c r="Y1503" s="129"/>
      <c r="Z1503" s="129"/>
      <c r="AA1503" s="129"/>
      <c r="AB1503" s="129"/>
      <c r="AC1503" s="129"/>
      <c r="AD1503" s="129"/>
    </row>
    <row r="1504" ht="14.25" customHeight="1">
      <c r="A1504" s="211">
        <v>93.0</v>
      </c>
      <c r="B1504" s="82" t="s">
        <v>5476</v>
      </c>
      <c r="C1504" s="82" t="s">
        <v>5477</v>
      </c>
      <c r="D1504" s="82"/>
      <c r="E1504" s="82"/>
      <c r="F1504" s="406"/>
      <c r="G1504" s="444">
        <v>128.0</v>
      </c>
      <c r="H1504" s="82"/>
      <c r="I1504" s="82">
        <v>60.0</v>
      </c>
      <c r="J1504" s="82">
        <v>2.0</v>
      </c>
      <c r="K1504" s="82">
        <v>2.0</v>
      </c>
      <c r="L1504" s="82"/>
      <c r="M1504" s="82" t="s">
        <v>449</v>
      </c>
      <c r="N1504" s="82"/>
      <c r="O1504" s="82"/>
      <c r="P1504" s="82" t="s">
        <v>29</v>
      </c>
      <c r="Q1504" s="46"/>
      <c r="R1504" s="46"/>
      <c r="S1504" s="129"/>
      <c r="T1504" s="129"/>
      <c r="U1504" s="129"/>
      <c r="V1504" s="129"/>
      <c r="W1504" s="129"/>
      <c r="X1504" s="129"/>
      <c r="Y1504" s="129"/>
      <c r="Z1504" s="129"/>
      <c r="AA1504" s="129"/>
      <c r="AB1504" s="129"/>
      <c r="AC1504" s="129"/>
      <c r="AD1504" s="129"/>
    </row>
    <row r="1505" ht="14.25" customHeight="1">
      <c r="A1505" s="211">
        <v>94.0</v>
      </c>
      <c r="B1505" s="82" t="s">
        <v>5478</v>
      </c>
      <c r="C1505" s="82" t="s">
        <v>5477</v>
      </c>
      <c r="D1505" s="82"/>
      <c r="E1505" s="82"/>
      <c r="F1505" s="406"/>
      <c r="G1505" s="444">
        <v>64.0</v>
      </c>
      <c r="H1505" s="82"/>
      <c r="I1505" s="82">
        <v>30.0</v>
      </c>
      <c r="J1505" s="82"/>
      <c r="K1505" s="82"/>
      <c r="L1505" s="82">
        <v>1.0</v>
      </c>
      <c r="M1505" s="82" t="s">
        <v>449</v>
      </c>
      <c r="N1505" s="82"/>
      <c r="O1505" s="82"/>
      <c r="P1505" s="82" t="s">
        <v>29</v>
      </c>
      <c r="Q1505" s="46"/>
      <c r="R1505" s="46"/>
      <c r="S1505" s="129"/>
      <c r="T1505" s="129"/>
      <c r="U1505" s="129"/>
      <c r="V1505" s="129"/>
      <c r="W1505" s="129"/>
      <c r="X1505" s="129"/>
      <c r="Y1505" s="129"/>
      <c r="Z1505" s="129"/>
      <c r="AA1505" s="129"/>
      <c r="AB1505" s="129"/>
      <c r="AC1505" s="129"/>
      <c r="AD1505" s="129"/>
    </row>
    <row r="1506" ht="14.25" customHeight="1">
      <c r="A1506" s="211">
        <v>95.0</v>
      </c>
      <c r="B1506" s="82" t="s">
        <v>5479</v>
      </c>
      <c r="C1506" s="82" t="s">
        <v>3665</v>
      </c>
      <c r="D1506" s="82"/>
      <c r="E1506" s="82"/>
      <c r="F1506" s="406"/>
      <c r="G1506" s="444">
        <v>192.0</v>
      </c>
      <c r="H1506" s="82"/>
      <c r="I1506" s="82">
        <v>120.0</v>
      </c>
      <c r="J1506" s="82">
        <v>2.0</v>
      </c>
      <c r="K1506" s="82">
        <v>2.0</v>
      </c>
      <c r="L1506" s="82"/>
      <c r="M1506" s="82" t="s">
        <v>449</v>
      </c>
      <c r="N1506" s="82"/>
      <c r="O1506" s="82"/>
      <c r="P1506" s="82" t="s">
        <v>29</v>
      </c>
      <c r="Q1506" s="46"/>
      <c r="R1506" s="46"/>
      <c r="S1506" s="129"/>
      <c r="T1506" s="129"/>
      <c r="U1506" s="129"/>
      <c r="V1506" s="129"/>
      <c r="W1506" s="129"/>
      <c r="X1506" s="129"/>
      <c r="Y1506" s="129"/>
      <c r="Z1506" s="129"/>
      <c r="AA1506" s="129"/>
      <c r="AB1506" s="129"/>
      <c r="AC1506" s="129"/>
      <c r="AD1506" s="129"/>
    </row>
    <row r="1507" ht="14.25" customHeight="1">
      <c r="A1507" s="211">
        <v>96.0</v>
      </c>
      <c r="B1507" s="82" t="s">
        <v>5480</v>
      </c>
      <c r="C1507" s="82" t="s">
        <v>3665</v>
      </c>
      <c r="D1507" s="82"/>
      <c r="E1507" s="82"/>
      <c r="F1507" s="406"/>
      <c r="G1507" s="444">
        <v>64.0</v>
      </c>
      <c r="H1507" s="82"/>
      <c r="I1507" s="82">
        <v>30.0</v>
      </c>
      <c r="J1507" s="82"/>
      <c r="K1507" s="82"/>
      <c r="L1507" s="82">
        <v>1.0</v>
      </c>
      <c r="M1507" s="82" t="s">
        <v>449</v>
      </c>
      <c r="N1507" s="82"/>
      <c r="O1507" s="82"/>
      <c r="P1507" s="82" t="s">
        <v>29</v>
      </c>
      <c r="Q1507" s="46"/>
      <c r="R1507" s="46"/>
      <c r="S1507" s="129"/>
      <c r="T1507" s="129"/>
      <c r="U1507" s="129"/>
      <c r="V1507" s="129"/>
      <c r="W1507" s="129"/>
      <c r="X1507" s="129"/>
      <c r="Y1507" s="129"/>
      <c r="Z1507" s="129"/>
      <c r="AA1507" s="129"/>
      <c r="AB1507" s="129"/>
      <c r="AC1507" s="129"/>
      <c r="AD1507" s="129"/>
    </row>
    <row r="1508" ht="14.25" customHeight="1">
      <c r="A1508" s="211">
        <v>97.0</v>
      </c>
      <c r="B1508" s="82" t="s">
        <v>5481</v>
      </c>
      <c r="C1508" s="82" t="s">
        <v>5482</v>
      </c>
      <c r="D1508" s="82"/>
      <c r="E1508" s="82"/>
      <c r="F1508" s="406"/>
      <c r="G1508" s="444">
        <v>256.0</v>
      </c>
      <c r="H1508" s="82"/>
      <c r="I1508" s="82">
        <v>120.0</v>
      </c>
      <c r="J1508" s="82">
        <v>2.0</v>
      </c>
      <c r="K1508" s="82">
        <v>2.0</v>
      </c>
      <c r="L1508" s="82"/>
      <c r="M1508" s="82" t="s">
        <v>5334</v>
      </c>
      <c r="N1508" s="82"/>
      <c r="O1508" s="82"/>
      <c r="P1508" s="82" t="s">
        <v>29</v>
      </c>
      <c r="Q1508" s="46"/>
      <c r="R1508" s="46"/>
      <c r="S1508" s="129"/>
      <c r="T1508" s="129"/>
      <c r="U1508" s="129"/>
      <c r="V1508" s="129"/>
      <c r="W1508" s="129"/>
      <c r="X1508" s="129"/>
      <c r="Y1508" s="129"/>
      <c r="Z1508" s="129"/>
      <c r="AA1508" s="129"/>
      <c r="AB1508" s="129"/>
      <c r="AC1508" s="129"/>
      <c r="AD1508" s="129"/>
    </row>
    <row r="1509" ht="14.25" customHeight="1">
      <c r="A1509" s="211">
        <v>98.0</v>
      </c>
      <c r="B1509" s="82" t="s">
        <v>5483</v>
      </c>
      <c r="C1509" s="82" t="s">
        <v>5482</v>
      </c>
      <c r="D1509" s="82"/>
      <c r="E1509" s="82"/>
      <c r="F1509" s="406"/>
      <c r="G1509" s="444">
        <v>128.0</v>
      </c>
      <c r="H1509" s="82"/>
      <c r="I1509" s="82">
        <v>60.0</v>
      </c>
      <c r="J1509" s="82"/>
      <c r="K1509" s="82"/>
      <c r="L1509" s="82">
        <v>1.0</v>
      </c>
      <c r="M1509" s="82" t="s">
        <v>5334</v>
      </c>
      <c r="N1509" s="82"/>
      <c r="O1509" s="82"/>
      <c r="P1509" s="82" t="s">
        <v>29</v>
      </c>
      <c r="Q1509" s="46"/>
      <c r="R1509" s="46"/>
      <c r="S1509" s="129"/>
      <c r="T1509" s="129"/>
      <c r="U1509" s="129"/>
      <c r="V1509" s="129"/>
      <c r="W1509" s="129"/>
      <c r="X1509" s="129"/>
      <c r="Y1509" s="129"/>
      <c r="Z1509" s="129"/>
      <c r="AA1509" s="129"/>
      <c r="AB1509" s="129"/>
      <c r="AC1509" s="129"/>
      <c r="AD1509" s="129"/>
    </row>
    <row r="1510" ht="14.25" customHeight="1">
      <c r="A1510" s="211">
        <v>99.0</v>
      </c>
      <c r="B1510" s="82" t="s">
        <v>5484</v>
      </c>
      <c r="C1510" s="82" t="s">
        <v>5485</v>
      </c>
      <c r="D1510" s="82"/>
      <c r="E1510" s="82"/>
      <c r="F1510" s="406"/>
      <c r="G1510" s="444">
        <v>192.0</v>
      </c>
      <c r="H1510" s="82"/>
      <c r="I1510" s="82">
        <v>120.0</v>
      </c>
      <c r="J1510" s="82">
        <v>2.0</v>
      </c>
      <c r="K1510" s="82">
        <v>2.0</v>
      </c>
      <c r="L1510" s="82"/>
      <c r="M1510" s="82" t="s">
        <v>449</v>
      </c>
      <c r="N1510" s="82"/>
      <c r="O1510" s="82"/>
      <c r="P1510" s="82" t="s">
        <v>29</v>
      </c>
      <c r="Q1510" s="46"/>
      <c r="R1510" s="46"/>
      <c r="S1510" s="129"/>
      <c r="T1510" s="129"/>
      <c r="U1510" s="129"/>
      <c r="V1510" s="129"/>
      <c r="W1510" s="129"/>
      <c r="X1510" s="129"/>
      <c r="Y1510" s="129"/>
      <c r="Z1510" s="129"/>
      <c r="AA1510" s="129"/>
      <c r="AB1510" s="129"/>
      <c r="AC1510" s="129"/>
      <c r="AD1510" s="129"/>
    </row>
    <row r="1511" ht="14.25" customHeight="1">
      <c r="A1511" s="211">
        <v>100.0</v>
      </c>
      <c r="B1511" s="82" t="s">
        <v>5486</v>
      </c>
      <c r="C1511" s="82" t="s">
        <v>5485</v>
      </c>
      <c r="D1511" s="82"/>
      <c r="E1511" s="82"/>
      <c r="F1511" s="406"/>
      <c r="G1511" s="444">
        <v>64.0</v>
      </c>
      <c r="H1511" s="82"/>
      <c r="I1511" s="82">
        <v>30.0</v>
      </c>
      <c r="J1511" s="82"/>
      <c r="K1511" s="82"/>
      <c r="L1511" s="82">
        <v>1.0</v>
      </c>
      <c r="M1511" s="82" t="s">
        <v>449</v>
      </c>
      <c r="N1511" s="82"/>
      <c r="O1511" s="82"/>
      <c r="P1511" s="82" t="s">
        <v>29</v>
      </c>
      <c r="Q1511" s="46"/>
      <c r="R1511" s="46"/>
      <c r="S1511" s="129"/>
      <c r="T1511" s="129"/>
      <c r="U1511" s="129"/>
      <c r="V1511" s="129"/>
      <c r="W1511" s="129"/>
      <c r="X1511" s="129"/>
      <c r="Y1511" s="129"/>
      <c r="Z1511" s="129"/>
      <c r="AA1511" s="129"/>
      <c r="AB1511" s="129"/>
      <c r="AC1511" s="129"/>
      <c r="AD1511" s="129"/>
    </row>
    <row r="1512" ht="14.25" customHeight="1">
      <c r="A1512" s="211">
        <v>101.0</v>
      </c>
      <c r="B1512" s="82" t="s">
        <v>5487</v>
      </c>
      <c r="C1512" s="82" t="s">
        <v>5488</v>
      </c>
      <c r="D1512" s="82"/>
      <c r="E1512" s="82"/>
      <c r="F1512" s="406"/>
      <c r="G1512" s="444">
        <v>192.0</v>
      </c>
      <c r="H1512" s="82"/>
      <c r="I1512" s="82">
        <v>90.0</v>
      </c>
      <c r="J1512" s="82">
        <v>2.0</v>
      </c>
      <c r="K1512" s="82">
        <v>2.0</v>
      </c>
      <c r="L1512" s="82"/>
      <c r="M1512" s="82" t="s">
        <v>449</v>
      </c>
      <c r="N1512" s="82"/>
      <c r="O1512" s="82"/>
      <c r="P1512" s="82" t="s">
        <v>29</v>
      </c>
      <c r="Q1512" s="46"/>
      <c r="R1512" s="46"/>
      <c r="S1512" s="129"/>
      <c r="T1512" s="129"/>
      <c r="U1512" s="129"/>
      <c r="V1512" s="129"/>
      <c r="W1512" s="129"/>
      <c r="X1512" s="129"/>
      <c r="Y1512" s="129"/>
      <c r="Z1512" s="129"/>
      <c r="AA1512" s="129"/>
      <c r="AB1512" s="129"/>
      <c r="AC1512" s="129"/>
      <c r="AD1512" s="129"/>
    </row>
    <row r="1513" ht="14.25" customHeight="1">
      <c r="A1513" s="211">
        <v>102.0</v>
      </c>
      <c r="B1513" s="82" t="s">
        <v>5489</v>
      </c>
      <c r="C1513" s="82" t="s">
        <v>5488</v>
      </c>
      <c r="D1513" s="82"/>
      <c r="E1513" s="82"/>
      <c r="F1513" s="406"/>
      <c r="G1513" s="444">
        <v>37.8</v>
      </c>
      <c r="H1513" s="82"/>
      <c r="I1513" s="82">
        <v>15.0</v>
      </c>
      <c r="J1513" s="82"/>
      <c r="K1513" s="82"/>
      <c r="L1513" s="82">
        <v>1.0</v>
      </c>
      <c r="M1513" s="82" t="s">
        <v>449</v>
      </c>
      <c r="N1513" s="82"/>
      <c r="O1513" s="82"/>
      <c r="P1513" s="82" t="s">
        <v>29</v>
      </c>
      <c r="Q1513" s="46"/>
      <c r="R1513" s="46"/>
      <c r="S1513" s="129"/>
      <c r="T1513" s="129"/>
      <c r="U1513" s="129"/>
      <c r="V1513" s="129"/>
      <c r="W1513" s="129"/>
      <c r="X1513" s="129"/>
      <c r="Y1513" s="129"/>
      <c r="Z1513" s="129"/>
      <c r="AA1513" s="129"/>
      <c r="AB1513" s="129"/>
      <c r="AC1513" s="129"/>
      <c r="AD1513" s="129"/>
    </row>
    <row r="1514" ht="14.25" customHeight="1">
      <c r="A1514" s="211">
        <v>103.0</v>
      </c>
      <c r="B1514" s="82" t="s">
        <v>5490</v>
      </c>
      <c r="C1514" s="82" t="s">
        <v>5491</v>
      </c>
      <c r="D1514" s="82"/>
      <c r="E1514" s="82"/>
      <c r="F1514" s="406"/>
      <c r="G1514" s="444">
        <v>24.0</v>
      </c>
      <c r="H1514" s="82"/>
      <c r="I1514" s="82">
        <v>10.0</v>
      </c>
      <c r="J1514" s="82"/>
      <c r="K1514" s="82"/>
      <c r="L1514" s="82">
        <v>1.0</v>
      </c>
      <c r="M1514" s="82" t="s">
        <v>449</v>
      </c>
      <c r="N1514" s="82"/>
      <c r="O1514" s="82"/>
      <c r="P1514" s="82" t="s">
        <v>29</v>
      </c>
      <c r="Q1514" s="46"/>
      <c r="R1514" s="46"/>
      <c r="S1514" s="129"/>
      <c r="T1514" s="129"/>
      <c r="U1514" s="129"/>
      <c r="V1514" s="129"/>
      <c r="W1514" s="129"/>
      <c r="X1514" s="129"/>
      <c r="Y1514" s="129"/>
      <c r="Z1514" s="129"/>
      <c r="AA1514" s="129"/>
      <c r="AB1514" s="129"/>
      <c r="AC1514" s="129"/>
      <c r="AD1514" s="129"/>
    </row>
    <row r="1515" ht="14.25" customHeight="1">
      <c r="A1515" s="211">
        <v>104.0</v>
      </c>
      <c r="B1515" s="82" t="s">
        <v>5492</v>
      </c>
      <c r="C1515" s="82" t="s">
        <v>5458</v>
      </c>
      <c r="D1515" s="82"/>
      <c r="E1515" s="82"/>
      <c r="F1515" s="406"/>
      <c r="G1515" s="444">
        <v>384.0</v>
      </c>
      <c r="H1515" s="82"/>
      <c r="I1515" s="82">
        <v>200.0</v>
      </c>
      <c r="J1515" s="82">
        <v>4.0</v>
      </c>
      <c r="K1515" s="82">
        <v>4.0</v>
      </c>
      <c r="L1515" s="82"/>
      <c r="M1515" s="82" t="s">
        <v>5334</v>
      </c>
      <c r="N1515" s="82"/>
      <c r="O1515" s="82"/>
      <c r="P1515" s="82" t="s">
        <v>66</v>
      </c>
      <c r="Q1515" s="46">
        <v>30.0</v>
      </c>
      <c r="R1515" s="46"/>
      <c r="S1515" s="129"/>
      <c r="T1515" s="129"/>
      <c r="U1515" s="129"/>
      <c r="V1515" s="129"/>
      <c r="W1515" s="129"/>
      <c r="X1515" s="129"/>
      <c r="Y1515" s="129"/>
      <c r="Z1515" s="129"/>
      <c r="AA1515" s="129"/>
      <c r="AB1515" s="129"/>
      <c r="AC1515" s="129"/>
      <c r="AD1515" s="129"/>
    </row>
    <row r="1516" ht="14.25" customHeight="1">
      <c r="A1516" s="211">
        <v>105.0</v>
      </c>
      <c r="B1516" s="82" t="s">
        <v>5493</v>
      </c>
      <c r="C1516" s="82" t="s">
        <v>5458</v>
      </c>
      <c r="D1516" s="82"/>
      <c r="E1516" s="82"/>
      <c r="F1516" s="406"/>
      <c r="G1516" s="444">
        <v>384.0</v>
      </c>
      <c r="H1516" s="82"/>
      <c r="I1516" s="82">
        <v>200.0</v>
      </c>
      <c r="J1516" s="82">
        <v>4.0</v>
      </c>
      <c r="K1516" s="82">
        <v>4.0</v>
      </c>
      <c r="L1516" s="82"/>
      <c r="M1516" s="82" t="s">
        <v>5334</v>
      </c>
      <c r="N1516" s="82"/>
      <c r="O1516" s="82"/>
      <c r="P1516" s="82" t="s">
        <v>66</v>
      </c>
      <c r="Q1516" s="46">
        <v>15.0</v>
      </c>
      <c r="R1516" s="46"/>
      <c r="S1516" s="129"/>
      <c r="T1516" s="129"/>
      <c r="U1516" s="129"/>
      <c r="V1516" s="129"/>
      <c r="W1516" s="129"/>
      <c r="X1516" s="129"/>
      <c r="Y1516" s="129"/>
      <c r="Z1516" s="129"/>
      <c r="AA1516" s="129"/>
      <c r="AB1516" s="129"/>
      <c r="AC1516" s="129"/>
      <c r="AD1516" s="129"/>
    </row>
    <row r="1517" ht="14.25" customHeight="1">
      <c r="A1517" s="211">
        <v>106.0</v>
      </c>
      <c r="B1517" s="82" t="s">
        <v>5494</v>
      </c>
      <c r="C1517" s="82" t="s">
        <v>5458</v>
      </c>
      <c r="D1517" s="82"/>
      <c r="E1517" s="82"/>
      <c r="F1517" s="406"/>
      <c r="G1517" s="444">
        <v>630.0</v>
      </c>
      <c r="H1517" s="82"/>
      <c r="I1517" s="82">
        <v>300.0</v>
      </c>
      <c r="J1517" s="82">
        <v>4.0</v>
      </c>
      <c r="K1517" s="82">
        <v>4.0</v>
      </c>
      <c r="L1517" s="82"/>
      <c r="M1517" s="82" t="s">
        <v>5334</v>
      </c>
      <c r="N1517" s="82"/>
      <c r="O1517" s="82"/>
      <c r="P1517" s="82" t="s">
        <v>29</v>
      </c>
      <c r="Q1517" s="46"/>
      <c r="R1517" s="46"/>
      <c r="S1517" s="129"/>
      <c r="T1517" s="129"/>
      <c r="U1517" s="129"/>
      <c r="V1517" s="129"/>
      <c r="W1517" s="129"/>
      <c r="X1517" s="129"/>
      <c r="Y1517" s="129"/>
      <c r="Z1517" s="129"/>
      <c r="AA1517" s="129"/>
      <c r="AB1517" s="129"/>
      <c r="AC1517" s="129"/>
      <c r="AD1517" s="129"/>
    </row>
    <row r="1518" ht="14.25" customHeight="1">
      <c r="A1518" s="211">
        <v>107.0</v>
      </c>
      <c r="B1518" s="82" t="s">
        <v>5495</v>
      </c>
      <c r="C1518" s="82" t="s">
        <v>5456</v>
      </c>
      <c r="D1518" s="82"/>
      <c r="E1518" s="82"/>
      <c r="F1518" s="406"/>
      <c r="G1518" s="448">
        <v>1278.0</v>
      </c>
      <c r="H1518" s="82"/>
      <c r="I1518" s="82">
        <v>600.0</v>
      </c>
      <c r="J1518" s="82">
        <v>4.0</v>
      </c>
      <c r="K1518" s="82">
        <v>4.0</v>
      </c>
      <c r="L1518" s="82"/>
      <c r="M1518" s="82" t="s">
        <v>5334</v>
      </c>
      <c r="N1518" s="82"/>
      <c r="O1518" s="82"/>
      <c r="P1518" s="82" t="s">
        <v>29</v>
      </c>
      <c r="Q1518" s="46"/>
      <c r="R1518" s="46"/>
      <c r="S1518" s="129"/>
      <c r="T1518" s="129"/>
      <c r="U1518" s="129"/>
      <c r="V1518" s="129"/>
      <c r="W1518" s="129"/>
      <c r="X1518" s="129"/>
      <c r="Y1518" s="129"/>
      <c r="Z1518" s="129"/>
      <c r="AA1518" s="129"/>
      <c r="AB1518" s="129"/>
      <c r="AC1518" s="129"/>
      <c r="AD1518" s="129"/>
    </row>
    <row r="1519" ht="14.25" customHeight="1">
      <c r="A1519" s="211">
        <v>108.0</v>
      </c>
      <c r="B1519" s="82" t="s">
        <v>5496</v>
      </c>
      <c r="C1519" s="82" t="s">
        <v>5425</v>
      </c>
      <c r="D1519" s="82"/>
      <c r="E1519" s="82"/>
      <c r="F1519" s="406"/>
      <c r="G1519" s="449" t="s">
        <v>5497</v>
      </c>
      <c r="H1519" s="82"/>
      <c r="I1519" s="145">
        <v>250.0</v>
      </c>
      <c r="J1519" s="82"/>
      <c r="K1519" s="82"/>
      <c r="L1519" s="82"/>
      <c r="M1519" s="82" t="s">
        <v>449</v>
      </c>
      <c r="N1519" s="82"/>
      <c r="O1519" s="82"/>
      <c r="P1519" s="82" t="s">
        <v>29</v>
      </c>
      <c r="Q1519" s="46"/>
      <c r="R1519" s="46"/>
      <c r="S1519" s="129"/>
      <c r="T1519" s="129"/>
      <c r="U1519" s="129"/>
      <c r="V1519" s="129"/>
      <c r="W1519" s="129"/>
      <c r="X1519" s="129"/>
      <c r="Y1519" s="129"/>
      <c r="Z1519" s="129"/>
      <c r="AA1519" s="129"/>
      <c r="AB1519" s="129"/>
      <c r="AC1519" s="129"/>
      <c r="AD1519" s="129"/>
    </row>
    <row r="1520" ht="15.75" customHeight="1">
      <c r="A1520" s="181"/>
      <c r="B1520" s="182" t="s">
        <v>5498</v>
      </c>
      <c r="C1520" s="182"/>
      <c r="D1520" s="182"/>
      <c r="E1520" s="182"/>
      <c r="F1520" s="403"/>
      <c r="G1520" s="404"/>
      <c r="H1520" s="182"/>
      <c r="I1520" s="182"/>
      <c r="J1520" s="91"/>
      <c r="K1520" s="91"/>
      <c r="L1520" s="91"/>
      <c r="M1520" s="91"/>
      <c r="N1520" s="91"/>
      <c r="O1520" s="91"/>
      <c r="P1520" s="182"/>
      <c r="Q1520" s="91"/>
      <c r="R1520" s="218"/>
      <c r="S1520" s="405"/>
      <c r="T1520" s="405"/>
      <c r="U1520" s="405"/>
      <c r="V1520" s="405"/>
      <c r="W1520" s="405"/>
      <c r="X1520" s="405"/>
      <c r="Y1520" s="405"/>
      <c r="Z1520" s="405"/>
      <c r="AA1520" s="405"/>
      <c r="AB1520" s="405"/>
      <c r="AC1520" s="405"/>
      <c r="AD1520" s="405"/>
    </row>
    <row r="1521" ht="14.25" customHeight="1">
      <c r="A1521" s="211">
        <v>1.0</v>
      </c>
      <c r="B1521" s="46" t="s">
        <v>5499</v>
      </c>
      <c r="C1521" s="46" t="s">
        <v>1552</v>
      </c>
      <c r="D1521" s="46"/>
      <c r="E1521" s="46"/>
      <c r="F1521" s="50"/>
      <c r="G1521" s="275" t="s">
        <v>5500</v>
      </c>
      <c r="H1521" s="46">
        <v>86.0</v>
      </c>
      <c r="I1521" s="46">
        <v>431.0</v>
      </c>
      <c r="J1521" s="33">
        <v>1.0</v>
      </c>
      <c r="K1521" s="33">
        <v>1.0</v>
      </c>
      <c r="L1521" s="46">
        <v>1.0</v>
      </c>
      <c r="M1521" s="46" t="s">
        <v>5501</v>
      </c>
      <c r="N1521" s="46"/>
      <c r="O1521" s="46"/>
      <c r="P1521" s="46" t="s">
        <v>29</v>
      </c>
      <c r="Q1521" s="46" t="s">
        <v>401</v>
      </c>
      <c r="R1521" s="46"/>
      <c r="S1521" s="129"/>
      <c r="T1521" s="129"/>
      <c r="U1521" s="129"/>
      <c r="V1521" s="129"/>
      <c r="W1521" s="129"/>
      <c r="X1521" s="129"/>
      <c r="Y1521" s="129"/>
      <c r="Z1521" s="129"/>
      <c r="AA1521" s="129"/>
      <c r="AB1521" s="129"/>
      <c r="AC1521" s="129"/>
      <c r="AD1521" s="129"/>
    </row>
    <row r="1522" ht="14.25" customHeight="1">
      <c r="A1522" s="211">
        <v>2.0</v>
      </c>
      <c r="B1522" s="46" t="s">
        <v>63</v>
      </c>
      <c r="C1522" s="46" t="s">
        <v>5502</v>
      </c>
      <c r="D1522" s="46"/>
      <c r="E1522" s="46"/>
      <c r="F1522" s="50"/>
      <c r="G1522" s="450" t="s">
        <v>5503</v>
      </c>
      <c r="H1522" s="46">
        <v>40.0</v>
      </c>
      <c r="I1522" s="46">
        <v>200.0</v>
      </c>
      <c r="J1522" s="33">
        <v>1.0</v>
      </c>
      <c r="K1522" s="33">
        <v>1.0</v>
      </c>
      <c r="L1522" s="46">
        <v>3.0</v>
      </c>
      <c r="M1522" s="46" t="s">
        <v>27</v>
      </c>
      <c r="N1522" s="46"/>
      <c r="O1522" s="46"/>
      <c r="P1522" s="46" t="s">
        <v>66</v>
      </c>
      <c r="Q1522" s="81">
        <v>20.0</v>
      </c>
      <c r="R1522" s="46"/>
      <c r="S1522" s="129"/>
      <c r="T1522" s="129"/>
      <c r="U1522" s="129"/>
      <c r="V1522" s="129"/>
      <c r="W1522" s="129"/>
      <c r="X1522" s="129"/>
      <c r="Y1522" s="129"/>
      <c r="Z1522" s="129"/>
      <c r="AA1522" s="129"/>
      <c r="AB1522" s="129"/>
      <c r="AC1522" s="129"/>
      <c r="AD1522" s="129"/>
    </row>
    <row r="1523" ht="14.25" customHeight="1">
      <c r="A1523" s="211">
        <v>3.0</v>
      </c>
      <c r="B1523" s="46" t="s">
        <v>5505</v>
      </c>
      <c r="C1523" s="46" t="s">
        <v>1552</v>
      </c>
      <c r="D1523" s="46"/>
      <c r="E1523" s="46"/>
      <c r="F1523" s="50"/>
      <c r="G1523" s="275" t="s">
        <v>5506</v>
      </c>
      <c r="H1523" s="46">
        <v>240.0</v>
      </c>
      <c r="I1523" s="46">
        <v>1200.0</v>
      </c>
      <c r="J1523" s="33">
        <v>2.0</v>
      </c>
      <c r="K1523" s="33">
        <v>2.0</v>
      </c>
      <c r="L1523" s="46">
        <v>0.0</v>
      </c>
      <c r="M1523" s="46" t="s">
        <v>5501</v>
      </c>
      <c r="N1523" s="46"/>
      <c r="O1523" s="46"/>
      <c r="P1523" s="46" t="s">
        <v>29</v>
      </c>
      <c r="Q1523" s="46" t="s">
        <v>401</v>
      </c>
      <c r="R1523" s="46"/>
      <c r="S1523" s="129"/>
      <c r="T1523" s="129"/>
      <c r="U1523" s="129"/>
      <c r="V1523" s="129"/>
      <c r="W1523" s="129"/>
      <c r="X1523" s="129"/>
      <c r="Y1523" s="129"/>
      <c r="Z1523" s="129"/>
      <c r="AA1523" s="129"/>
      <c r="AB1523" s="129"/>
      <c r="AC1523" s="129"/>
      <c r="AD1523" s="129"/>
    </row>
    <row r="1524" ht="14.25" customHeight="1">
      <c r="A1524" s="211">
        <v>4.0</v>
      </c>
      <c r="B1524" s="46" t="s">
        <v>177</v>
      </c>
      <c r="C1524" s="46" t="s">
        <v>1552</v>
      </c>
      <c r="D1524" s="46"/>
      <c r="E1524" s="46"/>
      <c r="F1524" s="50"/>
      <c r="G1524" s="275" t="s">
        <v>5507</v>
      </c>
      <c r="H1524" s="46">
        <v>240.0</v>
      </c>
      <c r="I1524" s="46">
        <v>1200.0</v>
      </c>
      <c r="J1524" s="33">
        <v>1.0</v>
      </c>
      <c r="K1524" s="33">
        <v>1.0</v>
      </c>
      <c r="L1524" s="46">
        <v>0.0</v>
      </c>
      <c r="M1524" s="46" t="s">
        <v>5501</v>
      </c>
      <c r="N1524" s="46"/>
      <c r="O1524" s="46"/>
      <c r="P1524" s="46" t="s">
        <v>29</v>
      </c>
      <c r="Q1524" s="46" t="s">
        <v>401</v>
      </c>
      <c r="R1524" s="46"/>
      <c r="S1524" s="129"/>
      <c r="T1524" s="129"/>
      <c r="U1524" s="129"/>
      <c r="V1524" s="129"/>
      <c r="W1524" s="129"/>
      <c r="X1524" s="129"/>
      <c r="Y1524" s="129"/>
      <c r="Z1524" s="129"/>
      <c r="AA1524" s="129"/>
      <c r="AB1524" s="129"/>
      <c r="AC1524" s="129"/>
      <c r="AD1524" s="129"/>
    </row>
    <row r="1525" ht="14.25" customHeight="1">
      <c r="A1525" s="211">
        <v>5.0</v>
      </c>
      <c r="B1525" s="46" t="s">
        <v>5508</v>
      </c>
      <c r="C1525" s="46" t="s">
        <v>1552</v>
      </c>
      <c r="D1525" s="46"/>
      <c r="E1525" s="46"/>
      <c r="F1525" s="50"/>
      <c r="G1525" s="275" t="s">
        <v>5509</v>
      </c>
      <c r="H1525" s="46">
        <v>118.0</v>
      </c>
      <c r="I1525" s="46">
        <v>590.0</v>
      </c>
      <c r="J1525" s="33">
        <v>4.0</v>
      </c>
      <c r="K1525" s="33">
        <v>4.0</v>
      </c>
      <c r="L1525" s="46">
        <v>0.0</v>
      </c>
      <c r="M1525" s="46" t="s">
        <v>5501</v>
      </c>
      <c r="N1525" s="46"/>
      <c r="O1525" s="46"/>
      <c r="P1525" s="46" t="s">
        <v>29</v>
      </c>
      <c r="Q1525" s="46" t="s">
        <v>401</v>
      </c>
      <c r="R1525" s="46"/>
      <c r="S1525" s="129"/>
      <c r="T1525" s="129"/>
      <c r="U1525" s="129"/>
      <c r="V1525" s="129"/>
      <c r="W1525" s="129"/>
      <c r="X1525" s="129"/>
      <c r="Y1525" s="129"/>
      <c r="Z1525" s="129"/>
      <c r="AA1525" s="129"/>
      <c r="AB1525" s="129"/>
      <c r="AC1525" s="129"/>
      <c r="AD1525" s="129"/>
    </row>
    <row r="1526" ht="14.25" customHeight="1">
      <c r="A1526" s="211">
        <v>6.0</v>
      </c>
      <c r="B1526" s="46" t="s">
        <v>5510</v>
      </c>
      <c r="C1526" s="46" t="s">
        <v>5511</v>
      </c>
      <c r="D1526" s="46"/>
      <c r="E1526" s="46"/>
      <c r="F1526" s="50"/>
      <c r="G1526" s="275" t="s">
        <v>5512</v>
      </c>
      <c r="H1526" s="46">
        <v>114.0</v>
      </c>
      <c r="I1526" s="46">
        <v>570.0</v>
      </c>
      <c r="J1526" s="33">
        <v>2.0</v>
      </c>
      <c r="K1526" s="33">
        <v>2.0</v>
      </c>
      <c r="L1526" s="46">
        <v>0.0</v>
      </c>
      <c r="M1526" s="33" t="s">
        <v>27</v>
      </c>
      <c r="N1526" s="46"/>
      <c r="O1526" s="46"/>
      <c r="P1526" s="46" t="s">
        <v>29</v>
      </c>
      <c r="Q1526" s="46" t="s">
        <v>401</v>
      </c>
      <c r="R1526" s="46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</row>
    <row r="1527" ht="14.25" customHeight="1">
      <c r="A1527" s="211">
        <v>7.0</v>
      </c>
      <c r="B1527" s="46" t="s">
        <v>5514</v>
      </c>
      <c r="C1527" s="46" t="s">
        <v>5515</v>
      </c>
      <c r="D1527" s="46"/>
      <c r="E1527" s="46"/>
      <c r="F1527" s="50"/>
      <c r="G1527" s="275" t="s">
        <v>5516</v>
      </c>
      <c r="H1527" s="46">
        <v>47.0</v>
      </c>
      <c r="I1527" s="46">
        <v>236.0</v>
      </c>
      <c r="J1527" s="33">
        <v>2.0</v>
      </c>
      <c r="K1527" s="33">
        <v>2.0</v>
      </c>
      <c r="L1527" s="46">
        <v>0.0</v>
      </c>
      <c r="M1527" s="46" t="s">
        <v>82</v>
      </c>
      <c r="N1527" s="46"/>
      <c r="O1527" s="46"/>
      <c r="P1527" s="46" t="s">
        <v>29</v>
      </c>
      <c r="Q1527" s="46" t="s">
        <v>401</v>
      </c>
      <c r="R1527" s="46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</row>
    <row r="1528" ht="14.25" customHeight="1">
      <c r="A1528" s="211">
        <v>8.0</v>
      </c>
      <c r="B1528" s="46" t="s">
        <v>5517</v>
      </c>
      <c r="C1528" s="46" t="s">
        <v>5518</v>
      </c>
      <c r="D1528" s="46"/>
      <c r="E1528" s="46"/>
      <c r="F1528" s="50"/>
      <c r="G1528" s="275" t="s">
        <v>5519</v>
      </c>
      <c r="H1528" s="46">
        <v>87.0</v>
      </c>
      <c r="I1528" s="46">
        <v>433.0</v>
      </c>
      <c r="J1528" s="33">
        <v>3.0</v>
      </c>
      <c r="K1528" s="33">
        <v>3.0</v>
      </c>
      <c r="L1528" s="46">
        <v>0.0</v>
      </c>
      <c r="M1528" s="33" t="s">
        <v>7144</v>
      </c>
      <c r="N1528" s="46"/>
      <c r="O1528" s="46"/>
      <c r="P1528" s="46" t="s">
        <v>29</v>
      </c>
      <c r="Q1528" s="46" t="s">
        <v>401</v>
      </c>
      <c r="R1528" s="46"/>
      <c r="S1528" s="129"/>
      <c r="T1528" s="129"/>
      <c r="U1528" s="129"/>
      <c r="V1528" s="129"/>
      <c r="W1528" s="129"/>
      <c r="X1528" s="129"/>
      <c r="Y1528" s="129"/>
      <c r="Z1528" s="129"/>
      <c r="AA1528" s="129"/>
      <c r="AB1528" s="129"/>
      <c r="AC1528" s="129"/>
      <c r="AD1528" s="129"/>
    </row>
    <row r="1529" ht="14.25" customHeight="1">
      <c r="A1529" s="211">
        <v>9.0</v>
      </c>
      <c r="B1529" s="46" t="s">
        <v>5520</v>
      </c>
      <c r="C1529" s="46" t="s">
        <v>5521</v>
      </c>
      <c r="D1529" s="46"/>
      <c r="E1529" s="46"/>
      <c r="F1529" s="50"/>
      <c r="G1529" s="275" t="s">
        <v>5522</v>
      </c>
      <c r="H1529" s="46">
        <v>27.0</v>
      </c>
      <c r="I1529" s="46">
        <v>137.0</v>
      </c>
      <c r="J1529" s="33">
        <v>1.0</v>
      </c>
      <c r="K1529" s="33">
        <v>1.0</v>
      </c>
      <c r="L1529" s="46">
        <v>0.0</v>
      </c>
      <c r="M1529" s="33" t="s">
        <v>7144</v>
      </c>
      <c r="N1529" s="46"/>
      <c r="O1529" s="46"/>
      <c r="P1529" s="46" t="s">
        <v>29</v>
      </c>
      <c r="Q1529" s="46" t="s">
        <v>401</v>
      </c>
      <c r="R1529" s="46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</row>
    <row r="1530" ht="14.25" customHeight="1">
      <c r="A1530" s="211">
        <v>10.0</v>
      </c>
      <c r="B1530" s="46" t="s">
        <v>5523</v>
      </c>
      <c r="C1530" s="46" t="s">
        <v>5524</v>
      </c>
      <c r="D1530" s="46"/>
      <c r="E1530" s="46"/>
      <c r="F1530" s="50"/>
      <c r="G1530" s="275" t="s">
        <v>5525</v>
      </c>
      <c r="H1530" s="46">
        <v>79.0</v>
      </c>
      <c r="I1530" s="46">
        <v>393.0</v>
      </c>
      <c r="J1530" s="33">
        <v>1.0</v>
      </c>
      <c r="K1530" s="33">
        <v>1.0</v>
      </c>
      <c r="L1530" s="46">
        <v>0.0</v>
      </c>
      <c r="M1530" s="46" t="s">
        <v>82</v>
      </c>
      <c r="N1530" s="46"/>
      <c r="O1530" s="46"/>
      <c r="P1530" s="46" t="s">
        <v>29</v>
      </c>
      <c r="Q1530" s="46" t="s">
        <v>401</v>
      </c>
      <c r="R1530" s="46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</row>
    <row r="1531" ht="14.25" customHeight="1">
      <c r="A1531" s="211">
        <v>11.0</v>
      </c>
      <c r="B1531" s="46" t="s">
        <v>5526</v>
      </c>
      <c r="C1531" s="46" t="s">
        <v>5527</v>
      </c>
      <c r="D1531" s="46"/>
      <c r="E1531" s="46"/>
      <c r="F1531" s="50"/>
      <c r="G1531" s="275" t="s">
        <v>5525</v>
      </c>
      <c r="H1531" s="46">
        <v>39.0</v>
      </c>
      <c r="I1531" s="46">
        <v>196.0</v>
      </c>
      <c r="J1531" s="33">
        <v>3.0</v>
      </c>
      <c r="K1531" s="33">
        <v>3.0</v>
      </c>
      <c r="L1531" s="46">
        <v>0.0</v>
      </c>
      <c r="M1531" s="46" t="s">
        <v>82</v>
      </c>
      <c r="N1531" s="46"/>
      <c r="O1531" s="46"/>
      <c r="P1531" s="46" t="s">
        <v>29</v>
      </c>
      <c r="Q1531" s="46" t="s">
        <v>401</v>
      </c>
      <c r="R1531" s="46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</row>
    <row r="1532" ht="15.75" customHeight="1">
      <c r="A1532" s="181"/>
      <c r="B1532" s="182" t="s">
        <v>5528</v>
      </c>
      <c r="C1532" s="182"/>
      <c r="D1532" s="182"/>
      <c r="E1532" s="182"/>
      <c r="F1532" s="403"/>
      <c r="G1532" s="404"/>
      <c r="H1532" s="182"/>
      <c r="I1532" s="182"/>
      <c r="J1532" s="91"/>
      <c r="K1532" s="91"/>
      <c r="L1532" s="91"/>
      <c r="M1532" s="91"/>
      <c r="N1532" s="91"/>
      <c r="O1532" s="91"/>
      <c r="P1532" s="182"/>
      <c r="Q1532" s="91"/>
      <c r="R1532" s="218"/>
      <c r="S1532" s="405"/>
      <c r="T1532" s="405"/>
      <c r="U1532" s="405"/>
      <c r="V1532" s="405"/>
      <c r="W1532" s="405"/>
      <c r="X1532" s="405"/>
      <c r="Y1532" s="405"/>
      <c r="Z1532" s="405"/>
      <c r="AA1532" s="405"/>
      <c r="AB1532" s="405"/>
      <c r="AC1532" s="405"/>
      <c r="AD1532" s="405"/>
    </row>
    <row r="1533" ht="14.25" customHeight="1">
      <c r="A1533" s="211">
        <v>1.0</v>
      </c>
      <c r="B1533" s="27" t="s">
        <v>5529</v>
      </c>
      <c r="C1533" s="27" t="s">
        <v>5530</v>
      </c>
      <c r="D1533" s="27"/>
      <c r="E1533" s="27"/>
      <c r="F1533" s="38"/>
      <c r="G1533" s="407">
        <v>4108.0</v>
      </c>
      <c r="H1533" s="27">
        <v>1000.0</v>
      </c>
      <c r="I1533" s="42">
        <v>5000.0</v>
      </c>
      <c r="J1533" s="42">
        <v>2.0</v>
      </c>
      <c r="K1533" s="42">
        <v>2.0</v>
      </c>
      <c r="L1533" s="27" t="s">
        <v>401</v>
      </c>
      <c r="M1533" s="27" t="s">
        <v>4215</v>
      </c>
      <c r="N1533" s="27" t="s">
        <v>401</v>
      </c>
      <c r="O1533" s="27" t="s">
        <v>39</v>
      </c>
      <c r="P1533" s="27" t="s">
        <v>29</v>
      </c>
      <c r="Q1533" s="27" t="s">
        <v>401</v>
      </c>
      <c r="R1533" s="46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</row>
    <row r="1534" ht="14.25" customHeight="1">
      <c r="A1534" s="211">
        <v>2.0</v>
      </c>
      <c r="B1534" s="25" t="s">
        <v>5531</v>
      </c>
      <c r="C1534" s="25" t="s">
        <v>5530</v>
      </c>
      <c r="D1534" s="25"/>
      <c r="E1534" s="25"/>
      <c r="F1534" s="39"/>
      <c r="G1534" s="418">
        <v>500.0</v>
      </c>
      <c r="H1534" s="27">
        <v>150.0</v>
      </c>
      <c r="I1534" s="43">
        <v>750.0</v>
      </c>
      <c r="J1534" s="43">
        <v>11.0</v>
      </c>
      <c r="K1534" s="43">
        <v>11.0</v>
      </c>
      <c r="L1534" s="27" t="s">
        <v>401</v>
      </c>
      <c r="M1534" s="25" t="s">
        <v>4215</v>
      </c>
      <c r="N1534" s="27" t="s">
        <v>401</v>
      </c>
      <c r="O1534" s="25" t="s">
        <v>39</v>
      </c>
      <c r="P1534" s="27" t="s">
        <v>29</v>
      </c>
      <c r="Q1534" s="27" t="s">
        <v>401</v>
      </c>
      <c r="R1534" s="46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</row>
    <row r="1535" ht="14.25" customHeight="1">
      <c r="A1535" s="211">
        <v>3.0</v>
      </c>
      <c r="B1535" s="27" t="s">
        <v>5532</v>
      </c>
      <c r="C1535" s="27" t="s">
        <v>5533</v>
      </c>
      <c r="D1535" s="27"/>
      <c r="E1535" s="27"/>
      <c r="F1535" s="38"/>
      <c r="G1535" s="407">
        <v>4100.0</v>
      </c>
      <c r="H1535" s="27">
        <v>200.0</v>
      </c>
      <c r="I1535" s="42">
        <v>1000.0</v>
      </c>
      <c r="J1535" s="42">
        <v>5.0</v>
      </c>
      <c r="K1535" s="42">
        <v>5.0</v>
      </c>
      <c r="L1535" s="27" t="s">
        <v>401</v>
      </c>
      <c r="M1535" s="27" t="s">
        <v>4215</v>
      </c>
      <c r="N1535" s="27" t="s">
        <v>401</v>
      </c>
      <c r="O1535" s="27" t="s">
        <v>39</v>
      </c>
      <c r="P1535" s="27" t="s">
        <v>29</v>
      </c>
      <c r="Q1535" s="27" t="s">
        <v>401</v>
      </c>
      <c r="R1535" s="46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</row>
    <row r="1536" ht="14.25" customHeight="1">
      <c r="A1536" s="211">
        <v>4.0</v>
      </c>
      <c r="B1536" s="25" t="s">
        <v>5534</v>
      </c>
      <c r="C1536" s="25" t="s">
        <v>5533</v>
      </c>
      <c r="D1536" s="25"/>
      <c r="E1536" s="25"/>
      <c r="F1536" s="39"/>
      <c r="G1536" s="418">
        <v>500.0</v>
      </c>
      <c r="H1536" s="27">
        <v>200.0</v>
      </c>
      <c r="I1536" s="43">
        <v>1000.0</v>
      </c>
      <c r="J1536" s="43">
        <v>10.0</v>
      </c>
      <c r="K1536" s="43">
        <v>10.0</v>
      </c>
      <c r="L1536" s="27" t="s">
        <v>401</v>
      </c>
      <c r="M1536" s="25" t="s">
        <v>4215</v>
      </c>
      <c r="N1536" s="27" t="s">
        <v>401</v>
      </c>
      <c r="O1536" s="25" t="s">
        <v>39</v>
      </c>
      <c r="P1536" s="27" t="s">
        <v>29</v>
      </c>
      <c r="Q1536" s="27" t="s">
        <v>401</v>
      </c>
      <c r="R1536" s="46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</row>
    <row r="1537" ht="14.25" customHeight="1">
      <c r="A1537" s="211">
        <v>5.0</v>
      </c>
      <c r="B1537" s="27" t="s">
        <v>5535</v>
      </c>
      <c r="C1537" s="27" t="s">
        <v>5536</v>
      </c>
      <c r="D1537" s="27"/>
      <c r="E1537" s="27"/>
      <c r="F1537" s="38"/>
      <c r="G1537" s="407">
        <v>500.0</v>
      </c>
      <c r="H1537" s="27">
        <v>10.0</v>
      </c>
      <c r="I1537" s="42">
        <v>50.0</v>
      </c>
      <c r="J1537" s="42">
        <v>4.0</v>
      </c>
      <c r="K1537" s="42">
        <v>4.0</v>
      </c>
      <c r="L1537" s="27" t="s">
        <v>401</v>
      </c>
      <c r="M1537" s="27" t="s">
        <v>4215</v>
      </c>
      <c r="N1537" s="27" t="s">
        <v>401</v>
      </c>
      <c r="O1537" s="27" t="s">
        <v>39</v>
      </c>
      <c r="P1537" s="27" t="s">
        <v>29</v>
      </c>
      <c r="Q1537" s="27" t="s">
        <v>401</v>
      </c>
      <c r="R1537" s="46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</row>
    <row r="1538" ht="14.25" customHeight="1">
      <c r="A1538" s="211">
        <v>6.0</v>
      </c>
      <c r="B1538" s="25" t="s">
        <v>5537</v>
      </c>
      <c r="C1538" s="25" t="s">
        <v>5538</v>
      </c>
      <c r="D1538" s="25"/>
      <c r="E1538" s="25"/>
      <c r="F1538" s="39"/>
      <c r="G1538" s="418">
        <v>500.0</v>
      </c>
      <c r="H1538" s="27">
        <v>100.0</v>
      </c>
      <c r="I1538" s="43">
        <v>500.0</v>
      </c>
      <c r="J1538" s="43">
        <v>10.0</v>
      </c>
      <c r="K1538" s="43">
        <v>10.0</v>
      </c>
      <c r="L1538" s="27" t="s">
        <v>401</v>
      </c>
      <c r="M1538" s="25" t="s">
        <v>4215</v>
      </c>
      <c r="N1538" s="27" t="s">
        <v>401</v>
      </c>
      <c r="O1538" s="25" t="s">
        <v>39</v>
      </c>
      <c r="P1538" s="27" t="s">
        <v>29</v>
      </c>
      <c r="Q1538" s="27" t="s">
        <v>401</v>
      </c>
      <c r="R1538" s="46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</row>
    <row r="1539" ht="14.25" customHeight="1">
      <c r="A1539" s="211">
        <v>7.0</v>
      </c>
      <c r="B1539" s="27" t="s">
        <v>5539</v>
      </c>
      <c r="C1539" s="27" t="s">
        <v>5540</v>
      </c>
      <c r="D1539" s="27"/>
      <c r="E1539" s="27"/>
      <c r="F1539" s="38"/>
      <c r="G1539" s="407">
        <v>500.0</v>
      </c>
      <c r="H1539" s="27">
        <v>20.0</v>
      </c>
      <c r="I1539" s="42">
        <v>100.0</v>
      </c>
      <c r="J1539" s="42">
        <v>4.0</v>
      </c>
      <c r="K1539" s="42">
        <v>4.0</v>
      </c>
      <c r="L1539" s="27" t="s">
        <v>401</v>
      </c>
      <c r="M1539" s="27" t="s">
        <v>4215</v>
      </c>
      <c r="N1539" s="27" t="s">
        <v>401</v>
      </c>
      <c r="O1539" s="27" t="s">
        <v>39</v>
      </c>
      <c r="P1539" s="27" t="s">
        <v>29</v>
      </c>
      <c r="Q1539" s="27" t="s">
        <v>401</v>
      </c>
      <c r="R1539" s="46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</row>
    <row r="1540" ht="14.25" customHeight="1">
      <c r="A1540" s="211">
        <v>8.0</v>
      </c>
      <c r="B1540" s="25" t="s">
        <v>5541</v>
      </c>
      <c r="C1540" s="25" t="s">
        <v>5542</v>
      </c>
      <c r="D1540" s="25"/>
      <c r="E1540" s="25"/>
      <c r="F1540" s="39"/>
      <c r="G1540" s="418">
        <v>500.0</v>
      </c>
      <c r="H1540" s="27">
        <v>200.0</v>
      </c>
      <c r="I1540" s="43">
        <v>1000.0</v>
      </c>
      <c r="J1540" s="43">
        <v>5.0</v>
      </c>
      <c r="K1540" s="43">
        <v>5.0</v>
      </c>
      <c r="L1540" s="27" t="s">
        <v>401</v>
      </c>
      <c r="M1540" s="25" t="s">
        <v>4215</v>
      </c>
      <c r="N1540" s="27" t="s">
        <v>401</v>
      </c>
      <c r="O1540" s="25" t="s">
        <v>39</v>
      </c>
      <c r="P1540" s="27" t="s">
        <v>29</v>
      </c>
      <c r="Q1540" s="27" t="s">
        <v>401</v>
      </c>
      <c r="R1540" s="46"/>
      <c r="S1540" s="129"/>
      <c r="T1540" s="129"/>
      <c r="U1540" s="129"/>
      <c r="V1540" s="129"/>
      <c r="W1540" s="129"/>
      <c r="X1540" s="129"/>
      <c r="Y1540" s="129"/>
      <c r="Z1540" s="129"/>
      <c r="AA1540" s="129"/>
      <c r="AB1540" s="129"/>
      <c r="AC1540" s="129"/>
      <c r="AD1540" s="129"/>
    </row>
    <row r="1541" ht="14.25" customHeight="1">
      <c r="A1541" s="211">
        <v>9.0</v>
      </c>
      <c r="B1541" s="27" t="s">
        <v>5543</v>
      </c>
      <c r="C1541" s="27" t="s">
        <v>5544</v>
      </c>
      <c r="D1541" s="27"/>
      <c r="E1541" s="27"/>
      <c r="F1541" s="38"/>
      <c r="G1541" s="407">
        <v>500.0</v>
      </c>
      <c r="H1541" s="27">
        <v>36.0</v>
      </c>
      <c r="I1541" s="42">
        <v>180.0</v>
      </c>
      <c r="J1541" s="42">
        <v>4.0</v>
      </c>
      <c r="K1541" s="42">
        <v>4.0</v>
      </c>
      <c r="L1541" s="27" t="s">
        <v>401</v>
      </c>
      <c r="M1541" s="27" t="s">
        <v>4215</v>
      </c>
      <c r="N1541" s="27" t="s">
        <v>401</v>
      </c>
      <c r="O1541" s="27" t="s">
        <v>39</v>
      </c>
      <c r="P1541" s="27" t="s">
        <v>29</v>
      </c>
      <c r="Q1541" s="27" t="s">
        <v>401</v>
      </c>
      <c r="R1541" s="46"/>
      <c r="S1541" s="129"/>
      <c r="T1541" s="129"/>
      <c r="U1541" s="129"/>
      <c r="V1541" s="129"/>
      <c r="W1541" s="129"/>
      <c r="X1541" s="129"/>
      <c r="Y1541" s="129"/>
      <c r="Z1541" s="129"/>
      <c r="AA1541" s="129"/>
      <c r="AB1541" s="129"/>
      <c r="AC1541" s="129"/>
      <c r="AD1541" s="129"/>
    </row>
    <row r="1542" ht="14.25" customHeight="1">
      <c r="A1542" s="211">
        <v>10.0</v>
      </c>
      <c r="B1542" s="25" t="s">
        <v>5545</v>
      </c>
      <c r="C1542" s="25" t="s">
        <v>5546</v>
      </c>
      <c r="D1542" s="25"/>
      <c r="E1542" s="25"/>
      <c r="F1542" s="39"/>
      <c r="G1542" s="418">
        <v>500.0</v>
      </c>
      <c r="H1542" s="27">
        <v>80.0</v>
      </c>
      <c r="I1542" s="43">
        <v>400.0</v>
      </c>
      <c r="J1542" s="43">
        <v>5.0</v>
      </c>
      <c r="K1542" s="43">
        <v>5.0</v>
      </c>
      <c r="L1542" s="27" t="s">
        <v>401</v>
      </c>
      <c r="M1542" s="25" t="s">
        <v>4215</v>
      </c>
      <c r="N1542" s="27" t="s">
        <v>401</v>
      </c>
      <c r="O1542" s="25" t="s">
        <v>39</v>
      </c>
      <c r="P1542" s="27" t="s">
        <v>29</v>
      </c>
      <c r="Q1542" s="27" t="s">
        <v>401</v>
      </c>
      <c r="R1542" s="46"/>
      <c r="S1542" s="129"/>
      <c r="T1542" s="129"/>
      <c r="U1542" s="129"/>
      <c r="V1542" s="129"/>
      <c r="W1542" s="129"/>
      <c r="X1542" s="129"/>
      <c r="Y1542" s="129"/>
      <c r="Z1542" s="129"/>
      <c r="AA1542" s="129"/>
      <c r="AB1542" s="129"/>
      <c r="AC1542" s="129"/>
      <c r="AD1542" s="129"/>
    </row>
    <row r="1543" ht="14.25" customHeight="1">
      <c r="A1543" s="211">
        <v>11.0</v>
      </c>
      <c r="B1543" s="27" t="s">
        <v>5547</v>
      </c>
      <c r="C1543" s="27" t="s">
        <v>5548</v>
      </c>
      <c r="D1543" s="27"/>
      <c r="E1543" s="27"/>
      <c r="F1543" s="38"/>
      <c r="G1543" s="407">
        <v>500.0</v>
      </c>
      <c r="H1543" s="27">
        <v>50.0</v>
      </c>
      <c r="I1543" s="42">
        <v>250.0</v>
      </c>
      <c r="J1543" s="42">
        <v>2.0</v>
      </c>
      <c r="K1543" s="42">
        <v>2.0</v>
      </c>
      <c r="L1543" s="27" t="s">
        <v>401</v>
      </c>
      <c r="M1543" s="27" t="s">
        <v>4215</v>
      </c>
      <c r="N1543" s="27" t="s">
        <v>401</v>
      </c>
      <c r="O1543" s="27" t="s">
        <v>39</v>
      </c>
      <c r="P1543" s="27" t="s">
        <v>29</v>
      </c>
      <c r="Q1543" s="27" t="s">
        <v>401</v>
      </c>
      <c r="R1543" s="46"/>
      <c r="S1543" s="129"/>
      <c r="T1543" s="129"/>
      <c r="U1543" s="129"/>
      <c r="V1543" s="129"/>
      <c r="W1543" s="129"/>
      <c r="X1543" s="129"/>
      <c r="Y1543" s="129"/>
      <c r="Z1543" s="129"/>
      <c r="AA1543" s="129"/>
      <c r="AB1543" s="129"/>
      <c r="AC1543" s="129"/>
      <c r="AD1543" s="129"/>
    </row>
    <row r="1544" ht="14.25" customHeight="1">
      <c r="A1544" s="211">
        <v>12.0</v>
      </c>
      <c r="B1544" s="25" t="s">
        <v>5549</v>
      </c>
      <c r="C1544" s="25" t="s">
        <v>5536</v>
      </c>
      <c r="D1544" s="25"/>
      <c r="E1544" s="25"/>
      <c r="F1544" s="39"/>
      <c r="G1544" s="418">
        <v>300.0</v>
      </c>
      <c r="H1544" s="27">
        <v>20.0</v>
      </c>
      <c r="I1544" s="43">
        <v>100.0</v>
      </c>
      <c r="J1544" s="43">
        <v>1.0</v>
      </c>
      <c r="K1544" s="43">
        <v>1.0</v>
      </c>
      <c r="L1544" s="27" t="s">
        <v>401</v>
      </c>
      <c r="M1544" s="25" t="s">
        <v>4215</v>
      </c>
      <c r="N1544" s="27" t="s">
        <v>401</v>
      </c>
      <c r="O1544" s="25" t="s">
        <v>39</v>
      </c>
      <c r="P1544" s="27" t="s">
        <v>29</v>
      </c>
      <c r="Q1544" s="27" t="s">
        <v>401</v>
      </c>
      <c r="R1544" s="46"/>
      <c r="S1544" s="129"/>
      <c r="T1544" s="129"/>
      <c r="U1544" s="129"/>
      <c r="V1544" s="129"/>
      <c r="W1544" s="129"/>
      <c r="X1544" s="129"/>
      <c r="Y1544" s="129"/>
      <c r="Z1544" s="129"/>
      <c r="AA1544" s="129"/>
      <c r="AB1544" s="129"/>
      <c r="AC1544" s="129"/>
      <c r="AD1544" s="129"/>
    </row>
    <row r="1545" ht="14.25" customHeight="1">
      <c r="A1545" s="211">
        <v>13.0</v>
      </c>
      <c r="B1545" s="27" t="s">
        <v>5550</v>
      </c>
      <c r="C1545" s="27" t="s">
        <v>5530</v>
      </c>
      <c r="D1545" s="27"/>
      <c r="E1545" s="27"/>
      <c r="F1545" s="38"/>
      <c r="G1545" s="407">
        <v>200.0</v>
      </c>
      <c r="H1545" s="27">
        <v>10.0</v>
      </c>
      <c r="I1545" s="42">
        <v>50.0</v>
      </c>
      <c r="J1545" s="42">
        <v>5.0</v>
      </c>
      <c r="K1545" s="42">
        <v>5.0</v>
      </c>
      <c r="L1545" s="27" t="s">
        <v>401</v>
      </c>
      <c r="M1545" s="27" t="s">
        <v>4215</v>
      </c>
      <c r="N1545" s="27" t="s">
        <v>401</v>
      </c>
      <c r="O1545" s="27" t="s">
        <v>39</v>
      </c>
      <c r="P1545" s="27" t="s">
        <v>29</v>
      </c>
      <c r="Q1545" s="27" t="s">
        <v>401</v>
      </c>
      <c r="R1545" s="46"/>
      <c r="S1545" s="129"/>
      <c r="T1545" s="129"/>
      <c r="U1545" s="129"/>
      <c r="V1545" s="129"/>
      <c r="W1545" s="129"/>
      <c r="X1545" s="129"/>
      <c r="Y1545" s="129"/>
      <c r="Z1545" s="129"/>
      <c r="AA1545" s="129"/>
      <c r="AB1545" s="129"/>
      <c r="AC1545" s="129"/>
      <c r="AD1545" s="129"/>
    </row>
    <row r="1546" ht="15.75" customHeight="1">
      <c r="A1546" s="181"/>
      <c r="B1546" s="182" t="s">
        <v>5551</v>
      </c>
      <c r="C1546" s="182"/>
      <c r="D1546" s="182"/>
      <c r="E1546" s="182"/>
      <c r="F1546" s="403"/>
      <c r="G1546" s="404"/>
      <c r="H1546" s="182"/>
      <c r="I1546" s="182"/>
      <c r="J1546" s="91"/>
      <c r="K1546" s="91"/>
      <c r="L1546" s="91"/>
      <c r="M1546" s="91"/>
      <c r="N1546" s="91"/>
      <c r="O1546" s="91"/>
      <c r="P1546" s="182"/>
      <c r="Q1546" s="91"/>
      <c r="R1546" s="218"/>
      <c r="S1546" s="405"/>
      <c r="T1546" s="405"/>
      <c r="U1546" s="405"/>
      <c r="V1546" s="405"/>
      <c r="W1546" s="405"/>
      <c r="X1546" s="405"/>
      <c r="Y1546" s="405"/>
      <c r="Z1546" s="405"/>
      <c r="AA1546" s="405"/>
      <c r="AB1546" s="405"/>
      <c r="AC1546" s="405"/>
      <c r="AD1546" s="405"/>
    </row>
    <row r="1547" ht="14.25" customHeight="1">
      <c r="A1547" s="211">
        <v>1.0</v>
      </c>
      <c r="B1547" s="46" t="s">
        <v>5552</v>
      </c>
      <c r="C1547" s="46" t="s">
        <v>5553</v>
      </c>
      <c r="D1547" s="46"/>
      <c r="E1547" s="46"/>
      <c r="F1547" s="50"/>
      <c r="G1547" s="275" t="s">
        <v>5554</v>
      </c>
      <c r="H1547" s="46">
        <v>30.0</v>
      </c>
      <c r="I1547" s="46">
        <v>150.0</v>
      </c>
      <c r="J1547" s="46">
        <v>8.0</v>
      </c>
      <c r="K1547" s="46">
        <v>6.0</v>
      </c>
      <c r="L1547" s="46">
        <v>2.0</v>
      </c>
      <c r="M1547" s="46" t="s">
        <v>427</v>
      </c>
      <c r="N1547" s="46"/>
      <c r="O1547" s="451">
        <v>300.0</v>
      </c>
      <c r="P1547" s="451"/>
      <c r="Q1547" s="46" t="s">
        <v>66</v>
      </c>
      <c r="R1547" s="46">
        <v>14.0</v>
      </c>
      <c r="S1547" s="129"/>
      <c r="T1547" s="129"/>
      <c r="U1547" s="129"/>
      <c r="V1547" s="129"/>
      <c r="W1547" s="129"/>
      <c r="X1547" s="129"/>
      <c r="Y1547" s="129"/>
      <c r="Z1547" s="129"/>
      <c r="AA1547" s="129"/>
      <c r="AB1547" s="129"/>
      <c r="AC1547" s="129"/>
      <c r="AD1547" s="129"/>
    </row>
    <row r="1548" ht="14.25" customHeight="1">
      <c r="A1548" s="452">
        <v>2.0</v>
      </c>
      <c r="B1548" s="453" t="s">
        <v>5555</v>
      </c>
      <c r="C1548" s="453" t="s">
        <v>5556</v>
      </c>
      <c r="D1548" s="453"/>
      <c r="E1548" s="453"/>
      <c r="F1548" s="454"/>
      <c r="G1548" s="275" t="s">
        <v>5557</v>
      </c>
      <c r="H1548" s="46">
        <v>100.0</v>
      </c>
      <c r="I1548" s="46">
        <v>500.0</v>
      </c>
      <c r="J1548" s="46">
        <v>4.0</v>
      </c>
      <c r="K1548" s="46">
        <v>4.0</v>
      </c>
      <c r="L1548" s="46"/>
      <c r="M1548" s="46" t="s">
        <v>5501</v>
      </c>
      <c r="N1548" s="46"/>
      <c r="O1548" s="46">
        <v>300.0</v>
      </c>
      <c r="P1548" s="46"/>
      <c r="Q1548" s="46" t="s">
        <v>29</v>
      </c>
      <c r="R1548" s="46"/>
      <c r="S1548" s="129"/>
      <c r="T1548" s="129"/>
      <c r="U1548" s="129"/>
      <c r="V1548" s="129"/>
      <c r="W1548" s="129"/>
      <c r="X1548" s="129"/>
      <c r="Y1548" s="129"/>
      <c r="Z1548" s="129"/>
      <c r="AA1548" s="129"/>
      <c r="AB1548" s="129"/>
      <c r="AC1548" s="129"/>
      <c r="AD1548" s="129"/>
    </row>
  </sheetData>
  <mergeCells count="15">
    <mergeCell ref="M1:N1"/>
    <mergeCell ref="O1:O2"/>
    <mergeCell ref="P1:R1"/>
    <mergeCell ref="C1203:C1205"/>
    <mergeCell ref="C1208:C1209"/>
    <mergeCell ref="C1210:C1212"/>
    <mergeCell ref="C1213:C1214"/>
    <mergeCell ref="C1218:C1219"/>
    <mergeCell ref="A1:A2"/>
    <mergeCell ref="B1:B2"/>
    <mergeCell ref="C1:C2"/>
    <mergeCell ref="D1:F1"/>
    <mergeCell ref="G1:G2"/>
    <mergeCell ref="H1:I1"/>
    <mergeCell ref="J1:L1"/>
  </mergeCells>
  <conditionalFormatting sqref="G1061:G1090">
    <cfRule type="notContainsBlanks" dxfId="1" priority="1">
      <formula>LEN(TRIM(G1061))&gt;0</formula>
    </cfRule>
  </conditionalFormatting>
  <dataValidations>
    <dataValidation type="list" allowBlank="1" showErrorMessage="1" sqref="P5:Q6 P8 P10 P12:P159 P161:P210 P212:P257 P259:P278 P280 P282:P306 P308:P372 P374:P387 P389:P397 P399:P429 P431:P432 P434:P440 P468:P529 P531:P555 P557:P605 P607:P632 P634:P659 P661:P688 P690:P700 P702:P761 P763:P822 P824:P841 P843:P918 P920:P954 P956:P989 P991:P1013 P1015:P1030 P1032:P1059 P1061:P1092 P1094:P1098 P1100:P1122 P1124:P1195 P1197:P1223 P1225:P1241 P1243:P1244 P1246:P1265 P1267 P1269:P1298 P1300:P1321 P1323:P1331 P1333:P1389 P1391:P1410 P1412:P1519 P1521:P1531 P1533:P1545 Q1547 P1548:Q1548">
      <formula1>"YES,NO"</formula1>
    </dataValidation>
  </dataValidations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2025-02-12T19:14:39Z</dcterms:created>
  <dc:creator>ICTD RO1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dc04dd84d7a14dadbbdc166cd6cdcdef</vt:lpwstr>
  </property>
</Properties>
</file>